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mc:AlternateContent xmlns:mc="http://schemas.openxmlformats.org/markup-compatibility/2006">
    <mc:Choice Requires="x15">
      <x15ac:absPath xmlns:x15ac="http://schemas.microsoft.com/office/spreadsheetml/2010/11/ac" url="C:\Users\Blacqmann\Desktop\"/>
    </mc:Choice>
  </mc:AlternateContent>
  <xr:revisionPtr revIDLastSave="0" documentId="8_{63BE66C3-FA2D-4CF3-9DF4-DFC839143BF1}" xr6:coauthVersionLast="47" xr6:coauthVersionMax="47" xr10:uidLastSave="{00000000-0000-0000-0000-000000000000}"/>
  <bookViews>
    <workbookView xWindow="-110" yWindow="-110" windowWidth="19420" windowHeight="10300" firstSheet="2" activeTab="2" xr2:uid="{00000000-000D-0000-FFFF-FFFF00000000}"/>
  </bookViews>
  <sheets>
    <sheet name="Dashboard" sheetId="4" state="hidden" r:id="rId1"/>
    <sheet name="Interactive Dashborad " sheetId="5" state="hidden" r:id="rId2"/>
    <sheet name="Combined Pivot " sheetId="8" r:id="rId3"/>
    <sheet name=" Dashboard " sheetId="7" r:id="rId4"/>
    <sheet name="Pivot 2" sheetId="6" state="hidden" r:id="rId5"/>
    <sheet name="Pivot" sheetId="3" state="hidden" r:id="rId6"/>
    <sheet name="index_1" sheetId="1" r:id="rId7"/>
  </sheets>
  <definedNames>
    <definedName name="Footfall">'Interactive Dashborad '!$K$11:$M$19</definedName>
    <definedName name="Quarters">'Interactive Dashborad '!$M$6</definedName>
    <definedName name="Slicer_Month">#N/A</definedName>
    <definedName name="Slicer_Products">#N/A</definedName>
    <definedName name="week">'Combined Pivot '!$A$1:$B$9</definedName>
  </definedNames>
  <calcPr calcId="191029"/>
  <pivotCaches>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6" i="7" l="1"/>
  <c r="J27" i="7"/>
  <c r="J28" i="7"/>
  <c r="K26" i="7"/>
  <c r="K27" i="7"/>
  <c r="K28" i="7"/>
  <c r="L2" i="1"/>
  <c r="O23" i="7"/>
  <c r="O22" i="7"/>
  <c r="O21" i="7"/>
  <c r="O20" i="7"/>
  <c r="O19" i="7"/>
  <c r="O18" i="7"/>
  <c r="O17" i="7"/>
  <c r="O16" i="7"/>
  <c r="M17" i="7"/>
  <c r="N17" i="7"/>
  <c r="M18" i="7"/>
  <c r="N18" i="7"/>
  <c r="M19" i="7"/>
  <c r="N19" i="7"/>
  <c r="M20" i="7"/>
  <c r="N20" i="7"/>
  <c r="M21" i="7"/>
  <c r="N21" i="7"/>
  <c r="M22" i="7"/>
  <c r="N22" i="7"/>
  <c r="M23" i="7"/>
  <c r="N23" i="7"/>
  <c r="N16" i="7"/>
  <c r="M16" i="7"/>
  <c r="J16" i="7" l="1"/>
  <c r="J15" i="7"/>
  <c r="J14" i="7"/>
  <c r="J13" i="7"/>
  <c r="J12" i="7"/>
  <c r="J11" i="7"/>
  <c r="J10" i="7"/>
  <c r="K11" i="7"/>
  <c r="K10" i="7"/>
  <c r="K16" i="7"/>
  <c r="K12" i="7"/>
  <c r="K15" i="7"/>
  <c r="K14" i="7"/>
  <c r="K13" i="7"/>
  <c r="I16" i="7" l="1"/>
  <c r="I15" i="7"/>
  <c r="I14" i="7"/>
  <c r="I13" i="7"/>
  <c r="I12" i="7"/>
  <c r="I11" i="7"/>
  <c r="I10" i="7"/>
  <c r="K20" i="7"/>
  <c r="K21" i="7"/>
  <c r="K22" i="7"/>
  <c r="K23" i="7"/>
  <c r="K24" i="7"/>
  <c r="K25" i="7"/>
  <c r="J21" i="7"/>
  <c r="J22" i="7"/>
  <c r="J23" i="7"/>
  <c r="J24" i="7"/>
  <c r="J25" i="7"/>
  <c r="J20" i="7"/>
  <c r="N5" i="7"/>
  <c r="N6" i="7"/>
  <c r="N7" i="7"/>
  <c r="N8" i="7"/>
  <c r="N9" i="7"/>
  <c r="N10" i="7"/>
  <c r="N11" i="7"/>
  <c r="N12" i="7"/>
  <c r="M6" i="7"/>
  <c r="M7" i="7"/>
  <c r="M8" i="7"/>
  <c r="M9" i="7"/>
  <c r="M10" i="7"/>
  <c r="M11" i="7"/>
  <c r="M12" i="7"/>
  <c r="M5" i="7"/>
  <c r="O11" i="7" l="1"/>
  <c r="O9" i="7"/>
  <c r="O8" i="7"/>
  <c r="O10" i="7"/>
  <c r="O7" i="7"/>
  <c r="O6" i="7"/>
  <c r="O5" i="7"/>
  <c r="O12" i="7"/>
  <c r="J5" i="7"/>
  <c r="J6" i="7"/>
  <c r="J4" i="7"/>
  <c r="I5" i="7"/>
  <c r="I4" i="7"/>
  <c r="K5" i="7" l="1"/>
  <c r="K4" i="7"/>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J418" i="1" s="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H1757" i="1" s="1"/>
  <c r="G1758" i="1"/>
  <c r="G1759" i="1"/>
  <c r="G1760" i="1"/>
  <c r="G1761" i="1"/>
  <c r="G1762" i="1"/>
  <c r="G1763" i="1"/>
  <c r="G1764" i="1"/>
  <c r="G1765" i="1"/>
  <c r="H1765" i="1" s="1"/>
  <c r="G1766" i="1"/>
  <c r="G1767" i="1"/>
  <c r="G1768" i="1"/>
  <c r="G1769" i="1"/>
  <c r="G1770" i="1"/>
  <c r="G1771" i="1"/>
  <c r="G1772" i="1"/>
  <c r="G1773" i="1"/>
  <c r="H1773" i="1" s="1"/>
  <c r="G1774" i="1"/>
  <c r="G1775" i="1"/>
  <c r="G1776" i="1"/>
  <c r="G1777" i="1"/>
  <c r="G1778" i="1"/>
  <c r="G1779" i="1"/>
  <c r="G1780" i="1"/>
  <c r="G1781" i="1"/>
  <c r="H1781" i="1" s="1"/>
  <c r="G1782" i="1"/>
  <c r="G1783" i="1"/>
  <c r="G1784" i="1"/>
  <c r="G1785" i="1"/>
  <c r="G1786" i="1"/>
  <c r="G1787" i="1"/>
  <c r="G1788" i="1"/>
  <c r="G1789" i="1"/>
  <c r="H1789" i="1" s="1"/>
  <c r="G1790" i="1"/>
  <c r="G1791" i="1"/>
  <c r="G1792" i="1"/>
  <c r="G1793" i="1"/>
  <c r="G1794" i="1"/>
  <c r="G1795" i="1"/>
  <c r="G1796" i="1"/>
  <c r="G1797" i="1"/>
  <c r="H1797" i="1" s="1"/>
  <c r="G1798" i="1"/>
  <c r="G1799" i="1"/>
  <c r="G1800" i="1"/>
  <c r="G1801" i="1"/>
  <c r="G1802" i="1"/>
  <c r="G1803" i="1"/>
  <c r="G1804" i="1"/>
  <c r="G1805" i="1"/>
  <c r="H1805" i="1" s="1"/>
  <c r="G1806" i="1"/>
  <c r="G1807" i="1"/>
  <c r="G1808" i="1"/>
  <c r="G1809" i="1"/>
  <c r="G1810" i="1"/>
  <c r="G1811" i="1"/>
  <c r="G1812" i="1"/>
  <c r="G1813" i="1"/>
  <c r="H1813" i="1" s="1"/>
  <c r="G1814" i="1"/>
  <c r="G1815" i="1"/>
  <c r="G1816" i="1"/>
  <c r="G1817" i="1"/>
  <c r="G1818" i="1"/>
  <c r="G1819" i="1"/>
  <c r="G1820" i="1"/>
  <c r="G1821" i="1"/>
  <c r="H1821" i="1" s="1"/>
  <c r="G1822" i="1"/>
  <c r="G1823" i="1"/>
  <c r="G1824" i="1"/>
  <c r="G1825" i="1"/>
  <c r="G1826" i="1"/>
  <c r="G1827" i="1"/>
  <c r="G1828" i="1"/>
  <c r="G1829" i="1"/>
  <c r="H1829" i="1" s="1"/>
  <c r="G1830" i="1"/>
  <c r="G1831" i="1"/>
  <c r="G1832" i="1"/>
  <c r="G1833" i="1"/>
  <c r="G1834" i="1"/>
  <c r="G1835" i="1"/>
  <c r="G1836" i="1"/>
  <c r="G1837" i="1"/>
  <c r="H1837" i="1" s="1"/>
  <c r="G1838" i="1"/>
  <c r="G1839" i="1"/>
  <c r="G1840" i="1"/>
  <c r="G1841" i="1"/>
  <c r="G1842" i="1"/>
  <c r="G1843" i="1"/>
  <c r="G1844" i="1"/>
  <c r="G1845" i="1"/>
  <c r="H1845" i="1" s="1"/>
  <c r="G1846" i="1"/>
  <c r="G1847" i="1"/>
  <c r="G1848" i="1"/>
  <c r="G1849" i="1"/>
  <c r="G1850" i="1"/>
  <c r="G1851" i="1"/>
  <c r="G1852" i="1"/>
  <c r="G1853" i="1"/>
  <c r="H1853" i="1" s="1"/>
  <c r="G1854" i="1"/>
  <c r="G1855" i="1"/>
  <c r="G1856" i="1"/>
  <c r="G1857" i="1"/>
  <c r="G1858" i="1"/>
  <c r="G1859" i="1"/>
  <c r="G1860" i="1"/>
  <c r="G1861" i="1"/>
  <c r="H1861" i="1" s="1"/>
  <c r="G1862" i="1"/>
  <c r="G1863" i="1"/>
  <c r="G1864" i="1"/>
  <c r="G1865" i="1"/>
  <c r="G1866" i="1"/>
  <c r="G1867" i="1"/>
  <c r="G1868" i="1"/>
  <c r="G1869" i="1"/>
  <c r="H1869" i="1" s="1"/>
  <c r="G1870" i="1"/>
  <c r="G1871" i="1"/>
  <c r="G1872" i="1"/>
  <c r="G1873" i="1"/>
  <c r="G1874" i="1"/>
  <c r="G1875" i="1"/>
  <c r="G1876" i="1"/>
  <c r="G1877" i="1"/>
  <c r="H1877" i="1" s="1"/>
  <c r="G1878" i="1"/>
  <c r="G1879" i="1"/>
  <c r="G1880" i="1"/>
  <c r="G1881" i="1"/>
  <c r="G1882" i="1"/>
  <c r="G1883" i="1"/>
  <c r="G1884" i="1"/>
  <c r="G1885" i="1"/>
  <c r="H1885" i="1" s="1"/>
  <c r="G1886" i="1"/>
  <c r="G1887" i="1"/>
  <c r="G1888" i="1"/>
  <c r="G1889" i="1"/>
  <c r="G1890" i="1"/>
  <c r="G1891" i="1"/>
  <c r="G1892" i="1"/>
  <c r="G1893" i="1"/>
  <c r="H1893" i="1" s="1"/>
  <c r="G1894" i="1"/>
  <c r="G1895" i="1"/>
  <c r="G1896" i="1"/>
  <c r="G1897" i="1"/>
  <c r="G1898" i="1"/>
  <c r="G1899" i="1"/>
  <c r="G1900" i="1"/>
  <c r="G1901" i="1"/>
  <c r="H1901" i="1" s="1"/>
  <c r="G1902" i="1"/>
  <c r="G1903" i="1"/>
  <c r="G1904" i="1"/>
  <c r="G1905" i="1"/>
  <c r="G1906" i="1"/>
  <c r="G1907" i="1"/>
  <c r="G1908" i="1"/>
  <c r="G1909" i="1"/>
  <c r="H1909" i="1" s="1"/>
  <c r="G1910" i="1"/>
  <c r="G1911" i="1"/>
  <c r="G1912" i="1"/>
  <c r="G1913" i="1"/>
  <c r="G1914" i="1"/>
  <c r="G1915" i="1"/>
  <c r="G1916" i="1"/>
  <c r="G1917" i="1"/>
  <c r="H1917" i="1" s="1"/>
  <c r="G1918" i="1"/>
  <c r="G1919" i="1"/>
  <c r="G1920" i="1"/>
  <c r="G1921" i="1"/>
  <c r="G1922" i="1"/>
  <c r="G1923" i="1"/>
  <c r="G1924" i="1"/>
  <c r="G1925" i="1"/>
  <c r="H1925" i="1" s="1"/>
  <c r="G1926" i="1"/>
  <c r="G1927" i="1"/>
  <c r="G1928" i="1"/>
  <c r="G1929" i="1"/>
  <c r="G1930" i="1"/>
  <c r="G1931" i="1"/>
  <c r="G1932" i="1"/>
  <c r="G1933" i="1"/>
  <c r="H1933" i="1" s="1"/>
  <c r="G1934" i="1"/>
  <c r="G1935" i="1"/>
  <c r="G1936" i="1"/>
  <c r="G1937" i="1"/>
  <c r="G1938" i="1"/>
  <c r="G1939" i="1"/>
  <c r="G1940" i="1"/>
  <c r="G1941" i="1"/>
  <c r="H1941" i="1" s="1"/>
  <c r="G1942" i="1"/>
  <c r="G1943" i="1"/>
  <c r="G1944" i="1"/>
  <c r="G1945" i="1"/>
  <c r="G1946" i="1"/>
  <c r="G1947" i="1"/>
  <c r="G1948" i="1"/>
  <c r="G1949" i="1"/>
  <c r="H1949" i="1" s="1"/>
  <c r="G1950" i="1"/>
  <c r="G1951" i="1"/>
  <c r="G1952" i="1"/>
  <c r="G1953" i="1"/>
  <c r="G1954" i="1"/>
  <c r="G1955" i="1"/>
  <c r="G1956" i="1"/>
  <c r="G1957" i="1"/>
  <c r="H1957" i="1" s="1"/>
  <c r="G1958" i="1"/>
  <c r="G1959" i="1"/>
  <c r="G1960" i="1"/>
  <c r="G1961" i="1"/>
  <c r="G1962" i="1"/>
  <c r="G1963" i="1"/>
  <c r="G1964" i="1"/>
  <c r="G1965" i="1"/>
  <c r="H1965" i="1" s="1"/>
  <c r="G1966" i="1"/>
  <c r="G1967" i="1"/>
  <c r="G1968" i="1"/>
  <c r="G1969" i="1"/>
  <c r="G1970" i="1"/>
  <c r="G1971" i="1"/>
  <c r="G1972" i="1"/>
  <c r="G1973" i="1"/>
  <c r="H1973" i="1" s="1"/>
  <c r="G1974" i="1"/>
  <c r="G1975" i="1"/>
  <c r="G1976" i="1"/>
  <c r="G1977" i="1"/>
  <c r="G1978" i="1"/>
  <c r="G1979" i="1"/>
  <c r="G1980" i="1"/>
  <c r="G1981" i="1"/>
  <c r="H1981" i="1" s="1"/>
  <c r="G1982" i="1"/>
  <c r="G1983" i="1"/>
  <c r="G1984" i="1"/>
  <c r="G1985" i="1"/>
  <c r="G1986" i="1"/>
  <c r="G1987" i="1"/>
  <c r="G1988" i="1"/>
  <c r="G1989" i="1"/>
  <c r="H1989" i="1" s="1"/>
  <c r="G1990" i="1"/>
  <c r="G1991" i="1"/>
  <c r="G1992" i="1"/>
  <c r="G1993" i="1"/>
  <c r="G1994" i="1"/>
  <c r="G1995" i="1"/>
  <c r="G1996" i="1"/>
  <c r="G1997" i="1"/>
  <c r="H1997" i="1" s="1"/>
  <c r="G1998" i="1"/>
  <c r="G1999" i="1"/>
  <c r="G2000" i="1"/>
  <c r="G2001" i="1"/>
  <c r="G2002" i="1"/>
  <c r="G2003" i="1"/>
  <c r="G2004" i="1"/>
  <c r="G2005" i="1"/>
  <c r="H2005" i="1" s="1"/>
  <c r="G2006" i="1"/>
  <c r="G2007" i="1"/>
  <c r="G2008" i="1"/>
  <c r="G2009" i="1"/>
  <c r="G2010" i="1"/>
  <c r="G2011" i="1"/>
  <c r="G2012" i="1"/>
  <c r="G2013" i="1"/>
  <c r="H2013" i="1" s="1"/>
  <c r="G2014" i="1"/>
  <c r="G2015" i="1"/>
  <c r="G2016" i="1"/>
  <c r="G2017" i="1"/>
  <c r="G2018" i="1"/>
  <c r="G2019" i="1"/>
  <c r="G2020" i="1"/>
  <c r="G2021" i="1"/>
  <c r="H2021" i="1" s="1"/>
  <c r="G2022" i="1"/>
  <c r="G2023" i="1"/>
  <c r="G2024" i="1"/>
  <c r="G2025" i="1"/>
  <c r="G2026" i="1"/>
  <c r="G2027" i="1"/>
  <c r="G2028" i="1"/>
  <c r="G2029" i="1"/>
  <c r="H2029" i="1" s="1"/>
  <c r="G2030" i="1"/>
  <c r="G2031" i="1"/>
  <c r="G2032" i="1"/>
  <c r="G2033" i="1"/>
  <c r="G2034" i="1"/>
  <c r="G2035" i="1"/>
  <c r="G2036" i="1"/>
  <c r="G2037" i="1"/>
  <c r="H2037" i="1" s="1"/>
  <c r="G2038" i="1"/>
  <c r="G2039" i="1"/>
  <c r="G2040" i="1"/>
  <c r="G2041" i="1"/>
  <c r="G2042" i="1"/>
  <c r="G2043" i="1"/>
  <c r="G2044" i="1"/>
  <c r="G2045" i="1"/>
  <c r="H2045" i="1" s="1"/>
  <c r="G2046" i="1"/>
  <c r="G2047" i="1"/>
  <c r="G2048" i="1"/>
  <c r="G2049" i="1"/>
  <c r="G2050" i="1"/>
  <c r="G2051" i="1"/>
  <c r="G2052" i="1"/>
  <c r="G2053" i="1"/>
  <c r="H2053" i="1" s="1"/>
  <c r="G2054" i="1"/>
  <c r="G2055" i="1"/>
  <c r="G2056" i="1"/>
  <c r="G2057" i="1"/>
  <c r="G2058" i="1"/>
  <c r="G2059" i="1"/>
  <c r="G2060" i="1"/>
  <c r="G2061" i="1"/>
  <c r="H2061" i="1" s="1"/>
  <c r="G2062" i="1"/>
  <c r="G2063" i="1"/>
  <c r="G2064" i="1"/>
  <c r="G2065" i="1"/>
  <c r="G2066" i="1"/>
  <c r="G2067" i="1"/>
  <c r="G2068" i="1"/>
  <c r="G2069" i="1"/>
  <c r="H2069" i="1" s="1"/>
  <c r="G2070" i="1"/>
  <c r="G2071" i="1"/>
  <c r="G2072" i="1"/>
  <c r="G2073" i="1"/>
  <c r="G2074" i="1"/>
  <c r="G2075" i="1"/>
  <c r="G2076" i="1"/>
  <c r="G2077" i="1"/>
  <c r="H2077" i="1" s="1"/>
  <c r="G2078" i="1"/>
  <c r="G2079" i="1"/>
  <c r="G2080" i="1"/>
  <c r="G2081" i="1"/>
  <c r="G2082" i="1"/>
  <c r="G2083" i="1"/>
  <c r="G2084" i="1"/>
  <c r="G2085" i="1"/>
  <c r="H2085" i="1" s="1"/>
  <c r="G2086" i="1"/>
  <c r="G2087" i="1"/>
  <c r="G2088" i="1"/>
  <c r="G2089" i="1"/>
  <c r="G2090" i="1"/>
  <c r="G2091" i="1"/>
  <c r="G2092" i="1"/>
  <c r="G2093" i="1"/>
  <c r="H2093" i="1" s="1"/>
  <c r="G2094" i="1"/>
  <c r="G2095" i="1"/>
  <c r="G2096" i="1"/>
  <c r="G2097" i="1"/>
  <c r="G2098" i="1"/>
  <c r="G2099" i="1"/>
  <c r="G2100" i="1"/>
  <c r="G2101" i="1"/>
  <c r="H2101" i="1" s="1"/>
  <c r="G2102" i="1"/>
  <c r="G2103" i="1"/>
  <c r="G2104" i="1"/>
  <c r="G2105" i="1"/>
  <c r="G2106" i="1"/>
  <c r="G2107" i="1"/>
  <c r="G2108" i="1"/>
  <c r="G2109" i="1"/>
  <c r="H2109" i="1" s="1"/>
  <c r="G2110" i="1"/>
  <c r="G2111" i="1"/>
  <c r="G2112" i="1"/>
  <c r="G2113" i="1"/>
  <c r="G2114" i="1"/>
  <c r="G2115" i="1"/>
  <c r="G2116" i="1"/>
  <c r="G2117" i="1"/>
  <c r="H2117" i="1" s="1"/>
  <c r="G2118" i="1"/>
  <c r="G2119" i="1"/>
  <c r="G2120" i="1"/>
  <c r="G2121" i="1"/>
  <c r="G2122" i="1"/>
  <c r="G2123" i="1"/>
  <c r="G2124" i="1"/>
  <c r="G2125" i="1"/>
  <c r="H2125" i="1" s="1"/>
  <c r="G2126" i="1"/>
  <c r="G2127" i="1"/>
  <c r="G2128" i="1"/>
  <c r="G2129" i="1"/>
  <c r="G2130" i="1"/>
  <c r="G2131" i="1"/>
  <c r="G2132" i="1"/>
  <c r="G2133" i="1"/>
  <c r="H2133" i="1" s="1"/>
  <c r="G2134" i="1"/>
  <c r="G2135" i="1"/>
  <c r="G2136" i="1"/>
  <c r="G2137" i="1"/>
  <c r="G2138" i="1"/>
  <c r="G2139" i="1"/>
  <c r="G2140" i="1"/>
  <c r="G2141" i="1"/>
  <c r="H2141" i="1" s="1"/>
  <c r="G2142" i="1"/>
  <c r="G2143" i="1"/>
  <c r="G2144" i="1"/>
  <c r="G2145" i="1"/>
  <c r="G2146" i="1"/>
  <c r="G2147" i="1"/>
  <c r="G2148" i="1"/>
  <c r="G2149" i="1"/>
  <c r="H2149" i="1" s="1"/>
  <c r="G2150" i="1"/>
  <c r="G2151" i="1"/>
  <c r="G2152" i="1"/>
  <c r="G2153" i="1"/>
  <c r="G2154" i="1"/>
  <c r="G2155" i="1"/>
  <c r="G2156" i="1"/>
  <c r="G2157" i="1"/>
  <c r="H2157" i="1" s="1"/>
  <c r="G2158" i="1"/>
  <c r="G2159" i="1"/>
  <c r="G2160" i="1"/>
  <c r="G2161" i="1"/>
  <c r="G2162" i="1"/>
  <c r="G2163" i="1"/>
  <c r="G2164" i="1"/>
  <c r="G2165" i="1"/>
  <c r="H2165" i="1" s="1"/>
  <c r="G2166" i="1"/>
  <c r="G2167" i="1"/>
  <c r="G2168" i="1"/>
  <c r="G2169" i="1"/>
  <c r="G2170" i="1"/>
  <c r="G2171" i="1"/>
  <c r="G2172" i="1"/>
  <c r="G2173" i="1"/>
  <c r="H2173" i="1" s="1"/>
  <c r="G2174" i="1"/>
  <c r="G2175" i="1"/>
  <c r="G2176" i="1"/>
  <c r="G2177" i="1"/>
  <c r="G2178" i="1"/>
  <c r="G2179" i="1"/>
  <c r="G2180" i="1"/>
  <c r="G2181" i="1"/>
  <c r="H2181" i="1" s="1"/>
  <c r="G2182" i="1"/>
  <c r="G2183" i="1"/>
  <c r="G2184" i="1"/>
  <c r="G2185" i="1"/>
  <c r="G2186" i="1"/>
  <c r="G2187" i="1"/>
  <c r="G2188" i="1"/>
  <c r="G2189" i="1"/>
  <c r="H2189" i="1" s="1"/>
  <c r="G2190" i="1"/>
  <c r="G2191" i="1"/>
  <c r="G2192" i="1"/>
  <c r="G2193" i="1"/>
  <c r="G2194" i="1"/>
  <c r="G2195" i="1"/>
  <c r="G2196" i="1"/>
  <c r="G2197" i="1"/>
  <c r="H2197" i="1" s="1"/>
  <c r="G2198" i="1"/>
  <c r="G2199" i="1"/>
  <c r="G2200" i="1"/>
  <c r="G2201" i="1"/>
  <c r="G2202" i="1"/>
  <c r="G2203" i="1"/>
  <c r="G2204" i="1"/>
  <c r="G2205" i="1"/>
  <c r="H2205" i="1" s="1"/>
  <c r="G2206" i="1"/>
  <c r="G2207" i="1"/>
  <c r="G2208" i="1"/>
  <c r="G2209" i="1"/>
  <c r="G2210" i="1"/>
  <c r="G2211" i="1"/>
  <c r="G2212" i="1"/>
  <c r="G2213" i="1"/>
  <c r="H2213" i="1" s="1"/>
  <c r="G2214" i="1"/>
  <c r="G2215" i="1"/>
  <c r="G2216" i="1"/>
  <c r="G2217" i="1"/>
  <c r="G2218" i="1"/>
  <c r="G2219" i="1"/>
  <c r="G2220" i="1"/>
  <c r="G2221" i="1"/>
  <c r="H2221" i="1" s="1"/>
  <c r="G2222" i="1"/>
  <c r="G2223" i="1"/>
  <c r="G2224" i="1"/>
  <c r="G2225" i="1"/>
  <c r="G2226" i="1"/>
  <c r="G2227" i="1"/>
  <c r="G2228" i="1"/>
  <c r="G2229" i="1"/>
  <c r="H2229" i="1" s="1"/>
  <c r="G2230" i="1"/>
  <c r="G2231" i="1"/>
  <c r="G2232" i="1"/>
  <c r="G2233" i="1"/>
  <c r="G2234" i="1"/>
  <c r="G2235" i="1"/>
  <c r="G2236" i="1"/>
  <c r="G2237" i="1"/>
  <c r="H2237" i="1" s="1"/>
  <c r="G2238" i="1"/>
  <c r="G2239" i="1"/>
  <c r="G2240" i="1"/>
  <c r="G2241" i="1"/>
  <c r="G2242" i="1"/>
  <c r="G2243" i="1"/>
  <c r="G2244" i="1"/>
  <c r="G2245" i="1"/>
  <c r="H2245" i="1" s="1"/>
  <c r="G2246" i="1"/>
  <c r="G2247" i="1"/>
  <c r="G2248" i="1"/>
  <c r="G2249" i="1"/>
  <c r="G2250" i="1"/>
  <c r="G2251" i="1"/>
  <c r="G2252" i="1"/>
  <c r="G2253" i="1"/>
  <c r="H2253" i="1" s="1"/>
  <c r="G2254" i="1"/>
  <c r="G2255" i="1"/>
  <c r="G2256" i="1"/>
  <c r="G2257" i="1"/>
  <c r="G2258" i="1"/>
  <c r="G2259" i="1"/>
  <c r="G2260" i="1"/>
  <c r="G2261" i="1"/>
  <c r="H2261" i="1" s="1"/>
  <c r="G2262" i="1"/>
  <c r="G2263" i="1"/>
  <c r="G2264" i="1"/>
  <c r="G2265" i="1"/>
  <c r="G2266" i="1"/>
  <c r="G2267" i="1"/>
  <c r="G2268" i="1"/>
  <c r="G2269" i="1"/>
  <c r="H2269" i="1" s="1"/>
  <c r="G2270" i="1"/>
  <c r="G2271" i="1"/>
  <c r="G2272" i="1"/>
  <c r="G2273" i="1"/>
  <c r="G2274" i="1"/>
  <c r="G2275" i="1"/>
  <c r="G2276" i="1"/>
  <c r="G2277" i="1"/>
  <c r="H2277" i="1" s="1"/>
  <c r="G2278" i="1"/>
  <c r="G2279" i="1"/>
  <c r="G2280" i="1"/>
  <c r="G2281" i="1"/>
  <c r="G2282" i="1"/>
  <c r="G2283" i="1"/>
  <c r="G2284" i="1"/>
  <c r="G2285" i="1"/>
  <c r="H2285" i="1" s="1"/>
  <c r="G2286" i="1"/>
  <c r="G2287" i="1"/>
  <c r="G2288" i="1"/>
  <c r="G2289" i="1"/>
  <c r="G2290" i="1"/>
  <c r="G2291" i="1"/>
  <c r="G2292" i="1"/>
  <c r="G2293" i="1"/>
  <c r="H2293" i="1" s="1"/>
  <c r="G2294" i="1"/>
  <c r="G2295" i="1"/>
  <c r="G2296" i="1"/>
  <c r="G2297" i="1"/>
  <c r="G2298" i="1"/>
  <c r="G2299" i="1"/>
  <c r="G2300" i="1"/>
  <c r="G2301" i="1"/>
  <c r="H2301" i="1" s="1"/>
  <c r="G2302" i="1"/>
  <c r="G2303" i="1"/>
  <c r="G2304" i="1"/>
  <c r="G2305" i="1"/>
  <c r="G2306" i="1"/>
  <c r="G2307" i="1"/>
  <c r="G2308" i="1"/>
  <c r="G2309" i="1"/>
  <c r="H2309" i="1" s="1"/>
  <c r="G2310" i="1"/>
  <c r="G2311" i="1"/>
  <c r="G2312" i="1"/>
  <c r="G2313" i="1"/>
  <c r="G2314" i="1"/>
  <c r="G2315" i="1"/>
  <c r="G2316" i="1"/>
  <c r="G2317" i="1"/>
  <c r="H2317" i="1" s="1"/>
  <c r="G2318" i="1"/>
  <c r="G2319" i="1"/>
  <c r="G2320" i="1"/>
  <c r="G2321" i="1"/>
  <c r="G2322" i="1"/>
  <c r="G2323" i="1"/>
  <c r="G2324" i="1"/>
  <c r="G2325" i="1"/>
  <c r="H2325" i="1" s="1"/>
  <c r="G2326" i="1"/>
  <c r="G2327" i="1"/>
  <c r="G2328" i="1"/>
  <c r="G2329" i="1"/>
  <c r="G2330" i="1"/>
  <c r="G2331" i="1"/>
  <c r="G2332" i="1"/>
  <c r="G2333" i="1"/>
  <c r="H2333" i="1" s="1"/>
  <c r="G2334" i="1"/>
  <c r="G2335" i="1"/>
  <c r="G2336" i="1"/>
  <c r="G2337" i="1"/>
  <c r="G2338" i="1"/>
  <c r="G2339" i="1"/>
  <c r="G2340" i="1"/>
  <c r="G2341" i="1"/>
  <c r="H2341" i="1" s="1"/>
  <c r="G2342" i="1"/>
  <c r="G2343" i="1"/>
  <c r="G2344" i="1"/>
  <c r="G2345" i="1"/>
  <c r="G2346" i="1"/>
  <c r="G2347" i="1"/>
  <c r="G2348" i="1"/>
  <c r="G2349" i="1"/>
  <c r="H2349" i="1" s="1"/>
  <c r="G2350" i="1"/>
  <c r="G2351" i="1"/>
  <c r="G2352" i="1"/>
  <c r="G2353" i="1"/>
  <c r="G2354" i="1"/>
  <c r="G2355" i="1"/>
  <c r="G2356" i="1"/>
  <c r="G2357" i="1"/>
  <c r="H2357" i="1" s="1"/>
  <c r="G2358" i="1"/>
  <c r="G2359" i="1"/>
  <c r="G2360" i="1"/>
  <c r="G2361" i="1"/>
  <c r="G2362" i="1"/>
  <c r="G2363" i="1"/>
  <c r="G2364" i="1"/>
  <c r="G2365" i="1"/>
  <c r="H2365" i="1" s="1"/>
  <c r="G2366" i="1"/>
  <c r="G2367" i="1"/>
  <c r="G2368" i="1"/>
  <c r="G2369" i="1"/>
  <c r="G2370" i="1"/>
  <c r="G2371" i="1"/>
  <c r="G2372" i="1"/>
  <c r="G2373" i="1"/>
  <c r="H2373" i="1" s="1"/>
  <c r="G2374" i="1"/>
  <c r="G2375" i="1"/>
  <c r="G2376" i="1"/>
  <c r="G2377" i="1"/>
  <c r="G2378" i="1"/>
  <c r="G2379" i="1"/>
  <c r="G2380" i="1"/>
  <c r="G2381" i="1"/>
  <c r="H2381" i="1" s="1"/>
  <c r="G2382" i="1"/>
  <c r="G2383" i="1"/>
  <c r="G2384" i="1"/>
  <c r="G2385" i="1"/>
  <c r="G2386" i="1"/>
  <c r="G2387" i="1"/>
  <c r="G2388" i="1"/>
  <c r="G2389" i="1"/>
  <c r="H2389" i="1" s="1"/>
  <c r="G2390" i="1"/>
  <c r="G2391" i="1"/>
  <c r="G2392" i="1"/>
  <c r="G2393" i="1"/>
  <c r="G2394" i="1"/>
  <c r="G2395" i="1"/>
  <c r="G2396" i="1"/>
  <c r="G2397" i="1"/>
  <c r="H2397" i="1" s="1"/>
  <c r="G2398" i="1"/>
  <c r="G2399" i="1"/>
  <c r="G2400" i="1"/>
  <c r="G2401" i="1"/>
  <c r="G2402" i="1"/>
  <c r="G2403" i="1"/>
  <c r="G2404" i="1"/>
  <c r="G2405" i="1"/>
  <c r="H2405" i="1" s="1"/>
  <c r="G2406" i="1"/>
  <c r="G2407" i="1"/>
  <c r="G2408" i="1"/>
  <c r="G2409" i="1"/>
  <c r="G2410" i="1"/>
  <c r="G2411" i="1"/>
  <c r="G2412" i="1"/>
  <c r="G2413" i="1"/>
  <c r="H2413" i="1" s="1"/>
  <c r="G2414" i="1"/>
  <c r="G2415" i="1"/>
  <c r="G2416" i="1"/>
  <c r="G2417" i="1"/>
  <c r="G2418" i="1"/>
  <c r="G2419" i="1"/>
  <c r="G2420" i="1"/>
  <c r="G2421" i="1"/>
  <c r="H2421" i="1" s="1"/>
  <c r="G2422" i="1"/>
  <c r="G2423" i="1"/>
  <c r="G2424" i="1"/>
  <c r="G2425" i="1"/>
  <c r="G2426" i="1"/>
  <c r="G2427" i="1"/>
  <c r="G2428" i="1"/>
  <c r="G2429" i="1"/>
  <c r="H2429" i="1" s="1"/>
  <c r="G2430" i="1"/>
  <c r="G2431" i="1"/>
  <c r="G2432" i="1"/>
  <c r="G2433" i="1"/>
  <c r="G2434" i="1"/>
  <c r="G2435" i="1"/>
  <c r="G2436" i="1"/>
  <c r="G2437" i="1"/>
  <c r="H2437" i="1" s="1"/>
  <c r="G2438" i="1"/>
  <c r="G2439" i="1"/>
  <c r="G2440" i="1"/>
  <c r="G2441" i="1"/>
  <c r="G2442" i="1"/>
  <c r="G2443" i="1"/>
  <c r="G2444" i="1"/>
  <c r="G2445" i="1"/>
  <c r="H2445" i="1" s="1"/>
  <c r="G2446" i="1"/>
  <c r="G2447" i="1"/>
  <c r="G2448" i="1"/>
  <c r="G2449" i="1"/>
  <c r="G2450" i="1"/>
  <c r="G2451" i="1"/>
  <c r="G2452" i="1"/>
  <c r="G2453" i="1"/>
  <c r="H2453" i="1" s="1"/>
  <c r="G2454" i="1"/>
  <c r="G2455" i="1"/>
  <c r="G2456" i="1"/>
  <c r="G2457" i="1"/>
  <c r="G2458" i="1"/>
  <c r="G2459" i="1"/>
  <c r="G2460" i="1"/>
  <c r="G2461" i="1"/>
  <c r="H2461" i="1" s="1"/>
  <c r="G2462" i="1"/>
  <c r="G2463" i="1"/>
  <c r="G2464" i="1"/>
  <c r="G2465" i="1"/>
  <c r="G2466" i="1"/>
  <c r="G2467" i="1"/>
  <c r="G2468" i="1"/>
  <c r="G2469" i="1"/>
  <c r="H2469" i="1" s="1"/>
  <c r="G2470" i="1"/>
  <c r="G2471" i="1"/>
  <c r="G2472" i="1"/>
  <c r="G2473" i="1"/>
  <c r="G2474" i="1"/>
  <c r="G2475" i="1"/>
  <c r="G2476" i="1"/>
  <c r="G2477" i="1"/>
  <c r="H2477" i="1" s="1"/>
  <c r="G2478" i="1"/>
  <c r="G2479" i="1"/>
  <c r="G2480" i="1"/>
  <c r="G2481" i="1"/>
  <c r="G2482" i="1"/>
  <c r="G2483" i="1"/>
  <c r="G2484" i="1"/>
  <c r="G2485" i="1"/>
  <c r="H2485" i="1" s="1"/>
  <c r="G2486" i="1"/>
  <c r="G2487" i="1"/>
  <c r="G2488" i="1"/>
  <c r="G2489" i="1"/>
  <c r="G2490" i="1"/>
  <c r="G2491" i="1"/>
  <c r="G2492" i="1"/>
  <c r="G2493" i="1"/>
  <c r="H2493" i="1" s="1"/>
  <c r="G2494" i="1"/>
  <c r="G2495" i="1"/>
  <c r="G2496" i="1"/>
  <c r="G2497" i="1"/>
  <c r="G2498" i="1"/>
  <c r="G2499" i="1"/>
  <c r="G2500" i="1"/>
  <c r="G2501" i="1"/>
  <c r="H2501" i="1" s="1"/>
  <c r="G2502" i="1"/>
  <c r="G2503" i="1"/>
  <c r="G2504" i="1"/>
  <c r="G2505" i="1"/>
  <c r="G2506" i="1"/>
  <c r="G2507" i="1"/>
  <c r="G2508" i="1"/>
  <c r="G2509" i="1"/>
  <c r="H2509" i="1" s="1"/>
  <c r="G2510" i="1"/>
  <c r="G2511" i="1"/>
  <c r="G2512" i="1"/>
  <c r="G2513" i="1"/>
  <c r="G2514" i="1"/>
  <c r="G2515" i="1"/>
  <c r="G2516" i="1"/>
  <c r="G2517" i="1"/>
  <c r="H2517" i="1" s="1"/>
  <c r="G2518" i="1"/>
  <c r="G2519" i="1"/>
  <c r="G2520" i="1"/>
  <c r="G2521" i="1"/>
  <c r="G2522" i="1"/>
  <c r="G2523" i="1"/>
  <c r="G2524" i="1"/>
  <c r="G2525" i="1"/>
  <c r="H2525" i="1" s="1"/>
  <c r="G2526" i="1"/>
  <c r="G2527" i="1"/>
  <c r="G2528" i="1"/>
  <c r="G2529" i="1"/>
  <c r="G2530" i="1"/>
  <c r="G2531" i="1"/>
  <c r="G2532" i="1"/>
  <c r="G2533" i="1"/>
  <c r="H2533" i="1" s="1"/>
  <c r="G2534" i="1"/>
  <c r="G2535" i="1"/>
  <c r="G2536" i="1"/>
  <c r="G2537" i="1"/>
  <c r="G2538" i="1"/>
  <c r="G2539" i="1"/>
  <c r="G2540" i="1"/>
  <c r="G2541" i="1"/>
  <c r="H2541" i="1" s="1"/>
  <c r="G2542" i="1"/>
  <c r="G2543" i="1"/>
  <c r="G2544" i="1"/>
  <c r="G2545" i="1"/>
  <c r="G2546" i="1"/>
  <c r="G2547" i="1"/>
  <c r="G2548" i="1"/>
  <c r="G2549" i="1"/>
  <c r="H2549" i="1" s="1"/>
  <c r="G2550" i="1"/>
  <c r="G2551" i="1"/>
  <c r="G2552" i="1"/>
  <c r="G2553" i="1"/>
  <c r="G2554" i="1"/>
  <c r="G2555" i="1"/>
  <c r="G2556" i="1"/>
  <c r="G2557" i="1"/>
  <c r="H2557" i="1" s="1"/>
  <c r="G2558" i="1"/>
  <c r="G2559" i="1"/>
  <c r="G2560" i="1"/>
  <c r="G2561" i="1"/>
  <c r="G2562" i="1"/>
  <c r="G2563" i="1"/>
  <c r="G2564" i="1"/>
  <c r="G2565" i="1"/>
  <c r="H2565" i="1" s="1"/>
  <c r="G2566" i="1"/>
  <c r="G2567" i="1"/>
  <c r="G2568" i="1"/>
  <c r="G2569" i="1"/>
  <c r="G2570" i="1"/>
  <c r="G2571" i="1"/>
  <c r="G2572" i="1"/>
  <c r="G2573" i="1"/>
  <c r="H2573" i="1" s="1"/>
  <c r="G2574" i="1"/>
  <c r="G2575" i="1"/>
  <c r="G2576" i="1"/>
  <c r="G2577" i="1"/>
  <c r="G2578" i="1"/>
  <c r="G2579" i="1"/>
  <c r="G2580" i="1"/>
  <c r="G2581" i="1"/>
  <c r="H2581" i="1" s="1"/>
  <c r="G2582" i="1"/>
  <c r="G2583" i="1"/>
  <c r="G2584" i="1"/>
  <c r="G2585" i="1"/>
  <c r="G2586" i="1"/>
  <c r="G2587" i="1"/>
  <c r="G2588" i="1"/>
  <c r="G2589" i="1"/>
  <c r="H2589" i="1" s="1"/>
  <c r="G2590" i="1"/>
  <c r="G2591" i="1"/>
  <c r="G2592" i="1"/>
  <c r="G2593" i="1"/>
  <c r="G2594" i="1"/>
  <c r="G2595" i="1"/>
  <c r="G2596" i="1"/>
  <c r="G2597" i="1"/>
  <c r="H2597" i="1" s="1"/>
  <c r="G2598" i="1"/>
  <c r="G2599" i="1"/>
  <c r="G2600" i="1"/>
  <c r="G2601" i="1"/>
  <c r="G2602" i="1"/>
  <c r="G2603" i="1"/>
  <c r="G2604" i="1"/>
  <c r="G2605" i="1"/>
  <c r="H2605" i="1" s="1"/>
  <c r="G2606" i="1"/>
  <c r="G2607" i="1"/>
  <c r="G2608" i="1"/>
  <c r="G2609" i="1"/>
  <c r="G2610" i="1"/>
  <c r="G2611" i="1"/>
  <c r="G2612" i="1"/>
  <c r="G2613" i="1"/>
  <c r="H2613" i="1" s="1"/>
  <c r="G2614" i="1"/>
  <c r="G2615" i="1"/>
  <c r="G2616" i="1"/>
  <c r="G2617" i="1"/>
  <c r="G2618" i="1"/>
  <c r="G2619" i="1"/>
  <c r="G2620" i="1"/>
  <c r="G2621" i="1"/>
  <c r="H2621" i="1" s="1"/>
  <c r="G2622" i="1"/>
  <c r="G2623" i="1"/>
  <c r="G2624" i="1"/>
  <c r="G2625" i="1"/>
  <c r="G2626" i="1"/>
  <c r="G2627" i="1"/>
  <c r="G2628" i="1"/>
  <c r="G2629" i="1"/>
  <c r="H2629" i="1" s="1"/>
  <c r="G2630" i="1"/>
  <c r="G2631" i="1"/>
  <c r="G2632" i="1"/>
  <c r="G2633" i="1"/>
  <c r="G2634" i="1"/>
  <c r="G2635" i="1"/>
  <c r="G2636" i="1"/>
  <c r="G2637" i="1"/>
  <c r="H2637" i="1" s="1"/>
  <c r="G2638" i="1"/>
  <c r="G2639" i="1"/>
  <c r="G2640" i="1"/>
  <c r="G2641" i="1"/>
  <c r="G2642" i="1"/>
  <c r="G2643" i="1"/>
  <c r="G2644" i="1"/>
  <c r="G2645" i="1"/>
  <c r="H2645" i="1" s="1"/>
  <c r="G2646" i="1"/>
  <c r="G2647" i="1"/>
  <c r="G2648" i="1"/>
  <c r="G2649" i="1"/>
  <c r="G2650" i="1"/>
  <c r="G2651" i="1"/>
  <c r="G2652" i="1"/>
  <c r="G2653" i="1"/>
  <c r="H2653" i="1" s="1"/>
  <c r="G2654" i="1"/>
  <c r="G2655" i="1"/>
  <c r="G2656" i="1"/>
  <c r="G2657" i="1"/>
  <c r="G2658" i="1"/>
  <c r="G2659" i="1"/>
  <c r="G2660" i="1"/>
  <c r="G2661" i="1"/>
  <c r="H2661" i="1" s="1"/>
  <c r="G2662" i="1"/>
  <c r="G2663" i="1"/>
  <c r="G2664" i="1"/>
  <c r="G2665" i="1"/>
  <c r="G2666" i="1"/>
  <c r="G2667" i="1"/>
  <c r="G2668" i="1"/>
  <c r="G2669" i="1"/>
  <c r="H2669" i="1" s="1"/>
  <c r="G2670" i="1"/>
  <c r="G2671" i="1"/>
  <c r="G2672" i="1"/>
  <c r="G2673" i="1"/>
  <c r="G2674" i="1"/>
  <c r="G2675" i="1"/>
  <c r="G2676" i="1"/>
  <c r="G2677" i="1"/>
  <c r="H2677" i="1" s="1"/>
  <c r="G2678" i="1"/>
  <c r="G2679" i="1"/>
  <c r="G2680" i="1"/>
  <c r="G2681" i="1"/>
  <c r="G2682" i="1"/>
  <c r="G2683" i="1"/>
  <c r="G2684" i="1"/>
  <c r="G2685" i="1"/>
  <c r="H2685" i="1" s="1"/>
  <c r="G2686" i="1"/>
  <c r="G2687" i="1"/>
  <c r="G2688" i="1"/>
  <c r="G2689" i="1"/>
  <c r="G2690" i="1"/>
  <c r="G2691" i="1"/>
  <c r="G2692" i="1"/>
  <c r="G2693" i="1"/>
  <c r="H2693" i="1" s="1"/>
  <c r="G2694" i="1"/>
  <c r="G2695" i="1"/>
  <c r="G2696" i="1"/>
  <c r="G2697" i="1"/>
  <c r="G2698" i="1"/>
  <c r="G2699" i="1"/>
  <c r="G2700" i="1"/>
  <c r="G2701" i="1"/>
  <c r="H2701" i="1" s="1"/>
  <c r="G2702" i="1"/>
  <c r="G2703" i="1"/>
  <c r="G2704" i="1"/>
  <c r="G2705" i="1"/>
  <c r="G2706" i="1"/>
  <c r="G2707" i="1"/>
  <c r="G2708" i="1"/>
  <c r="G2709" i="1"/>
  <c r="H2709" i="1" s="1"/>
  <c r="G2710" i="1"/>
  <c r="G2711" i="1"/>
  <c r="G2712" i="1"/>
  <c r="G2713" i="1"/>
  <c r="G2714" i="1"/>
  <c r="G2715" i="1"/>
  <c r="G2716" i="1"/>
  <c r="G2717" i="1"/>
  <c r="H2717" i="1" s="1"/>
  <c r="G2718" i="1"/>
  <c r="G2719" i="1"/>
  <c r="G2720" i="1"/>
  <c r="G2721" i="1"/>
  <c r="G2722" i="1"/>
  <c r="G2723" i="1"/>
  <c r="G2724" i="1"/>
  <c r="G2725" i="1"/>
  <c r="H2725" i="1" s="1"/>
  <c r="G2726" i="1"/>
  <c r="G2727" i="1"/>
  <c r="G2728" i="1"/>
  <c r="G2729" i="1"/>
  <c r="G2730" i="1"/>
  <c r="G2731" i="1"/>
  <c r="G2732" i="1"/>
  <c r="G2733" i="1"/>
  <c r="H2733" i="1" s="1"/>
  <c r="G2734" i="1"/>
  <c r="G2735" i="1"/>
  <c r="G2736" i="1"/>
  <c r="G2737" i="1"/>
  <c r="G2738" i="1"/>
  <c r="G2739" i="1"/>
  <c r="G2740" i="1"/>
  <c r="G2741" i="1"/>
  <c r="H2741" i="1" s="1"/>
  <c r="G2742" i="1"/>
  <c r="G2743" i="1"/>
  <c r="G2744" i="1"/>
  <c r="G2745" i="1"/>
  <c r="G2746" i="1"/>
  <c r="G2747" i="1"/>
  <c r="G2748" i="1"/>
  <c r="G2749" i="1"/>
  <c r="H2749" i="1" s="1"/>
  <c r="G2750" i="1"/>
  <c r="G2751" i="1"/>
  <c r="G2752" i="1"/>
  <c r="G2753" i="1"/>
  <c r="G2754" i="1"/>
  <c r="G2755" i="1"/>
  <c r="G2756" i="1"/>
  <c r="G2757" i="1"/>
  <c r="H2757" i="1" s="1"/>
  <c r="G2758" i="1"/>
  <c r="G2759" i="1"/>
  <c r="G2760" i="1"/>
  <c r="G2761" i="1"/>
  <c r="G2762" i="1"/>
  <c r="G2763" i="1"/>
  <c r="G2764" i="1"/>
  <c r="G2765" i="1"/>
  <c r="H2765" i="1" s="1"/>
  <c r="G2766" i="1"/>
  <c r="G2767" i="1"/>
  <c r="G2768" i="1"/>
  <c r="G2769" i="1"/>
  <c r="G2770" i="1"/>
  <c r="G2771" i="1"/>
  <c r="G2772" i="1"/>
  <c r="G2773" i="1"/>
  <c r="H2773" i="1" s="1"/>
  <c r="G2774" i="1"/>
  <c r="G2775" i="1"/>
  <c r="G2776" i="1"/>
  <c r="G2777" i="1"/>
  <c r="G2778" i="1"/>
  <c r="G2779" i="1"/>
  <c r="G2780" i="1"/>
  <c r="G2781" i="1"/>
  <c r="H2781" i="1" s="1"/>
  <c r="G2782" i="1"/>
  <c r="G2783" i="1"/>
  <c r="G2784" i="1"/>
  <c r="G2785" i="1"/>
  <c r="G2786" i="1"/>
  <c r="G2787" i="1"/>
  <c r="G2788" i="1"/>
  <c r="G2789" i="1"/>
  <c r="H2789" i="1" s="1"/>
  <c r="G2790" i="1"/>
  <c r="G2791" i="1"/>
  <c r="G2792" i="1"/>
  <c r="G2793" i="1"/>
  <c r="G2794" i="1"/>
  <c r="G2795" i="1"/>
  <c r="G2796" i="1"/>
  <c r="G2797" i="1"/>
  <c r="H2797" i="1" s="1"/>
  <c r="G2798" i="1"/>
  <c r="G2799" i="1"/>
  <c r="G2800" i="1"/>
  <c r="G2801" i="1"/>
  <c r="G2802" i="1"/>
  <c r="G2803" i="1"/>
  <c r="G2804" i="1"/>
  <c r="G2805" i="1"/>
  <c r="H2805" i="1" s="1"/>
  <c r="G2806" i="1"/>
  <c r="G2807" i="1"/>
  <c r="G2808" i="1"/>
  <c r="G2809" i="1"/>
  <c r="G2810" i="1"/>
  <c r="G2811" i="1"/>
  <c r="G2812" i="1"/>
  <c r="G2813" i="1"/>
  <c r="H2813" i="1" s="1"/>
  <c r="G2814" i="1"/>
  <c r="G2815" i="1"/>
  <c r="G2816" i="1"/>
  <c r="G2817" i="1"/>
  <c r="G2818" i="1"/>
  <c r="G2819" i="1"/>
  <c r="G2820" i="1"/>
  <c r="G2821" i="1"/>
  <c r="H2821" i="1" s="1"/>
  <c r="G2822" i="1"/>
  <c r="G2823" i="1"/>
  <c r="G2824" i="1"/>
  <c r="G2825" i="1"/>
  <c r="G2826" i="1"/>
  <c r="G2827" i="1"/>
  <c r="G2828" i="1"/>
  <c r="G2829" i="1"/>
  <c r="H2829" i="1" s="1"/>
  <c r="G2830" i="1"/>
  <c r="G2831" i="1"/>
  <c r="G2832" i="1"/>
  <c r="G2833" i="1"/>
  <c r="G2834" i="1"/>
  <c r="G2835" i="1"/>
  <c r="G2836" i="1"/>
  <c r="G2837" i="1"/>
  <c r="H2837" i="1" s="1"/>
  <c r="G2838" i="1"/>
  <c r="G2839" i="1"/>
  <c r="G2840" i="1"/>
  <c r="G2841" i="1"/>
  <c r="G2842" i="1"/>
  <c r="G2843" i="1"/>
  <c r="G2844" i="1"/>
  <c r="G2845" i="1"/>
  <c r="H2845" i="1" s="1"/>
  <c r="G2846" i="1"/>
  <c r="G2847" i="1"/>
  <c r="G2848" i="1"/>
  <c r="G2849" i="1"/>
  <c r="G2850" i="1"/>
  <c r="G2851" i="1"/>
  <c r="G2852" i="1"/>
  <c r="G2853" i="1"/>
  <c r="H2853" i="1" s="1"/>
  <c r="G2854" i="1"/>
  <c r="G2855" i="1"/>
  <c r="G2856" i="1"/>
  <c r="G2857" i="1"/>
  <c r="G2858" i="1"/>
  <c r="G2859" i="1"/>
  <c r="G2860" i="1"/>
  <c r="G2861" i="1"/>
  <c r="H2861" i="1" s="1"/>
  <c r="G2862" i="1"/>
  <c r="G2863" i="1"/>
  <c r="G2864" i="1"/>
  <c r="G2865" i="1"/>
  <c r="G2866" i="1"/>
  <c r="G2867" i="1"/>
  <c r="G2868" i="1"/>
  <c r="G2869" i="1"/>
  <c r="H2869" i="1" s="1"/>
  <c r="G2870" i="1"/>
  <c r="G2871" i="1"/>
  <c r="G2872" i="1"/>
  <c r="G2873" i="1"/>
  <c r="G2874" i="1"/>
  <c r="G2875" i="1"/>
  <c r="G2876" i="1"/>
  <c r="G2877" i="1"/>
  <c r="H2877" i="1" s="1"/>
  <c r="G2878" i="1"/>
  <c r="G2879" i="1"/>
  <c r="G2880" i="1"/>
  <c r="G2881" i="1"/>
  <c r="G2882" i="1"/>
  <c r="G2883" i="1"/>
  <c r="G2884" i="1"/>
  <c r="G2885" i="1"/>
  <c r="H2885" i="1" s="1"/>
  <c r="G2886" i="1"/>
  <c r="G2887" i="1"/>
  <c r="G2888" i="1"/>
  <c r="G2889" i="1"/>
  <c r="G2890" i="1"/>
  <c r="G2891" i="1"/>
  <c r="G2892" i="1"/>
  <c r="G2893" i="1"/>
  <c r="H2893" i="1" s="1"/>
  <c r="G2894" i="1"/>
  <c r="G2895" i="1"/>
  <c r="G2896" i="1"/>
  <c r="G2897" i="1"/>
  <c r="G2898" i="1"/>
  <c r="G2899" i="1"/>
  <c r="G2900" i="1"/>
  <c r="G2901" i="1"/>
  <c r="H2901" i="1" s="1"/>
  <c r="G2902" i="1"/>
  <c r="G2903" i="1"/>
  <c r="G2904" i="1"/>
  <c r="G2905" i="1"/>
  <c r="G2906" i="1"/>
  <c r="G2907" i="1"/>
  <c r="G2908" i="1"/>
  <c r="G2909" i="1"/>
  <c r="H2909" i="1" s="1"/>
  <c r="G2910" i="1"/>
  <c r="G2911" i="1"/>
  <c r="G2912" i="1"/>
  <c r="G2913" i="1"/>
  <c r="G2914" i="1"/>
  <c r="G2915" i="1"/>
  <c r="G2916" i="1"/>
  <c r="G2917" i="1"/>
  <c r="H2917" i="1" s="1"/>
  <c r="G2918" i="1"/>
  <c r="G2919" i="1"/>
  <c r="G2920" i="1"/>
  <c r="G2921" i="1"/>
  <c r="G2922" i="1"/>
  <c r="G2923" i="1"/>
  <c r="G2924" i="1"/>
  <c r="G2925" i="1"/>
  <c r="H2925" i="1" s="1"/>
  <c r="G2926" i="1"/>
  <c r="G2927" i="1"/>
  <c r="G2928" i="1"/>
  <c r="G2929" i="1"/>
  <c r="G2930" i="1"/>
  <c r="G2931" i="1"/>
  <c r="G2932" i="1"/>
  <c r="G2933" i="1"/>
  <c r="H2933" i="1" s="1"/>
  <c r="G2934" i="1"/>
  <c r="G2935" i="1"/>
  <c r="G2936" i="1"/>
  <c r="G2937" i="1"/>
  <c r="G2938" i="1"/>
  <c r="G2939" i="1"/>
  <c r="G2940" i="1"/>
  <c r="G2941" i="1"/>
  <c r="H2941" i="1" s="1"/>
  <c r="G2942" i="1"/>
  <c r="G2943" i="1"/>
  <c r="G2944" i="1"/>
  <c r="G2945" i="1"/>
  <c r="G2946" i="1"/>
  <c r="G2947" i="1"/>
  <c r="G2948" i="1"/>
  <c r="G2949" i="1"/>
  <c r="H2949" i="1" s="1"/>
  <c r="G2950" i="1"/>
  <c r="G2951" i="1"/>
  <c r="G2952" i="1"/>
  <c r="G2953" i="1"/>
  <c r="G2954" i="1"/>
  <c r="G2955" i="1"/>
  <c r="G2956" i="1"/>
  <c r="G2957" i="1"/>
  <c r="H2957" i="1" s="1"/>
  <c r="G2958" i="1"/>
  <c r="G2959" i="1"/>
  <c r="G2960" i="1"/>
  <c r="G2961" i="1"/>
  <c r="G2962" i="1"/>
  <c r="G2963" i="1"/>
  <c r="G2964" i="1"/>
  <c r="G2965" i="1"/>
  <c r="H2965" i="1" s="1"/>
  <c r="G2966" i="1"/>
  <c r="G2967" i="1"/>
  <c r="G2968" i="1"/>
  <c r="G2969" i="1"/>
  <c r="G2970" i="1"/>
  <c r="G2971" i="1"/>
  <c r="G2972" i="1"/>
  <c r="G2973" i="1"/>
  <c r="H2973" i="1" s="1"/>
  <c r="G2974" i="1"/>
  <c r="G2975" i="1"/>
  <c r="G2976" i="1"/>
  <c r="G2977" i="1"/>
  <c r="G2978" i="1"/>
  <c r="G2979" i="1"/>
  <c r="G2980" i="1"/>
  <c r="G2981" i="1"/>
  <c r="H2981" i="1" s="1"/>
  <c r="G2982" i="1"/>
  <c r="G2983" i="1"/>
  <c r="G2984" i="1"/>
  <c r="G2985" i="1"/>
  <c r="G2986" i="1"/>
  <c r="G2987" i="1"/>
  <c r="G2988" i="1"/>
  <c r="G2989" i="1"/>
  <c r="H2989" i="1" s="1"/>
  <c r="G2990" i="1"/>
  <c r="G2991" i="1"/>
  <c r="G2992" i="1"/>
  <c r="G2993" i="1"/>
  <c r="G2994" i="1"/>
  <c r="G2995" i="1"/>
  <c r="G2996" i="1"/>
  <c r="G2997" i="1"/>
  <c r="H2997" i="1" s="1"/>
  <c r="G2998" i="1"/>
  <c r="G2999" i="1"/>
  <c r="G3000" i="1"/>
  <c r="G3001" i="1"/>
  <c r="G3002" i="1"/>
  <c r="G3003" i="1"/>
  <c r="G3004" i="1"/>
  <c r="G3005" i="1"/>
  <c r="H3005" i="1" s="1"/>
  <c r="G3006" i="1"/>
  <c r="G3007" i="1"/>
  <c r="G3008" i="1"/>
  <c r="G3009" i="1"/>
  <c r="G3010" i="1"/>
  <c r="G3011" i="1"/>
  <c r="G3012" i="1"/>
  <c r="G3013" i="1"/>
  <c r="H3013" i="1" s="1"/>
  <c r="G3014" i="1"/>
  <c r="G3015" i="1"/>
  <c r="G3016" i="1"/>
  <c r="G3017" i="1"/>
  <c r="G3018" i="1"/>
  <c r="G3019" i="1"/>
  <c r="G3020" i="1"/>
  <c r="G3021" i="1"/>
  <c r="H3021" i="1" s="1"/>
  <c r="G3022" i="1"/>
  <c r="G3023" i="1"/>
  <c r="G3024" i="1"/>
  <c r="G3025" i="1"/>
  <c r="G3026" i="1"/>
  <c r="G3027" i="1"/>
  <c r="G3028" i="1"/>
  <c r="G3029" i="1"/>
  <c r="H3029" i="1" s="1"/>
  <c r="G3030" i="1"/>
  <c r="G3031" i="1"/>
  <c r="G3032" i="1"/>
  <c r="G3033" i="1"/>
  <c r="G3034" i="1"/>
  <c r="G3035" i="1"/>
  <c r="G3036" i="1"/>
  <c r="G3037" i="1"/>
  <c r="H3037" i="1" s="1"/>
  <c r="G3038" i="1"/>
  <c r="G3039" i="1"/>
  <c r="G3040" i="1"/>
  <c r="G3041" i="1"/>
  <c r="G3042" i="1"/>
  <c r="G3043" i="1"/>
  <c r="G3044" i="1"/>
  <c r="G3045" i="1"/>
  <c r="H3045" i="1" s="1"/>
  <c r="G3046" i="1"/>
  <c r="G3047" i="1"/>
  <c r="G3048" i="1"/>
  <c r="G3049" i="1"/>
  <c r="G3050" i="1"/>
  <c r="G3051" i="1"/>
  <c r="G3052" i="1"/>
  <c r="G3053" i="1"/>
  <c r="H3053" i="1" s="1"/>
  <c r="G3054" i="1"/>
  <c r="G3055" i="1"/>
  <c r="G3056" i="1"/>
  <c r="G3057" i="1"/>
  <c r="G3058" i="1"/>
  <c r="G3059" i="1"/>
  <c r="G3060" i="1"/>
  <c r="G3061" i="1"/>
  <c r="H3061" i="1" s="1"/>
  <c r="G3062" i="1"/>
  <c r="G3063" i="1"/>
  <c r="G3064" i="1"/>
  <c r="G3065" i="1"/>
  <c r="G3066" i="1"/>
  <c r="G3067" i="1"/>
  <c r="G3068" i="1"/>
  <c r="G3069" i="1"/>
  <c r="H3069" i="1" s="1"/>
  <c r="G3070" i="1"/>
  <c r="G3071" i="1"/>
  <c r="G3072" i="1"/>
  <c r="G3073" i="1"/>
  <c r="G3074" i="1"/>
  <c r="G3075" i="1"/>
  <c r="G3076" i="1"/>
  <c r="G3077" i="1"/>
  <c r="H3077" i="1" s="1"/>
  <c r="G3078" i="1"/>
  <c r="G3079" i="1"/>
  <c r="G3080" i="1"/>
  <c r="G3081" i="1"/>
  <c r="G3082" i="1"/>
  <c r="G3083" i="1"/>
  <c r="G3084" i="1"/>
  <c r="G3085" i="1"/>
  <c r="H3085" i="1" s="1"/>
  <c r="G3086" i="1"/>
  <c r="G3087" i="1"/>
  <c r="G3088" i="1"/>
  <c r="G3089" i="1"/>
  <c r="G3090" i="1"/>
  <c r="G3091" i="1"/>
  <c r="G3092" i="1"/>
  <c r="G3093" i="1"/>
  <c r="H3093" i="1" s="1"/>
  <c r="G3094" i="1"/>
  <c r="G3095" i="1"/>
  <c r="G3096" i="1"/>
  <c r="G3097" i="1"/>
  <c r="G3098" i="1"/>
  <c r="G3099" i="1"/>
  <c r="G3100" i="1"/>
  <c r="G3101" i="1"/>
  <c r="H3101" i="1" s="1"/>
  <c r="G3102" i="1"/>
  <c r="G3103" i="1"/>
  <c r="G3104" i="1"/>
  <c r="G3105" i="1"/>
  <c r="G3106" i="1"/>
  <c r="G3107" i="1"/>
  <c r="G3108" i="1"/>
  <c r="G3109" i="1"/>
  <c r="H3109" i="1" s="1"/>
  <c r="G3110" i="1"/>
  <c r="G3111" i="1"/>
  <c r="G3112" i="1"/>
  <c r="G3113" i="1"/>
  <c r="G3114" i="1"/>
  <c r="G3115" i="1"/>
  <c r="G3116" i="1"/>
  <c r="G3117" i="1"/>
  <c r="H3117" i="1" s="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2" i="1"/>
  <c r="I3" i="1"/>
  <c r="K390" i="1"/>
  <c r="H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J390" i="1"/>
  <c r="J391" i="1"/>
  <c r="J392" i="1"/>
  <c r="J393" i="1"/>
  <c r="J394" i="1"/>
  <c r="J395" i="1"/>
  <c r="J396" i="1"/>
  <c r="J398" i="1"/>
  <c r="J399" i="1"/>
  <c r="J400" i="1"/>
  <c r="J401" i="1"/>
  <c r="J402" i="1"/>
  <c r="J403" i="1"/>
  <c r="J404" i="1"/>
  <c r="J406" i="1"/>
  <c r="J407" i="1"/>
  <c r="J408" i="1"/>
  <c r="J409" i="1"/>
  <c r="J410" i="1"/>
  <c r="J411" i="1"/>
  <c r="J412" i="1"/>
  <c r="J414" i="1"/>
  <c r="J415" i="1"/>
  <c r="J416" i="1"/>
  <c r="J417" i="1"/>
  <c r="J419" i="1"/>
  <c r="J420" i="1"/>
  <c r="J422" i="1"/>
  <c r="J423" i="1"/>
  <c r="J424" i="1"/>
  <c r="J425" i="1"/>
  <c r="J426" i="1"/>
  <c r="J427" i="1"/>
  <c r="J428" i="1"/>
  <c r="J430" i="1"/>
  <c r="J431" i="1"/>
  <c r="J432" i="1"/>
  <c r="J433" i="1"/>
  <c r="J434" i="1"/>
  <c r="J435" i="1"/>
  <c r="J436" i="1"/>
  <c r="J438" i="1"/>
  <c r="J439" i="1"/>
  <c r="J440" i="1"/>
  <c r="J441" i="1"/>
  <c r="J442" i="1"/>
  <c r="J443" i="1"/>
  <c r="J444" i="1"/>
  <c r="J446" i="1"/>
  <c r="J447" i="1"/>
  <c r="J448" i="1"/>
  <c r="J449" i="1"/>
  <c r="J450" i="1"/>
  <c r="J451" i="1"/>
  <c r="J452" i="1"/>
  <c r="J454" i="1"/>
  <c r="J455" i="1"/>
  <c r="J456" i="1"/>
  <c r="J457" i="1"/>
  <c r="J458" i="1"/>
  <c r="J459" i="1"/>
  <c r="J460" i="1"/>
  <c r="J462" i="1"/>
  <c r="J463" i="1"/>
  <c r="J464" i="1"/>
  <c r="J465" i="1"/>
  <c r="J466" i="1"/>
  <c r="J467" i="1"/>
  <c r="J468" i="1"/>
  <c r="J470" i="1"/>
  <c r="J471" i="1"/>
  <c r="J472" i="1"/>
  <c r="J473" i="1"/>
  <c r="J474" i="1"/>
  <c r="J475" i="1"/>
  <c r="J476" i="1"/>
  <c r="J478" i="1"/>
  <c r="J479" i="1"/>
  <c r="J480" i="1"/>
  <c r="J481" i="1"/>
  <c r="J482" i="1"/>
  <c r="J483" i="1"/>
  <c r="J484" i="1"/>
  <c r="J486" i="1"/>
  <c r="J487" i="1"/>
  <c r="J488" i="1"/>
  <c r="J489" i="1"/>
  <c r="J490" i="1"/>
  <c r="J491" i="1"/>
  <c r="J492" i="1"/>
  <c r="J494" i="1"/>
  <c r="J495" i="1"/>
  <c r="J496" i="1"/>
  <c r="J497" i="1"/>
  <c r="J498" i="1"/>
  <c r="J499" i="1"/>
  <c r="J500" i="1"/>
  <c r="J502" i="1"/>
  <c r="J503" i="1"/>
  <c r="J504" i="1"/>
  <c r="J505" i="1"/>
  <c r="J506" i="1"/>
  <c r="J507" i="1"/>
  <c r="J508" i="1"/>
  <c r="J510" i="1"/>
  <c r="J511" i="1"/>
  <c r="J512" i="1"/>
  <c r="J513" i="1"/>
  <c r="J514" i="1"/>
  <c r="J515" i="1"/>
  <c r="J516" i="1"/>
  <c r="J518" i="1"/>
  <c r="J519" i="1"/>
  <c r="J520" i="1"/>
  <c r="J521" i="1"/>
  <c r="J522" i="1"/>
  <c r="J523" i="1"/>
  <c r="J524" i="1"/>
  <c r="J526" i="1"/>
  <c r="J527" i="1"/>
  <c r="J528" i="1"/>
  <c r="J529" i="1"/>
  <c r="J530" i="1"/>
  <c r="J531" i="1"/>
  <c r="J532" i="1"/>
  <c r="J534" i="1"/>
  <c r="J535" i="1"/>
  <c r="J536" i="1"/>
  <c r="J537" i="1"/>
  <c r="J538" i="1"/>
  <c r="J539" i="1"/>
  <c r="J540" i="1"/>
  <c r="J542" i="1"/>
  <c r="J543" i="1"/>
  <c r="J544" i="1"/>
  <c r="J545" i="1"/>
  <c r="J546" i="1"/>
  <c r="J547" i="1"/>
  <c r="J548" i="1"/>
  <c r="J550" i="1"/>
  <c r="J551" i="1"/>
  <c r="J552" i="1"/>
  <c r="J553" i="1"/>
  <c r="J554" i="1"/>
  <c r="J555" i="1"/>
  <c r="J556" i="1"/>
  <c r="J558" i="1"/>
  <c r="J559" i="1"/>
  <c r="J560" i="1"/>
  <c r="J561" i="1"/>
  <c r="J562" i="1"/>
  <c r="J563" i="1"/>
  <c r="J564" i="1"/>
  <c r="J566" i="1"/>
  <c r="J567" i="1"/>
  <c r="J568" i="1"/>
  <c r="J569" i="1"/>
  <c r="J570" i="1"/>
  <c r="J571" i="1"/>
  <c r="J572" i="1"/>
  <c r="J574" i="1"/>
  <c r="J575" i="1"/>
  <c r="J576" i="1"/>
  <c r="J577" i="1"/>
  <c r="J578" i="1"/>
  <c r="J579" i="1"/>
  <c r="J580" i="1"/>
  <c r="J582" i="1"/>
  <c r="J583" i="1"/>
  <c r="J584" i="1"/>
  <c r="J585" i="1"/>
  <c r="J586" i="1"/>
  <c r="J587" i="1"/>
  <c r="J588" i="1"/>
  <c r="J590" i="1"/>
  <c r="J591" i="1"/>
  <c r="J592" i="1"/>
  <c r="J593" i="1"/>
  <c r="J594" i="1"/>
  <c r="J595" i="1"/>
  <c r="J596" i="1"/>
  <c r="J598" i="1"/>
  <c r="J599" i="1"/>
  <c r="J600" i="1"/>
  <c r="J601" i="1"/>
  <c r="J602" i="1"/>
  <c r="J603" i="1"/>
  <c r="J604" i="1"/>
  <c r="J606" i="1"/>
  <c r="J607" i="1"/>
  <c r="J608" i="1"/>
  <c r="J609" i="1"/>
  <c r="J610" i="1"/>
  <c r="J611" i="1"/>
  <c r="J612" i="1"/>
  <c r="J614" i="1"/>
  <c r="J615" i="1"/>
  <c r="J616" i="1"/>
  <c r="J617" i="1"/>
  <c r="J618" i="1"/>
  <c r="J619" i="1"/>
  <c r="J620" i="1"/>
  <c r="J622" i="1"/>
  <c r="J623" i="1"/>
  <c r="J624" i="1"/>
  <c r="J625" i="1"/>
  <c r="J626" i="1"/>
  <c r="J627" i="1"/>
  <c r="J628" i="1"/>
  <c r="J630" i="1"/>
  <c r="J631" i="1"/>
  <c r="J632" i="1"/>
  <c r="J633" i="1"/>
  <c r="J634" i="1"/>
  <c r="J635" i="1"/>
  <c r="J636" i="1"/>
  <c r="J638" i="1"/>
  <c r="J639" i="1"/>
  <c r="J640" i="1"/>
  <c r="J641" i="1"/>
  <c r="J642" i="1"/>
  <c r="J643" i="1"/>
  <c r="J644" i="1"/>
  <c r="J646" i="1"/>
  <c r="J647" i="1"/>
  <c r="J648" i="1"/>
  <c r="J649" i="1"/>
  <c r="J650" i="1"/>
  <c r="J651" i="1"/>
  <c r="J652" i="1"/>
  <c r="J654" i="1"/>
  <c r="J655" i="1"/>
  <c r="J656" i="1"/>
  <c r="J657" i="1"/>
  <c r="J658" i="1"/>
  <c r="J659" i="1"/>
  <c r="J660" i="1"/>
  <c r="J662" i="1"/>
  <c r="J663" i="1"/>
  <c r="J664" i="1"/>
  <c r="J665" i="1"/>
  <c r="J666" i="1"/>
  <c r="J667" i="1"/>
  <c r="J668" i="1"/>
  <c r="J670" i="1"/>
  <c r="J671" i="1"/>
  <c r="J672" i="1"/>
  <c r="J673" i="1"/>
  <c r="J674" i="1"/>
  <c r="J675" i="1"/>
  <c r="J676" i="1"/>
  <c r="J678" i="1"/>
  <c r="J679" i="1"/>
  <c r="J680" i="1"/>
  <c r="J681" i="1"/>
  <c r="J682" i="1"/>
  <c r="J683" i="1"/>
  <c r="J684" i="1"/>
  <c r="J686" i="1"/>
  <c r="J687" i="1"/>
  <c r="J688" i="1"/>
  <c r="J689" i="1"/>
  <c r="J690" i="1"/>
  <c r="J691" i="1"/>
  <c r="J692" i="1"/>
  <c r="J694" i="1"/>
  <c r="J695" i="1"/>
  <c r="J696" i="1"/>
  <c r="J697" i="1"/>
  <c r="J698" i="1"/>
  <c r="J699" i="1"/>
  <c r="J700" i="1"/>
  <c r="J702" i="1"/>
  <c r="J703" i="1"/>
  <c r="J704" i="1"/>
  <c r="J705" i="1"/>
  <c r="J706" i="1"/>
  <c r="J707" i="1"/>
  <c r="J708" i="1"/>
  <c r="J710" i="1"/>
  <c r="J711" i="1"/>
  <c r="J712" i="1"/>
  <c r="J713" i="1"/>
  <c r="J714" i="1"/>
  <c r="J715" i="1"/>
  <c r="J716" i="1"/>
  <c r="J718" i="1"/>
  <c r="J719" i="1"/>
  <c r="J720" i="1"/>
  <c r="J721" i="1"/>
  <c r="J722" i="1"/>
  <c r="J723" i="1"/>
  <c r="J724" i="1"/>
  <c r="J726" i="1"/>
  <c r="J727" i="1"/>
  <c r="J728" i="1"/>
  <c r="J729" i="1"/>
  <c r="J730" i="1"/>
  <c r="J731" i="1"/>
  <c r="J732" i="1"/>
  <c r="J734" i="1"/>
  <c r="J735" i="1"/>
  <c r="J736" i="1"/>
  <c r="J737" i="1"/>
  <c r="J738" i="1"/>
  <c r="J739" i="1"/>
  <c r="J740" i="1"/>
  <c r="J742" i="1"/>
  <c r="J743" i="1"/>
  <c r="J744" i="1"/>
  <c r="J745" i="1"/>
  <c r="J746" i="1"/>
  <c r="J747" i="1"/>
  <c r="J748" i="1"/>
  <c r="J750" i="1"/>
  <c r="J751" i="1"/>
  <c r="J752" i="1"/>
  <c r="J753" i="1"/>
  <c r="J754" i="1"/>
  <c r="J755" i="1"/>
  <c r="J756" i="1"/>
  <c r="J758" i="1"/>
  <c r="J759" i="1"/>
  <c r="J760" i="1"/>
  <c r="J761" i="1"/>
  <c r="J762" i="1"/>
  <c r="J763" i="1"/>
  <c r="J764" i="1"/>
  <c r="J766" i="1"/>
  <c r="J767" i="1"/>
  <c r="J768" i="1"/>
  <c r="J769" i="1"/>
  <c r="J770" i="1"/>
  <c r="J771" i="1"/>
  <c r="J772" i="1"/>
  <c r="J774" i="1"/>
  <c r="J775" i="1"/>
  <c r="J776" i="1"/>
  <c r="J777" i="1"/>
  <c r="J778" i="1"/>
  <c r="J779" i="1"/>
  <c r="J780" i="1"/>
  <c r="J782" i="1"/>
  <c r="J783" i="1"/>
  <c r="J784" i="1"/>
  <c r="J785" i="1"/>
  <c r="J786" i="1"/>
  <c r="J787" i="1"/>
  <c r="J788" i="1"/>
  <c r="J790" i="1"/>
  <c r="J791" i="1"/>
  <c r="J792" i="1"/>
  <c r="J793" i="1"/>
  <c r="J794" i="1"/>
  <c r="J795" i="1"/>
  <c r="J796" i="1"/>
  <c r="J798" i="1"/>
  <c r="J799" i="1"/>
  <c r="J800" i="1"/>
  <c r="J801" i="1"/>
  <c r="J802" i="1"/>
  <c r="J803" i="1"/>
  <c r="J804" i="1"/>
  <c r="J806" i="1"/>
  <c r="J807" i="1"/>
  <c r="J808" i="1"/>
  <c r="J809" i="1"/>
  <c r="J810" i="1"/>
  <c r="J811" i="1"/>
  <c r="J812" i="1"/>
  <c r="J814" i="1"/>
  <c r="J815" i="1"/>
  <c r="J816" i="1"/>
  <c r="J817" i="1"/>
  <c r="J818" i="1"/>
  <c r="J819" i="1"/>
  <c r="J820" i="1"/>
  <c r="J822" i="1"/>
  <c r="J823" i="1"/>
  <c r="J824" i="1"/>
  <c r="J825" i="1"/>
  <c r="J826" i="1"/>
  <c r="J827" i="1"/>
  <c r="J828" i="1"/>
  <c r="J830" i="1"/>
  <c r="J831" i="1"/>
  <c r="J832" i="1"/>
  <c r="J833" i="1"/>
  <c r="J834" i="1"/>
  <c r="J835" i="1"/>
  <c r="J836" i="1"/>
  <c r="J838" i="1"/>
  <c r="J839" i="1"/>
  <c r="J840" i="1"/>
  <c r="J841" i="1"/>
  <c r="J842" i="1"/>
  <c r="J843" i="1"/>
  <c r="J844" i="1"/>
  <c r="J846" i="1"/>
  <c r="J847" i="1"/>
  <c r="J848" i="1"/>
  <c r="J849" i="1"/>
  <c r="J850" i="1"/>
  <c r="J851" i="1"/>
  <c r="J852" i="1"/>
  <c r="J854" i="1"/>
  <c r="J855" i="1"/>
  <c r="J856" i="1"/>
  <c r="J857" i="1"/>
  <c r="J858" i="1"/>
  <c r="J859" i="1"/>
  <c r="J860" i="1"/>
  <c r="J862" i="1"/>
  <c r="J863" i="1"/>
  <c r="J864" i="1"/>
  <c r="J865" i="1"/>
  <c r="J866" i="1"/>
  <c r="J867" i="1"/>
  <c r="J868" i="1"/>
  <c r="J870" i="1"/>
  <c r="J871" i="1"/>
  <c r="J872" i="1"/>
  <c r="J873" i="1"/>
  <c r="J874" i="1"/>
  <c r="J875" i="1"/>
  <c r="J876" i="1"/>
  <c r="J878" i="1"/>
  <c r="J879" i="1"/>
  <c r="J880" i="1"/>
  <c r="J881" i="1"/>
  <c r="J882" i="1"/>
  <c r="J883" i="1"/>
  <c r="J884" i="1"/>
  <c r="J886" i="1"/>
  <c r="J887" i="1"/>
  <c r="J888" i="1"/>
  <c r="J889" i="1"/>
  <c r="J890" i="1"/>
  <c r="J891" i="1"/>
  <c r="J892" i="1"/>
  <c r="J894" i="1"/>
  <c r="J895" i="1"/>
  <c r="J896" i="1"/>
  <c r="J897" i="1"/>
  <c r="J898" i="1"/>
  <c r="J899" i="1"/>
  <c r="J900" i="1"/>
  <c r="J902" i="1"/>
  <c r="J903" i="1"/>
  <c r="J904" i="1"/>
  <c r="J905" i="1"/>
  <c r="J906" i="1"/>
  <c r="J907" i="1"/>
  <c r="J908" i="1"/>
  <c r="J910" i="1"/>
  <c r="J911" i="1"/>
  <c r="J912" i="1"/>
  <c r="J913" i="1"/>
  <c r="J914" i="1"/>
  <c r="J915" i="1"/>
  <c r="J916" i="1"/>
  <c r="J918" i="1"/>
  <c r="J919" i="1"/>
  <c r="J920" i="1"/>
  <c r="J921" i="1"/>
  <c r="J922" i="1"/>
  <c r="J923" i="1"/>
  <c r="J924" i="1"/>
  <c r="J926" i="1"/>
  <c r="J927" i="1"/>
  <c r="J928" i="1"/>
  <c r="J929" i="1"/>
  <c r="J930" i="1"/>
  <c r="J931" i="1"/>
  <c r="J932" i="1"/>
  <c r="J934" i="1"/>
  <c r="J935" i="1"/>
  <c r="J936" i="1"/>
  <c r="J937" i="1"/>
  <c r="J938" i="1"/>
  <c r="J939" i="1"/>
  <c r="J940" i="1"/>
  <c r="J942" i="1"/>
  <c r="J943" i="1"/>
  <c r="J944" i="1"/>
  <c r="J945" i="1"/>
  <c r="J946" i="1"/>
  <c r="J947" i="1"/>
  <c r="J948" i="1"/>
  <c r="J950" i="1"/>
  <c r="J951" i="1"/>
  <c r="J952" i="1"/>
  <c r="J953" i="1"/>
  <c r="J954" i="1"/>
  <c r="J955" i="1"/>
  <c r="J956" i="1"/>
  <c r="J958" i="1"/>
  <c r="J959" i="1"/>
  <c r="J960" i="1"/>
  <c r="J961" i="1"/>
  <c r="J962" i="1"/>
  <c r="J963" i="1"/>
  <c r="J964" i="1"/>
  <c r="J966" i="1"/>
  <c r="J967" i="1"/>
  <c r="J968" i="1"/>
  <c r="J969" i="1"/>
  <c r="J970" i="1"/>
  <c r="J971" i="1"/>
  <c r="J972" i="1"/>
  <c r="J974" i="1"/>
  <c r="J975" i="1"/>
  <c r="J976" i="1"/>
  <c r="J977" i="1"/>
  <c r="J978" i="1"/>
  <c r="J979" i="1"/>
  <c r="J980" i="1"/>
  <c r="J982" i="1"/>
  <c r="J983" i="1"/>
  <c r="J984" i="1"/>
  <c r="J985" i="1"/>
  <c r="J986" i="1"/>
  <c r="J987" i="1"/>
  <c r="J988" i="1"/>
  <c r="J990" i="1"/>
  <c r="J991" i="1"/>
  <c r="J992" i="1"/>
  <c r="J993" i="1"/>
  <c r="J994" i="1"/>
  <c r="J995" i="1"/>
  <c r="J996" i="1"/>
  <c r="J998" i="1"/>
  <c r="J999" i="1"/>
  <c r="J1000" i="1"/>
  <c r="J1001" i="1"/>
  <c r="J1002" i="1"/>
  <c r="J1003" i="1"/>
  <c r="J1004" i="1"/>
  <c r="J1006" i="1"/>
  <c r="J1007" i="1"/>
  <c r="J1008" i="1"/>
  <c r="J1009" i="1"/>
  <c r="J1010" i="1"/>
  <c r="J1011" i="1"/>
  <c r="J1012" i="1"/>
  <c r="J1014" i="1"/>
  <c r="J1015" i="1"/>
  <c r="J1016" i="1"/>
  <c r="J1017" i="1"/>
  <c r="J1018" i="1"/>
  <c r="J1019" i="1"/>
  <c r="J1020" i="1"/>
  <c r="J1022" i="1"/>
  <c r="J1023" i="1"/>
  <c r="J1024" i="1"/>
  <c r="J1025" i="1"/>
  <c r="J1026" i="1"/>
  <c r="J1027" i="1"/>
  <c r="J1028" i="1"/>
  <c r="J1030" i="1"/>
  <c r="J1031" i="1"/>
  <c r="J1032" i="1"/>
  <c r="J1033" i="1"/>
  <c r="J1034" i="1"/>
  <c r="J1035" i="1"/>
  <c r="J1036" i="1"/>
  <c r="J1038" i="1"/>
  <c r="J1039" i="1"/>
  <c r="J1040" i="1"/>
  <c r="J1041" i="1"/>
  <c r="J1042" i="1"/>
  <c r="J1043" i="1"/>
  <c r="J1044" i="1"/>
  <c r="J1046" i="1"/>
  <c r="J1047" i="1"/>
  <c r="J1048" i="1"/>
  <c r="J1049" i="1"/>
  <c r="J1050" i="1"/>
  <c r="J1051" i="1"/>
  <c r="J1052" i="1"/>
  <c r="J1054" i="1"/>
  <c r="J1055" i="1"/>
  <c r="J1056" i="1"/>
  <c r="J1057" i="1"/>
  <c r="J1058" i="1"/>
  <c r="J1059" i="1"/>
  <c r="J1060" i="1"/>
  <c r="J1062" i="1"/>
  <c r="J1063" i="1"/>
  <c r="J1064" i="1"/>
  <c r="J1065" i="1"/>
  <c r="J1066" i="1"/>
  <c r="J1067" i="1"/>
  <c r="J1068" i="1"/>
  <c r="J1070" i="1"/>
  <c r="J1071" i="1"/>
  <c r="J1072" i="1"/>
  <c r="J1073" i="1"/>
  <c r="J1074" i="1"/>
  <c r="J1075" i="1"/>
  <c r="J1076" i="1"/>
  <c r="J1078" i="1"/>
  <c r="J1079" i="1"/>
  <c r="J1080" i="1"/>
  <c r="J1081" i="1"/>
  <c r="J1082" i="1"/>
  <c r="J1083" i="1"/>
  <c r="J1084" i="1"/>
  <c r="J1086" i="1"/>
  <c r="J1087" i="1"/>
  <c r="J1088" i="1"/>
  <c r="J1089" i="1"/>
  <c r="J1090" i="1"/>
  <c r="J1091" i="1"/>
  <c r="J1092" i="1"/>
  <c r="J1094" i="1"/>
  <c r="J1095" i="1"/>
  <c r="J1096" i="1"/>
  <c r="J1097" i="1"/>
  <c r="J1098" i="1"/>
  <c r="J1099" i="1"/>
  <c r="J1100" i="1"/>
  <c r="J1102" i="1"/>
  <c r="J1103" i="1"/>
  <c r="J1104" i="1"/>
  <c r="J1105" i="1"/>
  <c r="J1106" i="1"/>
  <c r="J1107" i="1"/>
  <c r="J1108" i="1"/>
  <c r="J1110" i="1"/>
  <c r="J1111" i="1"/>
  <c r="J1112" i="1"/>
  <c r="J1113" i="1"/>
  <c r="J1114" i="1"/>
  <c r="J1115" i="1"/>
  <c r="J1116" i="1"/>
  <c r="J1118" i="1"/>
  <c r="J1119" i="1"/>
  <c r="J1120" i="1"/>
  <c r="J1121" i="1"/>
  <c r="J1122" i="1"/>
  <c r="J1123" i="1"/>
  <c r="J1124" i="1"/>
  <c r="J1126" i="1"/>
  <c r="J1127" i="1"/>
  <c r="J1128" i="1"/>
  <c r="J1129" i="1"/>
  <c r="J1130" i="1"/>
  <c r="J1131" i="1"/>
  <c r="J1132" i="1"/>
  <c r="J1134" i="1"/>
  <c r="J1135" i="1"/>
  <c r="J1136" i="1"/>
  <c r="J1137" i="1"/>
  <c r="J1138" i="1"/>
  <c r="J1139" i="1"/>
  <c r="J1140" i="1"/>
  <c r="J1142" i="1"/>
  <c r="J1143" i="1"/>
  <c r="J1144" i="1"/>
  <c r="J1145" i="1"/>
  <c r="J1146" i="1"/>
  <c r="J1147" i="1"/>
  <c r="J1148" i="1"/>
  <c r="J1150" i="1"/>
  <c r="J1151" i="1"/>
  <c r="J1152" i="1"/>
  <c r="J1153" i="1"/>
  <c r="J1154" i="1"/>
  <c r="J1155" i="1"/>
  <c r="J1156" i="1"/>
  <c r="J1158" i="1"/>
  <c r="J1159" i="1"/>
  <c r="J1160" i="1"/>
  <c r="J1161" i="1"/>
  <c r="J1162" i="1"/>
  <c r="J1163" i="1"/>
  <c r="J1164" i="1"/>
  <c r="J1166" i="1"/>
  <c r="J1167" i="1"/>
  <c r="J1168" i="1"/>
  <c r="J1169" i="1"/>
  <c r="J1170" i="1"/>
  <c r="J1171" i="1"/>
  <c r="J1172" i="1"/>
  <c r="J1174" i="1"/>
  <c r="J1175" i="1"/>
  <c r="J1176" i="1"/>
  <c r="J1177" i="1"/>
  <c r="J1178" i="1"/>
  <c r="J1179" i="1"/>
  <c r="J1180" i="1"/>
  <c r="J1182" i="1"/>
  <c r="J1183" i="1"/>
  <c r="J1184" i="1"/>
  <c r="J1185" i="1"/>
  <c r="J1186" i="1"/>
  <c r="J1187" i="1"/>
  <c r="J1188" i="1"/>
  <c r="J1190" i="1"/>
  <c r="J1191" i="1"/>
  <c r="J1192" i="1"/>
  <c r="J1193" i="1"/>
  <c r="J1194" i="1"/>
  <c r="J1195" i="1"/>
  <c r="J1196" i="1"/>
  <c r="J1198" i="1"/>
  <c r="J1199" i="1"/>
  <c r="J1200" i="1"/>
  <c r="J1201" i="1"/>
  <c r="J1202" i="1"/>
  <c r="J1203" i="1"/>
  <c r="J1204" i="1"/>
  <c r="J1206" i="1"/>
  <c r="J1207" i="1"/>
  <c r="J1208" i="1"/>
  <c r="J1209" i="1"/>
  <c r="J1210" i="1"/>
  <c r="J1211" i="1"/>
  <c r="J1212" i="1"/>
  <c r="J1214" i="1"/>
  <c r="J1215" i="1"/>
  <c r="J1216" i="1"/>
  <c r="J1217" i="1"/>
  <c r="J1218" i="1"/>
  <c r="J1219" i="1"/>
  <c r="J1220" i="1"/>
  <c r="J1222" i="1"/>
  <c r="J1223" i="1"/>
  <c r="J1224" i="1"/>
  <c r="J1225" i="1"/>
  <c r="J1226" i="1"/>
  <c r="J1227" i="1"/>
  <c r="J1228" i="1"/>
  <c r="J1230" i="1"/>
  <c r="J1231" i="1"/>
  <c r="J1232" i="1"/>
  <c r="J1233" i="1"/>
  <c r="J1234" i="1"/>
  <c r="J1235" i="1"/>
  <c r="J1236" i="1"/>
  <c r="J1238" i="1"/>
  <c r="J1239" i="1"/>
  <c r="J1240" i="1"/>
  <c r="J1241" i="1"/>
  <c r="J1242" i="1"/>
  <c r="J1243" i="1"/>
  <c r="J1244" i="1"/>
  <c r="J1246" i="1"/>
  <c r="J1247" i="1"/>
  <c r="J1248" i="1"/>
  <c r="J1249" i="1"/>
  <c r="J1250" i="1"/>
  <c r="J1251" i="1"/>
  <c r="J1252" i="1"/>
  <c r="J1254" i="1"/>
  <c r="J1255" i="1"/>
  <c r="J1256" i="1"/>
  <c r="J1257" i="1"/>
  <c r="J1258" i="1"/>
  <c r="J1259" i="1"/>
  <c r="J1260" i="1"/>
  <c r="J1262" i="1"/>
  <c r="J1263" i="1"/>
  <c r="J1264" i="1"/>
  <c r="J1265" i="1"/>
  <c r="J1266" i="1"/>
  <c r="J1267" i="1"/>
  <c r="J1268" i="1"/>
  <c r="J1270" i="1"/>
  <c r="J1271" i="1"/>
  <c r="J1272" i="1"/>
  <c r="J1273" i="1"/>
  <c r="J1274" i="1"/>
  <c r="J1275" i="1"/>
  <c r="J1276" i="1"/>
  <c r="J1278" i="1"/>
  <c r="J1279" i="1"/>
  <c r="J1280" i="1"/>
  <c r="J1281" i="1"/>
  <c r="J1282" i="1"/>
  <c r="J1283" i="1"/>
  <c r="J1284" i="1"/>
  <c r="J1286" i="1"/>
  <c r="J1287" i="1"/>
  <c r="J1288" i="1"/>
  <c r="J1289" i="1"/>
  <c r="J1290" i="1"/>
  <c r="J1291" i="1"/>
  <c r="J1292" i="1"/>
  <c r="J1294" i="1"/>
  <c r="J1295" i="1"/>
  <c r="J1296" i="1"/>
  <c r="J1297" i="1"/>
  <c r="J1298" i="1"/>
  <c r="J1299" i="1"/>
  <c r="J1300" i="1"/>
  <c r="J1302" i="1"/>
  <c r="J1303" i="1"/>
  <c r="J1304" i="1"/>
  <c r="J1305" i="1"/>
  <c r="J1306" i="1"/>
  <c r="J1307" i="1"/>
  <c r="J1308" i="1"/>
  <c r="J1310" i="1"/>
  <c r="J1311" i="1"/>
  <c r="J1312" i="1"/>
  <c r="J1313" i="1"/>
  <c r="J1314" i="1"/>
  <c r="J1315" i="1"/>
  <c r="J1316" i="1"/>
  <c r="J1318" i="1"/>
  <c r="J1319" i="1"/>
  <c r="J1320" i="1"/>
  <c r="J1321" i="1"/>
  <c r="J1322" i="1"/>
  <c r="J1323" i="1"/>
  <c r="J1324" i="1"/>
  <c r="J1326" i="1"/>
  <c r="J1327" i="1"/>
  <c r="J1328" i="1"/>
  <c r="J1329" i="1"/>
  <c r="J1330" i="1"/>
  <c r="J1331" i="1"/>
  <c r="J1332" i="1"/>
  <c r="J1334" i="1"/>
  <c r="J1335" i="1"/>
  <c r="J1336" i="1"/>
  <c r="J1337" i="1"/>
  <c r="J1338" i="1"/>
  <c r="J1339" i="1"/>
  <c r="J1340" i="1"/>
  <c r="J1342" i="1"/>
  <c r="J1343" i="1"/>
  <c r="J1344" i="1"/>
  <c r="J1345" i="1"/>
  <c r="J1346" i="1"/>
  <c r="J1347" i="1"/>
  <c r="J1348" i="1"/>
  <c r="J1350" i="1"/>
  <c r="J1351" i="1"/>
  <c r="J1352" i="1"/>
  <c r="J1353" i="1"/>
  <c r="J1354" i="1"/>
  <c r="J1355" i="1"/>
  <c r="J1356" i="1"/>
  <c r="J1358" i="1"/>
  <c r="J1359" i="1"/>
  <c r="J1360" i="1"/>
  <c r="J1361" i="1"/>
  <c r="J1362" i="1"/>
  <c r="J1363" i="1"/>
  <c r="J1364" i="1"/>
  <c r="J1366" i="1"/>
  <c r="J1367" i="1"/>
  <c r="J1368" i="1"/>
  <c r="J1369" i="1"/>
  <c r="J1370" i="1"/>
  <c r="J1371" i="1"/>
  <c r="J1372" i="1"/>
  <c r="J1374" i="1"/>
  <c r="J1375" i="1"/>
  <c r="J1376" i="1"/>
  <c r="J1377" i="1"/>
  <c r="J1378" i="1"/>
  <c r="J1379" i="1"/>
  <c r="J1380" i="1"/>
  <c r="J1382" i="1"/>
  <c r="J1383" i="1"/>
  <c r="J1384" i="1"/>
  <c r="J1385" i="1"/>
  <c r="J1386" i="1"/>
  <c r="J1387" i="1"/>
  <c r="J1388" i="1"/>
  <c r="J1390" i="1"/>
  <c r="J1391" i="1"/>
  <c r="J1392" i="1"/>
  <c r="J1393" i="1"/>
  <c r="J1394" i="1"/>
  <c r="J1395" i="1"/>
  <c r="J1396" i="1"/>
  <c r="J1398" i="1"/>
  <c r="J1399" i="1"/>
  <c r="J1400" i="1"/>
  <c r="J1401" i="1"/>
  <c r="J1402" i="1"/>
  <c r="J1403" i="1"/>
  <c r="J1404" i="1"/>
  <c r="J1406" i="1"/>
  <c r="J1407" i="1"/>
  <c r="J1408" i="1"/>
  <c r="J1409" i="1"/>
  <c r="J1410" i="1"/>
  <c r="J1411" i="1"/>
  <c r="J1412" i="1"/>
  <c r="J1414" i="1"/>
  <c r="J1415" i="1"/>
  <c r="J1416" i="1"/>
  <c r="J1417" i="1"/>
  <c r="J1418" i="1"/>
  <c r="J1419" i="1"/>
  <c r="J1420" i="1"/>
  <c r="J1422" i="1"/>
  <c r="J1423" i="1"/>
  <c r="J1424" i="1"/>
  <c r="J1425" i="1"/>
  <c r="J1426" i="1"/>
  <c r="J1427" i="1"/>
  <c r="J1428" i="1"/>
  <c r="J1430" i="1"/>
  <c r="J1431" i="1"/>
  <c r="J1432" i="1"/>
  <c r="J1433" i="1"/>
  <c r="J1434" i="1"/>
  <c r="J1435" i="1"/>
  <c r="J1436" i="1"/>
  <c r="J1438" i="1"/>
  <c r="J1439" i="1"/>
  <c r="J1440" i="1"/>
  <c r="J1441" i="1"/>
  <c r="J1442" i="1"/>
  <c r="J1443" i="1"/>
  <c r="J1444" i="1"/>
  <c r="J1446" i="1"/>
  <c r="J1447" i="1"/>
  <c r="J1448" i="1"/>
  <c r="J1449" i="1"/>
  <c r="J1450" i="1"/>
  <c r="J1451" i="1"/>
  <c r="J1452" i="1"/>
  <c r="J1454" i="1"/>
  <c r="J1455" i="1"/>
  <c r="J1456" i="1"/>
  <c r="J1457" i="1"/>
  <c r="J1458" i="1"/>
  <c r="J1459" i="1"/>
  <c r="J1460" i="1"/>
  <c r="J1462" i="1"/>
  <c r="J1463" i="1"/>
  <c r="J1464" i="1"/>
  <c r="J1465" i="1"/>
  <c r="J1466" i="1"/>
  <c r="J1467" i="1"/>
  <c r="J1468" i="1"/>
  <c r="J1470" i="1"/>
  <c r="J1471" i="1"/>
  <c r="J1472" i="1"/>
  <c r="J1473" i="1"/>
  <c r="J1474" i="1"/>
  <c r="J1475" i="1"/>
  <c r="J1476" i="1"/>
  <c r="J1478" i="1"/>
  <c r="J1479" i="1"/>
  <c r="J1480" i="1"/>
  <c r="J1481" i="1"/>
  <c r="J1482" i="1"/>
  <c r="J1483" i="1"/>
  <c r="J1484" i="1"/>
  <c r="J1486" i="1"/>
  <c r="J1487" i="1"/>
  <c r="J1488" i="1"/>
  <c r="J1489" i="1"/>
  <c r="J1490" i="1"/>
  <c r="J1491" i="1"/>
  <c r="J1492" i="1"/>
  <c r="J1494" i="1"/>
  <c r="J1495" i="1"/>
  <c r="J1496" i="1"/>
  <c r="J1497" i="1"/>
  <c r="J1498" i="1"/>
  <c r="J1499" i="1"/>
  <c r="J1500" i="1"/>
  <c r="J1502" i="1"/>
  <c r="J1503" i="1"/>
  <c r="J1504" i="1"/>
  <c r="J1505" i="1"/>
  <c r="J1506" i="1"/>
  <c r="J1507" i="1"/>
  <c r="J1508" i="1"/>
  <c r="J1510" i="1"/>
  <c r="J1511" i="1"/>
  <c r="J1512" i="1"/>
  <c r="J1513" i="1"/>
  <c r="J1514" i="1"/>
  <c r="J1515" i="1"/>
  <c r="J1516" i="1"/>
  <c r="J1518" i="1"/>
  <c r="J1519" i="1"/>
  <c r="J1520" i="1"/>
  <c r="J1521" i="1"/>
  <c r="J1522" i="1"/>
  <c r="J1523" i="1"/>
  <c r="J1524" i="1"/>
  <c r="J1526" i="1"/>
  <c r="J1527" i="1"/>
  <c r="J1528" i="1"/>
  <c r="J1529" i="1"/>
  <c r="J1530" i="1"/>
  <c r="J1531" i="1"/>
  <c r="J1532" i="1"/>
  <c r="J1534" i="1"/>
  <c r="J1535" i="1"/>
  <c r="J1536" i="1"/>
  <c r="J1537" i="1"/>
  <c r="J1538" i="1"/>
  <c r="J1539" i="1"/>
  <c r="J1540" i="1"/>
  <c r="J1542" i="1"/>
  <c r="J1543" i="1"/>
  <c r="J1544" i="1"/>
  <c r="J1545" i="1"/>
  <c r="J1546" i="1"/>
  <c r="J1547" i="1"/>
  <c r="J1548" i="1"/>
  <c r="J1550" i="1"/>
  <c r="J1551" i="1"/>
  <c r="J1552" i="1"/>
  <c r="J1553" i="1"/>
  <c r="J1554" i="1"/>
  <c r="J1555" i="1"/>
  <c r="J1556" i="1"/>
  <c r="J1558" i="1"/>
  <c r="J1559" i="1"/>
  <c r="J1560" i="1"/>
  <c r="J1561" i="1"/>
  <c r="J1562" i="1"/>
  <c r="J1563" i="1"/>
  <c r="J1564" i="1"/>
  <c r="J1566" i="1"/>
  <c r="J1567" i="1"/>
  <c r="J1568" i="1"/>
  <c r="J1569" i="1"/>
  <c r="J1570" i="1"/>
  <c r="J1571" i="1"/>
  <c r="J1572" i="1"/>
  <c r="J1574" i="1"/>
  <c r="J1575" i="1"/>
  <c r="J1576" i="1"/>
  <c r="J1577" i="1"/>
  <c r="J1578" i="1"/>
  <c r="J1579" i="1"/>
  <c r="J1580" i="1"/>
  <c r="J1582" i="1"/>
  <c r="J1583" i="1"/>
  <c r="J1584" i="1"/>
  <c r="J1585" i="1"/>
  <c r="J1586" i="1"/>
  <c r="J1587" i="1"/>
  <c r="J1588" i="1"/>
  <c r="J1590" i="1"/>
  <c r="J1591" i="1"/>
  <c r="J1592" i="1"/>
  <c r="J1593" i="1"/>
  <c r="J1594" i="1"/>
  <c r="J1595" i="1"/>
  <c r="J1596" i="1"/>
  <c r="J1598" i="1"/>
  <c r="J1599" i="1"/>
  <c r="J1600" i="1"/>
  <c r="J1601" i="1"/>
  <c r="J1602" i="1"/>
  <c r="J1603" i="1"/>
  <c r="J1604" i="1"/>
  <c r="J1606" i="1"/>
  <c r="J1607" i="1"/>
  <c r="J1608" i="1"/>
  <c r="J1609" i="1"/>
  <c r="J1610" i="1"/>
  <c r="J1611" i="1"/>
  <c r="J1612" i="1"/>
  <c r="J1614" i="1"/>
  <c r="J1615" i="1"/>
  <c r="J1616" i="1"/>
  <c r="J1617" i="1"/>
  <c r="J1618" i="1"/>
  <c r="J1619" i="1"/>
  <c r="J1620" i="1"/>
  <c r="J1622" i="1"/>
  <c r="J1623" i="1"/>
  <c r="J1624" i="1"/>
  <c r="J1625" i="1"/>
  <c r="J1626" i="1"/>
  <c r="J1627" i="1"/>
  <c r="J1628" i="1"/>
  <c r="J1630" i="1"/>
  <c r="J1631" i="1"/>
  <c r="J1632" i="1"/>
  <c r="J1633" i="1"/>
  <c r="J1634" i="1"/>
  <c r="J1635" i="1"/>
  <c r="J1636" i="1"/>
  <c r="J1638" i="1"/>
  <c r="J1639" i="1"/>
  <c r="J1640" i="1"/>
  <c r="J1641" i="1"/>
  <c r="J1642" i="1"/>
  <c r="J1643" i="1"/>
  <c r="J1644" i="1"/>
  <c r="J1646" i="1"/>
  <c r="J1647" i="1"/>
  <c r="J1648" i="1"/>
  <c r="J1649" i="1"/>
  <c r="J1650" i="1"/>
  <c r="J1651" i="1"/>
  <c r="J1652" i="1"/>
  <c r="J1654" i="1"/>
  <c r="J1655" i="1"/>
  <c r="J1656" i="1"/>
  <c r="J1657" i="1"/>
  <c r="J1658" i="1"/>
  <c r="J1659" i="1"/>
  <c r="J1660" i="1"/>
  <c r="J1662" i="1"/>
  <c r="J1663" i="1"/>
  <c r="J1664" i="1"/>
  <c r="J1665" i="1"/>
  <c r="J1666" i="1"/>
  <c r="J1667" i="1"/>
  <c r="J1668" i="1"/>
  <c r="J1670" i="1"/>
  <c r="J1671" i="1"/>
  <c r="J1672" i="1"/>
  <c r="J1673" i="1"/>
  <c r="J1674" i="1"/>
  <c r="J1675" i="1"/>
  <c r="J1676" i="1"/>
  <c r="J1678" i="1"/>
  <c r="J1679" i="1"/>
  <c r="J1680" i="1"/>
  <c r="J1681" i="1"/>
  <c r="J1682" i="1"/>
  <c r="J1683" i="1"/>
  <c r="J1684" i="1"/>
  <c r="J1686" i="1"/>
  <c r="J1687" i="1"/>
  <c r="J1688" i="1"/>
  <c r="J1689" i="1"/>
  <c r="J1690" i="1"/>
  <c r="J1691" i="1"/>
  <c r="J1692" i="1"/>
  <c r="J1694" i="1"/>
  <c r="J1695" i="1"/>
  <c r="J1696" i="1"/>
  <c r="J1697" i="1"/>
  <c r="J1698" i="1"/>
  <c r="J1699" i="1"/>
  <c r="J1700" i="1"/>
  <c r="J1702" i="1"/>
  <c r="J1703" i="1"/>
  <c r="J1704" i="1"/>
  <c r="J1705" i="1"/>
  <c r="J1706" i="1"/>
  <c r="J1707" i="1"/>
  <c r="J1708" i="1"/>
  <c r="J1710" i="1"/>
  <c r="J1711" i="1"/>
  <c r="J1712" i="1"/>
  <c r="J1713" i="1"/>
  <c r="J1714" i="1"/>
  <c r="J1715" i="1"/>
  <c r="J1716" i="1"/>
  <c r="J1718" i="1"/>
  <c r="J1719" i="1"/>
  <c r="J1720" i="1"/>
  <c r="J1721" i="1"/>
  <c r="J1722" i="1"/>
  <c r="J1723" i="1"/>
  <c r="J1724" i="1"/>
  <c r="J1726" i="1"/>
  <c r="J1727" i="1"/>
  <c r="J1728" i="1"/>
  <c r="J1729" i="1"/>
  <c r="J1730" i="1"/>
  <c r="J1731" i="1"/>
  <c r="J1732" i="1"/>
  <c r="J1734" i="1"/>
  <c r="J1735" i="1"/>
  <c r="J1736" i="1"/>
  <c r="J1737" i="1"/>
  <c r="J1738" i="1"/>
  <c r="J1739" i="1"/>
  <c r="J1740" i="1"/>
  <c r="J1742" i="1"/>
  <c r="J1743" i="1"/>
  <c r="J1744" i="1"/>
  <c r="J1745" i="1"/>
  <c r="J1746" i="1"/>
  <c r="J1747" i="1"/>
  <c r="J1748"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I390" i="1"/>
  <c r="I391" i="1"/>
  <c r="I392" i="1"/>
  <c r="I393" i="1"/>
  <c r="I394" i="1"/>
  <c r="I395" i="1"/>
  <c r="I396" i="1"/>
  <c r="I398" i="1"/>
  <c r="I399" i="1"/>
  <c r="I400" i="1"/>
  <c r="I401" i="1"/>
  <c r="I402" i="1"/>
  <c r="I403" i="1"/>
  <c r="I404" i="1"/>
  <c r="I406" i="1"/>
  <c r="I407" i="1"/>
  <c r="I408" i="1"/>
  <c r="I409" i="1"/>
  <c r="I410" i="1"/>
  <c r="I411" i="1"/>
  <c r="I412" i="1"/>
  <c r="I414" i="1"/>
  <c r="I415" i="1"/>
  <c r="I416" i="1"/>
  <c r="I417" i="1"/>
  <c r="I418" i="1"/>
  <c r="I419" i="1"/>
  <c r="I420" i="1"/>
  <c r="I422" i="1"/>
  <c r="I423" i="1"/>
  <c r="I424" i="1"/>
  <c r="I425" i="1"/>
  <c r="I426" i="1"/>
  <c r="I427" i="1"/>
  <c r="I428" i="1"/>
  <c r="I430" i="1"/>
  <c r="I431" i="1"/>
  <c r="I432" i="1"/>
  <c r="I433" i="1"/>
  <c r="I434" i="1"/>
  <c r="I435" i="1"/>
  <c r="I436" i="1"/>
  <c r="I438" i="1"/>
  <c r="I439" i="1"/>
  <c r="I440" i="1"/>
  <c r="I441" i="1"/>
  <c r="I442" i="1"/>
  <c r="I443" i="1"/>
  <c r="I444" i="1"/>
  <c r="I446" i="1"/>
  <c r="I447" i="1"/>
  <c r="I448" i="1"/>
  <c r="I449" i="1"/>
  <c r="I450" i="1"/>
  <c r="I451" i="1"/>
  <c r="I452" i="1"/>
  <c r="I454" i="1"/>
  <c r="I455" i="1"/>
  <c r="I456" i="1"/>
  <c r="I457" i="1"/>
  <c r="I458" i="1"/>
  <c r="I459" i="1"/>
  <c r="I460" i="1"/>
  <c r="I462" i="1"/>
  <c r="I463" i="1"/>
  <c r="I464" i="1"/>
  <c r="I465" i="1"/>
  <c r="I466" i="1"/>
  <c r="I467" i="1"/>
  <c r="I468" i="1"/>
  <c r="I470" i="1"/>
  <c r="I471" i="1"/>
  <c r="I472" i="1"/>
  <c r="I473" i="1"/>
  <c r="I474" i="1"/>
  <c r="I475" i="1"/>
  <c r="I476" i="1"/>
  <c r="I478" i="1"/>
  <c r="I479" i="1"/>
  <c r="I480" i="1"/>
  <c r="I481" i="1"/>
  <c r="I482" i="1"/>
  <c r="I483" i="1"/>
  <c r="I484" i="1"/>
  <c r="I486" i="1"/>
  <c r="I487" i="1"/>
  <c r="I488" i="1"/>
  <c r="I489" i="1"/>
  <c r="I490" i="1"/>
  <c r="I491" i="1"/>
  <c r="I492" i="1"/>
  <c r="I494" i="1"/>
  <c r="I495" i="1"/>
  <c r="I496" i="1"/>
  <c r="I497" i="1"/>
  <c r="I498" i="1"/>
  <c r="I499" i="1"/>
  <c r="I500" i="1"/>
  <c r="I502" i="1"/>
  <c r="I503" i="1"/>
  <c r="I504" i="1"/>
  <c r="I505" i="1"/>
  <c r="I506" i="1"/>
  <c r="I507" i="1"/>
  <c r="I508" i="1"/>
  <c r="I510" i="1"/>
  <c r="I511" i="1"/>
  <c r="I512" i="1"/>
  <c r="I513" i="1"/>
  <c r="I514" i="1"/>
  <c r="I515" i="1"/>
  <c r="I516" i="1"/>
  <c r="I518" i="1"/>
  <c r="I519" i="1"/>
  <c r="I520" i="1"/>
  <c r="I521" i="1"/>
  <c r="I522" i="1"/>
  <c r="I523" i="1"/>
  <c r="I524" i="1"/>
  <c r="I526" i="1"/>
  <c r="I527" i="1"/>
  <c r="I528" i="1"/>
  <c r="I529" i="1"/>
  <c r="I530" i="1"/>
  <c r="I531" i="1"/>
  <c r="I532" i="1"/>
  <c r="I534" i="1"/>
  <c r="I535" i="1"/>
  <c r="I536" i="1"/>
  <c r="I537" i="1"/>
  <c r="I538" i="1"/>
  <c r="I539" i="1"/>
  <c r="I540" i="1"/>
  <c r="I542" i="1"/>
  <c r="I543" i="1"/>
  <c r="I544" i="1"/>
  <c r="I545" i="1"/>
  <c r="I546" i="1"/>
  <c r="I547" i="1"/>
  <c r="I548" i="1"/>
  <c r="I550" i="1"/>
  <c r="I551" i="1"/>
  <c r="I552" i="1"/>
  <c r="I553" i="1"/>
  <c r="I554" i="1"/>
  <c r="I555" i="1"/>
  <c r="I556" i="1"/>
  <c r="I558" i="1"/>
  <c r="I559" i="1"/>
  <c r="I560" i="1"/>
  <c r="I561" i="1"/>
  <c r="I562" i="1"/>
  <c r="I563" i="1"/>
  <c r="I564" i="1"/>
  <c r="I566" i="1"/>
  <c r="I567" i="1"/>
  <c r="I568" i="1"/>
  <c r="I569" i="1"/>
  <c r="I570" i="1"/>
  <c r="I571" i="1"/>
  <c r="I572" i="1"/>
  <c r="I574" i="1"/>
  <c r="I575" i="1"/>
  <c r="I576" i="1"/>
  <c r="I577" i="1"/>
  <c r="I578" i="1"/>
  <c r="I579" i="1"/>
  <c r="I580" i="1"/>
  <c r="I582" i="1"/>
  <c r="I583" i="1"/>
  <c r="I584" i="1"/>
  <c r="I585" i="1"/>
  <c r="I586" i="1"/>
  <c r="I587" i="1"/>
  <c r="I588" i="1"/>
  <c r="I590" i="1"/>
  <c r="I591" i="1"/>
  <c r="I592" i="1"/>
  <c r="I593" i="1"/>
  <c r="I594" i="1"/>
  <c r="I595" i="1"/>
  <c r="I596" i="1"/>
  <c r="I598" i="1"/>
  <c r="I599" i="1"/>
  <c r="I600" i="1"/>
  <c r="I601" i="1"/>
  <c r="I602" i="1"/>
  <c r="I603" i="1"/>
  <c r="I604" i="1"/>
  <c r="I606" i="1"/>
  <c r="I607" i="1"/>
  <c r="I608" i="1"/>
  <c r="I609" i="1"/>
  <c r="I610" i="1"/>
  <c r="I611" i="1"/>
  <c r="I612" i="1"/>
  <c r="I614" i="1"/>
  <c r="I615" i="1"/>
  <c r="I616" i="1"/>
  <c r="I617" i="1"/>
  <c r="I618" i="1"/>
  <c r="I619" i="1"/>
  <c r="I620" i="1"/>
  <c r="I622" i="1"/>
  <c r="I623" i="1"/>
  <c r="I624" i="1"/>
  <c r="I625" i="1"/>
  <c r="I626" i="1"/>
  <c r="I627" i="1"/>
  <c r="I628" i="1"/>
  <c r="I630" i="1"/>
  <c r="I631" i="1"/>
  <c r="I632" i="1"/>
  <c r="I633" i="1"/>
  <c r="I634" i="1"/>
  <c r="I635" i="1"/>
  <c r="I636" i="1"/>
  <c r="I638" i="1"/>
  <c r="I639" i="1"/>
  <c r="I640" i="1"/>
  <c r="I641" i="1"/>
  <c r="I642" i="1"/>
  <c r="I643" i="1"/>
  <c r="I644" i="1"/>
  <c r="I646" i="1"/>
  <c r="I647" i="1"/>
  <c r="I648" i="1"/>
  <c r="I649" i="1"/>
  <c r="I650" i="1"/>
  <c r="I651" i="1"/>
  <c r="I652" i="1"/>
  <c r="I654" i="1"/>
  <c r="I655" i="1"/>
  <c r="I656" i="1"/>
  <c r="I657" i="1"/>
  <c r="I658" i="1"/>
  <c r="I659" i="1"/>
  <c r="I660" i="1"/>
  <c r="I662" i="1"/>
  <c r="I663" i="1"/>
  <c r="I664" i="1"/>
  <c r="I665" i="1"/>
  <c r="I666" i="1"/>
  <c r="I667" i="1"/>
  <c r="I668" i="1"/>
  <c r="I670" i="1"/>
  <c r="I671" i="1"/>
  <c r="I672" i="1"/>
  <c r="I673" i="1"/>
  <c r="I674" i="1"/>
  <c r="I675" i="1"/>
  <c r="I676" i="1"/>
  <c r="I678" i="1"/>
  <c r="I679" i="1"/>
  <c r="I680" i="1"/>
  <c r="I681" i="1"/>
  <c r="I682" i="1"/>
  <c r="I683" i="1"/>
  <c r="I684" i="1"/>
  <c r="I686" i="1"/>
  <c r="I687" i="1"/>
  <c r="I688" i="1"/>
  <c r="I689" i="1"/>
  <c r="I690" i="1"/>
  <c r="I691" i="1"/>
  <c r="I692" i="1"/>
  <c r="I694" i="1"/>
  <c r="I695" i="1"/>
  <c r="I696" i="1"/>
  <c r="I697" i="1"/>
  <c r="I698" i="1"/>
  <c r="I699" i="1"/>
  <c r="I700" i="1"/>
  <c r="I702" i="1"/>
  <c r="I703" i="1"/>
  <c r="I704" i="1"/>
  <c r="I705" i="1"/>
  <c r="I706" i="1"/>
  <c r="I707" i="1"/>
  <c r="I708" i="1"/>
  <c r="I710" i="1"/>
  <c r="I711" i="1"/>
  <c r="I712" i="1"/>
  <c r="I713" i="1"/>
  <c r="I714" i="1"/>
  <c r="I715" i="1"/>
  <c r="I716" i="1"/>
  <c r="I718" i="1"/>
  <c r="I719" i="1"/>
  <c r="I720" i="1"/>
  <c r="I721" i="1"/>
  <c r="I722" i="1"/>
  <c r="I723" i="1"/>
  <c r="I724" i="1"/>
  <c r="I726" i="1"/>
  <c r="I727" i="1"/>
  <c r="I728" i="1"/>
  <c r="I729" i="1"/>
  <c r="I730" i="1"/>
  <c r="I731" i="1"/>
  <c r="I732" i="1"/>
  <c r="I734" i="1"/>
  <c r="I735" i="1"/>
  <c r="I736" i="1"/>
  <c r="I737" i="1"/>
  <c r="I738" i="1"/>
  <c r="I739" i="1"/>
  <c r="I740" i="1"/>
  <c r="I742" i="1"/>
  <c r="I743" i="1"/>
  <c r="I744" i="1"/>
  <c r="I745" i="1"/>
  <c r="I746" i="1"/>
  <c r="I747" i="1"/>
  <c r="I748" i="1"/>
  <c r="I750" i="1"/>
  <c r="I751" i="1"/>
  <c r="I752" i="1"/>
  <c r="I753" i="1"/>
  <c r="I754" i="1"/>
  <c r="I755" i="1"/>
  <c r="I756" i="1"/>
  <c r="I758" i="1"/>
  <c r="I759" i="1"/>
  <c r="I760" i="1"/>
  <c r="I761" i="1"/>
  <c r="I762" i="1"/>
  <c r="I763" i="1"/>
  <c r="I764" i="1"/>
  <c r="I766" i="1"/>
  <c r="I767" i="1"/>
  <c r="I768" i="1"/>
  <c r="I769" i="1"/>
  <c r="I770" i="1"/>
  <c r="I771" i="1"/>
  <c r="I772" i="1"/>
  <c r="I774" i="1"/>
  <c r="I775" i="1"/>
  <c r="I776" i="1"/>
  <c r="I777" i="1"/>
  <c r="I778" i="1"/>
  <c r="I779" i="1"/>
  <c r="I780" i="1"/>
  <c r="I782" i="1"/>
  <c r="I783" i="1"/>
  <c r="I784" i="1"/>
  <c r="I785" i="1"/>
  <c r="I786" i="1"/>
  <c r="I787" i="1"/>
  <c r="I788" i="1"/>
  <c r="I790" i="1"/>
  <c r="I791" i="1"/>
  <c r="I792" i="1"/>
  <c r="I793" i="1"/>
  <c r="I794" i="1"/>
  <c r="I795" i="1"/>
  <c r="I796" i="1"/>
  <c r="I798" i="1"/>
  <c r="I799" i="1"/>
  <c r="I800" i="1"/>
  <c r="I801" i="1"/>
  <c r="I802" i="1"/>
  <c r="I803" i="1"/>
  <c r="I804" i="1"/>
  <c r="I806" i="1"/>
  <c r="I807" i="1"/>
  <c r="I808" i="1"/>
  <c r="I809" i="1"/>
  <c r="I810" i="1"/>
  <c r="I811" i="1"/>
  <c r="I812" i="1"/>
  <c r="I814" i="1"/>
  <c r="I815" i="1"/>
  <c r="I816" i="1"/>
  <c r="I817" i="1"/>
  <c r="I818" i="1"/>
  <c r="I819" i="1"/>
  <c r="I820" i="1"/>
  <c r="I822" i="1"/>
  <c r="I823" i="1"/>
  <c r="I824" i="1"/>
  <c r="I825" i="1"/>
  <c r="I826" i="1"/>
  <c r="I827" i="1"/>
  <c r="I828" i="1"/>
  <c r="I830" i="1"/>
  <c r="I831" i="1"/>
  <c r="I832" i="1"/>
  <c r="I833" i="1"/>
  <c r="I834" i="1"/>
  <c r="I835" i="1"/>
  <c r="I836" i="1"/>
  <c r="I838" i="1"/>
  <c r="I839" i="1"/>
  <c r="I840" i="1"/>
  <c r="I841" i="1"/>
  <c r="I842" i="1"/>
  <c r="I843" i="1"/>
  <c r="I844" i="1"/>
  <c r="I846" i="1"/>
  <c r="I847" i="1"/>
  <c r="I848" i="1"/>
  <c r="I849" i="1"/>
  <c r="I850" i="1"/>
  <c r="I851" i="1"/>
  <c r="I852" i="1"/>
  <c r="I854" i="1"/>
  <c r="I855" i="1"/>
  <c r="I856" i="1"/>
  <c r="I857" i="1"/>
  <c r="I858" i="1"/>
  <c r="I859" i="1"/>
  <c r="I860" i="1"/>
  <c r="I862" i="1"/>
  <c r="I863" i="1"/>
  <c r="I864" i="1"/>
  <c r="I865" i="1"/>
  <c r="I866" i="1"/>
  <c r="I867" i="1"/>
  <c r="I868" i="1"/>
  <c r="I870" i="1"/>
  <c r="I871" i="1"/>
  <c r="I872" i="1"/>
  <c r="I873" i="1"/>
  <c r="I874" i="1"/>
  <c r="I875" i="1"/>
  <c r="I876" i="1"/>
  <c r="I878" i="1"/>
  <c r="I879" i="1"/>
  <c r="I880" i="1"/>
  <c r="I881" i="1"/>
  <c r="I882" i="1"/>
  <c r="I883" i="1"/>
  <c r="I884" i="1"/>
  <c r="I886" i="1"/>
  <c r="I887" i="1"/>
  <c r="I888" i="1"/>
  <c r="I889" i="1"/>
  <c r="I890" i="1"/>
  <c r="I891" i="1"/>
  <c r="I892" i="1"/>
  <c r="I894" i="1"/>
  <c r="I895" i="1"/>
  <c r="I896" i="1"/>
  <c r="I897" i="1"/>
  <c r="I898" i="1"/>
  <c r="I899" i="1"/>
  <c r="I900" i="1"/>
  <c r="I902" i="1"/>
  <c r="I903" i="1"/>
  <c r="I904" i="1"/>
  <c r="I905" i="1"/>
  <c r="I906" i="1"/>
  <c r="I907" i="1"/>
  <c r="I908" i="1"/>
  <c r="I910" i="1"/>
  <c r="I911" i="1"/>
  <c r="I912" i="1"/>
  <c r="I913" i="1"/>
  <c r="I914" i="1"/>
  <c r="I915" i="1"/>
  <c r="I916" i="1"/>
  <c r="I918" i="1"/>
  <c r="I919" i="1"/>
  <c r="I920" i="1"/>
  <c r="I921" i="1"/>
  <c r="I922" i="1"/>
  <c r="I923" i="1"/>
  <c r="I924" i="1"/>
  <c r="I926" i="1"/>
  <c r="I927" i="1"/>
  <c r="I928" i="1"/>
  <c r="I929" i="1"/>
  <c r="I930" i="1"/>
  <c r="I931" i="1"/>
  <c r="I932" i="1"/>
  <c r="I934" i="1"/>
  <c r="I935" i="1"/>
  <c r="I936" i="1"/>
  <c r="I937" i="1"/>
  <c r="I938" i="1"/>
  <c r="I939" i="1"/>
  <c r="I940" i="1"/>
  <c r="I942" i="1"/>
  <c r="I943" i="1"/>
  <c r="I944" i="1"/>
  <c r="I945" i="1"/>
  <c r="I946" i="1"/>
  <c r="I947" i="1"/>
  <c r="I948" i="1"/>
  <c r="I950" i="1"/>
  <c r="I951" i="1"/>
  <c r="I952" i="1"/>
  <c r="I953" i="1"/>
  <c r="I954" i="1"/>
  <c r="I955" i="1"/>
  <c r="I956" i="1"/>
  <c r="I958" i="1"/>
  <c r="I959" i="1"/>
  <c r="I960" i="1"/>
  <c r="I961" i="1"/>
  <c r="I962" i="1"/>
  <c r="I963" i="1"/>
  <c r="I964" i="1"/>
  <c r="I966" i="1"/>
  <c r="I967" i="1"/>
  <c r="I968" i="1"/>
  <c r="I969" i="1"/>
  <c r="I970" i="1"/>
  <c r="I971" i="1"/>
  <c r="I972" i="1"/>
  <c r="I974" i="1"/>
  <c r="I975" i="1"/>
  <c r="I976" i="1"/>
  <c r="I977" i="1"/>
  <c r="I978" i="1"/>
  <c r="I979" i="1"/>
  <c r="I980" i="1"/>
  <c r="I982" i="1"/>
  <c r="I983" i="1"/>
  <c r="I984" i="1"/>
  <c r="I985" i="1"/>
  <c r="I986" i="1"/>
  <c r="I987" i="1"/>
  <c r="I988" i="1"/>
  <c r="I990" i="1"/>
  <c r="I991" i="1"/>
  <c r="I992" i="1"/>
  <c r="I993" i="1"/>
  <c r="I994" i="1"/>
  <c r="I995" i="1"/>
  <c r="I996" i="1"/>
  <c r="I998" i="1"/>
  <c r="I999" i="1"/>
  <c r="I1000" i="1"/>
  <c r="I1001" i="1"/>
  <c r="I1002" i="1"/>
  <c r="I1003" i="1"/>
  <c r="I1004" i="1"/>
  <c r="I1006" i="1"/>
  <c r="I1007" i="1"/>
  <c r="I1008" i="1"/>
  <c r="I1009" i="1"/>
  <c r="I1010" i="1"/>
  <c r="I1011" i="1"/>
  <c r="I1012" i="1"/>
  <c r="I1014" i="1"/>
  <c r="I1015" i="1"/>
  <c r="I1016" i="1"/>
  <c r="I1017" i="1"/>
  <c r="I1018" i="1"/>
  <c r="I1019" i="1"/>
  <c r="I1020" i="1"/>
  <c r="I1022" i="1"/>
  <c r="I1023" i="1"/>
  <c r="I1024" i="1"/>
  <c r="I1025" i="1"/>
  <c r="I1026" i="1"/>
  <c r="I1027" i="1"/>
  <c r="I1028" i="1"/>
  <c r="I1030" i="1"/>
  <c r="I1031" i="1"/>
  <c r="I1032" i="1"/>
  <c r="I1033" i="1"/>
  <c r="I1034" i="1"/>
  <c r="I1035" i="1"/>
  <c r="I1036" i="1"/>
  <c r="I1038" i="1"/>
  <c r="I1039" i="1"/>
  <c r="I1040" i="1"/>
  <c r="I1041" i="1"/>
  <c r="I1042" i="1"/>
  <c r="I1043" i="1"/>
  <c r="I1044" i="1"/>
  <c r="I1046" i="1"/>
  <c r="I1047" i="1"/>
  <c r="I1048" i="1"/>
  <c r="I1049" i="1"/>
  <c r="I1050" i="1"/>
  <c r="I1051" i="1"/>
  <c r="I1052" i="1"/>
  <c r="I1054" i="1"/>
  <c r="I1055" i="1"/>
  <c r="I1056" i="1"/>
  <c r="I1057" i="1"/>
  <c r="I1058" i="1"/>
  <c r="I1059" i="1"/>
  <c r="I1060" i="1"/>
  <c r="I1062" i="1"/>
  <c r="I1063" i="1"/>
  <c r="I1064" i="1"/>
  <c r="I1065" i="1"/>
  <c r="I1066" i="1"/>
  <c r="I1067" i="1"/>
  <c r="I1068" i="1"/>
  <c r="I1070" i="1"/>
  <c r="I1071" i="1"/>
  <c r="I1072" i="1"/>
  <c r="I1073" i="1"/>
  <c r="I1074" i="1"/>
  <c r="I1075" i="1"/>
  <c r="I1076" i="1"/>
  <c r="I1078" i="1"/>
  <c r="I1079" i="1"/>
  <c r="I1080" i="1"/>
  <c r="I1081" i="1"/>
  <c r="I1082" i="1"/>
  <c r="I1083" i="1"/>
  <c r="I1084" i="1"/>
  <c r="I1086" i="1"/>
  <c r="I1087" i="1"/>
  <c r="I1088" i="1"/>
  <c r="I1089" i="1"/>
  <c r="I1090" i="1"/>
  <c r="I1091" i="1"/>
  <c r="I1092" i="1"/>
  <c r="I1094" i="1"/>
  <c r="I1095" i="1"/>
  <c r="I1096" i="1"/>
  <c r="I1097" i="1"/>
  <c r="I1098" i="1"/>
  <c r="I1099" i="1"/>
  <c r="I1100" i="1"/>
  <c r="I1102" i="1"/>
  <c r="I1103" i="1"/>
  <c r="I1104" i="1"/>
  <c r="I1105" i="1"/>
  <c r="I1106" i="1"/>
  <c r="I1107" i="1"/>
  <c r="I1108" i="1"/>
  <c r="I1110" i="1"/>
  <c r="I1111" i="1"/>
  <c r="I1112" i="1"/>
  <c r="I1113" i="1"/>
  <c r="I1114" i="1"/>
  <c r="I1115" i="1"/>
  <c r="I1116" i="1"/>
  <c r="I1118" i="1"/>
  <c r="I1119" i="1"/>
  <c r="I1120" i="1"/>
  <c r="I1121" i="1"/>
  <c r="I1122" i="1"/>
  <c r="I1123" i="1"/>
  <c r="I1124" i="1"/>
  <c r="I1126" i="1"/>
  <c r="I1127" i="1"/>
  <c r="I1128" i="1"/>
  <c r="I1129" i="1"/>
  <c r="I1130" i="1"/>
  <c r="I1131" i="1"/>
  <c r="I1132" i="1"/>
  <c r="I1134" i="1"/>
  <c r="I1135" i="1"/>
  <c r="I1136" i="1"/>
  <c r="I1137" i="1"/>
  <c r="I1138" i="1"/>
  <c r="I1139" i="1"/>
  <c r="I1140" i="1"/>
  <c r="I1142" i="1"/>
  <c r="I1143" i="1"/>
  <c r="I1144" i="1"/>
  <c r="I1145" i="1"/>
  <c r="I1146" i="1"/>
  <c r="I1147" i="1"/>
  <c r="I1148" i="1"/>
  <c r="I1150" i="1"/>
  <c r="I1151" i="1"/>
  <c r="I1152" i="1"/>
  <c r="I1153" i="1"/>
  <c r="I1154" i="1"/>
  <c r="I1155" i="1"/>
  <c r="I1156" i="1"/>
  <c r="I1158" i="1"/>
  <c r="I1159" i="1"/>
  <c r="I1160" i="1"/>
  <c r="I1161" i="1"/>
  <c r="I1162" i="1"/>
  <c r="I1163" i="1"/>
  <c r="I1164" i="1"/>
  <c r="I1166" i="1"/>
  <c r="I1167" i="1"/>
  <c r="I1168" i="1"/>
  <c r="I1169" i="1"/>
  <c r="I1170" i="1"/>
  <c r="I1171" i="1"/>
  <c r="I1172" i="1"/>
  <c r="I1174" i="1"/>
  <c r="I1175" i="1"/>
  <c r="I1176" i="1"/>
  <c r="I1177" i="1"/>
  <c r="I1178" i="1"/>
  <c r="I1179" i="1"/>
  <c r="I1180" i="1"/>
  <c r="I1182" i="1"/>
  <c r="I1183" i="1"/>
  <c r="I1184" i="1"/>
  <c r="I1185" i="1"/>
  <c r="I1186" i="1"/>
  <c r="I1187" i="1"/>
  <c r="I1188" i="1"/>
  <c r="I1190" i="1"/>
  <c r="I1191" i="1"/>
  <c r="I1192" i="1"/>
  <c r="I1193" i="1"/>
  <c r="I1194" i="1"/>
  <c r="I1195" i="1"/>
  <c r="I1196" i="1"/>
  <c r="I1198" i="1"/>
  <c r="I1199" i="1"/>
  <c r="I1200" i="1"/>
  <c r="I1201" i="1"/>
  <c r="I1202" i="1"/>
  <c r="I1203" i="1"/>
  <c r="I1204" i="1"/>
  <c r="I1206" i="1"/>
  <c r="I1207" i="1"/>
  <c r="I1208" i="1"/>
  <c r="I1209" i="1"/>
  <c r="I1210" i="1"/>
  <c r="I1211" i="1"/>
  <c r="I1212" i="1"/>
  <c r="I1214" i="1"/>
  <c r="I1215" i="1"/>
  <c r="I1216" i="1"/>
  <c r="I1217" i="1"/>
  <c r="I1218" i="1"/>
  <c r="I1219" i="1"/>
  <c r="I1220" i="1"/>
  <c r="I1222" i="1"/>
  <c r="I1223" i="1"/>
  <c r="I1224" i="1"/>
  <c r="I1225" i="1"/>
  <c r="I1226" i="1"/>
  <c r="I1227" i="1"/>
  <c r="I1228" i="1"/>
  <c r="I1230" i="1"/>
  <c r="I1231" i="1"/>
  <c r="I1232" i="1"/>
  <c r="I1233" i="1"/>
  <c r="I1234" i="1"/>
  <c r="I1235" i="1"/>
  <c r="I1236" i="1"/>
  <c r="I1238" i="1"/>
  <c r="I1239" i="1"/>
  <c r="I1240" i="1"/>
  <c r="I1241" i="1"/>
  <c r="I1242" i="1"/>
  <c r="I1243" i="1"/>
  <c r="I1244" i="1"/>
  <c r="I1246" i="1"/>
  <c r="I1247" i="1"/>
  <c r="I1248" i="1"/>
  <c r="I1249" i="1"/>
  <c r="I1250" i="1"/>
  <c r="I1251" i="1"/>
  <c r="I1252" i="1"/>
  <c r="I1254" i="1"/>
  <c r="I1255" i="1"/>
  <c r="I1256" i="1"/>
  <c r="I1257" i="1"/>
  <c r="I1258" i="1"/>
  <c r="I1259" i="1"/>
  <c r="I1260" i="1"/>
  <c r="I1262" i="1"/>
  <c r="I1263" i="1"/>
  <c r="I1264" i="1"/>
  <c r="I1265" i="1"/>
  <c r="I1266" i="1"/>
  <c r="I1267" i="1"/>
  <c r="I1268" i="1"/>
  <c r="I1270" i="1"/>
  <c r="I1271" i="1"/>
  <c r="I1272" i="1"/>
  <c r="I1273" i="1"/>
  <c r="I1274" i="1"/>
  <c r="I1275" i="1"/>
  <c r="I1276" i="1"/>
  <c r="I1278" i="1"/>
  <c r="I1279" i="1"/>
  <c r="I1280" i="1"/>
  <c r="I1281" i="1"/>
  <c r="I1282" i="1"/>
  <c r="I1283" i="1"/>
  <c r="I1284" i="1"/>
  <c r="I1286" i="1"/>
  <c r="I1287" i="1"/>
  <c r="I1288" i="1"/>
  <c r="I1289" i="1"/>
  <c r="I1290" i="1"/>
  <c r="I1291" i="1"/>
  <c r="I1292" i="1"/>
  <c r="I1294" i="1"/>
  <c r="I1295" i="1"/>
  <c r="I1296" i="1"/>
  <c r="I1297" i="1"/>
  <c r="I1298" i="1"/>
  <c r="I1299" i="1"/>
  <c r="I1300" i="1"/>
  <c r="I1302" i="1"/>
  <c r="I1303" i="1"/>
  <c r="I1304" i="1"/>
  <c r="I1305" i="1"/>
  <c r="I1306" i="1"/>
  <c r="I1307" i="1"/>
  <c r="I1308" i="1"/>
  <c r="I1310" i="1"/>
  <c r="I1311" i="1"/>
  <c r="I1312" i="1"/>
  <c r="I1313" i="1"/>
  <c r="I1314" i="1"/>
  <c r="I1315" i="1"/>
  <c r="I1316" i="1"/>
  <c r="I1318" i="1"/>
  <c r="I1319" i="1"/>
  <c r="I1320" i="1"/>
  <c r="I1321" i="1"/>
  <c r="I1322" i="1"/>
  <c r="I1323" i="1"/>
  <c r="I1324" i="1"/>
  <c r="I1326" i="1"/>
  <c r="I1327" i="1"/>
  <c r="I1328" i="1"/>
  <c r="I1329" i="1"/>
  <c r="I1330" i="1"/>
  <c r="I1331" i="1"/>
  <c r="I1332" i="1"/>
  <c r="I1334" i="1"/>
  <c r="I1335" i="1"/>
  <c r="I1336" i="1"/>
  <c r="I1337" i="1"/>
  <c r="I1338" i="1"/>
  <c r="I1339" i="1"/>
  <c r="I1340" i="1"/>
  <c r="I1342" i="1"/>
  <c r="I1343" i="1"/>
  <c r="I1344" i="1"/>
  <c r="I1345" i="1"/>
  <c r="I1346" i="1"/>
  <c r="I1347" i="1"/>
  <c r="I1348" i="1"/>
  <c r="I1350" i="1"/>
  <c r="I1351" i="1"/>
  <c r="I1352" i="1"/>
  <c r="I1353" i="1"/>
  <c r="I1354" i="1"/>
  <c r="I1355" i="1"/>
  <c r="I1356" i="1"/>
  <c r="I1358" i="1"/>
  <c r="I1359" i="1"/>
  <c r="I1360" i="1"/>
  <c r="I1361" i="1"/>
  <c r="I1362" i="1"/>
  <c r="I1363" i="1"/>
  <c r="I1364" i="1"/>
  <c r="I1366" i="1"/>
  <c r="I1367" i="1"/>
  <c r="I1368" i="1"/>
  <c r="I1369" i="1"/>
  <c r="I1370" i="1"/>
  <c r="I1371" i="1"/>
  <c r="I1372" i="1"/>
  <c r="I1374" i="1"/>
  <c r="I1375" i="1"/>
  <c r="I1376" i="1"/>
  <c r="I1377" i="1"/>
  <c r="I1378" i="1"/>
  <c r="I1379" i="1"/>
  <c r="I1380" i="1"/>
  <c r="I1382" i="1"/>
  <c r="I1383" i="1"/>
  <c r="I1384" i="1"/>
  <c r="I1385" i="1"/>
  <c r="I1386" i="1"/>
  <c r="I1387" i="1"/>
  <c r="I1388" i="1"/>
  <c r="I1390" i="1"/>
  <c r="I1391" i="1"/>
  <c r="I1392" i="1"/>
  <c r="I1393" i="1"/>
  <c r="I1394" i="1"/>
  <c r="I1395" i="1"/>
  <c r="I1396" i="1"/>
  <c r="I1398" i="1"/>
  <c r="I1399" i="1"/>
  <c r="I1400" i="1"/>
  <c r="I1401" i="1"/>
  <c r="I1402" i="1"/>
  <c r="I1403" i="1"/>
  <c r="I1404" i="1"/>
  <c r="I1406" i="1"/>
  <c r="I1407" i="1"/>
  <c r="I1408" i="1"/>
  <c r="I1409" i="1"/>
  <c r="I1410" i="1"/>
  <c r="I1411" i="1"/>
  <c r="I1412" i="1"/>
  <c r="I1414" i="1"/>
  <c r="I1415" i="1"/>
  <c r="I1416" i="1"/>
  <c r="I1417" i="1"/>
  <c r="I1418" i="1"/>
  <c r="I1419" i="1"/>
  <c r="I1420" i="1"/>
  <c r="I1422" i="1"/>
  <c r="I1423" i="1"/>
  <c r="I1424" i="1"/>
  <c r="I1425" i="1"/>
  <c r="I1426" i="1"/>
  <c r="I1427" i="1"/>
  <c r="I1428" i="1"/>
  <c r="I1430" i="1"/>
  <c r="I1431" i="1"/>
  <c r="I1432" i="1"/>
  <c r="I1433" i="1"/>
  <c r="I1434" i="1"/>
  <c r="I1435" i="1"/>
  <c r="I1436" i="1"/>
  <c r="I1438" i="1"/>
  <c r="I1439" i="1"/>
  <c r="I1440" i="1"/>
  <c r="I1441" i="1"/>
  <c r="I1442" i="1"/>
  <c r="I1443" i="1"/>
  <c r="I1444" i="1"/>
  <c r="I1446" i="1"/>
  <c r="I1447" i="1"/>
  <c r="I1448" i="1"/>
  <c r="I1449" i="1"/>
  <c r="I1450" i="1"/>
  <c r="I1451" i="1"/>
  <c r="I1452" i="1"/>
  <c r="I1454" i="1"/>
  <c r="I1455" i="1"/>
  <c r="I1456" i="1"/>
  <c r="I1457" i="1"/>
  <c r="I1458" i="1"/>
  <c r="I1459" i="1"/>
  <c r="I1460" i="1"/>
  <c r="I1462" i="1"/>
  <c r="I1463" i="1"/>
  <c r="I1464" i="1"/>
  <c r="I1465" i="1"/>
  <c r="I1466" i="1"/>
  <c r="I1467" i="1"/>
  <c r="I1468" i="1"/>
  <c r="I1470" i="1"/>
  <c r="I1471" i="1"/>
  <c r="I1472" i="1"/>
  <c r="I1473" i="1"/>
  <c r="I1474" i="1"/>
  <c r="I1475" i="1"/>
  <c r="I1476" i="1"/>
  <c r="I1478" i="1"/>
  <c r="I1479" i="1"/>
  <c r="I1480" i="1"/>
  <c r="I1481" i="1"/>
  <c r="I1482" i="1"/>
  <c r="I1483" i="1"/>
  <c r="I1484" i="1"/>
  <c r="I1486" i="1"/>
  <c r="I1487" i="1"/>
  <c r="I1488" i="1"/>
  <c r="I1489" i="1"/>
  <c r="I1490" i="1"/>
  <c r="I1491" i="1"/>
  <c r="I1492" i="1"/>
  <c r="I1494" i="1"/>
  <c r="I1495" i="1"/>
  <c r="I1496" i="1"/>
  <c r="I1497" i="1"/>
  <c r="I1498" i="1"/>
  <c r="I1499" i="1"/>
  <c r="I1500" i="1"/>
  <c r="I1502" i="1"/>
  <c r="I1503" i="1"/>
  <c r="I1504" i="1"/>
  <c r="I1505" i="1"/>
  <c r="I1506" i="1"/>
  <c r="I1507" i="1"/>
  <c r="I1508" i="1"/>
  <c r="I1510" i="1"/>
  <c r="I1511" i="1"/>
  <c r="I1512" i="1"/>
  <c r="I1513" i="1"/>
  <c r="I1514" i="1"/>
  <c r="I1515" i="1"/>
  <c r="I1516" i="1"/>
  <c r="I1518" i="1"/>
  <c r="I1519" i="1"/>
  <c r="I1520" i="1"/>
  <c r="I1521" i="1"/>
  <c r="I1522" i="1"/>
  <c r="I1523" i="1"/>
  <c r="I1524" i="1"/>
  <c r="I1526" i="1"/>
  <c r="I1527" i="1"/>
  <c r="I1528" i="1"/>
  <c r="I1529" i="1"/>
  <c r="I1530" i="1"/>
  <c r="I1531" i="1"/>
  <c r="I1532" i="1"/>
  <c r="I1534" i="1"/>
  <c r="I1535" i="1"/>
  <c r="I1536" i="1"/>
  <c r="I1537" i="1"/>
  <c r="I1538" i="1"/>
  <c r="I1539" i="1"/>
  <c r="I1540" i="1"/>
  <c r="I1542" i="1"/>
  <c r="I1543" i="1"/>
  <c r="I1544" i="1"/>
  <c r="I1545" i="1"/>
  <c r="I1546" i="1"/>
  <c r="I1547" i="1"/>
  <c r="I1548" i="1"/>
  <c r="I1550" i="1"/>
  <c r="I1551" i="1"/>
  <c r="I1552" i="1"/>
  <c r="I1553" i="1"/>
  <c r="I1554" i="1"/>
  <c r="I1555" i="1"/>
  <c r="I1556" i="1"/>
  <c r="I1558" i="1"/>
  <c r="I1559" i="1"/>
  <c r="I1560" i="1"/>
  <c r="I1561" i="1"/>
  <c r="I1562" i="1"/>
  <c r="I1563" i="1"/>
  <c r="I1564" i="1"/>
  <c r="I1566" i="1"/>
  <c r="I1567" i="1"/>
  <c r="I1568" i="1"/>
  <c r="I1569" i="1"/>
  <c r="I1570" i="1"/>
  <c r="I1571" i="1"/>
  <c r="I1572" i="1"/>
  <c r="I1574" i="1"/>
  <c r="I1575" i="1"/>
  <c r="I1576" i="1"/>
  <c r="I1577" i="1"/>
  <c r="I1578" i="1"/>
  <c r="I1579" i="1"/>
  <c r="I1580" i="1"/>
  <c r="I1582" i="1"/>
  <c r="I1583" i="1"/>
  <c r="I1584" i="1"/>
  <c r="I1585" i="1"/>
  <c r="I1586" i="1"/>
  <c r="I1587" i="1"/>
  <c r="I1588" i="1"/>
  <c r="I1590" i="1"/>
  <c r="I1591" i="1"/>
  <c r="I1592" i="1"/>
  <c r="I1593" i="1"/>
  <c r="I1594" i="1"/>
  <c r="I1595" i="1"/>
  <c r="I1596" i="1"/>
  <c r="I1598" i="1"/>
  <c r="I1599" i="1"/>
  <c r="I1600" i="1"/>
  <c r="I1601" i="1"/>
  <c r="I1602" i="1"/>
  <c r="I1603" i="1"/>
  <c r="I1604" i="1"/>
  <c r="I1606" i="1"/>
  <c r="I1607" i="1"/>
  <c r="I1608" i="1"/>
  <c r="I1609" i="1"/>
  <c r="I1610" i="1"/>
  <c r="I1611" i="1"/>
  <c r="I1612" i="1"/>
  <c r="I1614" i="1"/>
  <c r="I1615" i="1"/>
  <c r="I1616" i="1"/>
  <c r="I1617" i="1"/>
  <c r="I1618" i="1"/>
  <c r="I1619" i="1"/>
  <c r="I1620" i="1"/>
  <c r="I1622" i="1"/>
  <c r="I1623" i="1"/>
  <c r="I1624" i="1"/>
  <c r="I1625" i="1"/>
  <c r="I1626" i="1"/>
  <c r="I1627" i="1"/>
  <c r="I1628" i="1"/>
  <c r="I1630" i="1"/>
  <c r="I1631" i="1"/>
  <c r="I1632" i="1"/>
  <c r="I1633" i="1"/>
  <c r="I1634" i="1"/>
  <c r="I1635" i="1"/>
  <c r="I1636" i="1"/>
  <c r="I1638" i="1"/>
  <c r="I1639" i="1"/>
  <c r="I1640" i="1"/>
  <c r="I1641" i="1"/>
  <c r="I1642" i="1"/>
  <c r="I1643" i="1"/>
  <c r="I1644" i="1"/>
  <c r="I1646" i="1"/>
  <c r="I1647" i="1"/>
  <c r="I1648" i="1"/>
  <c r="I1649" i="1"/>
  <c r="I1650" i="1"/>
  <c r="I1651" i="1"/>
  <c r="I1652" i="1"/>
  <c r="I1654" i="1"/>
  <c r="I1655" i="1"/>
  <c r="I1656" i="1"/>
  <c r="I1657" i="1"/>
  <c r="I1658" i="1"/>
  <c r="I1659" i="1"/>
  <c r="I1660" i="1"/>
  <c r="I1662" i="1"/>
  <c r="I1663" i="1"/>
  <c r="I1664" i="1"/>
  <c r="I1665" i="1"/>
  <c r="I1666" i="1"/>
  <c r="I1667" i="1"/>
  <c r="I1668" i="1"/>
  <c r="I1670" i="1"/>
  <c r="I1671" i="1"/>
  <c r="I1672" i="1"/>
  <c r="I1673" i="1"/>
  <c r="I1674" i="1"/>
  <c r="I1675" i="1"/>
  <c r="I1676" i="1"/>
  <c r="I1678" i="1"/>
  <c r="I1679" i="1"/>
  <c r="I1680" i="1"/>
  <c r="I1681" i="1"/>
  <c r="I1682" i="1"/>
  <c r="I1683" i="1"/>
  <c r="I1684" i="1"/>
  <c r="I1686" i="1"/>
  <c r="I1687" i="1"/>
  <c r="I1688" i="1"/>
  <c r="I1689" i="1"/>
  <c r="I1690" i="1"/>
  <c r="I1691" i="1"/>
  <c r="I1692" i="1"/>
  <c r="I1694" i="1"/>
  <c r="I1695" i="1"/>
  <c r="I1696" i="1"/>
  <c r="I1697" i="1"/>
  <c r="I1698" i="1"/>
  <c r="I1699" i="1"/>
  <c r="I1700" i="1"/>
  <c r="I1702" i="1"/>
  <c r="I1703" i="1"/>
  <c r="I1704" i="1"/>
  <c r="I1705" i="1"/>
  <c r="I1706" i="1"/>
  <c r="I1707" i="1"/>
  <c r="I1708" i="1"/>
  <c r="I1710" i="1"/>
  <c r="I1711" i="1"/>
  <c r="I1712" i="1"/>
  <c r="I1713" i="1"/>
  <c r="I1714" i="1"/>
  <c r="I1715" i="1"/>
  <c r="I1716" i="1"/>
  <c r="I1718" i="1"/>
  <c r="I1719" i="1"/>
  <c r="I1720" i="1"/>
  <c r="I1721" i="1"/>
  <c r="I1722" i="1"/>
  <c r="I1723" i="1"/>
  <c r="I1724" i="1"/>
  <c r="I1726" i="1"/>
  <c r="I1727" i="1"/>
  <c r="I1728" i="1"/>
  <c r="I1729" i="1"/>
  <c r="I1730" i="1"/>
  <c r="I1731" i="1"/>
  <c r="I1732" i="1"/>
  <c r="I1734" i="1"/>
  <c r="I1735" i="1"/>
  <c r="I1736" i="1"/>
  <c r="I1737" i="1"/>
  <c r="I1738" i="1"/>
  <c r="I1739" i="1"/>
  <c r="I1740" i="1"/>
  <c r="I1742" i="1"/>
  <c r="I1743" i="1"/>
  <c r="I1744" i="1"/>
  <c r="I1745" i="1"/>
  <c r="I1746" i="1"/>
  <c r="I1747" i="1"/>
  <c r="I1748"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89" i="1"/>
  <c r="H391" i="1"/>
  <c r="H392" i="1"/>
  <c r="H393" i="1"/>
  <c r="H394" i="1"/>
  <c r="H395" i="1"/>
  <c r="H396" i="1"/>
  <c r="H398" i="1"/>
  <c r="H399" i="1"/>
  <c r="H400" i="1"/>
  <c r="H401" i="1"/>
  <c r="H402" i="1"/>
  <c r="H403" i="1"/>
  <c r="H404" i="1"/>
  <c r="H406" i="1"/>
  <c r="H407" i="1"/>
  <c r="H408" i="1"/>
  <c r="H409" i="1"/>
  <c r="H410" i="1"/>
  <c r="H411" i="1"/>
  <c r="H412" i="1"/>
  <c r="H414" i="1"/>
  <c r="H415" i="1"/>
  <c r="H416" i="1"/>
  <c r="H417" i="1"/>
  <c r="H418" i="1"/>
  <c r="H419" i="1"/>
  <c r="H420" i="1"/>
  <c r="H422" i="1"/>
  <c r="H423" i="1"/>
  <c r="H424" i="1"/>
  <c r="H425" i="1"/>
  <c r="H426" i="1"/>
  <c r="H427" i="1"/>
  <c r="H428" i="1"/>
  <c r="H430" i="1"/>
  <c r="H431" i="1"/>
  <c r="H432" i="1"/>
  <c r="H433" i="1"/>
  <c r="H434" i="1"/>
  <c r="H435" i="1"/>
  <c r="H436" i="1"/>
  <c r="H438" i="1"/>
  <c r="H439" i="1"/>
  <c r="H440" i="1"/>
  <c r="H441" i="1"/>
  <c r="H442" i="1"/>
  <c r="H443" i="1"/>
  <c r="H444" i="1"/>
  <c r="H446" i="1"/>
  <c r="H447" i="1"/>
  <c r="H448" i="1"/>
  <c r="H449" i="1"/>
  <c r="H450" i="1"/>
  <c r="H451" i="1"/>
  <c r="H452" i="1"/>
  <c r="H454" i="1"/>
  <c r="H455" i="1"/>
  <c r="H456" i="1"/>
  <c r="H457" i="1"/>
  <c r="H458" i="1"/>
  <c r="H459" i="1"/>
  <c r="H460" i="1"/>
  <c r="H462" i="1"/>
  <c r="H463" i="1"/>
  <c r="H464" i="1"/>
  <c r="H465" i="1"/>
  <c r="H466" i="1"/>
  <c r="H467" i="1"/>
  <c r="H468" i="1"/>
  <c r="H470" i="1"/>
  <c r="H471" i="1"/>
  <c r="H472" i="1"/>
  <c r="H473" i="1"/>
  <c r="H474" i="1"/>
  <c r="H475" i="1"/>
  <c r="H476" i="1"/>
  <c r="H478" i="1"/>
  <c r="H479" i="1"/>
  <c r="H480" i="1"/>
  <c r="H481" i="1"/>
  <c r="H482" i="1"/>
  <c r="H483" i="1"/>
  <c r="H484" i="1"/>
  <c r="H486" i="1"/>
  <c r="H487" i="1"/>
  <c r="H488" i="1"/>
  <c r="H489" i="1"/>
  <c r="H490" i="1"/>
  <c r="H491" i="1"/>
  <c r="H492" i="1"/>
  <c r="H494" i="1"/>
  <c r="H495" i="1"/>
  <c r="H496" i="1"/>
  <c r="H497" i="1"/>
  <c r="H498" i="1"/>
  <c r="H499" i="1"/>
  <c r="H500" i="1"/>
  <c r="H502" i="1"/>
  <c r="H503" i="1"/>
  <c r="H504" i="1"/>
  <c r="H505" i="1"/>
  <c r="H506" i="1"/>
  <c r="H507" i="1"/>
  <c r="H508" i="1"/>
  <c r="H510" i="1"/>
  <c r="H511" i="1"/>
  <c r="H512" i="1"/>
  <c r="H513" i="1"/>
  <c r="H514" i="1"/>
  <c r="H515" i="1"/>
  <c r="H516" i="1"/>
  <c r="H518" i="1"/>
  <c r="H519" i="1"/>
  <c r="H520" i="1"/>
  <c r="H521" i="1"/>
  <c r="H522" i="1"/>
  <c r="H523" i="1"/>
  <c r="H524" i="1"/>
  <c r="H526" i="1"/>
  <c r="H527" i="1"/>
  <c r="H528" i="1"/>
  <c r="H529" i="1"/>
  <c r="H530" i="1"/>
  <c r="H531" i="1"/>
  <c r="H532" i="1"/>
  <c r="H534" i="1"/>
  <c r="H535" i="1"/>
  <c r="H536" i="1"/>
  <c r="H537" i="1"/>
  <c r="H538" i="1"/>
  <c r="H539" i="1"/>
  <c r="H540" i="1"/>
  <c r="H542" i="1"/>
  <c r="H543" i="1"/>
  <c r="H544" i="1"/>
  <c r="H545" i="1"/>
  <c r="H546" i="1"/>
  <c r="H547" i="1"/>
  <c r="H548" i="1"/>
  <c r="H550" i="1"/>
  <c r="H551" i="1"/>
  <c r="H552" i="1"/>
  <c r="H553" i="1"/>
  <c r="H554" i="1"/>
  <c r="H555" i="1"/>
  <c r="H556" i="1"/>
  <c r="H558" i="1"/>
  <c r="H559" i="1"/>
  <c r="H560" i="1"/>
  <c r="H561" i="1"/>
  <c r="H562" i="1"/>
  <c r="H563" i="1"/>
  <c r="H564" i="1"/>
  <c r="H566" i="1"/>
  <c r="H567" i="1"/>
  <c r="H568" i="1"/>
  <c r="H569" i="1"/>
  <c r="H570" i="1"/>
  <c r="H571" i="1"/>
  <c r="H572" i="1"/>
  <c r="H574" i="1"/>
  <c r="H575" i="1"/>
  <c r="H576" i="1"/>
  <c r="H577" i="1"/>
  <c r="H578" i="1"/>
  <c r="H579" i="1"/>
  <c r="H580" i="1"/>
  <c r="H582" i="1"/>
  <c r="H583" i="1"/>
  <c r="H584" i="1"/>
  <c r="H585" i="1"/>
  <c r="H586" i="1"/>
  <c r="H587" i="1"/>
  <c r="H588" i="1"/>
  <c r="H590" i="1"/>
  <c r="H591" i="1"/>
  <c r="H592" i="1"/>
  <c r="H593" i="1"/>
  <c r="H594" i="1"/>
  <c r="H595" i="1"/>
  <c r="H596" i="1"/>
  <c r="H598" i="1"/>
  <c r="H599" i="1"/>
  <c r="H600" i="1"/>
  <c r="H601" i="1"/>
  <c r="H602" i="1"/>
  <c r="H603" i="1"/>
  <c r="H604" i="1"/>
  <c r="H606" i="1"/>
  <c r="H607" i="1"/>
  <c r="H608" i="1"/>
  <c r="H609" i="1"/>
  <c r="H610" i="1"/>
  <c r="H611" i="1"/>
  <c r="H612" i="1"/>
  <c r="H614" i="1"/>
  <c r="H615" i="1"/>
  <c r="H616" i="1"/>
  <c r="H617" i="1"/>
  <c r="H618" i="1"/>
  <c r="H619" i="1"/>
  <c r="H620" i="1"/>
  <c r="H622" i="1"/>
  <c r="H623" i="1"/>
  <c r="H624" i="1"/>
  <c r="H625" i="1"/>
  <c r="H626" i="1"/>
  <c r="H627" i="1"/>
  <c r="H628" i="1"/>
  <c r="H630" i="1"/>
  <c r="H631" i="1"/>
  <c r="H632" i="1"/>
  <c r="H633" i="1"/>
  <c r="H634" i="1"/>
  <c r="H635" i="1"/>
  <c r="H636" i="1"/>
  <c r="H638" i="1"/>
  <c r="H639" i="1"/>
  <c r="H640" i="1"/>
  <c r="H641" i="1"/>
  <c r="H642" i="1"/>
  <c r="H643" i="1"/>
  <c r="H644" i="1"/>
  <c r="H646" i="1"/>
  <c r="H647" i="1"/>
  <c r="H648" i="1"/>
  <c r="H649" i="1"/>
  <c r="H650" i="1"/>
  <c r="H651" i="1"/>
  <c r="H652" i="1"/>
  <c r="H654" i="1"/>
  <c r="H655" i="1"/>
  <c r="H656" i="1"/>
  <c r="H657" i="1"/>
  <c r="H658" i="1"/>
  <c r="H659" i="1"/>
  <c r="H660" i="1"/>
  <c r="H662" i="1"/>
  <c r="H663" i="1"/>
  <c r="H664" i="1"/>
  <c r="H665" i="1"/>
  <c r="H666" i="1"/>
  <c r="H667" i="1"/>
  <c r="H668" i="1"/>
  <c r="H670" i="1"/>
  <c r="H671" i="1"/>
  <c r="H672" i="1"/>
  <c r="H673" i="1"/>
  <c r="H674" i="1"/>
  <c r="H675" i="1"/>
  <c r="H676" i="1"/>
  <c r="H678" i="1"/>
  <c r="H679" i="1"/>
  <c r="H680" i="1"/>
  <c r="H681" i="1"/>
  <c r="H682" i="1"/>
  <c r="H683" i="1"/>
  <c r="H684" i="1"/>
  <c r="H686" i="1"/>
  <c r="H687" i="1"/>
  <c r="H688" i="1"/>
  <c r="H689" i="1"/>
  <c r="H690" i="1"/>
  <c r="H691" i="1"/>
  <c r="H692" i="1"/>
  <c r="H694" i="1"/>
  <c r="H695" i="1"/>
  <c r="H696" i="1"/>
  <c r="H697" i="1"/>
  <c r="H698" i="1"/>
  <c r="H699" i="1"/>
  <c r="H700" i="1"/>
  <c r="H702" i="1"/>
  <c r="H703" i="1"/>
  <c r="H704" i="1"/>
  <c r="H705" i="1"/>
  <c r="H706" i="1"/>
  <c r="H707" i="1"/>
  <c r="H708" i="1"/>
  <c r="H710" i="1"/>
  <c r="H711" i="1"/>
  <c r="H712" i="1"/>
  <c r="H713" i="1"/>
  <c r="H714" i="1"/>
  <c r="H715" i="1"/>
  <c r="H716" i="1"/>
  <c r="H718" i="1"/>
  <c r="H719" i="1"/>
  <c r="H720" i="1"/>
  <c r="H721" i="1"/>
  <c r="H722" i="1"/>
  <c r="H723" i="1"/>
  <c r="H724" i="1"/>
  <c r="H726" i="1"/>
  <c r="H727" i="1"/>
  <c r="H728" i="1"/>
  <c r="H729" i="1"/>
  <c r="H730" i="1"/>
  <c r="H731" i="1"/>
  <c r="H732" i="1"/>
  <c r="H734" i="1"/>
  <c r="H735" i="1"/>
  <c r="H736" i="1"/>
  <c r="H737" i="1"/>
  <c r="H738" i="1"/>
  <c r="H739" i="1"/>
  <c r="H740" i="1"/>
  <c r="H742" i="1"/>
  <c r="H743" i="1"/>
  <c r="H744" i="1"/>
  <c r="H745" i="1"/>
  <c r="H746" i="1"/>
  <c r="H747" i="1"/>
  <c r="H748" i="1"/>
  <c r="H750" i="1"/>
  <c r="H751" i="1"/>
  <c r="H752" i="1"/>
  <c r="H753" i="1"/>
  <c r="H754" i="1"/>
  <c r="H755" i="1"/>
  <c r="H756" i="1"/>
  <c r="H758" i="1"/>
  <c r="H759" i="1"/>
  <c r="H760" i="1"/>
  <c r="H761" i="1"/>
  <c r="H762" i="1"/>
  <c r="H763" i="1"/>
  <c r="H764" i="1"/>
  <c r="H766" i="1"/>
  <c r="H767" i="1"/>
  <c r="H768" i="1"/>
  <c r="H769" i="1"/>
  <c r="H770" i="1"/>
  <c r="H771" i="1"/>
  <c r="H772" i="1"/>
  <c r="H774" i="1"/>
  <c r="H775" i="1"/>
  <c r="H776" i="1"/>
  <c r="H777" i="1"/>
  <c r="H778" i="1"/>
  <c r="H779" i="1"/>
  <c r="H780" i="1"/>
  <c r="H782" i="1"/>
  <c r="H783" i="1"/>
  <c r="H784" i="1"/>
  <c r="H785" i="1"/>
  <c r="H786" i="1"/>
  <c r="H787" i="1"/>
  <c r="H788" i="1"/>
  <c r="H790" i="1"/>
  <c r="H791" i="1"/>
  <c r="H792" i="1"/>
  <c r="H793" i="1"/>
  <c r="H794" i="1"/>
  <c r="H795" i="1"/>
  <c r="H796" i="1"/>
  <c r="H798" i="1"/>
  <c r="H799" i="1"/>
  <c r="H800" i="1"/>
  <c r="H801" i="1"/>
  <c r="H802" i="1"/>
  <c r="H803" i="1"/>
  <c r="H804" i="1"/>
  <c r="H806" i="1"/>
  <c r="H807" i="1"/>
  <c r="H808" i="1"/>
  <c r="H809" i="1"/>
  <c r="H810" i="1"/>
  <c r="H811" i="1"/>
  <c r="H812" i="1"/>
  <c r="H814" i="1"/>
  <c r="H815" i="1"/>
  <c r="H816" i="1"/>
  <c r="H817" i="1"/>
  <c r="H818" i="1"/>
  <c r="H819" i="1"/>
  <c r="H820" i="1"/>
  <c r="H822" i="1"/>
  <c r="H823" i="1"/>
  <c r="H824" i="1"/>
  <c r="H825" i="1"/>
  <c r="H826" i="1"/>
  <c r="H827" i="1"/>
  <c r="H828" i="1"/>
  <c r="H830" i="1"/>
  <c r="H831" i="1"/>
  <c r="H832" i="1"/>
  <c r="H833" i="1"/>
  <c r="H834" i="1"/>
  <c r="H835" i="1"/>
  <c r="H836" i="1"/>
  <c r="H838" i="1"/>
  <c r="H839" i="1"/>
  <c r="H840" i="1"/>
  <c r="H841" i="1"/>
  <c r="H842" i="1"/>
  <c r="H843" i="1"/>
  <c r="H844" i="1"/>
  <c r="H846" i="1"/>
  <c r="H847" i="1"/>
  <c r="H848" i="1"/>
  <c r="H849" i="1"/>
  <c r="H850" i="1"/>
  <c r="H851" i="1"/>
  <c r="H852" i="1"/>
  <c r="H854" i="1"/>
  <c r="H855" i="1"/>
  <c r="H856" i="1"/>
  <c r="H857" i="1"/>
  <c r="H858" i="1"/>
  <c r="H859" i="1"/>
  <c r="H860" i="1"/>
  <c r="H862" i="1"/>
  <c r="H863" i="1"/>
  <c r="H864" i="1"/>
  <c r="H865" i="1"/>
  <c r="H866" i="1"/>
  <c r="H867" i="1"/>
  <c r="H868" i="1"/>
  <c r="H870" i="1"/>
  <c r="H871" i="1"/>
  <c r="H872" i="1"/>
  <c r="H873" i="1"/>
  <c r="H874" i="1"/>
  <c r="H875" i="1"/>
  <c r="H876" i="1"/>
  <c r="H878" i="1"/>
  <c r="H879" i="1"/>
  <c r="H880" i="1"/>
  <c r="H881" i="1"/>
  <c r="H882" i="1"/>
  <c r="H883" i="1"/>
  <c r="H884" i="1"/>
  <c r="H886" i="1"/>
  <c r="H887" i="1"/>
  <c r="H888" i="1"/>
  <c r="H889" i="1"/>
  <c r="H890" i="1"/>
  <c r="H891" i="1"/>
  <c r="H892" i="1"/>
  <c r="H894" i="1"/>
  <c r="H895" i="1"/>
  <c r="H896" i="1"/>
  <c r="H897" i="1"/>
  <c r="H898" i="1"/>
  <c r="H899" i="1"/>
  <c r="H900" i="1"/>
  <c r="H902" i="1"/>
  <c r="H903" i="1"/>
  <c r="H904" i="1"/>
  <c r="H905" i="1"/>
  <c r="H906" i="1"/>
  <c r="H907" i="1"/>
  <c r="H908" i="1"/>
  <c r="H910" i="1"/>
  <c r="H911" i="1"/>
  <c r="H912" i="1"/>
  <c r="H913" i="1"/>
  <c r="H914" i="1"/>
  <c r="H915" i="1"/>
  <c r="H916" i="1"/>
  <c r="H918" i="1"/>
  <c r="H919" i="1"/>
  <c r="H920" i="1"/>
  <c r="H921" i="1"/>
  <c r="H922" i="1"/>
  <c r="H923" i="1"/>
  <c r="H924" i="1"/>
  <c r="H926" i="1"/>
  <c r="H927" i="1"/>
  <c r="H928" i="1"/>
  <c r="H929" i="1"/>
  <c r="H930" i="1"/>
  <c r="H931" i="1"/>
  <c r="H932" i="1"/>
  <c r="H934" i="1"/>
  <c r="H935" i="1"/>
  <c r="H936" i="1"/>
  <c r="H937" i="1"/>
  <c r="H938" i="1"/>
  <c r="H939" i="1"/>
  <c r="H940" i="1"/>
  <c r="H942" i="1"/>
  <c r="H943" i="1"/>
  <c r="H944" i="1"/>
  <c r="H945" i="1"/>
  <c r="H946" i="1"/>
  <c r="H947" i="1"/>
  <c r="H948" i="1"/>
  <c r="H950" i="1"/>
  <c r="H951" i="1"/>
  <c r="H952" i="1"/>
  <c r="H953" i="1"/>
  <c r="H954" i="1"/>
  <c r="H955" i="1"/>
  <c r="H956" i="1"/>
  <c r="H958" i="1"/>
  <c r="H959" i="1"/>
  <c r="H960" i="1"/>
  <c r="H961" i="1"/>
  <c r="H962" i="1"/>
  <c r="H963" i="1"/>
  <c r="H964" i="1"/>
  <c r="H966" i="1"/>
  <c r="H967" i="1"/>
  <c r="H968" i="1"/>
  <c r="H969" i="1"/>
  <c r="H970" i="1"/>
  <c r="H971" i="1"/>
  <c r="H972" i="1"/>
  <c r="H974" i="1"/>
  <c r="H975" i="1"/>
  <c r="H976" i="1"/>
  <c r="H977" i="1"/>
  <c r="H978" i="1"/>
  <c r="H979" i="1"/>
  <c r="H980" i="1"/>
  <c r="H982" i="1"/>
  <c r="H983" i="1"/>
  <c r="H984" i="1"/>
  <c r="H985" i="1"/>
  <c r="H986" i="1"/>
  <c r="H987" i="1"/>
  <c r="H988" i="1"/>
  <c r="H990" i="1"/>
  <c r="H991" i="1"/>
  <c r="H992" i="1"/>
  <c r="H993" i="1"/>
  <c r="H994" i="1"/>
  <c r="H995" i="1"/>
  <c r="H996" i="1"/>
  <c r="H998" i="1"/>
  <c r="H999" i="1"/>
  <c r="H1000" i="1"/>
  <c r="H1001" i="1"/>
  <c r="H1002" i="1"/>
  <c r="H1003" i="1"/>
  <c r="H1004" i="1"/>
  <c r="H1006" i="1"/>
  <c r="H1007" i="1"/>
  <c r="H1008" i="1"/>
  <c r="H1009" i="1"/>
  <c r="H1010" i="1"/>
  <c r="H1011" i="1"/>
  <c r="H1012" i="1"/>
  <c r="H1014" i="1"/>
  <c r="H1015" i="1"/>
  <c r="H1016" i="1"/>
  <c r="H1017" i="1"/>
  <c r="H1018" i="1"/>
  <c r="H1019" i="1"/>
  <c r="H1020" i="1"/>
  <c r="H1022" i="1"/>
  <c r="H1023" i="1"/>
  <c r="H1024" i="1"/>
  <c r="H1025" i="1"/>
  <c r="H1026" i="1"/>
  <c r="H1027" i="1"/>
  <c r="H1028" i="1"/>
  <c r="H1030" i="1"/>
  <c r="H1031" i="1"/>
  <c r="H1032" i="1"/>
  <c r="H1033" i="1"/>
  <c r="H1034" i="1"/>
  <c r="H1035" i="1"/>
  <c r="H1036" i="1"/>
  <c r="H1038" i="1"/>
  <c r="H1039" i="1"/>
  <c r="H1040" i="1"/>
  <c r="H1041" i="1"/>
  <c r="H1042" i="1"/>
  <c r="H1043" i="1"/>
  <c r="H1044" i="1"/>
  <c r="H1046" i="1"/>
  <c r="H1047" i="1"/>
  <c r="H1048" i="1"/>
  <c r="H1049" i="1"/>
  <c r="H1050" i="1"/>
  <c r="H1051" i="1"/>
  <c r="H1052" i="1"/>
  <c r="H1054" i="1"/>
  <c r="H1055" i="1"/>
  <c r="H1056" i="1"/>
  <c r="H1057" i="1"/>
  <c r="H1058" i="1"/>
  <c r="H1059" i="1"/>
  <c r="H1060" i="1"/>
  <c r="H1062" i="1"/>
  <c r="H1063" i="1"/>
  <c r="H1064" i="1"/>
  <c r="H1065" i="1"/>
  <c r="H1066" i="1"/>
  <c r="H1067" i="1"/>
  <c r="H1068" i="1"/>
  <c r="H1070" i="1"/>
  <c r="H1071" i="1"/>
  <c r="H1072" i="1"/>
  <c r="H1073" i="1"/>
  <c r="H1074" i="1"/>
  <c r="H1075" i="1"/>
  <c r="H1076" i="1"/>
  <c r="H1078" i="1"/>
  <c r="H1079" i="1"/>
  <c r="H1080" i="1"/>
  <c r="H1081" i="1"/>
  <c r="H1082" i="1"/>
  <c r="H1083" i="1"/>
  <c r="H1084" i="1"/>
  <c r="H1086" i="1"/>
  <c r="H1087" i="1"/>
  <c r="H1088" i="1"/>
  <c r="H1089" i="1"/>
  <c r="H1090" i="1"/>
  <c r="H1091" i="1"/>
  <c r="H1092" i="1"/>
  <c r="H1094" i="1"/>
  <c r="H1095" i="1"/>
  <c r="H1096" i="1"/>
  <c r="H1097" i="1"/>
  <c r="H1098" i="1"/>
  <c r="H1099" i="1"/>
  <c r="H1100" i="1"/>
  <c r="H1102" i="1"/>
  <c r="H1103" i="1"/>
  <c r="H1104" i="1"/>
  <c r="H1105" i="1"/>
  <c r="H1106" i="1"/>
  <c r="H1107" i="1"/>
  <c r="H1108" i="1"/>
  <c r="H1110" i="1"/>
  <c r="H1111" i="1"/>
  <c r="H1112" i="1"/>
  <c r="H1113" i="1"/>
  <c r="H1114" i="1"/>
  <c r="H1115" i="1"/>
  <c r="H1116" i="1"/>
  <c r="H1118" i="1"/>
  <c r="H1119" i="1"/>
  <c r="H1120" i="1"/>
  <c r="H1121" i="1"/>
  <c r="H1122" i="1"/>
  <c r="H1123" i="1"/>
  <c r="H1124" i="1"/>
  <c r="H1126" i="1"/>
  <c r="H1127" i="1"/>
  <c r="H1128" i="1"/>
  <c r="H1129" i="1"/>
  <c r="H1130" i="1"/>
  <c r="H1131" i="1"/>
  <c r="H1132" i="1"/>
  <c r="H1134" i="1"/>
  <c r="H1135" i="1"/>
  <c r="H1136" i="1"/>
  <c r="H1137" i="1"/>
  <c r="H1138" i="1"/>
  <c r="H1139" i="1"/>
  <c r="H1140" i="1"/>
  <c r="H1142" i="1"/>
  <c r="H1143" i="1"/>
  <c r="H1144" i="1"/>
  <c r="H1145" i="1"/>
  <c r="H1146" i="1"/>
  <c r="H1147" i="1"/>
  <c r="H1148" i="1"/>
  <c r="H1150" i="1"/>
  <c r="H1151" i="1"/>
  <c r="H1152" i="1"/>
  <c r="H1153" i="1"/>
  <c r="H1154" i="1"/>
  <c r="H1155" i="1"/>
  <c r="H1156" i="1"/>
  <c r="H1158" i="1"/>
  <c r="H1159" i="1"/>
  <c r="H1160" i="1"/>
  <c r="H1161" i="1"/>
  <c r="H1162" i="1"/>
  <c r="H1163" i="1"/>
  <c r="H1164" i="1"/>
  <c r="H1166" i="1"/>
  <c r="H1167" i="1"/>
  <c r="H1168" i="1"/>
  <c r="H1169" i="1"/>
  <c r="H1170" i="1"/>
  <c r="H1171" i="1"/>
  <c r="H1172" i="1"/>
  <c r="H1174" i="1"/>
  <c r="H1175" i="1"/>
  <c r="H1176" i="1"/>
  <c r="H1177" i="1"/>
  <c r="H1178" i="1"/>
  <c r="H1179" i="1"/>
  <c r="H1180" i="1"/>
  <c r="H1182" i="1"/>
  <c r="H1183" i="1"/>
  <c r="H1184" i="1"/>
  <c r="H1185" i="1"/>
  <c r="H1186" i="1"/>
  <c r="H1187" i="1"/>
  <c r="H1188" i="1"/>
  <c r="H1190" i="1"/>
  <c r="H1191" i="1"/>
  <c r="H1192" i="1"/>
  <c r="H1193" i="1"/>
  <c r="H1194" i="1"/>
  <c r="H1195" i="1"/>
  <c r="H1196" i="1"/>
  <c r="H1198" i="1"/>
  <c r="H1199" i="1"/>
  <c r="H1200" i="1"/>
  <c r="H1201" i="1"/>
  <c r="H1202" i="1"/>
  <c r="H1203" i="1"/>
  <c r="H1204" i="1"/>
  <c r="H1206" i="1"/>
  <c r="H1207" i="1"/>
  <c r="H1208" i="1"/>
  <c r="H1209" i="1"/>
  <c r="H1210" i="1"/>
  <c r="H1211" i="1"/>
  <c r="H1212" i="1"/>
  <c r="H1214" i="1"/>
  <c r="H1215" i="1"/>
  <c r="H1216" i="1"/>
  <c r="H1217" i="1"/>
  <c r="H1218" i="1"/>
  <c r="H1219" i="1"/>
  <c r="H1220" i="1"/>
  <c r="H1222" i="1"/>
  <c r="H1223" i="1"/>
  <c r="H1224" i="1"/>
  <c r="H1225" i="1"/>
  <c r="H1226" i="1"/>
  <c r="H1227" i="1"/>
  <c r="H1228" i="1"/>
  <c r="H1230" i="1"/>
  <c r="H1231" i="1"/>
  <c r="H1232" i="1"/>
  <c r="H1233" i="1"/>
  <c r="H1234" i="1"/>
  <c r="H1235" i="1"/>
  <c r="H1236" i="1"/>
  <c r="H1238" i="1"/>
  <c r="H1239" i="1"/>
  <c r="H1240" i="1"/>
  <c r="H1241" i="1"/>
  <c r="H1242" i="1"/>
  <c r="H1243" i="1"/>
  <c r="H1244" i="1"/>
  <c r="H1246" i="1"/>
  <c r="H1247" i="1"/>
  <c r="H1248" i="1"/>
  <c r="H1249" i="1"/>
  <c r="H1250" i="1"/>
  <c r="H1251" i="1"/>
  <c r="H1252" i="1"/>
  <c r="H1254" i="1"/>
  <c r="H1255" i="1"/>
  <c r="H1256" i="1"/>
  <c r="H1257" i="1"/>
  <c r="H1258" i="1"/>
  <c r="H1259" i="1"/>
  <c r="H1260" i="1"/>
  <c r="H1262" i="1"/>
  <c r="H1263" i="1"/>
  <c r="H1264" i="1"/>
  <c r="H1265" i="1"/>
  <c r="H1266" i="1"/>
  <c r="H1267" i="1"/>
  <c r="H1268" i="1"/>
  <c r="H1270" i="1"/>
  <c r="H1271" i="1"/>
  <c r="H1272" i="1"/>
  <c r="H1273" i="1"/>
  <c r="H1274" i="1"/>
  <c r="H1275" i="1"/>
  <c r="H1276" i="1"/>
  <c r="H1278" i="1"/>
  <c r="H1279" i="1"/>
  <c r="H1280" i="1"/>
  <c r="H1281" i="1"/>
  <c r="H1282" i="1"/>
  <c r="H1283" i="1"/>
  <c r="H1284" i="1"/>
  <c r="H1286" i="1"/>
  <c r="H1287" i="1"/>
  <c r="H1288" i="1"/>
  <c r="H1289" i="1"/>
  <c r="H1290" i="1"/>
  <c r="H1291" i="1"/>
  <c r="H1292" i="1"/>
  <c r="H1294" i="1"/>
  <c r="H1295" i="1"/>
  <c r="H1296" i="1"/>
  <c r="H1297" i="1"/>
  <c r="H1298" i="1"/>
  <c r="H1299" i="1"/>
  <c r="H1300" i="1"/>
  <c r="H1302" i="1"/>
  <c r="H1303" i="1"/>
  <c r="H1304" i="1"/>
  <c r="H1305" i="1"/>
  <c r="H1306" i="1"/>
  <c r="H1307" i="1"/>
  <c r="H1308" i="1"/>
  <c r="H1310" i="1"/>
  <c r="H1311" i="1"/>
  <c r="H1312" i="1"/>
  <c r="H1313" i="1"/>
  <c r="H1314" i="1"/>
  <c r="H1315" i="1"/>
  <c r="H1316" i="1"/>
  <c r="H1318" i="1"/>
  <c r="H1319" i="1"/>
  <c r="H1320" i="1"/>
  <c r="H1321" i="1"/>
  <c r="H1322" i="1"/>
  <c r="H1323" i="1"/>
  <c r="H1324" i="1"/>
  <c r="H1326" i="1"/>
  <c r="H1327" i="1"/>
  <c r="H1328" i="1"/>
  <c r="H1329" i="1"/>
  <c r="H1330" i="1"/>
  <c r="H1331" i="1"/>
  <c r="H1332" i="1"/>
  <c r="H1334" i="1"/>
  <c r="H1335" i="1"/>
  <c r="H1336" i="1"/>
  <c r="H1337" i="1"/>
  <c r="H1338" i="1"/>
  <c r="H1339" i="1"/>
  <c r="H1340" i="1"/>
  <c r="H1342" i="1"/>
  <c r="H1343" i="1"/>
  <c r="H1344" i="1"/>
  <c r="H1345" i="1"/>
  <c r="H1346" i="1"/>
  <c r="H1347" i="1"/>
  <c r="H1348" i="1"/>
  <c r="H1350" i="1"/>
  <c r="H1351" i="1"/>
  <c r="H1352" i="1"/>
  <c r="H1353" i="1"/>
  <c r="H1354" i="1"/>
  <c r="H1355" i="1"/>
  <c r="H1356" i="1"/>
  <c r="H1358" i="1"/>
  <c r="H1359" i="1"/>
  <c r="H1360" i="1"/>
  <c r="H1361" i="1"/>
  <c r="H1362" i="1"/>
  <c r="H1363" i="1"/>
  <c r="H1364" i="1"/>
  <c r="H1366" i="1"/>
  <c r="H1367" i="1"/>
  <c r="H1368" i="1"/>
  <c r="H1369" i="1"/>
  <c r="H1370" i="1"/>
  <c r="H1371" i="1"/>
  <c r="H1372" i="1"/>
  <c r="H1374" i="1"/>
  <c r="H1375" i="1"/>
  <c r="H1376" i="1"/>
  <c r="H1377" i="1"/>
  <c r="H1378" i="1"/>
  <c r="H1379" i="1"/>
  <c r="H1380" i="1"/>
  <c r="H1382" i="1"/>
  <c r="H1383" i="1"/>
  <c r="H1384" i="1"/>
  <c r="H1385" i="1"/>
  <c r="H1386" i="1"/>
  <c r="H1387" i="1"/>
  <c r="H1388" i="1"/>
  <c r="H1390" i="1"/>
  <c r="H1391" i="1"/>
  <c r="H1392" i="1"/>
  <c r="H1393" i="1"/>
  <c r="H1394" i="1"/>
  <c r="H1395" i="1"/>
  <c r="H1396" i="1"/>
  <c r="H1398" i="1"/>
  <c r="H1399" i="1"/>
  <c r="H1400" i="1"/>
  <c r="H1401" i="1"/>
  <c r="H1402" i="1"/>
  <c r="H1403" i="1"/>
  <c r="H1404" i="1"/>
  <c r="H1406" i="1"/>
  <c r="H1407" i="1"/>
  <c r="H1408" i="1"/>
  <c r="H1409" i="1"/>
  <c r="H1410" i="1"/>
  <c r="H1411" i="1"/>
  <c r="H1412" i="1"/>
  <c r="H1414" i="1"/>
  <c r="H1415" i="1"/>
  <c r="H1416" i="1"/>
  <c r="H1417" i="1"/>
  <c r="H1418" i="1"/>
  <c r="H1419" i="1"/>
  <c r="H1420" i="1"/>
  <c r="H1422" i="1"/>
  <c r="H1423" i="1"/>
  <c r="H1424" i="1"/>
  <c r="H1425" i="1"/>
  <c r="H1426" i="1"/>
  <c r="H1427" i="1"/>
  <c r="H1428" i="1"/>
  <c r="H1430" i="1"/>
  <c r="H1431" i="1"/>
  <c r="H1432" i="1"/>
  <c r="H1433" i="1"/>
  <c r="H1434" i="1"/>
  <c r="H1435" i="1"/>
  <c r="H1436" i="1"/>
  <c r="H1438" i="1"/>
  <c r="H1439" i="1"/>
  <c r="H1440" i="1"/>
  <c r="H1441" i="1"/>
  <c r="H1442" i="1"/>
  <c r="H1443" i="1"/>
  <c r="H1444" i="1"/>
  <c r="H1446" i="1"/>
  <c r="H1447" i="1"/>
  <c r="H1448" i="1"/>
  <c r="H1449" i="1"/>
  <c r="H1450" i="1"/>
  <c r="H1451" i="1"/>
  <c r="H1452" i="1"/>
  <c r="H1454" i="1"/>
  <c r="H1455" i="1"/>
  <c r="H1456" i="1"/>
  <c r="H1457" i="1"/>
  <c r="H1458" i="1"/>
  <c r="H1459" i="1"/>
  <c r="H1460" i="1"/>
  <c r="H1462" i="1"/>
  <c r="H1463" i="1"/>
  <c r="H1464" i="1"/>
  <c r="H1465" i="1"/>
  <c r="H1466" i="1"/>
  <c r="H1467" i="1"/>
  <c r="H1468" i="1"/>
  <c r="H1470" i="1"/>
  <c r="H1471" i="1"/>
  <c r="H1472" i="1"/>
  <c r="H1473" i="1"/>
  <c r="H1474" i="1"/>
  <c r="H1475" i="1"/>
  <c r="H1476" i="1"/>
  <c r="H1478" i="1"/>
  <c r="H1479" i="1"/>
  <c r="H1480" i="1"/>
  <c r="H1481" i="1"/>
  <c r="H1482" i="1"/>
  <c r="H1483" i="1"/>
  <c r="H1484" i="1"/>
  <c r="H1486" i="1"/>
  <c r="H1487" i="1"/>
  <c r="H1488" i="1"/>
  <c r="H1489" i="1"/>
  <c r="H1490" i="1"/>
  <c r="H1491" i="1"/>
  <c r="H1492" i="1"/>
  <c r="H1494" i="1"/>
  <c r="H1495" i="1"/>
  <c r="H1496" i="1"/>
  <c r="H1497" i="1"/>
  <c r="H1498" i="1"/>
  <c r="H1499" i="1"/>
  <c r="H1500" i="1"/>
  <c r="H1502" i="1"/>
  <c r="H1503" i="1"/>
  <c r="H1504" i="1"/>
  <c r="H1505" i="1"/>
  <c r="H1506" i="1"/>
  <c r="H1507" i="1"/>
  <c r="H1508" i="1"/>
  <c r="H1510" i="1"/>
  <c r="H1511" i="1"/>
  <c r="H1512" i="1"/>
  <c r="H1513" i="1"/>
  <c r="H1514" i="1"/>
  <c r="H1515" i="1"/>
  <c r="H1516" i="1"/>
  <c r="H1518" i="1"/>
  <c r="H1519" i="1"/>
  <c r="H1520" i="1"/>
  <c r="H1521" i="1"/>
  <c r="H1522" i="1"/>
  <c r="H1523" i="1"/>
  <c r="H1524" i="1"/>
  <c r="H1526" i="1"/>
  <c r="H1527" i="1"/>
  <c r="H1528" i="1"/>
  <c r="H1529" i="1"/>
  <c r="H1530" i="1"/>
  <c r="H1531" i="1"/>
  <c r="H1532" i="1"/>
  <c r="H1534" i="1"/>
  <c r="H1535" i="1"/>
  <c r="H1536" i="1"/>
  <c r="H1537" i="1"/>
  <c r="H1538" i="1"/>
  <c r="H1539" i="1"/>
  <c r="H1540" i="1"/>
  <c r="H1542" i="1"/>
  <c r="H1543" i="1"/>
  <c r="H1544" i="1"/>
  <c r="H1545" i="1"/>
  <c r="H1546" i="1"/>
  <c r="H1547" i="1"/>
  <c r="H1548" i="1"/>
  <c r="H1550" i="1"/>
  <c r="H1551" i="1"/>
  <c r="H1552" i="1"/>
  <c r="H1553" i="1"/>
  <c r="H1554" i="1"/>
  <c r="H1555" i="1"/>
  <c r="H1556" i="1"/>
  <c r="H1558" i="1"/>
  <c r="H1559" i="1"/>
  <c r="H1560" i="1"/>
  <c r="H1561" i="1"/>
  <c r="H1562" i="1"/>
  <c r="H1563" i="1"/>
  <c r="H1564" i="1"/>
  <c r="H1566" i="1"/>
  <c r="H1567" i="1"/>
  <c r="H1568" i="1"/>
  <c r="H1569" i="1"/>
  <c r="H1570" i="1"/>
  <c r="H1571" i="1"/>
  <c r="H1572" i="1"/>
  <c r="H1574" i="1"/>
  <c r="H1575" i="1"/>
  <c r="H1576" i="1"/>
  <c r="H1577" i="1"/>
  <c r="H1578" i="1"/>
  <c r="H1579" i="1"/>
  <c r="H1580" i="1"/>
  <c r="H1582" i="1"/>
  <c r="H1583" i="1"/>
  <c r="H1584" i="1"/>
  <c r="H1585" i="1"/>
  <c r="H1586" i="1"/>
  <c r="H1587" i="1"/>
  <c r="H1588" i="1"/>
  <c r="H1590" i="1"/>
  <c r="H1591" i="1"/>
  <c r="H1592" i="1"/>
  <c r="H1593" i="1"/>
  <c r="H1594" i="1"/>
  <c r="H1595" i="1"/>
  <c r="H1596" i="1"/>
  <c r="H1598" i="1"/>
  <c r="H1599" i="1"/>
  <c r="H1600" i="1"/>
  <c r="H1601" i="1"/>
  <c r="H1602" i="1"/>
  <c r="H1603" i="1"/>
  <c r="H1604" i="1"/>
  <c r="H1606" i="1"/>
  <c r="H1607" i="1"/>
  <c r="H1608" i="1"/>
  <c r="H1609" i="1"/>
  <c r="H1610" i="1"/>
  <c r="H1611" i="1"/>
  <c r="H1612" i="1"/>
  <c r="H1614" i="1"/>
  <c r="H1615" i="1"/>
  <c r="H1616" i="1"/>
  <c r="H1617" i="1"/>
  <c r="H1618" i="1"/>
  <c r="H1619" i="1"/>
  <c r="H1620" i="1"/>
  <c r="H1622" i="1"/>
  <c r="H1623" i="1"/>
  <c r="H1624" i="1"/>
  <c r="H1625" i="1"/>
  <c r="H1626" i="1"/>
  <c r="H1627" i="1"/>
  <c r="H1628" i="1"/>
  <c r="H1630" i="1"/>
  <c r="H1631" i="1"/>
  <c r="H1632" i="1"/>
  <c r="H1633" i="1"/>
  <c r="H1634" i="1"/>
  <c r="H1635" i="1"/>
  <c r="H1636" i="1"/>
  <c r="H1638" i="1"/>
  <c r="H1639" i="1"/>
  <c r="H1640" i="1"/>
  <c r="H1641" i="1"/>
  <c r="H1642" i="1"/>
  <c r="H1643" i="1"/>
  <c r="H1644" i="1"/>
  <c r="H1646" i="1"/>
  <c r="H1647" i="1"/>
  <c r="H1648" i="1"/>
  <c r="H1649" i="1"/>
  <c r="H1650" i="1"/>
  <c r="H1651" i="1"/>
  <c r="H1652" i="1"/>
  <c r="H1654" i="1"/>
  <c r="H1655" i="1"/>
  <c r="H1656" i="1"/>
  <c r="H1657" i="1"/>
  <c r="H1658" i="1"/>
  <c r="H1659" i="1"/>
  <c r="H1660" i="1"/>
  <c r="H1662" i="1"/>
  <c r="H1663" i="1"/>
  <c r="H1664" i="1"/>
  <c r="H1665" i="1"/>
  <c r="H1666" i="1"/>
  <c r="H1667" i="1"/>
  <c r="H1668" i="1"/>
  <c r="H1670" i="1"/>
  <c r="H1671" i="1"/>
  <c r="H1672" i="1"/>
  <c r="H1673" i="1"/>
  <c r="H1674" i="1"/>
  <c r="H1675" i="1"/>
  <c r="H1676" i="1"/>
  <c r="H1678" i="1"/>
  <c r="H1679" i="1"/>
  <c r="H1680" i="1"/>
  <c r="H1681" i="1"/>
  <c r="H1682" i="1"/>
  <c r="H1683" i="1"/>
  <c r="H1684" i="1"/>
  <c r="H1686" i="1"/>
  <c r="H1687" i="1"/>
  <c r="H1688" i="1"/>
  <c r="H1689" i="1"/>
  <c r="H1690" i="1"/>
  <c r="H1691" i="1"/>
  <c r="H1692" i="1"/>
  <c r="H1694" i="1"/>
  <c r="H1695" i="1"/>
  <c r="H1696" i="1"/>
  <c r="H1697" i="1"/>
  <c r="H1698" i="1"/>
  <c r="H1699" i="1"/>
  <c r="H1700" i="1"/>
  <c r="H1702" i="1"/>
  <c r="H1703" i="1"/>
  <c r="H1704" i="1"/>
  <c r="H1705" i="1"/>
  <c r="H1706" i="1"/>
  <c r="H1707" i="1"/>
  <c r="H1708" i="1"/>
  <c r="H1710" i="1"/>
  <c r="H1711" i="1"/>
  <c r="H1712" i="1"/>
  <c r="H1713" i="1"/>
  <c r="H1714" i="1"/>
  <c r="H1715" i="1"/>
  <c r="H1716" i="1"/>
  <c r="H1718" i="1"/>
  <c r="H1719" i="1"/>
  <c r="H1720" i="1"/>
  <c r="H1721" i="1"/>
  <c r="H1722" i="1"/>
  <c r="H1723" i="1"/>
  <c r="H1724" i="1"/>
  <c r="H1726" i="1"/>
  <c r="H1727" i="1"/>
  <c r="H1728" i="1"/>
  <c r="H1729" i="1"/>
  <c r="H1730" i="1"/>
  <c r="H1731" i="1"/>
  <c r="H1732" i="1"/>
  <c r="H1734" i="1"/>
  <c r="H1735" i="1"/>
  <c r="H1736" i="1"/>
  <c r="H1737" i="1"/>
  <c r="H1738" i="1"/>
  <c r="H1739" i="1"/>
  <c r="H1740" i="1"/>
  <c r="H1742" i="1"/>
  <c r="H1743" i="1"/>
  <c r="H1744" i="1"/>
  <c r="H1745" i="1"/>
  <c r="H1746" i="1"/>
  <c r="H1747" i="1"/>
  <c r="H1748" i="1"/>
  <c r="H1750" i="1"/>
  <c r="H1751" i="1"/>
  <c r="H1752" i="1"/>
  <c r="H1753" i="1"/>
  <c r="H1754" i="1"/>
  <c r="H1755" i="1"/>
  <c r="H1756" i="1"/>
  <c r="H1758" i="1"/>
  <c r="H1759" i="1"/>
  <c r="H1760" i="1"/>
  <c r="H1761" i="1"/>
  <c r="H1762" i="1"/>
  <c r="H1763" i="1"/>
  <c r="H1764" i="1"/>
  <c r="H1766" i="1"/>
  <c r="H1767" i="1"/>
  <c r="H1768" i="1"/>
  <c r="H1769" i="1"/>
  <c r="H1770" i="1"/>
  <c r="H1771" i="1"/>
  <c r="H1772" i="1"/>
  <c r="H1774" i="1"/>
  <c r="H1775" i="1"/>
  <c r="H1776" i="1"/>
  <c r="H1777" i="1"/>
  <c r="H1778" i="1"/>
  <c r="H1779" i="1"/>
  <c r="H1780" i="1"/>
  <c r="H1782" i="1"/>
  <c r="H1783" i="1"/>
  <c r="H1784" i="1"/>
  <c r="H1785" i="1"/>
  <c r="H1786" i="1"/>
  <c r="H1787" i="1"/>
  <c r="H1788" i="1"/>
  <c r="H1790" i="1"/>
  <c r="H1791" i="1"/>
  <c r="H1792" i="1"/>
  <c r="H1793" i="1"/>
  <c r="H1794" i="1"/>
  <c r="H1795" i="1"/>
  <c r="H1796" i="1"/>
  <c r="H1798" i="1"/>
  <c r="H1799" i="1"/>
  <c r="H1800" i="1"/>
  <c r="H1801" i="1"/>
  <c r="H1802" i="1"/>
  <c r="H1803" i="1"/>
  <c r="H1804" i="1"/>
  <c r="H1806" i="1"/>
  <c r="H1807" i="1"/>
  <c r="H1808" i="1"/>
  <c r="H1809" i="1"/>
  <c r="H1810" i="1"/>
  <c r="H1811" i="1"/>
  <c r="H1812" i="1"/>
  <c r="H1814" i="1"/>
  <c r="H1815" i="1"/>
  <c r="H1816" i="1"/>
  <c r="H1817" i="1"/>
  <c r="H1818" i="1"/>
  <c r="H1819" i="1"/>
  <c r="H1820" i="1"/>
  <c r="H1822" i="1"/>
  <c r="H1823" i="1"/>
  <c r="H1824" i="1"/>
  <c r="H1825" i="1"/>
  <c r="H1826" i="1"/>
  <c r="H1827" i="1"/>
  <c r="H1828" i="1"/>
  <c r="H1830" i="1"/>
  <c r="H1831" i="1"/>
  <c r="H1832" i="1"/>
  <c r="H1833" i="1"/>
  <c r="H1834" i="1"/>
  <c r="H1835" i="1"/>
  <c r="H1836" i="1"/>
  <c r="H1838" i="1"/>
  <c r="H1839" i="1"/>
  <c r="H1840" i="1"/>
  <c r="H1841" i="1"/>
  <c r="H1842" i="1"/>
  <c r="H1843" i="1"/>
  <c r="H1844" i="1"/>
  <c r="H1846" i="1"/>
  <c r="H1847" i="1"/>
  <c r="H1848" i="1"/>
  <c r="H1849" i="1"/>
  <c r="H1850" i="1"/>
  <c r="H1851" i="1"/>
  <c r="H1852" i="1"/>
  <c r="H1854" i="1"/>
  <c r="H1855" i="1"/>
  <c r="H1856" i="1"/>
  <c r="H1857" i="1"/>
  <c r="H1858" i="1"/>
  <c r="H1859" i="1"/>
  <c r="H1860" i="1"/>
  <c r="H1862" i="1"/>
  <c r="H1863" i="1"/>
  <c r="H1864" i="1"/>
  <c r="H1865" i="1"/>
  <c r="H1866" i="1"/>
  <c r="H1867" i="1"/>
  <c r="H1868" i="1"/>
  <c r="H1870" i="1"/>
  <c r="H1871" i="1"/>
  <c r="H1872" i="1"/>
  <c r="H1873" i="1"/>
  <c r="H1874" i="1"/>
  <c r="H1875" i="1"/>
  <c r="H1876" i="1"/>
  <c r="H1878" i="1"/>
  <c r="H1879" i="1"/>
  <c r="H1880" i="1"/>
  <c r="H1881" i="1"/>
  <c r="H1882" i="1"/>
  <c r="H1883" i="1"/>
  <c r="H1884" i="1"/>
  <c r="H1886" i="1"/>
  <c r="H1887" i="1"/>
  <c r="H1888" i="1"/>
  <c r="H1889" i="1"/>
  <c r="H1890" i="1"/>
  <c r="H1891" i="1"/>
  <c r="H1892" i="1"/>
  <c r="H1894" i="1"/>
  <c r="H1895" i="1"/>
  <c r="H1896" i="1"/>
  <c r="H1897" i="1"/>
  <c r="H1898" i="1"/>
  <c r="H1899" i="1"/>
  <c r="H1900" i="1"/>
  <c r="H1902" i="1"/>
  <c r="H1903" i="1"/>
  <c r="H1904" i="1"/>
  <c r="H1905" i="1"/>
  <c r="H1906" i="1"/>
  <c r="H1907" i="1"/>
  <c r="H1908" i="1"/>
  <c r="H1910" i="1"/>
  <c r="H1911" i="1"/>
  <c r="H1912" i="1"/>
  <c r="H1913" i="1"/>
  <c r="H1914" i="1"/>
  <c r="H1915" i="1"/>
  <c r="H1916" i="1"/>
  <c r="H1918" i="1"/>
  <c r="H1919" i="1"/>
  <c r="H1920" i="1"/>
  <c r="H1921" i="1"/>
  <c r="H1922" i="1"/>
  <c r="H1923" i="1"/>
  <c r="H1924" i="1"/>
  <c r="H1926" i="1"/>
  <c r="H1927" i="1"/>
  <c r="H1928" i="1"/>
  <c r="H1929" i="1"/>
  <c r="H1930" i="1"/>
  <c r="H1931" i="1"/>
  <c r="H1932" i="1"/>
  <c r="H1934" i="1"/>
  <c r="H1935" i="1"/>
  <c r="H1936" i="1"/>
  <c r="H1937" i="1"/>
  <c r="H1938" i="1"/>
  <c r="H1939" i="1"/>
  <c r="H1940" i="1"/>
  <c r="H1942" i="1"/>
  <c r="H1943" i="1"/>
  <c r="H1944" i="1"/>
  <c r="H1945" i="1"/>
  <c r="H1946" i="1"/>
  <c r="H1947" i="1"/>
  <c r="H1948" i="1"/>
  <c r="H1950" i="1"/>
  <c r="H1951" i="1"/>
  <c r="H1952" i="1"/>
  <c r="H1953" i="1"/>
  <c r="H1954" i="1"/>
  <c r="H1955" i="1"/>
  <c r="H1956" i="1"/>
  <c r="H1958" i="1"/>
  <c r="H1959" i="1"/>
  <c r="H1960" i="1"/>
  <c r="H1961" i="1"/>
  <c r="H1962" i="1"/>
  <c r="H1963" i="1"/>
  <c r="H1964" i="1"/>
  <c r="H1966" i="1"/>
  <c r="H1967" i="1"/>
  <c r="H1968" i="1"/>
  <c r="H1969" i="1"/>
  <c r="H1970" i="1"/>
  <c r="H1971" i="1"/>
  <c r="H1972" i="1"/>
  <c r="H1974" i="1"/>
  <c r="H1975" i="1"/>
  <c r="H1976" i="1"/>
  <c r="H1977" i="1"/>
  <c r="H1978" i="1"/>
  <c r="H1979" i="1"/>
  <c r="H1980" i="1"/>
  <c r="H1982" i="1"/>
  <c r="H1983" i="1"/>
  <c r="H1984" i="1"/>
  <c r="H1985" i="1"/>
  <c r="H1986" i="1"/>
  <c r="H1987" i="1"/>
  <c r="H1988" i="1"/>
  <c r="H1990" i="1"/>
  <c r="H1991" i="1"/>
  <c r="H1992" i="1"/>
  <c r="H1993" i="1"/>
  <c r="H1994" i="1"/>
  <c r="H1995" i="1"/>
  <c r="H1996" i="1"/>
  <c r="H1998" i="1"/>
  <c r="H1999" i="1"/>
  <c r="H2000" i="1"/>
  <c r="H2001" i="1"/>
  <c r="H2002" i="1"/>
  <c r="H2003" i="1"/>
  <c r="H2004" i="1"/>
  <c r="H2006" i="1"/>
  <c r="H2007" i="1"/>
  <c r="H2008" i="1"/>
  <c r="H2009" i="1"/>
  <c r="H2010" i="1"/>
  <c r="H2011" i="1"/>
  <c r="H2012" i="1"/>
  <c r="H2014" i="1"/>
  <c r="H2015" i="1"/>
  <c r="H2016" i="1"/>
  <c r="H2017" i="1"/>
  <c r="H2018" i="1"/>
  <c r="H2019" i="1"/>
  <c r="H2020" i="1"/>
  <c r="H2022" i="1"/>
  <c r="H2023" i="1"/>
  <c r="H2024" i="1"/>
  <c r="H2025" i="1"/>
  <c r="H2026" i="1"/>
  <c r="H2027" i="1"/>
  <c r="H2028" i="1"/>
  <c r="H2030" i="1"/>
  <c r="H2031" i="1"/>
  <c r="H2032" i="1"/>
  <c r="H2033" i="1"/>
  <c r="H2034" i="1"/>
  <c r="H2035" i="1"/>
  <c r="H2036" i="1"/>
  <c r="H2038" i="1"/>
  <c r="H2039" i="1"/>
  <c r="H2040" i="1"/>
  <c r="H2041" i="1"/>
  <c r="H2042" i="1"/>
  <c r="H2043" i="1"/>
  <c r="H2044" i="1"/>
  <c r="H2046" i="1"/>
  <c r="H2047" i="1"/>
  <c r="H2048" i="1"/>
  <c r="H2049" i="1"/>
  <c r="H2050" i="1"/>
  <c r="H2051" i="1"/>
  <c r="H2052" i="1"/>
  <c r="H2054" i="1"/>
  <c r="H2055" i="1"/>
  <c r="H2056" i="1"/>
  <c r="H2057" i="1"/>
  <c r="H2058" i="1"/>
  <c r="H2059" i="1"/>
  <c r="H2060" i="1"/>
  <c r="H2062" i="1"/>
  <c r="H2063" i="1"/>
  <c r="H2064" i="1"/>
  <c r="H2065" i="1"/>
  <c r="H2066" i="1"/>
  <c r="H2067" i="1"/>
  <c r="H2068" i="1"/>
  <c r="H2070" i="1"/>
  <c r="H2071" i="1"/>
  <c r="H2072" i="1"/>
  <c r="H2073" i="1"/>
  <c r="H2074" i="1"/>
  <c r="H2075" i="1"/>
  <c r="H2076" i="1"/>
  <c r="H2078" i="1"/>
  <c r="H2079" i="1"/>
  <c r="H2080" i="1"/>
  <c r="H2081" i="1"/>
  <c r="H2082" i="1"/>
  <c r="H2083" i="1"/>
  <c r="H2084" i="1"/>
  <c r="H2086" i="1"/>
  <c r="H2087" i="1"/>
  <c r="H2088" i="1"/>
  <c r="H2089" i="1"/>
  <c r="H2090" i="1"/>
  <c r="H2091" i="1"/>
  <c r="H2092" i="1"/>
  <c r="H2094" i="1"/>
  <c r="H2095" i="1"/>
  <c r="H2096" i="1"/>
  <c r="H2097" i="1"/>
  <c r="H2098" i="1"/>
  <c r="H2099" i="1"/>
  <c r="H2100" i="1"/>
  <c r="H2102" i="1"/>
  <c r="H2103" i="1"/>
  <c r="H2104" i="1"/>
  <c r="H2105" i="1"/>
  <c r="H2106" i="1"/>
  <c r="H2107" i="1"/>
  <c r="H2108" i="1"/>
  <c r="H2110" i="1"/>
  <c r="H2111" i="1"/>
  <c r="H2112" i="1"/>
  <c r="H2113" i="1"/>
  <c r="H2114" i="1"/>
  <c r="H2115" i="1"/>
  <c r="H2116" i="1"/>
  <c r="H2118" i="1"/>
  <c r="H2119" i="1"/>
  <c r="H2120" i="1"/>
  <c r="H2121" i="1"/>
  <c r="H2122" i="1"/>
  <c r="H2123" i="1"/>
  <c r="H2124" i="1"/>
  <c r="H2126" i="1"/>
  <c r="H2127" i="1"/>
  <c r="H2128" i="1"/>
  <c r="H2129" i="1"/>
  <c r="H2130" i="1"/>
  <c r="H2131" i="1"/>
  <c r="H2132" i="1"/>
  <c r="H2134" i="1"/>
  <c r="H2135" i="1"/>
  <c r="H2136" i="1"/>
  <c r="H2137" i="1"/>
  <c r="H2138" i="1"/>
  <c r="H2139" i="1"/>
  <c r="H2140" i="1"/>
  <c r="H2142" i="1"/>
  <c r="H2143" i="1"/>
  <c r="H2144" i="1"/>
  <c r="H2145" i="1"/>
  <c r="H2146" i="1"/>
  <c r="H2147" i="1"/>
  <c r="H2148" i="1"/>
  <c r="H2150" i="1"/>
  <c r="H2151" i="1"/>
  <c r="H2152" i="1"/>
  <c r="H2153" i="1"/>
  <c r="H2154" i="1"/>
  <c r="H2155" i="1"/>
  <c r="H2156" i="1"/>
  <c r="H2158" i="1"/>
  <c r="H2159" i="1"/>
  <c r="H2160" i="1"/>
  <c r="H2161" i="1"/>
  <c r="H2162" i="1"/>
  <c r="H2163" i="1"/>
  <c r="H2164" i="1"/>
  <c r="H2166" i="1"/>
  <c r="H2167" i="1"/>
  <c r="H2168" i="1"/>
  <c r="H2169" i="1"/>
  <c r="H2170" i="1"/>
  <c r="H2171" i="1"/>
  <c r="H2172" i="1"/>
  <c r="H2174" i="1"/>
  <c r="H2175" i="1"/>
  <c r="H2176" i="1"/>
  <c r="H2177" i="1"/>
  <c r="H2178" i="1"/>
  <c r="H2179" i="1"/>
  <c r="H2180" i="1"/>
  <c r="H2182" i="1"/>
  <c r="H2183" i="1"/>
  <c r="H2184" i="1"/>
  <c r="H2185" i="1"/>
  <c r="H2186" i="1"/>
  <c r="H2187" i="1"/>
  <c r="H2188" i="1"/>
  <c r="H2190" i="1"/>
  <c r="H2191" i="1"/>
  <c r="H2192" i="1"/>
  <c r="H2193" i="1"/>
  <c r="H2194" i="1"/>
  <c r="H2195" i="1"/>
  <c r="H2196" i="1"/>
  <c r="H2198" i="1"/>
  <c r="H2199" i="1"/>
  <c r="H2200" i="1"/>
  <c r="H2201" i="1"/>
  <c r="H2202" i="1"/>
  <c r="H2203" i="1"/>
  <c r="H2204" i="1"/>
  <c r="H2206" i="1"/>
  <c r="H2207" i="1"/>
  <c r="H2208" i="1"/>
  <c r="H2209" i="1"/>
  <c r="H2210" i="1"/>
  <c r="H2211" i="1"/>
  <c r="H2212" i="1"/>
  <c r="H2214" i="1"/>
  <c r="H2215" i="1"/>
  <c r="H2216" i="1"/>
  <c r="H2217" i="1"/>
  <c r="H2218" i="1"/>
  <c r="H2219" i="1"/>
  <c r="H2220" i="1"/>
  <c r="H2222" i="1"/>
  <c r="H2223" i="1"/>
  <c r="H2224" i="1"/>
  <c r="H2225" i="1"/>
  <c r="H2226" i="1"/>
  <c r="H2227" i="1"/>
  <c r="H2228" i="1"/>
  <c r="H2230" i="1"/>
  <c r="H2231" i="1"/>
  <c r="H2232" i="1"/>
  <c r="H2233" i="1"/>
  <c r="H2234" i="1"/>
  <c r="H2235" i="1"/>
  <c r="H2236" i="1"/>
  <c r="H2238" i="1"/>
  <c r="H2239" i="1"/>
  <c r="H2240" i="1"/>
  <c r="H2241" i="1"/>
  <c r="H2242" i="1"/>
  <c r="H2243" i="1"/>
  <c r="H2244" i="1"/>
  <c r="H2246" i="1"/>
  <c r="H2247" i="1"/>
  <c r="H2248" i="1"/>
  <c r="H2249" i="1"/>
  <c r="H2250" i="1"/>
  <c r="H2251" i="1"/>
  <c r="H2252" i="1"/>
  <c r="H2254" i="1"/>
  <c r="H2255" i="1"/>
  <c r="H2256" i="1"/>
  <c r="H2257" i="1"/>
  <c r="H2258" i="1"/>
  <c r="H2259" i="1"/>
  <c r="H2260" i="1"/>
  <c r="H2262" i="1"/>
  <c r="H2263" i="1"/>
  <c r="H2264" i="1"/>
  <c r="H2265" i="1"/>
  <c r="H2266" i="1"/>
  <c r="H2267" i="1"/>
  <c r="H2268" i="1"/>
  <c r="H2270" i="1"/>
  <c r="H2271" i="1"/>
  <c r="H2272" i="1"/>
  <c r="H2273" i="1"/>
  <c r="H2274" i="1"/>
  <c r="H2275" i="1"/>
  <c r="H2276" i="1"/>
  <c r="H2278" i="1"/>
  <c r="H2279" i="1"/>
  <c r="H2280" i="1"/>
  <c r="H2281" i="1"/>
  <c r="H2282" i="1"/>
  <c r="H2283" i="1"/>
  <c r="H2284" i="1"/>
  <c r="H2286" i="1"/>
  <c r="H2287" i="1"/>
  <c r="H2288" i="1"/>
  <c r="H2289" i="1"/>
  <c r="H2290" i="1"/>
  <c r="H2291" i="1"/>
  <c r="H2292" i="1"/>
  <c r="H2294" i="1"/>
  <c r="H2295" i="1"/>
  <c r="H2296" i="1"/>
  <c r="H2297" i="1"/>
  <c r="H2298" i="1"/>
  <c r="H2299" i="1"/>
  <c r="H2300" i="1"/>
  <c r="H2302" i="1"/>
  <c r="H2303" i="1"/>
  <c r="H2304" i="1"/>
  <c r="H2305" i="1"/>
  <c r="H2306" i="1"/>
  <c r="H2307" i="1"/>
  <c r="H2308" i="1"/>
  <c r="H2310" i="1"/>
  <c r="H2311" i="1"/>
  <c r="H2312" i="1"/>
  <c r="H2313" i="1"/>
  <c r="H2314" i="1"/>
  <c r="H2315" i="1"/>
  <c r="H2316" i="1"/>
  <c r="H2318" i="1"/>
  <c r="H2319" i="1"/>
  <c r="H2320" i="1"/>
  <c r="H2321" i="1"/>
  <c r="H2322" i="1"/>
  <c r="H2323" i="1"/>
  <c r="H2324" i="1"/>
  <c r="H2326" i="1"/>
  <c r="H2327" i="1"/>
  <c r="H2328" i="1"/>
  <c r="H2329" i="1"/>
  <c r="H2330" i="1"/>
  <c r="H2331" i="1"/>
  <c r="H2332" i="1"/>
  <c r="H2334" i="1"/>
  <c r="H2335" i="1"/>
  <c r="H2336" i="1"/>
  <c r="H2337" i="1"/>
  <c r="H2338" i="1"/>
  <c r="H2339" i="1"/>
  <c r="H2340" i="1"/>
  <c r="H2342" i="1"/>
  <c r="H2343" i="1"/>
  <c r="H2344" i="1"/>
  <c r="H2345" i="1"/>
  <c r="H2346" i="1"/>
  <c r="H2347" i="1"/>
  <c r="H2348" i="1"/>
  <c r="H2350" i="1"/>
  <c r="H2351" i="1"/>
  <c r="H2352" i="1"/>
  <c r="H2353" i="1"/>
  <c r="H2354" i="1"/>
  <c r="H2355" i="1"/>
  <c r="H2356" i="1"/>
  <c r="H2358" i="1"/>
  <c r="H2359" i="1"/>
  <c r="H2360" i="1"/>
  <c r="H2361" i="1"/>
  <c r="H2362" i="1"/>
  <c r="H2363" i="1"/>
  <c r="H2364" i="1"/>
  <c r="H2366" i="1"/>
  <c r="H2367" i="1"/>
  <c r="H2368" i="1"/>
  <c r="H2369" i="1"/>
  <c r="H2370" i="1"/>
  <c r="H2371" i="1"/>
  <c r="H2372" i="1"/>
  <c r="H2374" i="1"/>
  <c r="H2375" i="1"/>
  <c r="H2376" i="1"/>
  <c r="H2377" i="1"/>
  <c r="H2378" i="1"/>
  <c r="H2379" i="1"/>
  <c r="H2380" i="1"/>
  <c r="H2382" i="1"/>
  <c r="H2383" i="1"/>
  <c r="H2384" i="1"/>
  <c r="H2385" i="1"/>
  <c r="H2386" i="1"/>
  <c r="H2387" i="1"/>
  <c r="H2388" i="1"/>
  <c r="H2390" i="1"/>
  <c r="H2391" i="1"/>
  <c r="H2392" i="1"/>
  <c r="H2393" i="1"/>
  <c r="H2394" i="1"/>
  <c r="H2395" i="1"/>
  <c r="H2396" i="1"/>
  <c r="H2398" i="1"/>
  <c r="H2399" i="1"/>
  <c r="H2400" i="1"/>
  <c r="H2401" i="1"/>
  <c r="H2402" i="1"/>
  <c r="H2403" i="1"/>
  <c r="H2404" i="1"/>
  <c r="H2406" i="1"/>
  <c r="H2407" i="1"/>
  <c r="H2408" i="1"/>
  <c r="H2409" i="1"/>
  <c r="H2410" i="1"/>
  <c r="H2411" i="1"/>
  <c r="H2412" i="1"/>
  <c r="H2414" i="1"/>
  <c r="H2415" i="1"/>
  <c r="H2416" i="1"/>
  <c r="H2417" i="1"/>
  <c r="H2418" i="1"/>
  <c r="H2419" i="1"/>
  <c r="H2420" i="1"/>
  <c r="H2422" i="1"/>
  <c r="H2423" i="1"/>
  <c r="H2424" i="1"/>
  <c r="H2425" i="1"/>
  <c r="H2426" i="1"/>
  <c r="H2427" i="1"/>
  <c r="H2428" i="1"/>
  <c r="H2430" i="1"/>
  <c r="H2431" i="1"/>
  <c r="H2432" i="1"/>
  <c r="H2433" i="1"/>
  <c r="H2434" i="1"/>
  <c r="H2435" i="1"/>
  <c r="H2436" i="1"/>
  <c r="H2438" i="1"/>
  <c r="H2439" i="1"/>
  <c r="H2440" i="1"/>
  <c r="H2441" i="1"/>
  <c r="H2442" i="1"/>
  <c r="H2443" i="1"/>
  <c r="H2444" i="1"/>
  <c r="H2446" i="1"/>
  <c r="H2447" i="1"/>
  <c r="H2448" i="1"/>
  <c r="H2449" i="1"/>
  <c r="H2450" i="1"/>
  <c r="H2451" i="1"/>
  <c r="H2452" i="1"/>
  <c r="H2454" i="1"/>
  <c r="H2455" i="1"/>
  <c r="H2456" i="1"/>
  <c r="H2457" i="1"/>
  <c r="H2458" i="1"/>
  <c r="H2459" i="1"/>
  <c r="H2460" i="1"/>
  <c r="H2462" i="1"/>
  <c r="H2463" i="1"/>
  <c r="H2464" i="1"/>
  <c r="H2465" i="1"/>
  <c r="H2466" i="1"/>
  <c r="H2467" i="1"/>
  <c r="H2468" i="1"/>
  <c r="H2470" i="1"/>
  <c r="H2471" i="1"/>
  <c r="H2472" i="1"/>
  <c r="H2473" i="1"/>
  <c r="H2474" i="1"/>
  <c r="H2475" i="1"/>
  <c r="H2476" i="1"/>
  <c r="H2478" i="1"/>
  <c r="H2479" i="1"/>
  <c r="H2480" i="1"/>
  <c r="H2481" i="1"/>
  <c r="H2482" i="1"/>
  <c r="H2483" i="1"/>
  <c r="H2484" i="1"/>
  <c r="H2486" i="1"/>
  <c r="H2487" i="1"/>
  <c r="H2488" i="1"/>
  <c r="H2489" i="1"/>
  <c r="H2490" i="1"/>
  <c r="H2491" i="1"/>
  <c r="H2492" i="1"/>
  <c r="H2494" i="1"/>
  <c r="H2495" i="1"/>
  <c r="H2496" i="1"/>
  <c r="H2497" i="1"/>
  <c r="H2498" i="1"/>
  <c r="H2499" i="1"/>
  <c r="H2500" i="1"/>
  <c r="H2502" i="1"/>
  <c r="H2503" i="1"/>
  <c r="H2504" i="1"/>
  <c r="H2505" i="1"/>
  <c r="H2506" i="1"/>
  <c r="H2507" i="1"/>
  <c r="H2508" i="1"/>
  <c r="H2510" i="1"/>
  <c r="H2511" i="1"/>
  <c r="H2512" i="1"/>
  <c r="H2513" i="1"/>
  <c r="H2514" i="1"/>
  <c r="H2515" i="1"/>
  <c r="H2516" i="1"/>
  <c r="H2518" i="1"/>
  <c r="H2519" i="1"/>
  <c r="H2520" i="1"/>
  <c r="H2521" i="1"/>
  <c r="H2522" i="1"/>
  <c r="H2523" i="1"/>
  <c r="H2524" i="1"/>
  <c r="H2526" i="1"/>
  <c r="H2527" i="1"/>
  <c r="H2528" i="1"/>
  <c r="H2529" i="1"/>
  <c r="H2530" i="1"/>
  <c r="H2531" i="1"/>
  <c r="H2532" i="1"/>
  <c r="H2534" i="1"/>
  <c r="H2535" i="1"/>
  <c r="H2536" i="1"/>
  <c r="H2537" i="1"/>
  <c r="H2538" i="1"/>
  <c r="H2539" i="1"/>
  <c r="H2540" i="1"/>
  <c r="H2542" i="1"/>
  <c r="H2543" i="1"/>
  <c r="H2544" i="1"/>
  <c r="H2545" i="1"/>
  <c r="H2546" i="1"/>
  <c r="H2547" i="1"/>
  <c r="H2548" i="1"/>
  <c r="H2550" i="1"/>
  <c r="H2551" i="1"/>
  <c r="H2552" i="1"/>
  <c r="H2553" i="1"/>
  <c r="H2554" i="1"/>
  <c r="H2555" i="1"/>
  <c r="H2556" i="1"/>
  <c r="H2558" i="1"/>
  <c r="H2559" i="1"/>
  <c r="H2560" i="1"/>
  <c r="H2561" i="1"/>
  <c r="H2562" i="1"/>
  <c r="H2563" i="1"/>
  <c r="H2564" i="1"/>
  <c r="H2566" i="1"/>
  <c r="H2567" i="1"/>
  <c r="H2568" i="1"/>
  <c r="H2569" i="1"/>
  <c r="H2570" i="1"/>
  <c r="H2571" i="1"/>
  <c r="H2572" i="1"/>
  <c r="H2574" i="1"/>
  <c r="H2575" i="1"/>
  <c r="H2576" i="1"/>
  <c r="H2577" i="1"/>
  <c r="H2578" i="1"/>
  <c r="H2579" i="1"/>
  <c r="H2580" i="1"/>
  <c r="H2582" i="1"/>
  <c r="H2583" i="1"/>
  <c r="H2584" i="1"/>
  <c r="H2585" i="1"/>
  <c r="H2586" i="1"/>
  <c r="H2587" i="1"/>
  <c r="H2588" i="1"/>
  <c r="H2590" i="1"/>
  <c r="H2591" i="1"/>
  <c r="H2592" i="1"/>
  <c r="H2593" i="1"/>
  <c r="H2594" i="1"/>
  <c r="H2595" i="1"/>
  <c r="H2596" i="1"/>
  <c r="H2598" i="1"/>
  <c r="H2599" i="1"/>
  <c r="H2600" i="1"/>
  <c r="H2601" i="1"/>
  <c r="H2602" i="1"/>
  <c r="H2603" i="1"/>
  <c r="H2604" i="1"/>
  <c r="H2606" i="1"/>
  <c r="H2607" i="1"/>
  <c r="H2608" i="1"/>
  <c r="H2609" i="1"/>
  <c r="H2610" i="1"/>
  <c r="H2611" i="1"/>
  <c r="H2612" i="1"/>
  <c r="H2614" i="1"/>
  <c r="H2615" i="1"/>
  <c r="H2616" i="1"/>
  <c r="H2617" i="1"/>
  <c r="H2618" i="1"/>
  <c r="H2619" i="1"/>
  <c r="H2620" i="1"/>
  <c r="H2622" i="1"/>
  <c r="H2623" i="1"/>
  <c r="H2624" i="1"/>
  <c r="H2625" i="1"/>
  <c r="H2626" i="1"/>
  <c r="H2627" i="1"/>
  <c r="H2628" i="1"/>
  <c r="H2630" i="1"/>
  <c r="H2631" i="1"/>
  <c r="H2632" i="1"/>
  <c r="H2633" i="1"/>
  <c r="H2634" i="1"/>
  <c r="H2635" i="1"/>
  <c r="H2636" i="1"/>
  <c r="H2638" i="1"/>
  <c r="H2639" i="1"/>
  <c r="H2640" i="1"/>
  <c r="H2641" i="1"/>
  <c r="H2642" i="1"/>
  <c r="H2643" i="1"/>
  <c r="H2644" i="1"/>
  <c r="H2646" i="1"/>
  <c r="H2647" i="1"/>
  <c r="H2648" i="1"/>
  <c r="H2649" i="1"/>
  <c r="H2650" i="1"/>
  <c r="H2651" i="1"/>
  <c r="H2652" i="1"/>
  <c r="H2654" i="1"/>
  <c r="H2655" i="1"/>
  <c r="H2656" i="1"/>
  <c r="H2657" i="1"/>
  <c r="H2658" i="1"/>
  <c r="H2659" i="1"/>
  <c r="H2660" i="1"/>
  <c r="H2662" i="1"/>
  <c r="H2663" i="1"/>
  <c r="H2664" i="1"/>
  <c r="H2665" i="1"/>
  <c r="H2666" i="1"/>
  <c r="H2667" i="1"/>
  <c r="H2668" i="1"/>
  <c r="H2670" i="1"/>
  <c r="H2671" i="1"/>
  <c r="H2672" i="1"/>
  <c r="H2673" i="1"/>
  <c r="H2674" i="1"/>
  <c r="H2675" i="1"/>
  <c r="H2676" i="1"/>
  <c r="H2678" i="1"/>
  <c r="H2679" i="1"/>
  <c r="H2680" i="1"/>
  <c r="H2681" i="1"/>
  <c r="H2682" i="1"/>
  <c r="H2683" i="1"/>
  <c r="H2684" i="1"/>
  <c r="H2686" i="1"/>
  <c r="H2687" i="1"/>
  <c r="H2688" i="1"/>
  <c r="H2689" i="1"/>
  <c r="H2690" i="1"/>
  <c r="H2691" i="1"/>
  <c r="H2692" i="1"/>
  <c r="H2694" i="1"/>
  <c r="H2695" i="1"/>
  <c r="H2696" i="1"/>
  <c r="H2697" i="1"/>
  <c r="H2698" i="1"/>
  <c r="H2699" i="1"/>
  <c r="H2700" i="1"/>
  <c r="H2702" i="1"/>
  <c r="H2703" i="1"/>
  <c r="H2704" i="1"/>
  <c r="H2705" i="1"/>
  <c r="H2706" i="1"/>
  <c r="H2707" i="1"/>
  <c r="H2708" i="1"/>
  <c r="H2710" i="1"/>
  <c r="H2711" i="1"/>
  <c r="H2712" i="1"/>
  <c r="H2713" i="1"/>
  <c r="H2714" i="1"/>
  <c r="H2715" i="1"/>
  <c r="H2716" i="1"/>
  <c r="H2718" i="1"/>
  <c r="H2719" i="1"/>
  <c r="H2720" i="1"/>
  <c r="H2721" i="1"/>
  <c r="H2722" i="1"/>
  <c r="H2723" i="1"/>
  <c r="H2724" i="1"/>
  <c r="H2726" i="1"/>
  <c r="H2727" i="1"/>
  <c r="H2728" i="1"/>
  <c r="H2729" i="1"/>
  <c r="H2730" i="1"/>
  <c r="H2731" i="1"/>
  <c r="H2732" i="1"/>
  <c r="H2734" i="1"/>
  <c r="H2735" i="1"/>
  <c r="H2736" i="1"/>
  <c r="H2737" i="1"/>
  <c r="H2738" i="1"/>
  <c r="H2739" i="1"/>
  <c r="H2740" i="1"/>
  <c r="H2742" i="1"/>
  <c r="H2743" i="1"/>
  <c r="H2744" i="1"/>
  <c r="H2745" i="1"/>
  <c r="H2746" i="1"/>
  <c r="H2747" i="1"/>
  <c r="H2748" i="1"/>
  <c r="H2750" i="1"/>
  <c r="H2751" i="1"/>
  <c r="H2752" i="1"/>
  <c r="H2753" i="1"/>
  <c r="H2754" i="1"/>
  <c r="H2755" i="1"/>
  <c r="H2756" i="1"/>
  <c r="H2758" i="1"/>
  <c r="H2759" i="1"/>
  <c r="H2760" i="1"/>
  <c r="H2761" i="1"/>
  <c r="H2762" i="1"/>
  <c r="H2763" i="1"/>
  <c r="H2764" i="1"/>
  <c r="H2766" i="1"/>
  <c r="H2767" i="1"/>
  <c r="H2768" i="1"/>
  <c r="H2769" i="1"/>
  <c r="H2770" i="1"/>
  <c r="H2771" i="1"/>
  <c r="H2772" i="1"/>
  <c r="H2774" i="1"/>
  <c r="H2775" i="1"/>
  <c r="H2776" i="1"/>
  <c r="H2777" i="1"/>
  <c r="H2778" i="1"/>
  <c r="H2779" i="1"/>
  <c r="H2780" i="1"/>
  <c r="H2782" i="1"/>
  <c r="H2783" i="1"/>
  <c r="H2784" i="1"/>
  <c r="H2785" i="1"/>
  <c r="H2786" i="1"/>
  <c r="H2787" i="1"/>
  <c r="H2788" i="1"/>
  <c r="H2790" i="1"/>
  <c r="H2791" i="1"/>
  <c r="H2792" i="1"/>
  <c r="H2793" i="1"/>
  <c r="H2794" i="1"/>
  <c r="H2795" i="1"/>
  <c r="H2796" i="1"/>
  <c r="H2798" i="1"/>
  <c r="H2799" i="1"/>
  <c r="H2800" i="1"/>
  <c r="H2801" i="1"/>
  <c r="H2802" i="1"/>
  <c r="H2803" i="1"/>
  <c r="H2804" i="1"/>
  <c r="H2806" i="1"/>
  <c r="H2807" i="1"/>
  <c r="H2808" i="1"/>
  <c r="H2809" i="1"/>
  <c r="H2810" i="1"/>
  <c r="H2811" i="1"/>
  <c r="H2812" i="1"/>
  <c r="H2814" i="1"/>
  <c r="H2815" i="1"/>
  <c r="H2816" i="1"/>
  <c r="H2817" i="1"/>
  <c r="H2818" i="1"/>
  <c r="H2819" i="1"/>
  <c r="H2820" i="1"/>
  <c r="H2822" i="1"/>
  <c r="H2823" i="1"/>
  <c r="H2824" i="1"/>
  <c r="H2825" i="1"/>
  <c r="H2826" i="1"/>
  <c r="H2827" i="1"/>
  <c r="H2828" i="1"/>
  <c r="H2830" i="1"/>
  <c r="H2831" i="1"/>
  <c r="H2832" i="1"/>
  <c r="H2833" i="1"/>
  <c r="H2834" i="1"/>
  <c r="H2835" i="1"/>
  <c r="H2836" i="1"/>
  <c r="H2838" i="1"/>
  <c r="H2839" i="1"/>
  <c r="H2840" i="1"/>
  <c r="H2841" i="1"/>
  <c r="H2842" i="1"/>
  <c r="H2843" i="1"/>
  <c r="H2844" i="1"/>
  <c r="H2846" i="1"/>
  <c r="H2847" i="1"/>
  <c r="H2848" i="1"/>
  <c r="H2849" i="1"/>
  <c r="H2850" i="1"/>
  <c r="H2851" i="1"/>
  <c r="H2852" i="1"/>
  <c r="H2854" i="1"/>
  <c r="H2855" i="1"/>
  <c r="H2856" i="1"/>
  <c r="H2857" i="1"/>
  <c r="H2858" i="1"/>
  <c r="H2859" i="1"/>
  <c r="H2860" i="1"/>
  <c r="H2862" i="1"/>
  <c r="H2863" i="1"/>
  <c r="H2864" i="1"/>
  <c r="H2865" i="1"/>
  <c r="H2866" i="1"/>
  <c r="H2867" i="1"/>
  <c r="H2868" i="1"/>
  <c r="H2870" i="1"/>
  <c r="H2871" i="1"/>
  <c r="H2872" i="1"/>
  <c r="H2873" i="1"/>
  <c r="H2874" i="1"/>
  <c r="H2875" i="1"/>
  <c r="H2876" i="1"/>
  <c r="H2878" i="1"/>
  <c r="H2879" i="1"/>
  <c r="H2880" i="1"/>
  <c r="H2881" i="1"/>
  <c r="H2882" i="1"/>
  <c r="H2883" i="1"/>
  <c r="H2884" i="1"/>
  <c r="H2886" i="1"/>
  <c r="H2887" i="1"/>
  <c r="H2888" i="1"/>
  <c r="H2889" i="1"/>
  <c r="H2890" i="1"/>
  <c r="H2891" i="1"/>
  <c r="H2892" i="1"/>
  <c r="H2894" i="1"/>
  <c r="H2895" i="1"/>
  <c r="H2896" i="1"/>
  <c r="H2897" i="1"/>
  <c r="H2898" i="1"/>
  <c r="H2899" i="1"/>
  <c r="H2900" i="1"/>
  <c r="H2902" i="1"/>
  <c r="H2903" i="1"/>
  <c r="H2904" i="1"/>
  <c r="H2905" i="1"/>
  <c r="H2906" i="1"/>
  <c r="H2907" i="1"/>
  <c r="H2908" i="1"/>
  <c r="H2910" i="1"/>
  <c r="H2911" i="1"/>
  <c r="H2912" i="1"/>
  <c r="H2913" i="1"/>
  <c r="H2914" i="1"/>
  <c r="H2915" i="1"/>
  <c r="H2916" i="1"/>
  <c r="H2918" i="1"/>
  <c r="H2919" i="1"/>
  <c r="H2920" i="1"/>
  <c r="H2921" i="1"/>
  <c r="H2922" i="1"/>
  <c r="H2923" i="1"/>
  <c r="H2924" i="1"/>
  <c r="H2926" i="1"/>
  <c r="H2927" i="1"/>
  <c r="H2928" i="1"/>
  <c r="H2929" i="1"/>
  <c r="H2930" i="1"/>
  <c r="H2931" i="1"/>
  <c r="H2932" i="1"/>
  <c r="H2934" i="1"/>
  <c r="H2935" i="1"/>
  <c r="H2936" i="1"/>
  <c r="H2937" i="1"/>
  <c r="H2938" i="1"/>
  <c r="H2939" i="1"/>
  <c r="H2940" i="1"/>
  <c r="H2942" i="1"/>
  <c r="H2943" i="1"/>
  <c r="H2944" i="1"/>
  <c r="H2945" i="1"/>
  <c r="H2946" i="1"/>
  <c r="H2947" i="1"/>
  <c r="H2948" i="1"/>
  <c r="H2950" i="1"/>
  <c r="H2951" i="1"/>
  <c r="H2952" i="1"/>
  <c r="H2953" i="1"/>
  <c r="H2954" i="1"/>
  <c r="H2955" i="1"/>
  <c r="H2956" i="1"/>
  <c r="H2958" i="1"/>
  <c r="H2959" i="1"/>
  <c r="H2960" i="1"/>
  <c r="H2961" i="1"/>
  <c r="H2962" i="1"/>
  <c r="H2963" i="1"/>
  <c r="H2964" i="1"/>
  <c r="H2966" i="1"/>
  <c r="H2967" i="1"/>
  <c r="H2968" i="1"/>
  <c r="H2969" i="1"/>
  <c r="H2970" i="1"/>
  <c r="H2971" i="1"/>
  <c r="H2972" i="1"/>
  <c r="H2974" i="1"/>
  <c r="H2975" i="1"/>
  <c r="H2976" i="1"/>
  <c r="H2977" i="1"/>
  <c r="H2978" i="1"/>
  <c r="H2979" i="1"/>
  <c r="H2980" i="1"/>
  <c r="H2982" i="1"/>
  <c r="H2983" i="1"/>
  <c r="H2984" i="1"/>
  <c r="H2985" i="1"/>
  <c r="H2986" i="1"/>
  <c r="H2987" i="1"/>
  <c r="H2988" i="1"/>
  <c r="H2990" i="1"/>
  <c r="H2991" i="1"/>
  <c r="H2992" i="1"/>
  <c r="H2993" i="1"/>
  <c r="H2994" i="1"/>
  <c r="H2995" i="1"/>
  <c r="H2996" i="1"/>
  <c r="H2998" i="1"/>
  <c r="H2999" i="1"/>
  <c r="H3000" i="1"/>
  <c r="H3001" i="1"/>
  <c r="H3002" i="1"/>
  <c r="H3003" i="1"/>
  <c r="H3004" i="1"/>
  <c r="H3006" i="1"/>
  <c r="H3007" i="1"/>
  <c r="H3008" i="1"/>
  <c r="H3009" i="1"/>
  <c r="H3010" i="1"/>
  <c r="H3011" i="1"/>
  <c r="H3012" i="1"/>
  <c r="H3014" i="1"/>
  <c r="H3015" i="1"/>
  <c r="H3016" i="1"/>
  <c r="H3017" i="1"/>
  <c r="H3018" i="1"/>
  <c r="H3019" i="1"/>
  <c r="H3020" i="1"/>
  <c r="H3022" i="1"/>
  <c r="H3023" i="1"/>
  <c r="H3024" i="1"/>
  <c r="H3025" i="1"/>
  <c r="H3026" i="1"/>
  <c r="H3027" i="1"/>
  <c r="H3028" i="1"/>
  <c r="H3030" i="1"/>
  <c r="H3031" i="1"/>
  <c r="H3032" i="1"/>
  <c r="H3033" i="1"/>
  <c r="H3034" i="1"/>
  <c r="H3035" i="1"/>
  <c r="H3036" i="1"/>
  <c r="H3038" i="1"/>
  <c r="H3039" i="1"/>
  <c r="H3040" i="1"/>
  <c r="H3041" i="1"/>
  <c r="H3042" i="1"/>
  <c r="H3043" i="1"/>
  <c r="H3044" i="1"/>
  <c r="H3046" i="1"/>
  <c r="H3047" i="1"/>
  <c r="H3048" i="1"/>
  <c r="H3049" i="1"/>
  <c r="H3050" i="1"/>
  <c r="H3051" i="1"/>
  <c r="H3052" i="1"/>
  <c r="H3054" i="1"/>
  <c r="H3055" i="1"/>
  <c r="H3056" i="1"/>
  <c r="H3057" i="1"/>
  <c r="H3058" i="1"/>
  <c r="H3059" i="1"/>
  <c r="H3060" i="1"/>
  <c r="H3062" i="1"/>
  <c r="H3063" i="1"/>
  <c r="H3064" i="1"/>
  <c r="H3065" i="1"/>
  <c r="H3066" i="1"/>
  <c r="H3067" i="1"/>
  <c r="H3068" i="1"/>
  <c r="H3070" i="1"/>
  <c r="H3071" i="1"/>
  <c r="H3072" i="1"/>
  <c r="H3073" i="1"/>
  <c r="H3074" i="1"/>
  <c r="H3075" i="1"/>
  <c r="H3076" i="1"/>
  <c r="H3078" i="1"/>
  <c r="H3079" i="1"/>
  <c r="H3080" i="1"/>
  <c r="H3081" i="1"/>
  <c r="H3082" i="1"/>
  <c r="H3083" i="1"/>
  <c r="H3084" i="1"/>
  <c r="H3086" i="1"/>
  <c r="H3087" i="1"/>
  <c r="H3088" i="1"/>
  <c r="H3089" i="1"/>
  <c r="H3090" i="1"/>
  <c r="H3091" i="1"/>
  <c r="H3092" i="1"/>
  <c r="H3094" i="1"/>
  <c r="H3095" i="1"/>
  <c r="H3096" i="1"/>
  <c r="H3097" i="1"/>
  <c r="H3098" i="1"/>
  <c r="H3099" i="1"/>
  <c r="H3100" i="1"/>
  <c r="H3102" i="1"/>
  <c r="H3103" i="1"/>
  <c r="H3104" i="1"/>
  <c r="H3105" i="1"/>
  <c r="H3106" i="1"/>
  <c r="H3107" i="1"/>
  <c r="H3108" i="1"/>
  <c r="H3110" i="1"/>
  <c r="H3111" i="1"/>
  <c r="H3112" i="1"/>
  <c r="H3113" i="1"/>
  <c r="H3114" i="1"/>
  <c r="H3115" i="1"/>
  <c r="H3116"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89" i="1"/>
  <c r="K6" i="7" l="1"/>
  <c r="J1749" i="1"/>
  <c r="I1749" i="1"/>
  <c r="H1749" i="1"/>
  <c r="J1741" i="1"/>
  <c r="I1741" i="1"/>
  <c r="H1741" i="1"/>
  <c r="J1733" i="1"/>
  <c r="I1733" i="1"/>
  <c r="H1733" i="1"/>
  <c r="J1725" i="1"/>
  <c r="I1725" i="1"/>
  <c r="H1725" i="1"/>
  <c r="J1717" i="1"/>
  <c r="I1717" i="1"/>
  <c r="H1717" i="1"/>
  <c r="J1709" i="1"/>
  <c r="I1709" i="1"/>
  <c r="H1709" i="1"/>
  <c r="J1701" i="1"/>
  <c r="I1701" i="1"/>
  <c r="H1701" i="1"/>
  <c r="J1693" i="1"/>
  <c r="I1693" i="1"/>
  <c r="H1693" i="1"/>
  <c r="J1685" i="1"/>
  <c r="I1685" i="1"/>
  <c r="H1685" i="1"/>
  <c r="J1677" i="1"/>
  <c r="I1677" i="1"/>
  <c r="H1677" i="1"/>
  <c r="J1669" i="1"/>
  <c r="I1669" i="1"/>
  <c r="H1669" i="1"/>
  <c r="J1661" i="1"/>
  <c r="I1661" i="1"/>
  <c r="H1661" i="1"/>
  <c r="J1653" i="1"/>
  <c r="I1653" i="1"/>
  <c r="H1653" i="1"/>
  <c r="J1645" i="1"/>
  <c r="I1645" i="1"/>
  <c r="H1645" i="1"/>
  <c r="J1637" i="1"/>
  <c r="I1637" i="1"/>
  <c r="H1637" i="1"/>
  <c r="J1629" i="1"/>
  <c r="I1629" i="1"/>
  <c r="H1629" i="1"/>
  <c r="J1621" i="1"/>
  <c r="I1621" i="1"/>
  <c r="H1621" i="1"/>
  <c r="J1613" i="1"/>
  <c r="I1613" i="1"/>
  <c r="H1613" i="1"/>
  <c r="J1605" i="1"/>
  <c r="I1605" i="1"/>
  <c r="H1605" i="1"/>
  <c r="J1597" i="1"/>
  <c r="I1597" i="1"/>
  <c r="H1597" i="1"/>
  <c r="J1589" i="1"/>
  <c r="I1589" i="1"/>
  <c r="H1589" i="1"/>
  <c r="J1581" i="1"/>
  <c r="I1581" i="1"/>
  <c r="H1581" i="1"/>
  <c r="J1573" i="1"/>
  <c r="I1573" i="1"/>
  <c r="H1573" i="1"/>
  <c r="J1565" i="1"/>
  <c r="I1565" i="1"/>
  <c r="H1565" i="1"/>
  <c r="J1557" i="1"/>
  <c r="I1557" i="1"/>
  <c r="H1557" i="1"/>
  <c r="J1549" i="1"/>
  <c r="I1549" i="1"/>
  <c r="H1549" i="1"/>
  <c r="J1541" i="1"/>
  <c r="I1541" i="1"/>
  <c r="H1541" i="1"/>
  <c r="J1533" i="1"/>
  <c r="I1533" i="1"/>
  <c r="H1533" i="1"/>
  <c r="J1525" i="1"/>
  <c r="I1525" i="1"/>
  <c r="H1525" i="1"/>
  <c r="J1517" i="1"/>
  <c r="I1517" i="1"/>
  <c r="H1517" i="1"/>
  <c r="J1509" i="1"/>
  <c r="I1509" i="1"/>
  <c r="H1509" i="1"/>
  <c r="J1501" i="1"/>
  <c r="I1501" i="1"/>
  <c r="H1501" i="1"/>
  <c r="J1493" i="1"/>
  <c r="I1493" i="1"/>
  <c r="H1493" i="1"/>
  <c r="J1485" i="1"/>
  <c r="I1485" i="1"/>
  <c r="H1485" i="1"/>
  <c r="J1477" i="1"/>
  <c r="I1477" i="1"/>
  <c r="H1477" i="1"/>
  <c r="J1469" i="1"/>
  <c r="I1469" i="1"/>
  <c r="H1469" i="1"/>
  <c r="J1461" i="1"/>
  <c r="I1461" i="1"/>
  <c r="H1461" i="1"/>
  <c r="J1453" i="1"/>
  <c r="I1453" i="1"/>
  <c r="H1453" i="1"/>
  <c r="J1445" i="1"/>
  <c r="I1445" i="1"/>
  <c r="H1445" i="1"/>
  <c r="J1437" i="1"/>
  <c r="I1437" i="1"/>
  <c r="H1437" i="1"/>
  <c r="J1429" i="1"/>
  <c r="I1429" i="1"/>
  <c r="H1429" i="1"/>
  <c r="J1421" i="1"/>
  <c r="I1421" i="1"/>
  <c r="H1421" i="1"/>
  <c r="J1413" i="1"/>
  <c r="I1413" i="1"/>
  <c r="H1413" i="1"/>
  <c r="J1405" i="1"/>
  <c r="I1405" i="1"/>
  <c r="H1405" i="1"/>
  <c r="J1397" i="1"/>
  <c r="I1397" i="1"/>
  <c r="H1397" i="1"/>
  <c r="J1389" i="1"/>
  <c r="I1389" i="1"/>
  <c r="H1389" i="1"/>
  <c r="J1381" i="1"/>
  <c r="I1381" i="1"/>
  <c r="H1381" i="1"/>
  <c r="J1373" i="1"/>
  <c r="I1373" i="1"/>
  <c r="H1373" i="1"/>
  <c r="J1365" i="1"/>
  <c r="I1365" i="1"/>
  <c r="H1365" i="1"/>
  <c r="J1357" i="1"/>
  <c r="I1357" i="1"/>
  <c r="H1357" i="1"/>
  <c r="J1349" i="1"/>
  <c r="I1349" i="1"/>
  <c r="H1349" i="1"/>
  <c r="J1341" i="1"/>
  <c r="I1341" i="1"/>
  <c r="H1341" i="1"/>
  <c r="J1333" i="1"/>
  <c r="I1333" i="1"/>
  <c r="H1333" i="1"/>
  <c r="J1325" i="1"/>
  <c r="I1325" i="1"/>
  <c r="H1325" i="1"/>
  <c r="J1317" i="1"/>
  <c r="I1317" i="1"/>
  <c r="H1317" i="1"/>
  <c r="J1309" i="1"/>
  <c r="I1309" i="1"/>
  <c r="H1309" i="1"/>
  <c r="J1301" i="1"/>
  <c r="I1301" i="1"/>
  <c r="H1301" i="1"/>
  <c r="J1293" i="1"/>
  <c r="I1293" i="1"/>
  <c r="H1293" i="1"/>
  <c r="J1285" i="1"/>
  <c r="I1285" i="1"/>
  <c r="H1285" i="1"/>
  <c r="J1277" i="1"/>
  <c r="I1277" i="1"/>
  <c r="H1277" i="1"/>
  <c r="J1269" i="1"/>
  <c r="I1269" i="1"/>
  <c r="H1269" i="1"/>
  <c r="J1261" i="1"/>
  <c r="I1261" i="1"/>
  <c r="H1261" i="1"/>
  <c r="J1253" i="1"/>
  <c r="I1253" i="1"/>
  <c r="H1253" i="1"/>
  <c r="J1245" i="1"/>
  <c r="I1245" i="1"/>
  <c r="H1245" i="1"/>
  <c r="J1237" i="1"/>
  <c r="I1237" i="1"/>
  <c r="H1237" i="1"/>
  <c r="J1229" i="1"/>
  <c r="I1229" i="1"/>
  <c r="H1229" i="1"/>
  <c r="J1221" i="1"/>
  <c r="I1221" i="1"/>
  <c r="H1221" i="1"/>
  <c r="J1213" i="1"/>
  <c r="I1213" i="1"/>
  <c r="H1213" i="1"/>
  <c r="J1205" i="1"/>
  <c r="I1205" i="1"/>
  <c r="H1205" i="1"/>
  <c r="J1197" i="1"/>
  <c r="I1197" i="1"/>
  <c r="H1197" i="1"/>
  <c r="J1189" i="1"/>
  <c r="I1189" i="1"/>
  <c r="H1189" i="1"/>
  <c r="J1181" i="1"/>
  <c r="I1181" i="1"/>
  <c r="H1181" i="1"/>
  <c r="J1173" i="1"/>
  <c r="I1173" i="1"/>
  <c r="H1173" i="1"/>
  <c r="J1165" i="1"/>
  <c r="I1165" i="1"/>
  <c r="H1165" i="1"/>
  <c r="J1157" i="1"/>
  <c r="I1157" i="1"/>
  <c r="H1157" i="1"/>
  <c r="J1149" i="1"/>
  <c r="I1149" i="1"/>
  <c r="H1149" i="1"/>
  <c r="J1141" i="1"/>
  <c r="I1141" i="1"/>
  <c r="H1141" i="1"/>
  <c r="J1133" i="1"/>
  <c r="I1133" i="1"/>
  <c r="H1133" i="1"/>
  <c r="J1125" i="1"/>
  <c r="I1125" i="1"/>
  <c r="H1125" i="1"/>
  <c r="J1117" i="1"/>
  <c r="I1117" i="1"/>
  <c r="H1117" i="1"/>
  <c r="J1109" i="1"/>
  <c r="I1109" i="1"/>
  <c r="H1109" i="1"/>
  <c r="J1101" i="1"/>
  <c r="I1101" i="1"/>
  <c r="H1101" i="1"/>
  <c r="J1093" i="1"/>
  <c r="I1093" i="1"/>
  <c r="H1093" i="1"/>
  <c r="J1085" i="1"/>
  <c r="I1085" i="1"/>
  <c r="H1085" i="1"/>
  <c r="J1077" i="1"/>
  <c r="I1077" i="1"/>
  <c r="H1077" i="1"/>
  <c r="J1069" i="1"/>
  <c r="I1069" i="1"/>
  <c r="H1069" i="1"/>
  <c r="J1061" i="1"/>
  <c r="I1061" i="1"/>
  <c r="H1061" i="1"/>
  <c r="J1053" i="1"/>
  <c r="I1053" i="1"/>
  <c r="H1053" i="1"/>
  <c r="J1045" i="1"/>
  <c r="I1045" i="1"/>
  <c r="H1045" i="1"/>
  <c r="J1037" i="1"/>
  <c r="I1037" i="1"/>
  <c r="H1037" i="1"/>
  <c r="J1029" i="1"/>
  <c r="I1029" i="1"/>
  <c r="H1029" i="1"/>
  <c r="J1021" i="1"/>
  <c r="I1021" i="1"/>
  <c r="H1021" i="1"/>
  <c r="J1013" i="1"/>
  <c r="I1013" i="1"/>
  <c r="H1013" i="1"/>
  <c r="J1005" i="1"/>
  <c r="I1005" i="1"/>
  <c r="H1005" i="1"/>
  <c r="J997" i="1"/>
  <c r="I997" i="1"/>
  <c r="H997" i="1"/>
  <c r="J989" i="1"/>
  <c r="I989" i="1"/>
  <c r="H989" i="1"/>
  <c r="J981" i="1"/>
  <c r="I981" i="1"/>
  <c r="H981" i="1"/>
  <c r="J973" i="1"/>
  <c r="I973" i="1"/>
  <c r="H973" i="1"/>
  <c r="J965" i="1"/>
  <c r="I965" i="1"/>
  <c r="H965" i="1"/>
  <c r="J957" i="1"/>
  <c r="I957" i="1"/>
  <c r="H957" i="1"/>
  <c r="J949" i="1"/>
  <c r="I949" i="1"/>
  <c r="H949" i="1"/>
  <c r="J941" i="1"/>
  <c r="I941" i="1"/>
  <c r="H941" i="1"/>
  <c r="J933" i="1"/>
  <c r="I933" i="1"/>
  <c r="H933" i="1"/>
  <c r="J925" i="1"/>
  <c r="I925" i="1"/>
  <c r="H925" i="1"/>
  <c r="J917" i="1"/>
  <c r="I917" i="1"/>
  <c r="H917" i="1"/>
  <c r="J909" i="1"/>
  <c r="I909" i="1"/>
  <c r="H909" i="1"/>
  <c r="J901" i="1"/>
  <c r="I901" i="1"/>
  <c r="H901" i="1"/>
  <c r="J893" i="1"/>
  <c r="I893" i="1"/>
  <c r="H893" i="1"/>
  <c r="J885" i="1"/>
  <c r="I885" i="1"/>
  <c r="H885" i="1"/>
  <c r="J877" i="1"/>
  <c r="I877" i="1"/>
  <c r="H877" i="1"/>
  <c r="J869" i="1"/>
  <c r="I869" i="1"/>
  <c r="H869" i="1"/>
  <c r="J861" i="1"/>
  <c r="I861" i="1"/>
  <c r="H861" i="1"/>
  <c r="J853" i="1"/>
  <c r="I853" i="1"/>
  <c r="H853" i="1"/>
  <c r="J845" i="1"/>
  <c r="I845" i="1"/>
  <c r="H845" i="1"/>
  <c r="J837" i="1"/>
  <c r="I837" i="1"/>
  <c r="H837" i="1"/>
  <c r="J829" i="1"/>
  <c r="I829" i="1"/>
  <c r="H829" i="1"/>
  <c r="J821" i="1"/>
  <c r="I821" i="1"/>
  <c r="H821" i="1"/>
  <c r="J813" i="1"/>
  <c r="I813" i="1"/>
  <c r="H813" i="1"/>
  <c r="J805" i="1"/>
  <c r="I805" i="1"/>
  <c r="H805" i="1"/>
  <c r="J797" i="1"/>
  <c r="I797" i="1"/>
  <c r="H797" i="1"/>
  <c r="J789" i="1"/>
  <c r="I789" i="1"/>
  <c r="H789" i="1"/>
  <c r="J781" i="1"/>
  <c r="I781" i="1"/>
  <c r="H781" i="1"/>
  <c r="J773" i="1"/>
  <c r="I773" i="1"/>
  <c r="H773" i="1"/>
  <c r="J765" i="1"/>
  <c r="I765" i="1"/>
  <c r="H765" i="1"/>
  <c r="J757" i="1"/>
  <c r="I757" i="1"/>
  <c r="H757" i="1"/>
  <c r="J749" i="1"/>
  <c r="I749" i="1"/>
  <c r="H749" i="1"/>
  <c r="J741" i="1"/>
  <c r="I741" i="1"/>
  <c r="H741" i="1"/>
  <c r="J733" i="1"/>
  <c r="I733" i="1"/>
  <c r="H733" i="1"/>
  <c r="J725" i="1"/>
  <c r="I725" i="1"/>
  <c r="H725" i="1"/>
  <c r="J717" i="1"/>
  <c r="I717" i="1"/>
  <c r="H717" i="1"/>
  <c r="J709" i="1"/>
  <c r="I709" i="1"/>
  <c r="H709" i="1"/>
  <c r="J701" i="1"/>
  <c r="I701" i="1"/>
  <c r="H701" i="1"/>
  <c r="J693" i="1"/>
  <c r="I693" i="1"/>
  <c r="H693" i="1"/>
  <c r="J685" i="1"/>
  <c r="I685" i="1"/>
  <c r="H685" i="1"/>
  <c r="J677" i="1"/>
  <c r="I677" i="1"/>
  <c r="H677" i="1"/>
  <c r="J669" i="1"/>
  <c r="I669" i="1"/>
  <c r="H669" i="1"/>
  <c r="J661" i="1"/>
  <c r="I661" i="1"/>
  <c r="H661" i="1"/>
  <c r="J653" i="1"/>
  <c r="I653" i="1"/>
  <c r="H653" i="1"/>
  <c r="J645" i="1"/>
  <c r="I645" i="1"/>
  <c r="H645" i="1"/>
  <c r="J637" i="1"/>
  <c r="I637" i="1"/>
  <c r="H637" i="1"/>
  <c r="J629" i="1"/>
  <c r="I629" i="1"/>
  <c r="H629" i="1"/>
  <c r="J621" i="1"/>
  <c r="I621" i="1"/>
  <c r="H621" i="1"/>
  <c r="J613" i="1"/>
  <c r="I613" i="1"/>
  <c r="H613" i="1"/>
  <c r="J605" i="1"/>
  <c r="I605" i="1"/>
  <c r="H605" i="1"/>
  <c r="J597" i="1"/>
  <c r="I597" i="1"/>
  <c r="H597" i="1"/>
  <c r="J589" i="1"/>
  <c r="I589" i="1"/>
  <c r="H589" i="1"/>
  <c r="J581" i="1"/>
  <c r="I581" i="1"/>
  <c r="H581" i="1"/>
  <c r="J573" i="1"/>
  <c r="I573" i="1"/>
  <c r="H573" i="1"/>
  <c r="J565" i="1"/>
  <c r="I565" i="1"/>
  <c r="H565" i="1"/>
  <c r="J557" i="1"/>
  <c r="I557" i="1"/>
  <c r="H557" i="1"/>
  <c r="J549" i="1"/>
  <c r="I549" i="1"/>
  <c r="H549" i="1"/>
  <c r="J541" i="1"/>
  <c r="I541" i="1"/>
  <c r="H541" i="1"/>
  <c r="J533" i="1"/>
  <c r="I533" i="1"/>
  <c r="H533" i="1"/>
  <c r="J525" i="1"/>
  <c r="I525" i="1"/>
  <c r="H525" i="1"/>
  <c r="J517" i="1"/>
  <c r="I517" i="1"/>
  <c r="H517" i="1"/>
  <c r="J509" i="1"/>
  <c r="I509" i="1"/>
  <c r="H509" i="1"/>
  <c r="J501" i="1"/>
  <c r="I501" i="1"/>
  <c r="H501" i="1"/>
  <c r="J493" i="1"/>
  <c r="I493" i="1"/>
  <c r="H493" i="1"/>
  <c r="J485" i="1"/>
  <c r="I485" i="1"/>
  <c r="H485" i="1"/>
  <c r="J477" i="1"/>
  <c r="I477" i="1"/>
  <c r="H477" i="1"/>
  <c r="J469" i="1"/>
  <c r="I469" i="1"/>
  <c r="H469" i="1"/>
  <c r="J461" i="1"/>
  <c r="I461" i="1"/>
  <c r="H461" i="1"/>
  <c r="J453" i="1"/>
  <c r="I453" i="1"/>
  <c r="H453" i="1"/>
  <c r="J445" i="1"/>
  <c r="I445" i="1"/>
  <c r="H445" i="1"/>
  <c r="J437" i="1"/>
  <c r="I437" i="1"/>
  <c r="H437" i="1"/>
  <c r="J429" i="1"/>
  <c r="I429" i="1"/>
  <c r="H429" i="1"/>
  <c r="J421" i="1"/>
  <c r="I421" i="1"/>
  <c r="H421" i="1"/>
  <c r="J413" i="1"/>
  <c r="I413" i="1"/>
  <c r="H413" i="1"/>
  <c r="J405" i="1"/>
  <c r="I405" i="1"/>
  <c r="H405" i="1"/>
  <c r="J397" i="1"/>
  <c r="I397" i="1"/>
  <c r="H397" i="1"/>
  <c r="J7" i="1"/>
  <c r="K4" i="1"/>
  <c r="H2" i="1"/>
  <c r="N2" i="1"/>
  <c r="M2" i="1" l="1"/>
  <c r="K13" i="5" l="1"/>
  <c r="L13" i="5"/>
  <c r="M13" i="5"/>
  <c r="K14" i="5"/>
  <c r="L14" i="5"/>
  <c r="M14" i="5"/>
  <c r="K15" i="5"/>
  <c r="L15" i="5"/>
  <c r="M15" i="5"/>
  <c r="K16" i="5"/>
  <c r="L16" i="5"/>
  <c r="M16" i="5"/>
  <c r="K17" i="5"/>
  <c r="L17" i="5"/>
  <c r="M17" i="5"/>
  <c r="K18" i="5"/>
  <c r="L18" i="5"/>
  <c r="M18" i="5"/>
  <c r="K19" i="5"/>
  <c r="L19" i="5"/>
  <c r="M19" i="5"/>
  <c r="L12" i="5"/>
  <c r="M12" i="5"/>
  <c r="K12" i="5"/>
  <c r="O13" i="5" l="1"/>
  <c r="P13" i="5"/>
  <c r="Q13" i="5"/>
  <c r="O14" i="5"/>
  <c r="P14" i="5"/>
  <c r="Q14" i="5"/>
  <c r="O15" i="5"/>
  <c r="P15" i="5"/>
  <c r="Q15" i="5"/>
  <c r="O16" i="5"/>
  <c r="P16" i="5"/>
  <c r="Q16" i="5"/>
  <c r="O17" i="5"/>
  <c r="P17" i="5"/>
  <c r="Q17" i="5"/>
  <c r="O18" i="5"/>
  <c r="P18" i="5"/>
  <c r="Q18" i="5"/>
  <c r="O19" i="5"/>
  <c r="P19" i="5"/>
  <c r="Q19" i="5"/>
  <c r="P12" i="5"/>
  <c r="Q12" i="5"/>
  <c r="O12" i="5"/>
  <c r="M6" i="5" l="1"/>
  <c r="M7" i="5"/>
  <c r="M8" i="5"/>
  <c r="M5" i="5"/>
  <c r="E21" i="6"/>
  <c r="E18" i="6"/>
  <c r="E19" i="6"/>
  <c r="E20" i="6"/>
  <c r="N7" i="5" l="1"/>
  <c r="N5" i="5"/>
  <c r="N8" i="5"/>
  <c r="N6" i="5"/>
  <c r="B7" i="1"/>
  <c r="G9" i="4" l="1"/>
  <c r="H9" i="4"/>
  <c r="G10" i="4"/>
  <c r="H10" i="4"/>
  <c r="G11" i="4"/>
  <c r="H11" i="4"/>
  <c r="G8" i="4"/>
  <c r="M9" i="4"/>
  <c r="N9" i="4"/>
  <c r="M10" i="4"/>
  <c r="N10" i="4"/>
  <c r="L10" i="4"/>
  <c r="L4" i="4"/>
  <c r="M4" i="4"/>
  <c r="N4" i="4"/>
  <c r="L5" i="4"/>
  <c r="M5" i="4"/>
  <c r="N5" i="4"/>
  <c r="L6" i="4"/>
  <c r="M6" i="4"/>
  <c r="N6" i="4"/>
  <c r="L7" i="4"/>
  <c r="M7" i="4"/>
  <c r="N7" i="4"/>
  <c r="L8" i="4"/>
  <c r="M8" i="4"/>
  <c r="N8" i="4"/>
  <c r="L9" i="4"/>
  <c r="M3" i="4"/>
  <c r="N3" i="4"/>
  <c r="L3" i="4"/>
  <c r="H8" i="4"/>
  <c r="K3"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2" i="1"/>
  <c r="J2" i="1"/>
  <c r="J3" i="1"/>
  <c r="J4" i="1"/>
  <c r="J5" i="1"/>
  <c r="J6"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B3" i="1" l="1"/>
  <c r="B4" i="1"/>
  <c r="B5" i="1"/>
  <c r="B6"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2" i="1"/>
</calcChain>
</file>

<file path=xl/sharedStrings.xml><?xml version="1.0" encoding="utf-8"?>
<sst xmlns="http://schemas.openxmlformats.org/spreadsheetml/2006/main" count="11219" uniqueCount="1396">
  <si>
    <t>date</t>
  </si>
  <si>
    <t>card</t>
  </si>
  <si>
    <t>money</t>
  </si>
  <si>
    <t>coffee_name</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</si>
  <si>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</si>
  <si>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</si>
  <si>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</si>
  <si>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</si>
  <si>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</si>
  <si>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</si>
  <si>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</si>
  <si>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</si>
  <si>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</si>
  <si>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</si>
  <si>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</si>
  <si>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</si>
  <si>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</si>
  <si>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</si>
  <si>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</si>
  <si>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</si>
  <si>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</si>
  <si>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</si>
  <si>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</si>
  <si>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</si>
  <si>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</si>
  <si>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</si>
  <si>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</si>
  <si>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</si>
  <si>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</si>
  <si>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</si>
  <si>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</si>
  <si>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</si>
  <si>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</si>
  <si>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</si>
  <si>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</si>
  <si>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</si>
  <si>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</si>
  <si>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</si>
  <si>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</si>
  <si>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</si>
  <si>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</si>
  <si>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</si>
  <si>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</si>
  <si>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</si>
  <si>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</si>
  <si>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</si>
  <si>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</si>
  <si>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</si>
  <si>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</si>
  <si>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</si>
  <si>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</si>
  <si>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</si>
  <si>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</si>
  <si>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</si>
  <si>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</si>
  <si>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</si>
  <si>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</si>
  <si>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</si>
  <si>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</si>
  <si>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</si>
  <si>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</si>
  <si>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</si>
  <si>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</si>
  <si>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</si>
  <si>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</si>
  <si>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</si>
  <si>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</si>
  <si>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</si>
  <si>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</si>
  <si>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</si>
  <si>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</si>
  <si>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</si>
  <si>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</si>
  <si>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</si>
  <si>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</si>
  <si>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</si>
  <si>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</si>
  <si>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</si>
  <si>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</si>
  <si>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</si>
  <si>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</si>
  <si>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</si>
  <si>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</si>
  <si>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</si>
  <si>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</si>
  <si>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</si>
  <si>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</si>
  <si>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</si>
  <si>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</si>
  <si>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</si>
  <si>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</si>
  <si>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</si>
  <si>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</si>
  <si>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</si>
  <si>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</si>
  <si>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</si>
  <si>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</si>
  <si>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</si>
  <si>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</si>
  <si>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</si>
  <si>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</si>
  <si>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</si>
  <si>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</si>
  <si>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</si>
  <si>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</si>
  <si>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</si>
  <si>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</si>
  <si>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</si>
  <si>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</si>
  <si>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</si>
  <si>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</si>
  <si>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</si>
  <si>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</si>
  <si>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</si>
  <si>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</si>
  <si>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</si>
  <si>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</si>
  <si>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</si>
  <si>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</si>
  <si>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</si>
  <si>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</si>
  <si>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</si>
  <si>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</si>
  <si>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</si>
  <si>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</si>
  <si>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</si>
  <si>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</si>
  <si>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</si>
  <si>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</si>
  <si>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</si>
  <si>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</si>
  <si>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</si>
  <si>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</si>
  <si>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</si>
  <si>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</si>
  <si>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</si>
  <si>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</si>
  <si>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</si>
  <si>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</si>
  <si>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</si>
  <si>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</si>
  <si>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</si>
  <si>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</si>
  <si>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</si>
  <si>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</si>
  <si>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</si>
  <si>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</si>
  <si>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</si>
  <si>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</si>
  <si>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</si>
  <si>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</si>
  <si>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</si>
  <si>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</si>
  <si>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</si>
  <si>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</si>
  <si>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</si>
  <si>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</si>
  <si>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</si>
  <si>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</si>
  <si>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</si>
  <si>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</si>
  <si>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</si>
  <si>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</si>
  <si>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</si>
  <si>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</si>
  <si>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</si>
  <si>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</si>
  <si>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</si>
  <si>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</si>
  <si>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</si>
  <si>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</si>
  <si>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</si>
  <si>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</si>
  <si>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</si>
  <si>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</si>
  <si>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</si>
  <si>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</si>
  <si>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</si>
  <si>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</si>
  <si>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</si>
  <si>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</si>
  <si>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</si>
  <si>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</si>
  <si>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</si>
  <si>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</si>
  <si>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</si>
  <si>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</si>
  <si>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</si>
  <si>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</si>
  <si>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</si>
  <si>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</si>
  <si>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</si>
  <si>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</si>
  <si>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</si>
  <si>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</si>
  <si>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</si>
  <si>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</si>
  <si>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</si>
  <si>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</si>
  <si>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</si>
  <si>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</si>
  <si>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</si>
  <si>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</si>
  <si>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</si>
  <si>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</si>
  <si>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</si>
  <si>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</si>
  <si>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</si>
  <si>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</si>
  <si>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</si>
  <si>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</si>
  <si>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</si>
  <si>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</si>
  <si>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</si>
  <si>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</si>
  <si>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</si>
  <si>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</si>
  <si>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</si>
  <si>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</si>
  <si>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</si>
  <si>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</si>
  <si>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</si>
  <si>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</si>
  <si>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</si>
  <si>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</si>
  <si>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</si>
  <si>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</si>
  <si>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</si>
  <si>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</si>
  <si>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</si>
  <si>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</si>
  <si>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</si>
  <si>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</si>
  <si>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</si>
  <si>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</si>
  <si>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</si>
  <si>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</si>
  <si>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</si>
  <si>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</si>
  <si>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</si>
  <si>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</si>
  <si>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</si>
  <si>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</si>
  <si>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</si>
  <si>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</si>
  <si>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</si>
  <si>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</si>
  <si>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</si>
  <si>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</si>
  <si>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</si>
  <si>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</si>
  <si>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</si>
  <si>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</si>
  <si>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</si>
  <si>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</si>
  <si>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</si>
  <si>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</si>
  <si>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</si>
  <si>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</si>
  <si>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</si>
  <si>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</si>
  <si>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</si>
  <si>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</si>
  <si>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</si>
  <si>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</si>
  <si>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</si>
  <si>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</si>
  <si>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</si>
  <si>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</si>
  <si>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</si>
  <si>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</si>
  <si>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</si>
  <si>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</si>
  <si>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</si>
  <si>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</si>
  <si>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</si>
  <si>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</si>
  <si>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</si>
  <si>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</si>
  <si>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</si>
  <si>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</si>
  <si>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</si>
  <si>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</si>
  <si>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</si>
  <si>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</si>
  <si>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</si>
  <si>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</si>
  <si>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</si>
  <si>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</si>
  <si>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</si>
  <si>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</si>
  <si>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</si>
  <si>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</si>
  <si>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</si>
  <si>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</si>
  <si>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</si>
  <si>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</si>
  <si>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</si>
  <si>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</si>
  <si>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</si>
  <si>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</si>
  <si>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</si>
  <si>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</si>
  <si>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</si>
  <si>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</si>
  <si>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</si>
  <si>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</si>
  <si>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</si>
  <si>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</si>
  <si>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</si>
  <si>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</si>
  <si>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</si>
  <si>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</si>
  <si>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</si>
  <si>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</si>
  <si>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</si>
  <si>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</si>
  <si>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</si>
  <si>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</si>
  <si>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</si>
  <si>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</si>
  <si>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</si>
  <si>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</si>
  <si>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</si>
  <si>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</si>
  <si>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</si>
  <si>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</si>
  <si>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</si>
  <si>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</si>
  <si>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</si>
  <si>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</si>
  <si>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</si>
  <si>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</si>
  <si>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</si>
  <si>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</si>
  <si>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</si>
  <si>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</si>
  <si>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</si>
  <si>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</si>
  <si>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</si>
  <si>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</si>
  <si>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</si>
  <si>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</si>
  <si>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</si>
  <si>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</si>
  <si>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</si>
  <si>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</si>
  <si>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</si>
  <si>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</si>
  <si>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</si>
  <si>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</si>
  <si>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</si>
  <si>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</si>
  <si>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</si>
  <si>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</si>
  <si>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</si>
  <si>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</si>
  <si>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</si>
  <si>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</si>
  <si>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</si>
  <si>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</si>
  <si>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</si>
  <si>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</si>
  <si>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</si>
  <si>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</si>
  <si>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</si>
  <si>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</si>
  <si>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</si>
  <si>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</si>
  <si>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</si>
  <si>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</si>
  <si>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</si>
  <si>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</si>
  <si>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</si>
  <si>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</si>
  <si>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</si>
  <si>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</si>
  <si>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</si>
  <si>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</si>
  <si>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</si>
  <si>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</si>
  <si>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</si>
  <si>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</si>
  <si>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</si>
  <si>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</si>
  <si>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</si>
  <si>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</si>
  <si>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</si>
  <si>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</si>
  <si>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</si>
  <si>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</si>
  <si>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</si>
  <si>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</si>
  <si>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</si>
  <si>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</si>
  <si>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</si>
  <si>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</si>
  <si>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</si>
  <si>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</si>
  <si>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</si>
  <si>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</si>
  <si>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</si>
  <si>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</si>
  <si>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</si>
  <si>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</si>
  <si>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</si>
  <si>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</si>
  <si>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</si>
  <si>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</si>
  <si>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</si>
  <si>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</si>
  <si>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</si>
  <si>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</si>
  <si>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</si>
  <si>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</si>
  <si>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</si>
  <si>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</si>
  <si>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</si>
  <si>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</si>
  <si>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</si>
  <si>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</si>
  <si>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</si>
  <si>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</si>
  <si>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</si>
  <si>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</si>
  <si>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</si>
  <si>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</si>
  <si>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</si>
  <si>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</si>
  <si>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</si>
  <si>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</si>
  <si>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</si>
  <si>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</si>
  <si>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</si>
  <si>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</si>
  <si>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</si>
  <si>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</si>
  <si>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</si>
  <si>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</si>
  <si>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</si>
  <si>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</si>
  <si>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</si>
  <si>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</si>
  <si>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</si>
  <si>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</si>
  <si>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</si>
  <si>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</si>
  <si>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</si>
  <si>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</si>
  <si>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</si>
  <si>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</si>
  <si>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</si>
  <si>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</si>
  <si>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</si>
  <si>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</si>
  <si>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</si>
  <si>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</si>
  <si>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</si>
  <si>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</si>
  <si>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</si>
  <si>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</si>
  <si>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</si>
  <si>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</si>
  <si>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</si>
  <si>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</si>
  <si>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</si>
  <si>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</si>
  <si>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</si>
  <si>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</si>
  <si>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</si>
  <si>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</si>
  <si>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</si>
  <si>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</si>
  <si>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</si>
  <si>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</si>
  <si>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</si>
  <si>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</si>
  <si>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</si>
  <si>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</si>
  <si>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</si>
  <si>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</si>
  <si>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</si>
  <si>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</si>
  <si>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</si>
  <si>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</si>
  <si>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</si>
  <si>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</si>
  <si>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</si>
  <si>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</si>
  <si>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</si>
  <si>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</si>
  <si>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</si>
  <si>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</si>
  <si>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</si>
  <si>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</si>
  <si>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</si>
  <si>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</si>
  <si>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</si>
  <si>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</si>
  <si>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</si>
  <si>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</si>
  <si>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</si>
  <si>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</si>
  <si>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</si>
  <si>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</si>
  <si>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</si>
  <si>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</si>
  <si>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</si>
  <si>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</si>
  <si>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</si>
  <si>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</si>
  <si>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</si>
  <si>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</si>
  <si>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</si>
  <si>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</si>
  <si>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</si>
  <si>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</si>
  <si>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</si>
  <si>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</si>
  <si>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</si>
  <si>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</si>
  <si>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</si>
  <si>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</si>
  <si>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</si>
  <si>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</si>
  <si>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</si>
  <si>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</si>
  <si>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</si>
  <si>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</si>
  <si>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</si>
  <si>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</si>
  <si>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</si>
  <si>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</si>
  <si>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</si>
  <si>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</si>
  <si>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</si>
  <si>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</si>
  <si>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</si>
  <si>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</si>
  <si>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</si>
  <si>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</si>
  <si>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</si>
  <si>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</si>
  <si>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</si>
  <si>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</si>
  <si>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</si>
  <si>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</si>
  <si>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</si>
  <si>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</si>
  <si>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</si>
  <si>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</si>
  <si>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</si>
  <si>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</si>
  <si>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</si>
  <si>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</si>
  <si>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</si>
  <si>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</si>
  <si>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</si>
  <si>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</si>
  <si>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</si>
  <si>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</si>
  <si>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</si>
  <si>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</si>
  <si>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</si>
  <si>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</si>
  <si>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</si>
  <si>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</si>
  <si>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</si>
  <si>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</si>
  <si>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</si>
  <si>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</si>
  <si>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</si>
  <si>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</si>
  <si>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</si>
  <si>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</si>
  <si>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</si>
  <si>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</si>
  <si>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</si>
  <si>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</si>
  <si>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</si>
  <si>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</si>
  <si>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</si>
  <si>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</si>
  <si>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</si>
  <si>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</si>
  <si>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</si>
  <si>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</si>
  <si>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</si>
  <si>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</si>
  <si>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</si>
  <si>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</si>
  <si>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</si>
  <si>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</si>
  <si>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</si>
  <si>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</si>
  <si>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</si>
  <si>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</si>
  <si>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</si>
  <si>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</si>
  <si>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</si>
  <si>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</si>
  <si>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</si>
  <si>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</si>
  <si>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</si>
  <si>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</si>
  <si>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</si>
  <si>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</si>
  <si>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</si>
  <si>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</si>
  <si>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</si>
  <si>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</si>
  <si>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</si>
  <si>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</si>
  <si>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</si>
  <si>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</si>
  <si>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</si>
  <si>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</si>
  <si>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</si>
  <si>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</si>
  <si>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</si>
  <si>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</si>
  <si>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</si>
  <si>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</si>
  <si>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</si>
  <si>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</si>
  <si>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</si>
  <si>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</si>
  <si>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</si>
  <si>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</si>
  <si>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</si>
  <si>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</si>
  <si>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</si>
  <si>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</si>
  <si>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</si>
  <si>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</si>
  <si>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</si>
  <si>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</si>
  <si>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</si>
  <si>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</si>
  <si>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</si>
  <si>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</si>
  <si>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</si>
  <si>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</si>
  <si>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</si>
  <si>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</si>
  <si>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</si>
  <si>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</si>
  <si>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</si>
  <si>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</si>
  <si>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</si>
  <si>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</si>
  <si>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</si>
  <si>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</si>
  <si>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</si>
  <si>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</si>
  <si>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</si>
  <si>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</si>
  <si>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</si>
  <si>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</si>
  <si>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</si>
  <si>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</si>
  <si>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</si>
  <si>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</si>
  <si>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</si>
  <si>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</si>
  <si>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</si>
  <si>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</si>
  <si>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</si>
  <si>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</si>
  <si>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</si>
  <si>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</si>
  <si>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</si>
  <si>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</si>
  <si>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</si>
  <si>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</si>
  <si>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</si>
  <si>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</si>
  <si>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</si>
  <si>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</si>
  <si>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</si>
  <si>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</si>
  <si>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</si>
  <si>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</si>
  <si>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</si>
  <si>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</si>
  <si>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</si>
  <si>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</si>
  <si>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</si>
  <si>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</si>
  <si>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</si>
  <si>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</si>
  <si>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</si>
  <si>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</si>
  <si>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</si>
  <si>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</si>
  <si>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</si>
  <si>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</si>
  <si>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</si>
  <si>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</si>
  <si>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</si>
  <si>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</si>
  <si>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</si>
  <si>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</si>
  <si>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</si>
  <si>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</si>
  <si>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</si>
  <si>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</si>
  <si>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</si>
  <si>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</si>
  <si>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</si>
  <si>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</si>
  <si>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</si>
  <si>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</si>
  <si>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</si>
  <si>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</si>
  <si>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</si>
  <si>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</si>
  <si>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</si>
  <si>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</si>
  <si>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</si>
  <si>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</si>
  <si>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</si>
  <si>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</si>
  <si>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</si>
  <si>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</si>
  <si>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</si>
  <si>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</si>
  <si>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</si>
  <si>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</si>
  <si>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</si>
  <si>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</si>
  <si>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</si>
  <si>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</si>
  <si>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</si>
  <si>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</si>
  <si>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</si>
  <si>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</si>
  <si>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</si>
  <si>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</si>
  <si>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</si>
  <si>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</si>
  <si>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</si>
  <si>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</si>
  <si>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</si>
  <si>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</si>
  <si>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</si>
  <si>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</si>
  <si>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</si>
  <si>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</si>
  <si>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</si>
  <si>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</si>
  <si>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</si>
  <si>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</si>
  <si>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</si>
  <si>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</si>
  <si>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</si>
  <si>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</si>
  <si>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</si>
  <si>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</si>
  <si>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</si>
  <si>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</si>
  <si>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</si>
  <si>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</si>
  <si>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</si>
  <si>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</si>
  <si>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</si>
  <si>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</si>
  <si>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</si>
  <si>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</si>
  <si>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</si>
  <si>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</si>
  <si>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</si>
  <si>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</si>
  <si>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</si>
  <si>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</si>
  <si>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</si>
  <si>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</si>
  <si>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</si>
  <si>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</si>
  <si>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</si>
  <si>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</si>
  <si>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</si>
  <si>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</si>
  <si>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</si>
  <si>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</si>
  <si>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</si>
  <si>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</si>
  <si>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</si>
  <si>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</si>
  <si>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</si>
  <si>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</si>
  <si>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</si>
  <si>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</si>
  <si>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</si>
  <si>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</si>
  <si>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</si>
  <si>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</si>
  <si>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</si>
  <si>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</si>
  <si>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</si>
  <si>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</si>
  <si>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</si>
  <si>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</si>
  <si>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</si>
  <si>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</si>
  <si>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</si>
  <si>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</si>
  <si>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</si>
  <si>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</si>
  <si>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</si>
  <si>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</si>
  <si>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</si>
  <si>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</si>
  <si>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</si>
  <si>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</si>
  <si>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</si>
  <si>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</si>
  <si>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</si>
  <si>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</si>
  <si>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</si>
  <si>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</si>
  <si>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</si>
  <si>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</si>
  <si>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</si>
  <si>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</si>
  <si>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</si>
  <si>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</si>
  <si>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</si>
  <si>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</si>
  <si>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</si>
  <si>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</si>
  <si>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</si>
  <si>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</si>
  <si>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</si>
  <si>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</si>
  <si>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</si>
  <si>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</si>
  <si>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</si>
  <si>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</si>
  <si>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</si>
  <si>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</si>
  <si>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</si>
  <si>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</si>
  <si>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</si>
  <si>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</si>
  <si>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</si>
  <si>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</si>
  <si>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</si>
  <si>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</si>
  <si>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</si>
  <si>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</si>
  <si>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</si>
  <si>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</si>
  <si>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</si>
  <si>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</si>
  <si>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</si>
  <si>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</si>
  <si>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</si>
  <si>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</si>
  <si>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</si>
  <si>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</si>
  <si>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</si>
  <si>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</si>
  <si>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</si>
  <si>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</si>
  <si>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</si>
  <si>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</si>
  <si>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</si>
  <si>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</si>
  <si>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</si>
  <si>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</si>
  <si>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</si>
  <si>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</si>
  <si>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</si>
  <si>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</si>
  <si>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</si>
  <si>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</si>
  <si>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</si>
  <si>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</si>
  <si>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</si>
  <si>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</si>
  <si>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</si>
  <si>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</si>
  <si>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</si>
  <si>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</si>
  <si>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</si>
  <si>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</si>
  <si>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</si>
  <si>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</si>
  <si>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</si>
  <si>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</si>
  <si>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</si>
  <si>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</si>
  <si>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</si>
  <si>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</si>
  <si>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</si>
  <si>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</si>
  <si>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</si>
  <si>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</si>
  <si>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</si>
  <si>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</si>
  <si>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</si>
  <si>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</si>
  <si>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</si>
  <si>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</si>
  <si>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</si>
  <si>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</si>
  <si>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</si>
  <si>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</si>
  <si>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</si>
  <si>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</si>
  <si>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</si>
  <si>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</si>
  <si>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</si>
  <si>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</si>
  <si>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</si>
  <si>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</si>
  <si>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</si>
  <si>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</si>
  <si>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</si>
  <si>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</si>
  <si>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</si>
  <si>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</si>
  <si>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</si>
  <si>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</si>
  <si>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</si>
  <si>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</si>
  <si>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</si>
  <si>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</si>
  <si>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</si>
  <si>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</si>
  <si>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</si>
  <si>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</si>
  <si>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</si>
  <si>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</si>
  <si>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</si>
  <si>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</si>
  <si>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</si>
  <si>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</si>
  <si>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</si>
  <si>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</si>
  <si>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</si>
  <si>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</si>
  <si>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</si>
  <si>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</si>
  <si>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</si>
  <si>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</si>
  <si>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</si>
  <si>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</si>
  <si>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</si>
  <si>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</si>
  <si>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</si>
  <si>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</si>
  <si>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</si>
  <si>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</si>
  <si>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</si>
  <si>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</si>
  <si>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</si>
  <si>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</si>
  <si>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</si>
  <si>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</si>
  <si>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</si>
  <si>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</si>
  <si>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</si>
  <si>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</si>
  <si>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</si>
  <si>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</si>
  <si>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</si>
  <si>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</si>
  <si>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</si>
  <si>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</si>
  <si>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</si>
  <si>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</si>
  <si>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</si>
  <si>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</si>
  <si>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</si>
  <si>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</si>
  <si>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</si>
  <si>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</si>
  <si>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</si>
  <si>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</si>
  <si>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</si>
  <si>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</si>
  <si>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</si>
  <si>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</si>
  <si>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</si>
  <si>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</si>
  <si>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</si>
  <si>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</si>
  <si>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</si>
  <si>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</si>
  <si>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</si>
  <si>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</si>
  <si>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</si>
  <si>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</si>
  <si>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</si>
  <si>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</si>
  <si>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</si>
  <si>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</si>
  <si>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</si>
  <si>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</si>
  <si>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</si>
  <si>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</si>
  <si>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</si>
  <si>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</si>
  <si>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</si>
  <si>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</si>
  <si>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</si>
  <si>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</si>
  <si>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</si>
  <si>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</si>
  <si>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</si>
  <si>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</si>
  <si>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</si>
  <si>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</si>
  <si>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</si>
  <si>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</si>
  <si>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</si>
  <si>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</si>
  <si>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</si>
  <si>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</si>
  <si>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</si>
  <si>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</si>
  <si>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</si>
  <si>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</si>
  <si>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</si>
  <si>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</si>
  <si>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</si>
  <si>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</si>
  <si>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</si>
  <si>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</si>
  <si>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</si>
  <si>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</si>
  <si>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</si>
  <si>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</si>
  <si>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</si>
  <si>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</si>
  <si>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</si>
  <si>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</si>
  <si>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</si>
  <si>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</si>
  <si>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</si>
  <si>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</si>
  <si>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</si>
  <si>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</si>
  <si>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</si>
  <si>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</si>
  <si>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</si>
  <si>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</si>
  <si>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</si>
  <si>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</si>
  <si>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</si>
  <si>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</si>
  <si>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</si>
  <si>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</si>
  <si>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</si>
  <si>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</si>
  <si>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</si>
  <si>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</si>
  <si>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</si>
  <si>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</si>
  <si>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</si>
  <si>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</si>
  <si>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</si>
  <si>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</si>
  <si>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</si>
  <si>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</si>
  <si>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</si>
  <si>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</si>
  <si>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</si>
  <si>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</si>
  <si>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</si>
  <si>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</si>
  <si>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</si>
  <si>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</si>
  <si>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</si>
  <si>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</si>
  <si>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</si>
  <si>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</si>
  <si>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</si>
  <si>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</si>
  <si>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</si>
  <si>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</si>
  <si>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</si>
  <si>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</si>
  <si>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</si>
  <si>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</si>
  <si>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</si>
  <si>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</si>
  <si>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</si>
  <si>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</si>
  <si>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</si>
  <si>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</si>
  <si>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</si>
  <si>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</si>
  <si>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</si>
  <si>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</si>
  <si>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</si>
  <si>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</si>
  <si>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</si>
  <si>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</si>
  <si>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</si>
  <si>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</si>
  <si>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</si>
  <si>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</si>
  <si>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</si>
  <si>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</si>
  <si>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</si>
  <si>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</si>
  <si>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</si>
  <si>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</si>
  <si>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</si>
  <si>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</si>
  <si>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</si>
  <si>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</si>
  <si>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</si>
  <si>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</si>
  <si>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</si>
  <si>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</si>
  <si>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</si>
  <si>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</si>
  <si>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</si>
  <si>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</si>
  <si>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</si>
  <si>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</si>
  <si>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</si>
  <si>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</si>
  <si>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</si>
  <si>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</si>
  <si>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</si>
  <si>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</si>
  <si>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</si>
  <si>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</si>
  <si>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</si>
  <si>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</si>
  <si>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</si>
  <si>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</si>
  <si>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</si>
  <si>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</si>
  <si>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</si>
  <si>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</si>
  <si>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</si>
  <si>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</si>
  <si>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</si>
  <si>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</si>
  <si>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</si>
  <si>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</si>
  <si>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</si>
  <si>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</si>
  <si>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</si>
  <si>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</si>
  <si>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</si>
  <si>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</si>
  <si>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</si>
  <si>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</si>
  <si>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</si>
  <si>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</si>
  <si>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</si>
  <si>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</si>
  <si>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</si>
  <si>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</si>
  <si>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</si>
  <si>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</si>
  <si>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</si>
  <si>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</si>
  <si>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</si>
  <si>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</si>
  <si>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</si>
  <si>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</si>
  <si>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</si>
  <si>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</si>
  <si>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</si>
  <si>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</si>
  <si>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</si>
  <si>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</si>
  <si>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</si>
  <si>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</si>
  <si>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</si>
  <si>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</si>
  <si>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</si>
  <si>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</si>
  <si>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</si>
  <si>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</si>
  <si>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</si>
  <si>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</si>
  <si>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</si>
  <si>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</si>
  <si>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</si>
  <si>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</si>
  <si>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</si>
  <si>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</si>
  <si>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</si>
  <si>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</si>
  <si>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</si>
  <si>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</si>
  <si>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</si>
  <si>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</si>
  <si>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</si>
  <si>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</si>
  <si>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</si>
  <si>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</si>
  <si>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</si>
  <si>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</si>
  <si>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</si>
  <si>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</si>
  <si>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</si>
  <si>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</si>
  <si>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</si>
  <si>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</si>
  <si>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</si>
  <si>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</si>
  <si>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</si>
  <si>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</si>
  <si>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</si>
  <si>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</si>
  <si>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</si>
  <si>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</si>
  <si>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</si>
  <si>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</si>
  <si>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</si>
  <si>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</si>
  <si>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</si>
  <si>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</si>
  <si>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</si>
  <si>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</si>
  <si>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</si>
  <si>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</si>
  <si>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</si>
  <si>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</si>
  <si>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</si>
  <si>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</si>
  <si>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</si>
  <si>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</si>
  <si>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</si>
  <si>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</si>
  <si>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</si>
  <si>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</si>
  <si>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</si>
  <si>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</si>
  <si>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</si>
  <si>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</si>
  <si>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</si>
  <si>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</si>
  <si>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</si>
  <si>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</si>
  <si>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</si>
  <si>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</si>
  <si>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</si>
  <si>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</si>
  <si>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</si>
  <si>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</si>
  <si>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</si>
  <si>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</si>
  <si>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</si>
  <si>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</si>
  <si>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</si>
  <si>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</si>
  <si>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</si>
  <si>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</si>
  <si>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</si>
  <si>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</si>
  <si>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</si>
  <si>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</si>
  <si>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</si>
  <si>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</si>
  <si>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</si>
  <si>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</si>
  <si>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</si>
  <si>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</si>
  <si>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</si>
  <si>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</si>
  <si>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</si>
  <si>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</si>
  <si>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</si>
  <si>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</si>
  <si>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</si>
  <si>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</si>
  <si>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</si>
  <si>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</si>
  <si>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</si>
  <si>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</si>
  <si>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</si>
  <si>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</si>
  <si>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</si>
  <si>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</si>
  <si>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</si>
  <si>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</si>
  <si>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</si>
  <si>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</si>
  <si>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</si>
  <si>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</si>
  <si>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</si>
  <si>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</si>
  <si>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</si>
  <si>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</si>
  <si>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</si>
  <si>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</si>
  <si>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</si>
  <si>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</si>
  <si>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</si>
  <si>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</si>
  <si>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</si>
  <si>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</si>
  <si>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</si>
  <si>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</si>
  <si>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</si>
  <si>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</si>
  <si>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</si>
  <si>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</si>
  <si>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</si>
  <si>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</si>
  <si>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</si>
  <si>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</si>
  <si>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</si>
  <si>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</si>
  <si>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</si>
  <si>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</si>
  <si>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</si>
  <si>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</si>
  <si>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</si>
  <si>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</si>
  <si>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</si>
  <si>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</si>
  <si>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</si>
  <si>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</si>
  <si>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</si>
  <si>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</si>
  <si>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</si>
  <si>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</si>
  <si>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Day</t>
  </si>
  <si>
    <t>Total sales per Day</t>
  </si>
  <si>
    <t>Tuesday</t>
  </si>
  <si>
    <t>Wednesday</t>
  </si>
  <si>
    <t>Thursday</t>
  </si>
  <si>
    <t>Friday</t>
  </si>
  <si>
    <t>Saturday</t>
  </si>
  <si>
    <t>Sunday</t>
  </si>
  <si>
    <t>Day of the Week</t>
  </si>
  <si>
    <t>Monday</t>
  </si>
  <si>
    <t xml:space="preserve">Month </t>
  </si>
  <si>
    <t>Year</t>
  </si>
  <si>
    <t>Sales</t>
  </si>
  <si>
    <t>January</t>
  </si>
  <si>
    <t>February</t>
  </si>
  <si>
    <t>March</t>
  </si>
  <si>
    <t>April</t>
  </si>
  <si>
    <t>May</t>
  </si>
  <si>
    <t>June</t>
  </si>
  <si>
    <t>July</t>
  </si>
  <si>
    <t>August</t>
  </si>
  <si>
    <t>September</t>
  </si>
  <si>
    <t>October</t>
  </si>
  <si>
    <t>November</t>
  </si>
  <si>
    <t>December</t>
  </si>
  <si>
    <t>Product</t>
  </si>
  <si>
    <t>Footfall</t>
  </si>
  <si>
    <t>1st</t>
  </si>
  <si>
    <t>2nd</t>
  </si>
  <si>
    <t>3rd</t>
  </si>
  <si>
    <t>4th</t>
  </si>
  <si>
    <t xml:space="preserve">Sum of Sales </t>
  </si>
  <si>
    <t>Row Labels</t>
  </si>
  <si>
    <t>Grand Total</t>
  </si>
  <si>
    <t>Sum of SALES</t>
  </si>
  <si>
    <t>Sum of Sales</t>
  </si>
  <si>
    <t xml:space="preserve">Sum of Price </t>
  </si>
  <si>
    <t>Sum of Sales percentage</t>
  </si>
  <si>
    <t>Sum of Footfall</t>
  </si>
  <si>
    <t xml:space="preserve">Sum of Percentage </t>
  </si>
  <si>
    <t>Quarter</t>
  </si>
  <si>
    <t>Price</t>
  </si>
  <si>
    <t xml:space="preserve"> </t>
  </si>
  <si>
    <t>Products</t>
  </si>
  <si>
    <t xml:space="preserve">Sales Percentage </t>
  </si>
  <si>
    <t>Sum of money</t>
  </si>
  <si>
    <t>Sum of Total sales per Day</t>
  </si>
  <si>
    <t>2024</t>
  </si>
  <si>
    <t>2025</t>
  </si>
  <si>
    <t>Quarters</t>
  </si>
  <si>
    <t>(All)</t>
  </si>
  <si>
    <t>Sales Percentage</t>
  </si>
  <si>
    <t>Card</t>
  </si>
  <si>
    <t>Cash_type</t>
  </si>
  <si>
    <t>Cash</t>
  </si>
  <si>
    <t xml:space="preserve">Footfall </t>
  </si>
  <si>
    <t>Percentage</t>
  </si>
  <si>
    <t xml:space="preserve">Total Sales </t>
  </si>
  <si>
    <t xml:space="preserve">Average Sales </t>
  </si>
  <si>
    <t>Date2</t>
  </si>
  <si>
    <t>Count of Cash_type</t>
  </si>
  <si>
    <t>Sales by Price</t>
  </si>
  <si>
    <t>Basket Value</t>
  </si>
  <si>
    <t>Top Customers</t>
  </si>
  <si>
    <t>Best selling Product</t>
  </si>
  <si>
    <t>Amouunt Sold</t>
  </si>
  <si>
    <t xml:space="preserve">Gross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</si>
</sst>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
    <numFmt numFmtId="165" formatCode="&quot;Quarter&quot;\ 0"/>
    <numFmt numFmtId="166" formatCode="&quot;$&quot;#,##0.0"/>
    <numFmt numFmtId="167" formatCode="#,##0.0"/>
    <numFmt numFmtId="168" formatCode="[$₦-466]\ #,##0.0"/>
    <numFmt numFmtId="169" formatCode="_(&quot;$&quot;* #,##0.0_);_(&quot;$&quot;* \(#,##0.0\);_(&quot;$&quot;* &quot;-&quot;??_);_(@_)"/>
    <numFmt numFmtId="170" formatCode="_(&quot;$&quot;* #,##0.0_);_(&quot;$&quot;* \(#,##0.0\);_(&quot;$&quot;* &quot;-&quot;?_);_(@_)"/>
    <numFmt numFmtId="171" formatCode="_(* #,##0_);_(* \(#,##0\);_(* &quot;-&quot;??_);_(@_)"/>
  </numFmts>
  <fonts count="22" x14ac:knownFonts="1">
    <font>
      <sz val="10"/>
      <color theme="1"/>
      <name val="Creato Display"/>
      <family val="2"/>
    </font>
    <font>
      <sz val="10"/>
      <color theme="1"/>
      <name val="Creato Display"/>
      <family val="2"/>
    </font>
    <font>
      <sz val="18"/>
      <color theme="3"/>
      <name val="Calibri Light"/>
      <family val="2"/>
      <scheme val="major"/>
    </font>
    <font>
      <b/>
      <sz val="15"/>
      <color theme="3"/>
      <name val="Creato Display"/>
      <family val="2"/>
    </font>
    <font>
      <b/>
      <sz val="13"/>
      <color theme="3"/>
      <name val="Creato Display"/>
      <family val="2"/>
    </font>
    <font>
      <b/>
      <sz val="11"/>
      <color theme="3"/>
      <name val="Creato Display"/>
      <family val="2"/>
    </font>
    <font>
      <sz val="10"/>
      <color rgb="FF006100"/>
      <name val="Creato Display"/>
      <family val="2"/>
    </font>
    <font>
      <sz val="10"/>
      <color rgb="FF9C0006"/>
      <name val="Creato Display"/>
      <family val="2"/>
    </font>
    <font>
      <sz val="10"/>
      <color rgb="FF9C6500"/>
      <name val="Creato Display"/>
      <family val="2"/>
    </font>
    <font>
      <sz val="10"/>
      <color rgb="FF3F3F76"/>
      <name val="Creato Display"/>
      <family val="2"/>
    </font>
    <font>
      <b/>
      <sz val="10"/>
      <color rgb="FF3F3F3F"/>
      <name val="Creato Display"/>
      <family val="2"/>
    </font>
    <font>
      <b/>
      <sz val="10"/>
      <color rgb="FFFA7D00"/>
      <name val="Creato Display"/>
      <family val="2"/>
    </font>
    <font>
      <sz val="10"/>
      <color rgb="FFFA7D00"/>
      <name val="Creato Display"/>
      <family val="2"/>
    </font>
    <font>
      <b/>
      <sz val="10"/>
      <color theme="0"/>
      <name val="Creato Display"/>
      <family val="2"/>
    </font>
    <font>
      <sz val="10"/>
      <color rgb="FFFF0000"/>
      <name val="Creato Display"/>
      <family val="2"/>
    </font>
    <font>
      <i/>
      <sz val="10"/>
      <color rgb="FF7F7F7F"/>
      <name val="Creato Display"/>
      <family val="2"/>
    </font>
    <font>
      <b/>
      <sz val="10"/>
      <color theme="1"/>
      <name val="Creato Display"/>
      <family val="2"/>
    </font>
    <font>
      <sz val="10"/>
      <color theme="0"/>
      <name val="Creato Display"/>
      <family val="2"/>
    </font>
    <font>
      <sz val="10"/>
      <color theme="1"/>
      <name val="MV Boli"/>
    </font>
    <font>
      <sz val="10"/>
      <color theme="1"/>
      <name val="Calibri"/>
      <family val="2"/>
      <scheme val="minor"/>
    </font>
    <font>
      <b/>
      <sz val="10"/>
      <color theme="1"/>
      <name val="Calibri"/>
      <family val="2"/>
      <scheme val="minor"/>
    </font>
    <font>
      <b/>
      <sz val="10"/>
      <color theme="1"/>
      <name val="MV Boli"/>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EB46E"/>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4"/>
        <bgColor theme="4"/>
      </patternFill>
    </fill>
  </fills>
  <borders count="4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style="thin">
        <color rgb="FFABABAB"/>
      </left>
      <right/>
      <top/>
      <bottom/>
      <diagonal/>
    </border>
    <border>
      <left style="thin">
        <color indexed="65"/>
      </left>
      <right/>
      <top/>
      <bottom/>
      <diagonal/>
    </border>
    <border>
      <left/>
      <right/>
      <top style="thin">
        <color theme="4" tint="0.3999755851924192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30">
    <xf numFmtId="0" fontId="0" fillId="0" borderId="0" xfId="0"/>
    <xf numFmtId="4" fontId="0" fillId="0" borderId="0" xfId="0" applyNumberFormat="1"/>
    <xf numFmtId="0" fontId="0" fillId="0" borderId="11" xfId="0" applyBorder="1"/>
    <xf numFmtId="0" fontId="0" fillId="0" borderId="13" xfId="0" applyBorder="1"/>
    <xf numFmtId="0" fontId="0" fillId="0" borderId="15" xfId="0" applyBorder="1"/>
    <xf numFmtId="4" fontId="0" fillId="0" borderId="0" xfId="0" applyNumberFormat="1" applyBorder="1"/>
    <xf numFmtId="0" fontId="0" fillId="0" borderId="0" xfId="0" applyBorder="1"/>
    <xf numFmtId="164" fontId="0" fillId="0" borderId="0" xfId="0" applyNumberFormat="1"/>
    <xf numFmtId="165" fontId="0" fillId="0" borderId="0" xfId="0" applyNumberFormat="1"/>
    <xf numFmtId="166" fontId="0" fillId="0" borderId="0" xfId="0" pivotButton="1" applyNumberFormat="1"/>
    <xf numFmtId="166" fontId="0" fillId="0" borderId="0" xfId="0" applyNumberFormat="1"/>
    <xf numFmtId="166" fontId="0" fillId="0" borderId="0" xfId="0" applyNumberFormat="1" applyAlignment="1">
      <alignment horizontal="left"/>
    </xf>
    <xf numFmtId="3" fontId="0" fillId="0" borderId="0" xfId="0" applyNumberFormat="1"/>
    <xf numFmtId="4" fontId="0" fillId="0" borderId="10" xfId="0" applyNumberFormat="1" applyBorder="1"/>
    <xf numFmtId="10" fontId="16" fillId="0" borderId="14" xfId="0" applyNumberFormat="1" applyFont="1" applyBorder="1"/>
    <xf numFmtId="10" fontId="16" fillId="0" borderId="16" xfId="0" applyNumberFormat="1" applyFont="1" applyBorder="1"/>
    <xf numFmtId="0" fontId="0" fillId="0" borderId="0" xfId="0" applyAlignment="1">
      <alignment horizontal="left"/>
    </xf>
    <xf numFmtId="0" fontId="0" fillId="0" borderId="0" xfId="0" applyNumberFormat="1"/>
    <xf numFmtId="9" fontId="0" fillId="0" borderId="0" xfId="0" applyNumberFormat="1"/>
    <xf numFmtId="164" fontId="0" fillId="0" borderId="0" xfId="0" applyNumberFormat="1" applyBorder="1"/>
    <xf numFmtId="0" fontId="0" fillId="0" borderId="0" xfId="42" applyNumberFormat="1" applyFont="1"/>
    <xf numFmtId="168" fontId="0" fillId="0" borderId="0" xfId="0" applyNumberFormat="1"/>
    <xf numFmtId="0" fontId="16" fillId="0" borderId="0" xfId="0" applyFont="1" applyFill="1" applyBorder="1"/>
    <xf numFmtId="10" fontId="16" fillId="0" borderId="0" xfId="0" applyNumberFormat="1" applyFont="1" applyBorder="1"/>
    <xf numFmtId="0" fontId="0" fillId="33" borderId="0" xfId="0" applyFill="1" applyBorder="1"/>
    <xf numFmtId="168" fontId="0" fillId="0" borderId="0" xfId="0" applyNumberFormat="1" applyBorder="1"/>
    <xf numFmtId="0" fontId="0" fillId="34" borderId="0" xfId="0" applyFill="1" applyBorder="1"/>
    <xf numFmtId="0" fontId="0" fillId="0" borderId="0" xfId="0" pivotButton="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166" fontId="0" fillId="0" borderId="22" xfId="0" applyNumberFormat="1" applyBorder="1"/>
    <xf numFmtId="166" fontId="0" fillId="0" borderId="23" xfId="0" applyNumberFormat="1" applyBorder="1"/>
    <xf numFmtId="166" fontId="0" fillId="0" borderId="24" xfId="0" applyNumberFormat="1" applyBorder="1"/>
    <xf numFmtId="166" fontId="0" fillId="0" borderId="25" xfId="0" applyNumberFormat="1" applyBorder="1"/>
    <xf numFmtId="166" fontId="0" fillId="0" borderId="26" xfId="0" applyNumberFormat="1" applyBorder="1"/>
    <xf numFmtId="166" fontId="0" fillId="0" borderId="27" xfId="0" applyNumberFormat="1"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12" xfId="0" applyBorder="1"/>
    <xf numFmtId="0" fontId="0" fillId="0" borderId="14" xfId="0" applyBorder="1"/>
    <xf numFmtId="0" fontId="0" fillId="0" borderId="16" xfId="0" applyBorder="1"/>
    <xf numFmtId="0" fontId="16" fillId="33" borderId="11" xfId="0" applyFont="1" applyFill="1" applyBorder="1"/>
    <xf numFmtId="0" fontId="16" fillId="33" borderId="17" xfId="0" applyFont="1" applyFill="1" applyBorder="1"/>
    <xf numFmtId="0" fontId="16" fillId="33" borderId="12" xfId="0" applyFont="1" applyFill="1" applyBorder="1"/>
    <xf numFmtId="0" fontId="19" fillId="0" borderId="13" xfId="0" applyFont="1" applyBorder="1"/>
    <xf numFmtId="0" fontId="19" fillId="0" borderId="15" xfId="0" applyFont="1" applyBorder="1"/>
    <xf numFmtId="0" fontId="20" fillId="33" borderId="11" xfId="0" applyFont="1" applyFill="1" applyBorder="1"/>
    <xf numFmtId="166" fontId="20" fillId="33" borderId="12" xfId="0" applyNumberFormat="1" applyFont="1" applyFill="1" applyBorder="1"/>
    <xf numFmtId="166" fontId="19" fillId="0" borderId="14" xfId="0" applyNumberFormat="1" applyFont="1" applyBorder="1"/>
    <xf numFmtId="166" fontId="19" fillId="0" borderId="16" xfId="0" applyNumberFormat="1" applyFont="1" applyBorder="1"/>
    <xf numFmtId="0" fontId="0" fillId="0" borderId="10" xfId="0" applyBorder="1"/>
    <xf numFmtId="0" fontId="20" fillId="33" borderId="17" xfId="0" applyFont="1" applyFill="1" applyBorder="1"/>
    <xf numFmtId="0" fontId="20" fillId="33" borderId="12" xfId="0" applyFont="1" applyFill="1" applyBorder="1"/>
    <xf numFmtId="0" fontId="20" fillId="0" borderId="13" xfId="0" applyFont="1" applyBorder="1"/>
    <xf numFmtId="0" fontId="20" fillId="0" borderId="10" xfId="0" applyFont="1" applyBorder="1"/>
    <xf numFmtId="164" fontId="20" fillId="0" borderId="14" xfId="0" applyNumberFormat="1" applyFont="1" applyBorder="1"/>
    <xf numFmtId="0" fontId="20" fillId="0" borderId="15" xfId="0" applyFont="1" applyBorder="1"/>
    <xf numFmtId="0" fontId="20" fillId="0" borderId="18" xfId="0" applyFont="1" applyBorder="1"/>
    <xf numFmtId="164" fontId="20" fillId="0" borderId="16" xfId="0" applyNumberFormat="1" applyFont="1" applyBorder="1"/>
    <xf numFmtId="169" fontId="20" fillId="0" borderId="10" xfId="43" applyNumberFormat="1" applyFont="1" applyBorder="1"/>
    <xf numFmtId="164" fontId="20" fillId="0" borderId="14" xfId="42" applyNumberFormat="1" applyFont="1" applyBorder="1"/>
    <xf numFmtId="169" fontId="20" fillId="0" borderId="18" xfId="43" applyNumberFormat="1" applyFont="1" applyBorder="1"/>
    <xf numFmtId="164" fontId="20" fillId="0" borderId="16" xfId="42" applyNumberFormat="1" applyFont="1" applyBorder="1"/>
    <xf numFmtId="166" fontId="18" fillId="0" borderId="10" xfId="0" applyNumberFormat="1" applyFont="1" applyBorder="1"/>
    <xf numFmtId="3" fontId="18" fillId="0" borderId="10" xfId="0" applyNumberFormat="1" applyFont="1" applyBorder="1"/>
    <xf numFmtId="0" fontId="13" fillId="36" borderId="33" xfId="0" applyFont="1" applyFill="1" applyBorder="1"/>
    <xf numFmtId="4" fontId="13" fillId="36" borderId="33" xfId="0" applyNumberFormat="1" applyFont="1" applyFill="1" applyBorder="1"/>
    <xf numFmtId="0" fontId="13" fillId="36" borderId="34" xfId="0" applyFont="1" applyFill="1" applyBorder="1"/>
    <xf numFmtId="0" fontId="13" fillId="36" borderId="35" xfId="0" applyFont="1" applyFill="1" applyBorder="1"/>
    <xf numFmtId="4" fontId="13" fillId="36" borderId="32" xfId="0" applyNumberFormat="1" applyFont="1" applyFill="1" applyBorder="1"/>
    <xf numFmtId="0" fontId="13" fillId="36" borderId="32" xfId="0" applyFont="1" applyFill="1" applyBorder="1"/>
    <xf numFmtId="0" fontId="13" fillId="36" borderId="36" xfId="0" applyFont="1" applyFill="1" applyBorder="1"/>
    <xf numFmtId="0" fontId="13" fillId="36" borderId="0" xfId="0" applyFont="1" applyFill="1" applyBorder="1"/>
    <xf numFmtId="0" fontId="13" fillId="36" borderId="37" xfId="0" applyFont="1" applyFill="1" applyBorder="1"/>
    <xf numFmtId="14" fontId="16" fillId="0" borderId="38" xfId="0" applyNumberFormat="1" applyFont="1" applyBorder="1"/>
    <xf numFmtId="0" fontId="16" fillId="0" borderId="38" xfId="0" applyFont="1" applyBorder="1"/>
    <xf numFmtId="4" fontId="0" fillId="0" borderId="39" xfId="0" applyNumberFormat="1" applyBorder="1"/>
    <xf numFmtId="0" fontId="16" fillId="0" borderId="39" xfId="0" applyFont="1" applyBorder="1"/>
    <xf numFmtId="14" fontId="0" fillId="35" borderId="0" xfId="0" applyNumberFormat="1" applyFont="1" applyFill="1" applyBorder="1"/>
    <xf numFmtId="0" fontId="0" fillId="35" borderId="0" xfId="0" applyFont="1" applyFill="1" applyBorder="1"/>
    <xf numFmtId="4" fontId="0" fillId="35" borderId="0" xfId="0" applyNumberFormat="1" applyFont="1" applyFill="1" applyBorder="1"/>
    <xf numFmtId="166" fontId="21" fillId="0" borderId="0" xfId="0" applyNumberFormat="1" applyFont="1" applyBorder="1"/>
    <xf numFmtId="166" fontId="0" fillId="0" borderId="0" xfId="0" applyNumberFormat="1" applyBorder="1"/>
    <xf numFmtId="14" fontId="0" fillId="0" borderId="0" xfId="0" applyNumberFormat="1" applyFont="1" applyBorder="1"/>
    <xf numFmtId="0" fontId="0" fillId="0" borderId="0" xfId="0" applyFont="1" applyBorder="1"/>
    <xf numFmtId="4" fontId="0" fillId="0" borderId="0" xfId="0" applyNumberFormat="1" applyFont="1" applyBorder="1"/>
    <xf numFmtId="0" fontId="0" fillId="0" borderId="0" xfId="0" applyAlignment="1">
      <alignment horizontal="left" indent="1"/>
    </xf>
    <xf numFmtId="14" fontId="0" fillId="0" borderId="0" xfId="0" applyNumberFormat="1" applyAlignment="1">
      <alignment horizontal="left"/>
    </xf>
    <xf numFmtId="169" fontId="0" fillId="0" borderId="0" xfId="43" applyNumberFormat="1" applyFont="1"/>
    <xf numFmtId="170" fontId="0" fillId="0" borderId="0" xfId="44" applyNumberFormat="1" applyFont="1"/>
    <xf numFmtId="170" fontId="0" fillId="0" borderId="0" xfId="0" applyNumberFormat="1"/>
    <xf numFmtId="169" fontId="0" fillId="0" borderId="0" xfId="0" applyNumberFormat="1"/>
    <xf numFmtId="171" fontId="0" fillId="0" borderId="0" xfId="44" applyNumberFormat="1" applyFont="1" applyBorder="1"/>
    <xf numFmtId="169" fontId="16" fillId="0" borderId="13" xfId="43" applyNumberFormat="1" applyFont="1" applyBorder="1"/>
    <xf numFmtId="169" fontId="16" fillId="0" borderId="14" xfId="43" applyNumberFormat="1" applyFont="1" applyBorder="1"/>
    <xf numFmtId="169" fontId="13" fillId="33" borderId="11" xfId="43" applyNumberFormat="1" applyFont="1" applyFill="1" applyBorder="1"/>
    <xf numFmtId="169" fontId="16" fillId="0" borderId="0" xfId="0" applyNumberFormat="1" applyFont="1"/>
    <xf numFmtId="169" fontId="16" fillId="0" borderId="10" xfId="43" applyNumberFormat="1" applyFont="1" applyBorder="1"/>
    <xf numFmtId="169" fontId="13" fillId="33" borderId="17" xfId="43" applyNumberFormat="1" applyFont="1" applyFill="1" applyBorder="1"/>
    <xf numFmtId="0" fontId="13" fillId="33" borderId="12" xfId="0" applyFont="1" applyFill="1" applyBorder="1"/>
    <xf numFmtId="164" fontId="16" fillId="0" borderId="14" xfId="0" applyNumberFormat="1" applyFont="1" applyBorder="1"/>
    <xf numFmtId="169" fontId="13" fillId="33" borderId="40" xfId="43" applyNumberFormat="1" applyFont="1" applyFill="1" applyBorder="1"/>
    <xf numFmtId="169" fontId="13" fillId="33" borderId="34" xfId="43" applyNumberFormat="1" applyFont="1" applyFill="1" applyBorder="1"/>
    <xf numFmtId="164" fontId="13" fillId="33" borderId="41" xfId="0" applyNumberFormat="1" applyFont="1" applyFill="1" applyBorder="1"/>
    <xf numFmtId="0" fontId="13" fillId="33" borderId="11" xfId="0" applyFont="1" applyFill="1" applyBorder="1"/>
    <xf numFmtId="0" fontId="13" fillId="33" borderId="17" xfId="0" applyFont="1" applyFill="1" applyBorder="1"/>
    <xf numFmtId="0" fontId="16" fillId="0" borderId="13" xfId="0" applyFont="1" applyBorder="1"/>
    <xf numFmtId="0" fontId="16" fillId="0" borderId="15" xfId="0" applyFont="1" applyBorder="1"/>
    <xf numFmtId="44" fontId="16" fillId="0" borderId="10" xfId="43" applyFont="1" applyBorder="1"/>
    <xf numFmtId="44" fontId="16" fillId="0" borderId="18" xfId="43" applyFont="1" applyBorder="1"/>
    <xf numFmtId="169" fontId="16" fillId="0" borderId="16" xfId="43" applyNumberFormat="1" applyFont="1" applyBorder="1"/>
    <xf numFmtId="44" fontId="16" fillId="0" borderId="14" xfId="43" applyFont="1" applyBorder="1"/>
    <xf numFmtId="44" fontId="16" fillId="0" borderId="16" xfId="43" applyFont="1" applyBorder="1"/>
    <xf numFmtId="0" fontId="16" fillId="0" borderId="10" xfId="0" applyFont="1" applyBorder="1"/>
    <xf numFmtId="0" fontId="16" fillId="0" borderId="18" xfId="0" applyFont="1" applyBorder="1"/>
    <xf numFmtId="169" fontId="16" fillId="0" borderId="18" xfId="43" applyNumberFormat="1" applyFont="1" applyBorder="1"/>
    <xf numFmtId="0" fontId="0" fillId="0" borderId="42" xfId="0" applyBorder="1"/>
    <xf numFmtId="165" fontId="0" fillId="0" borderId="0" xfId="0" applyNumberFormat="1" applyBorder="1"/>
    <xf numFmtId="3" fontId="0" fillId="0" borderId="0" xfId="0" applyNumberFormat="1" applyBorder="1"/>
    <xf numFmtId="1" fontId="0" fillId="0" borderId="0" xfId="0" applyNumberFormat="1" applyBorder="1"/>
    <xf numFmtId="167" fontId="0" fillId="0" borderId="0" xfId="42" applyNumberFormat="1" applyFont="1" applyBorder="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4"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6">
    <dxf>
      <numFmt numFmtId="0" formatCode="General"/>
    </dxf>
    <dxf>
      <numFmt numFmtId="166" formatCode="&quot;$&quot;#,##0.0"/>
    </dxf>
    <dxf>
      <numFmt numFmtId="4" formatCode="#,##0.00"/>
    </dxf>
    <dxf>
      <font>
        <b val="0"/>
        <i val="0"/>
        <strike val="0"/>
        <condense val="0"/>
        <extend val="0"/>
        <outline val="0"/>
        <shadow val="0"/>
        <u val="none"/>
        <vertAlign val="baseline"/>
        <sz val="10"/>
        <color theme="1"/>
        <name val="Creato Display"/>
        <scheme val="none"/>
      </font>
    </dxf>
    <dxf>
      <font>
        <b val="0"/>
        <i val="0"/>
        <strike val="0"/>
        <condense val="0"/>
        <extend val="0"/>
        <outline val="0"/>
        <shadow val="0"/>
        <u val="none"/>
        <vertAlign val="baseline"/>
        <sz val="10"/>
        <color theme="1"/>
        <name val="Creato Display"/>
        <scheme val="none"/>
      </font>
      <numFmt numFmtId="4" formatCode="#,##0.00"/>
    </dxf>
    <dxf>
      <font>
        <b val="0"/>
        <i val="0"/>
        <strike val="0"/>
        <condense val="0"/>
        <extend val="0"/>
        <outline val="0"/>
        <shadow val="0"/>
        <u val="none"/>
        <vertAlign val="baseline"/>
        <sz val="10"/>
        <color theme="1"/>
        <name val="Creato Display"/>
        <scheme val="none"/>
      </font>
    </dxf>
    <dxf>
      <font>
        <b val="0"/>
        <i val="0"/>
        <strike val="0"/>
        <condense val="0"/>
        <extend val="0"/>
        <outline val="0"/>
        <shadow val="0"/>
        <u val="none"/>
        <vertAlign val="baseline"/>
        <sz val="10"/>
        <color theme="1"/>
        <name val="Creato Display"/>
        <scheme val="none"/>
      </font>
    </dxf>
    <dxf>
      <font>
        <b val="0"/>
        <i val="0"/>
        <strike val="0"/>
        <condense val="0"/>
        <extend val="0"/>
        <outline val="0"/>
        <shadow val="0"/>
        <u val="none"/>
        <vertAlign val="baseline"/>
        <sz val="10"/>
        <color theme="1"/>
        <name val="Creato Display"/>
        <scheme val="none"/>
      </font>
      <numFmt numFmtId="19" formatCode="m/d/yyyy"/>
    </dxf>
    <dxf>
      <font>
        <b val="0"/>
        <i val="0"/>
        <strike val="0"/>
        <condense val="0"/>
        <extend val="0"/>
        <outline val="0"/>
        <shadow val="0"/>
        <u val="none"/>
        <vertAlign val="baseline"/>
        <sz val="10"/>
        <color theme="1"/>
        <name val="Creato Display"/>
        <scheme val="none"/>
      </font>
      <numFmt numFmtId="19" formatCode="m/d/yyyy"/>
    </dxf>
    <dxf>
      <border outline="0">
        <left style="thin">
          <color indexed="64"/>
        </left>
      </border>
    </dxf>
    <dxf>
      <font>
        <b/>
        <i val="0"/>
        <strike val="0"/>
        <condense val="0"/>
        <extend val="0"/>
        <outline val="0"/>
        <shadow val="0"/>
        <u val="none"/>
        <vertAlign val="baseline"/>
        <sz val="10"/>
        <color theme="0"/>
        <name val="Creato Display"/>
        <scheme val="none"/>
      </font>
      <fill>
        <patternFill patternType="solid">
          <fgColor theme="4"/>
          <bgColor theme="4"/>
        </patternFill>
      </fill>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4" formatCode="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3" formatCode="#,##0"/>
    </dxf>
    <dxf>
      <numFmt numFmtId="164" formatCode="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6" formatCode="&quot;$&quot;#,##0.0"/>
    </dxf>
    <dxf>
      <numFmt numFmtId="169" formatCode="_(&quot;$&quot;* #,##0.0_);_(&quot;$&quot;* \(#,##0.0\);_(&quot;$&quot;* &quot;-&quot;??_);_(@_)"/>
    </dxf>
    <dxf>
      <numFmt numFmtId="169" formatCode="_(&quot;$&quot;* #,##0.0_);_(&quot;$&quot;* \(#,##0.0\);_(&quot;$&quot;* &quot;-&quot;??_);_(@_)"/>
    </dxf>
    <dxf>
      <numFmt numFmtId="170" formatCode="_(&quot;$&quot;* #,##0.0_);_(&quot;$&quot;* \(#,##0.0\);_(&quot;$&quot;* &quot;-&quot;?_);_(@_)"/>
    </dxf>
    <dxf>
      <numFmt numFmtId="170" formatCode="_(&quot;$&quot;* #,##0.0_);_(&quot;$&quot;* \(#,##0.0\);_(&quot;$&quot;* &quot;-&quot;?_);_(@_)"/>
    </dxf>
    <dxf>
      <numFmt numFmtId="166" formatCode="&quot;$&quot;#,##0.0"/>
    </dxf>
    <dxf>
      <numFmt numFmtId="167" formatCode="#,##0.0"/>
    </dxf>
    <dxf>
      <numFmt numFmtId="168" formatCode="[$₦-466]\ #,##0.0"/>
    </dxf>
    <dxf>
      <fill>
        <patternFill patternType="solid">
          <fgColor indexed="64"/>
          <bgColor theme="0"/>
        </patternFill>
      </fill>
    </dxf>
    <dxf>
      <numFmt numFmtId="164" formatCode="0.0%"/>
    </dxf>
    <dxf>
      <fill>
        <patternFill patternType="solid">
          <fgColor indexed="64"/>
          <bgColor rgb="FFBEB46E"/>
        </patternFill>
      </fill>
    </dxf>
  </dxfs>
  <tableStyles count="0" defaultTableStyle="TableStyleMedium2" defaultPivotStyle="PivotStyleLight16"/>
  <colors>
    <mruColors>
      <color rgb="FFBEB4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alcChain" Target="calcChain.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1.5503875968992248E-2"/>
          <c:y val="5.3333333333333337E-2"/>
          <c:w val="0.76661514985045487"/>
          <c:h val="0.93777777777777782"/>
        </c:manualLayout>
      </c:layout>
      <c:barChart>
        <c:barDir val="bar"/>
        <c:grouping val="clustered"/>
        <c:varyColors val="0"/>
        <c:ser>
          <c:idx val="0"/>
          <c:order val="0"/>
          <c:tx>
            <c:strRef>
              <c:f>index_1!$Q$2</c:f>
              <c:strCache>
                <c:ptCount val="1"/>
              </c:strCache>
            </c:strRef>
          </c:tx>
          <c:spPr>
            <a:solidFill>
              <a:schemeClr val="accent4">
                <a:shade val="40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index_1!$R$1</c:f>
              <c:numCache>
                <c:formatCode>#,##0.00</c:formatCode>
                <c:ptCount val="1"/>
              </c:numCache>
            </c:numRef>
          </c:cat>
          <c:val>
            <c:numRef>
              <c:f>index_1!$R$2</c:f>
              <c:numCache>
                <c:formatCode>#,##0.00</c:formatCode>
                <c:ptCount val="1"/>
              </c:numCache>
            </c:numRef>
          </c:val>
          <c:extLst>
            <c:ext xmlns:c16="http://schemas.microsoft.com/office/drawing/2014/chart" uri="{C3380CC4-5D6E-409C-BE32-E72D297353CC}">
              <c16:uniqueId val="{00000000-2C1D-48B5-BA3A-2FD5B2C312EC}"/>
            </c:ext>
          </c:extLst>
        </c:ser>
        <c:ser>
          <c:idx val="1"/>
          <c:order val="1"/>
          <c:tx>
            <c:strRef>
              <c:f>index_1!$Q$3</c:f>
              <c:strCache>
                <c:ptCount val="1"/>
              </c:strCache>
            </c:strRef>
          </c:tx>
          <c:spPr>
            <a:solidFill>
              <a:schemeClr val="accent4">
                <a:shade val="51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index_1!$R$1</c:f>
              <c:numCache>
                <c:formatCode>#,##0.00</c:formatCode>
                <c:ptCount val="1"/>
              </c:numCache>
            </c:numRef>
          </c:cat>
          <c:val>
            <c:numRef>
              <c:f>index_1!$R$3</c:f>
              <c:numCache>
                <c:formatCode>#,##0.00</c:formatCode>
                <c:ptCount val="1"/>
              </c:numCache>
            </c:numRef>
          </c:val>
          <c:extLst>
            <c:ext xmlns:c16="http://schemas.microsoft.com/office/drawing/2014/chart" uri="{C3380CC4-5D6E-409C-BE32-E72D297353CC}">
              <c16:uniqueId val="{00000001-2C1D-48B5-BA3A-2FD5B2C312EC}"/>
            </c:ext>
          </c:extLst>
        </c:ser>
        <c:ser>
          <c:idx val="2"/>
          <c:order val="2"/>
          <c:tx>
            <c:strRef>
              <c:f>index_1!$Q$4</c:f>
              <c:strCache>
                <c:ptCount val="1"/>
              </c:strCache>
            </c:strRef>
          </c:tx>
          <c:spPr>
            <a:solidFill>
              <a:schemeClr val="accent4">
                <a:shade val="62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index_1!$R$1</c:f>
              <c:numCache>
                <c:formatCode>#,##0.00</c:formatCode>
                <c:ptCount val="1"/>
              </c:numCache>
            </c:numRef>
          </c:cat>
          <c:val>
            <c:numRef>
              <c:f>index_1!$R$4</c:f>
              <c:numCache>
                <c:formatCode>#,##0.00</c:formatCode>
                <c:ptCount val="1"/>
              </c:numCache>
            </c:numRef>
          </c:val>
          <c:extLst>
            <c:ext xmlns:c16="http://schemas.microsoft.com/office/drawing/2014/chart" uri="{C3380CC4-5D6E-409C-BE32-E72D297353CC}">
              <c16:uniqueId val="{00000002-2C1D-48B5-BA3A-2FD5B2C312EC}"/>
            </c:ext>
          </c:extLst>
        </c:ser>
        <c:ser>
          <c:idx val="3"/>
          <c:order val="3"/>
          <c:tx>
            <c:strRef>
              <c:f>index_1!$Q$5</c:f>
              <c:strCache>
                <c:ptCount val="1"/>
              </c:strCache>
            </c:strRef>
          </c:tx>
          <c:spPr>
            <a:solidFill>
              <a:schemeClr val="accent4">
                <a:shade val="73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index_1!$R$1</c:f>
              <c:numCache>
                <c:formatCode>#,##0.00</c:formatCode>
                <c:ptCount val="1"/>
              </c:numCache>
            </c:numRef>
          </c:cat>
          <c:val>
            <c:numRef>
              <c:f>index_1!$R$5</c:f>
              <c:numCache>
                <c:formatCode>#,##0.00</c:formatCode>
                <c:ptCount val="1"/>
              </c:numCache>
            </c:numRef>
          </c:val>
          <c:extLst>
            <c:ext xmlns:c16="http://schemas.microsoft.com/office/drawing/2014/chart" uri="{C3380CC4-5D6E-409C-BE32-E72D297353CC}">
              <c16:uniqueId val="{00000003-2C1D-48B5-BA3A-2FD5B2C312EC}"/>
            </c:ext>
          </c:extLst>
        </c:ser>
        <c:ser>
          <c:idx val="4"/>
          <c:order val="4"/>
          <c:tx>
            <c:strRef>
              <c:f>index_1!$Q$6</c:f>
              <c:strCache>
                <c:ptCount val="1"/>
              </c:strCache>
            </c:strRef>
          </c:tx>
          <c:spPr>
            <a:solidFill>
              <a:schemeClr val="accent4">
                <a:shade val="83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index_1!$R$1</c:f>
              <c:numCache>
                <c:formatCode>#,##0.00</c:formatCode>
                <c:ptCount val="1"/>
              </c:numCache>
            </c:numRef>
          </c:cat>
          <c:val>
            <c:numRef>
              <c:f>index_1!$R$6</c:f>
              <c:numCache>
                <c:formatCode>#,##0.00</c:formatCode>
                <c:ptCount val="1"/>
              </c:numCache>
            </c:numRef>
          </c:val>
          <c:extLst>
            <c:ext xmlns:c16="http://schemas.microsoft.com/office/drawing/2014/chart" uri="{C3380CC4-5D6E-409C-BE32-E72D297353CC}">
              <c16:uniqueId val="{00000004-2C1D-48B5-BA3A-2FD5B2C312EC}"/>
            </c:ext>
          </c:extLst>
        </c:ser>
        <c:ser>
          <c:idx val="5"/>
          <c:order val="5"/>
          <c:tx>
            <c:strRef>
              <c:f>index_1!$Q$7</c:f>
              <c:strCache>
                <c:ptCount val="1"/>
              </c:strCache>
            </c:strRef>
          </c:tx>
          <c:spPr>
            <a:solidFill>
              <a:schemeClr val="accent4">
                <a:shade val="94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index_1!$R$1</c:f>
              <c:numCache>
                <c:formatCode>#,##0.00</c:formatCode>
                <c:ptCount val="1"/>
              </c:numCache>
            </c:numRef>
          </c:cat>
          <c:val>
            <c:numRef>
              <c:f>index_1!$R$7</c:f>
              <c:numCache>
                <c:formatCode>#,##0.00</c:formatCode>
                <c:ptCount val="1"/>
              </c:numCache>
            </c:numRef>
          </c:val>
          <c:extLst>
            <c:ext xmlns:c16="http://schemas.microsoft.com/office/drawing/2014/chart" uri="{C3380CC4-5D6E-409C-BE32-E72D297353CC}">
              <c16:uniqueId val="{00000005-2C1D-48B5-BA3A-2FD5B2C312EC}"/>
            </c:ext>
          </c:extLst>
        </c:ser>
        <c:ser>
          <c:idx val="6"/>
          <c:order val="6"/>
          <c:tx>
            <c:strRef>
              <c:f>index_1!$Q$8</c:f>
              <c:strCache>
                <c:ptCount val="1"/>
              </c:strCache>
            </c:strRef>
          </c:tx>
          <c:spPr>
            <a:solidFill>
              <a:schemeClr val="accent4">
                <a:tint val="95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index_1!$R$1</c:f>
              <c:numCache>
                <c:formatCode>#,##0.00</c:formatCode>
                <c:ptCount val="1"/>
              </c:numCache>
            </c:numRef>
          </c:cat>
          <c:val>
            <c:numRef>
              <c:f>index_1!$R$8</c:f>
              <c:numCache>
                <c:formatCode>#,##0.00</c:formatCode>
                <c:ptCount val="1"/>
              </c:numCache>
            </c:numRef>
          </c:val>
          <c:extLst>
            <c:ext xmlns:c16="http://schemas.microsoft.com/office/drawing/2014/chart" uri="{C3380CC4-5D6E-409C-BE32-E72D297353CC}">
              <c16:uniqueId val="{00000006-2C1D-48B5-BA3A-2FD5B2C312EC}"/>
            </c:ext>
          </c:extLst>
        </c:ser>
        <c:ser>
          <c:idx val="7"/>
          <c:order val="7"/>
          <c:tx>
            <c:strRef>
              <c:f>index_1!$Q$9</c:f>
              <c:strCache>
                <c:ptCount val="1"/>
              </c:strCache>
            </c:strRef>
          </c:tx>
          <c:spPr>
            <a:solidFill>
              <a:schemeClr val="accent4">
                <a:tint val="84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index_1!$R$1</c:f>
              <c:numCache>
                <c:formatCode>#,##0.00</c:formatCode>
                <c:ptCount val="1"/>
              </c:numCache>
            </c:numRef>
          </c:cat>
          <c:val>
            <c:numRef>
              <c:f>index_1!$R$9</c:f>
              <c:numCache>
                <c:formatCode>#,##0.00</c:formatCode>
                <c:ptCount val="1"/>
              </c:numCache>
            </c:numRef>
          </c:val>
          <c:extLst>
            <c:ext xmlns:c16="http://schemas.microsoft.com/office/drawing/2014/chart" uri="{C3380CC4-5D6E-409C-BE32-E72D297353CC}">
              <c16:uniqueId val="{00000007-2C1D-48B5-BA3A-2FD5B2C312EC}"/>
            </c:ext>
          </c:extLst>
        </c:ser>
        <c:ser>
          <c:idx val="8"/>
          <c:order val="8"/>
          <c:tx>
            <c:strRef>
              <c:f>index_1!$Q$10</c:f>
              <c:strCache>
                <c:ptCount val="1"/>
              </c:strCache>
            </c:strRef>
          </c:tx>
          <c:spPr>
            <a:solidFill>
              <a:schemeClr val="accent4">
                <a:tint val="74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index_1!$R$1</c:f>
              <c:numCache>
                <c:formatCode>#,##0.00</c:formatCode>
                <c:ptCount val="1"/>
              </c:numCache>
            </c:numRef>
          </c:cat>
          <c:val>
            <c:numRef>
              <c:f>index_1!$R$10</c:f>
              <c:numCache>
                <c:formatCode>#,##0.00</c:formatCode>
                <c:ptCount val="1"/>
              </c:numCache>
            </c:numRef>
          </c:val>
          <c:extLst>
            <c:ext xmlns:c16="http://schemas.microsoft.com/office/drawing/2014/chart" uri="{C3380CC4-5D6E-409C-BE32-E72D297353CC}">
              <c16:uniqueId val="{00000008-2C1D-48B5-BA3A-2FD5B2C312EC}"/>
            </c:ext>
          </c:extLst>
        </c:ser>
        <c:ser>
          <c:idx val="9"/>
          <c:order val="9"/>
          <c:tx>
            <c:strRef>
              <c:f>index_1!$Q$11</c:f>
              <c:strCache>
                <c:ptCount val="1"/>
              </c:strCache>
            </c:strRef>
          </c:tx>
          <c:spPr>
            <a:solidFill>
              <a:schemeClr val="accent4">
                <a:tint val="63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index_1!$R$1</c:f>
              <c:numCache>
                <c:formatCode>#,##0.00</c:formatCode>
                <c:ptCount val="1"/>
              </c:numCache>
            </c:numRef>
          </c:cat>
          <c:val>
            <c:numRef>
              <c:f>index_1!$R$11</c:f>
              <c:numCache>
                <c:formatCode>#,##0.00</c:formatCode>
                <c:ptCount val="1"/>
              </c:numCache>
            </c:numRef>
          </c:val>
          <c:extLst>
            <c:ext xmlns:c16="http://schemas.microsoft.com/office/drawing/2014/chart" uri="{C3380CC4-5D6E-409C-BE32-E72D297353CC}">
              <c16:uniqueId val="{00000009-2C1D-48B5-BA3A-2FD5B2C312EC}"/>
            </c:ext>
          </c:extLst>
        </c:ser>
        <c:ser>
          <c:idx val="10"/>
          <c:order val="10"/>
          <c:tx>
            <c:strRef>
              <c:f>index_1!$Q$12</c:f>
              <c:strCache>
                <c:ptCount val="1"/>
              </c:strCache>
            </c:strRef>
          </c:tx>
          <c:spPr>
            <a:solidFill>
              <a:schemeClr val="accent4">
                <a:tint val="52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index_1!$R$1</c:f>
              <c:numCache>
                <c:formatCode>#,##0.00</c:formatCode>
                <c:ptCount val="1"/>
              </c:numCache>
            </c:numRef>
          </c:cat>
          <c:val>
            <c:numRef>
              <c:f>index_1!$R$12</c:f>
              <c:numCache>
                <c:formatCode>#,##0.00</c:formatCode>
                <c:ptCount val="1"/>
              </c:numCache>
            </c:numRef>
          </c:val>
          <c:extLst>
            <c:ext xmlns:c16="http://schemas.microsoft.com/office/drawing/2014/chart" uri="{C3380CC4-5D6E-409C-BE32-E72D297353CC}">
              <c16:uniqueId val="{0000000A-2C1D-48B5-BA3A-2FD5B2C312EC}"/>
            </c:ext>
          </c:extLst>
        </c:ser>
        <c:ser>
          <c:idx val="11"/>
          <c:order val="11"/>
          <c:tx>
            <c:strRef>
              <c:f>index_1!$Q$13</c:f>
              <c:strCache>
                <c:ptCount val="1"/>
              </c:strCache>
            </c:strRef>
          </c:tx>
          <c:spPr>
            <a:solidFill>
              <a:schemeClr val="accent4">
                <a:tint val="41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index_1!$R$1</c:f>
              <c:numCache>
                <c:formatCode>#,##0.00</c:formatCode>
                <c:ptCount val="1"/>
              </c:numCache>
            </c:numRef>
          </c:cat>
          <c:val>
            <c:numRef>
              <c:f>index_1!$R$13</c:f>
              <c:numCache>
                <c:formatCode>#,##0.00</c:formatCode>
                <c:ptCount val="1"/>
              </c:numCache>
            </c:numRef>
          </c:val>
          <c:extLst>
            <c:ext xmlns:c16="http://schemas.microsoft.com/office/drawing/2014/chart" uri="{C3380CC4-5D6E-409C-BE32-E72D297353CC}">
              <c16:uniqueId val="{0000000B-2C1D-48B5-BA3A-2FD5B2C312EC}"/>
            </c:ext>
          </c:extLst>
        </c:ser>
        <c:dLbls>
          <c:dLblPos val="outEnd"/>
          <c:showLegendKey val="0"/>
          <c:showVal val="1"/>
          <c:showCatName val="0"/>
          <c:showSerName val="0"/>
          <c:showPercent val="0"/>
          <c:showBubbleSize val="0"/>
        </c:dLbls>
        <c:gapWidth val="150"/>
        <c:axId val="334266112"/>
        <c:axId val="334265328"/>
      </c:barChart>
      <c:catAx>
        <c:axId val="334266112"/>
        <c:scaling>
          <c:orientation val="minMax"/>
        </c:scaling>
        <c:delete val="1"/>
        <c:axPos val="l"/>
        <c:numFmt formatCode="#,##0.00" sourceLinked="1"/>
        <c:majorTickMark val="out"/>
        <c:minorTickMark val="none"/>
        <c:tickLblPos val="nextTo"/>
        <c:crossAx val="334265328"/>
        <c:crosses val="autoZero"/>
        <c:auto val="1"/>
        <c:lblAlgn val="ctr"/>
        <c:lblOffset val="100"/>
        <c:noMultiLvlLbl val="0"/>
      </c:catAx>
      <c:valAx>
        <c:axId val="334265328"/>
        <c:scaling>
          <c:orientation val="minMax"/>
        </c:scaling>
        <c:delete val="1"/>
        <c:axPos val="b"/>
        <c:numFmt formatCode="#,##0.00" sourceLinked="1"/>
        <c:majorTickMark val="out"/>
        <c:minorTickMark val="none"/>
        <c:tickLblPos val="nextTo"/>
        <c:crossAx val="334266112"/>
        <c:crosses val="autoZero"/>
        <c:crossBetween val="between"/>
      </c:valAx>
      <c:spPr>
        <a:noFill/>
        <a:ln>
          <a:noFill/>
        </a:ln>
        <a:effectLst/>
      </c:spPr>
    </c:plotArea>
    <c:legend>
      <c:legendPos val="r"/>
      <c:layout>
        <c:manualLayout>
          <c:xMode val="edge"/>
          <c:yMode val="edge"/>
          <c:x val="0.80137643320900676"/>
          <c:y val="9.9968503937007871E-3"/>
          <c:w val="0.19552286227379473"/>
          <c:h val="0.96667296587926488"/>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legend>
    <c:plotVisOnly val="1"/>
    <c:dispBlanksAs val="gap"/>
    <c:showDLblsOverMax val="0"/>
  </c:chart>
  <c:spPr>
    <a:noFill/>
    <a:ln w="9525" cap="flat" cmpd="sng" algn="ctr">
      <a:noFill/>
      <a:round/>
    </a:ln>
    <a:effectLst/>
  </c:spPr>
  <c:txPr>
    <a:bodyPr/>
    <a:lstStyle/>
    <a:p>
      <a:pPr>
        <a:defRPr sz="800">
          <a:solidFill>
            <a:sysClr val="windowText" lastClr="000000"/>
          </a:solidFill>
          <a:latin typeface="MV Boli" panose="02000500030200090000" pitchFamily="2" charset="0"/>
          <a:cs typeface="MV Boli" panose="02000500030200090000" pitchFamily="2"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 Coffee sales data.12345.xlsx]Pivot!PivotTable1</c:name>
    <c:fmtId val="4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15875" cap="sq">
            <a:solidFill>
              <a:srgbClr val="BEB46E"/>
            </a:solidFill>
            <a:round/>
          </a:ln>
          <a:effectLst/>
        </c:spPr>
        <c:marker>
          <c:symbol val="diamond"/>
          <c:size val="5"/>
          <c:spPr>
            <a:solidFill>
              <a:sysClr val="windowText" lastClr="00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15875" cap="sq">
            <a:solidFill>
              <a:srgbClr val="BEB46E"/>
            </a:solidFill>
            <a:round/>
          </a:ln>
          <a:effectLst/>
        </c:spPr>
        <c:marker>
          <c:symbol val="diamond"/>
          <c:size val="5"/>
          <c:spPr>
            <a:solidFill>
              <a:sysClr val="windowText" lastClr="000000"/>
            </a:solidFill>
            <a:ln w="9525">
              <a:noFill/>
            </a:ln>
            <a:effectLst/>
          </c:spPr>
        </c:marker>
      </c:pivotFmt>
    </c:pivotFmts>
    <c:plotArea>
      <c:layout/>
      <c:lineChart>
        <c:grouping val="standard"/>
        <c:varyColors val="0"/>
        <c:ser>
          <c:idx val="0"/>
          <c:order val="0"/>
          <c:tx>
            <c:strRef>
              <c:f>Pivot!$B$3</c:f>
              <c:strCache>
                <c:ptCount val="1"/>
                <c:pt idx="0">
                  <c:v>Total</c:v>
                </c:pt>
              </c:strCache>
            </c:strRef>
          </c:tx>
          <c:spPr>
            <a:ln w="15875" cap="sq">
              <a:solidFill>
                <a:srgbClr val="BEB46E"/>
              </a:solidFill>
              <a:round/>
            </a:ln>
            <a:effectLst/>
          </c:spPr>
          <c:marker>
            <c:symbol val="diamond"/>
            <c:size val="5"/>
            <c:spPr>
              <a:solidFill>
                <a:sysClr val="windowText" lastClr="000000"/>
              </a:solidFill>
              <a:ln w="9525">
                <a:noFill/>
              </a:ln>
              <a:effectLst/>
            </c:spPr>
          </c:marker>
          <c:cat>
            <c:strRef>
              <c:f>Pivot!$A$4:$A$11</c:f>
              <c:strCache>
                <c:ptCount val="7"/>
                <c:pt idx="0">
                  <c:v>Tuesday</c:v>
                </c:pt>
                <c:pt idx="1">
                  <c:v>Monday</c:v>
                </c:pt>
                <c:pt idx="2">
                  <c:v>Friday</c:v>
                </c:pt>
                <c:pt idx="3">
                  <c:v>Thursday</c:v>
                </c:pt>
                <c:pt idx="4">
                  <c:v>Wednesday</c:v>
                </c:pt>
                <c:pt idx="5">
                  <c:v>Saturday</c:v>
                </c:pt>
                <c:pt idx="6">
                  <c:v>Sunday</c:v>
                </c:pt>
              </c:strCache>
            </c:strRef>
          </c:cat>
          <c:val>
            <c:numRef>
              <c:f>Pivot!$B$4:$B$11</c:f>
              <c:numCache>
                <c:formatCode>"$"#,##0.0</c:formatCode>
                <c:ptCount val="7"/>
                <c:pt idx="0">
                  <c:v>18637.379999999997</c:v>
                </c:pt>
                <c:pt idx="1">
                  <c:v>17925.099999999999</c:v>
                </c:pt>
                <c:pt idx="2">
                  <c:v>17257.66</c:v>
                </c:pt>
                <c:pt idx="3">
                  <c:v>16477.400000000001</c:v>
                </c:pt>
                <c:pt idx="4">
                  <c:v>16093.459999999995</c:v>
                </c:pt>
                <c:pt idx="5">
                  <c:v>15182.519999999999</c:v>
                </c:pt>
                <c:pt idx="6">
                  <c:v>13858.06</c:v>
                </c:pt>
              </c:numCache>
            </c:numRef>
          </c:val>
          <c:smooth val="0"/>
          <c:extLst>
            <c:ext xmlns:c16="http://schemas.microsoft.com/office/drawing/2014/chart" uri="{C3380CC4-5D6E-409C-BE32-E72D297353CC}">
              <c16:uniqueId val="{00000000-76D5-4AE8-87CC-E5443E20A0C3}"/>
            </c:ext>
          </c:extLst>
        </c:ser>
        <c:dLbls>
          <c:showLegendKey val="0"/>
          <c:showVal val="0"/>
          <c:showCatName val="0"/>
          <c:showSerName val="0"/>
          <c:showPercent val="0"/>
          <c:showBubbleSize val="0"/>
        </c:dLbls>
        <c:marker val="1"/>
        <c:smooth val="0"/>
        <c:axId val="334271992"/>
        <c:axId val="334268464"/>
      </c:lineChart>
      <c:catAx>
        <c:axId val="334271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crossAx val="334268464"/>
        <c:crosses val="autoZero"/>
        <c:auto val="1"/>
        <c:lblAlgn val="ctr"/>
        <c:lblOffset val="100"/>
        <c:noMultiLvlLbl val="0"/>
      </c:catAx>
      <c:valAx>
        <c:axId val="334268464"/>
        <c:scaling>
          <c:orientation val="minMax"/>
        </c:scaling>
        <c:delete val="1"/>
        <c:axPos val="l"/>
        <c:numFmt formatCode="&quot;$&quot;#,##0.0" sourceLinked="1"/>
        <c:majorTickMark val="none"/>
        <c:minorTickMark val="none"/>
        <c:tickLblPos val="nextTo"/>
        <c:crossAx val="3342719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0"/>
    <c:plotArea>
      <c:layout>
        <c:manualLayout>
          <c:layoutTarget val="inner"/>
          <c:xMode val="edge"/>
          <c:yMode val="edge"/>
          <c:x val="1.3245033112582781E-2"/>
          <c:y val="5.1020408163265302E-3"/>
          <c:w val="0.62100745684935077"/>
          <c:h val="0.97959183673469385"/>
        </c:manualLayout>
      </c:layout>
      <c:barChart>
        <c:barDir val="bar"/>
        <c:grouping val="clustered"/>
        <c:varyColors val="0"/>
        <c:ser>
          <c:idx val="0"/>
          <c:order val="0"/>
          <c:tx>
            <c:strRef>
              <c:f>index_1!$W$2</c:f>
              <c:strCache>
                <c:ptCount val="1"/>
              </c:strCache>
            </c:strRef>
          </c:tx>
          <c:spPr>
            <a:gradFill rotWithShape="1">
              <a:gsLst>
                <a:gs pos="0">
                  <a:schemeClr val="accent4">
                    <a:shade val="45000"/>
                    <a:satMod val="103000"/>
                    <a:lumMod val="102000"/>
                    <a:tint val="94000"/>
                  </a:schemeClr>
                </a:gs>
                <a:gs pos="50000">
                  <a:schemeClr val="accent4">
                    <a:shade val="45000"/>
                    <a:satMod val="110000"/>
                    <a:lumMod val="100000"/>
                    <a:shade val="100000"/>
                  </a:schemeClr>
                </a:gs>
                <a:gs pos="100000">
                  <a:schemeClr val="accent4">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index_1!$X$1</c:f>
              <c:numCache>
                <c:formatCode>#,##0.00</c:formatCode>
                <c:ptCount val="1"/>
              </c:numCache>
            </c:numRef>
          </c:cat>
          <c:val>
            <c:numRef>
              <c:f>index_1!$X$2</c:f>
              <c:numCache>
                <c:formatCode>#,##0.00</c:formatCode>
                <c:ptCount val="1"/>
              </c:numCache>
            </c:numRef>
          </c:val>
          <c:extLst>
            <c:ext xmlns:c16="http://schemas.microsoft.com/office/drawing/2014/chart" uri="{C3380CC4-5D6E-409C-BE32-E72D297353CC}">
              <c16:uniqueId val="{00000000-56C7-445B-A4E8-60F8940C8386}"/>
            </c:ext>
          </c:extLst>
        </c:ser>
        <c:ser>
          <c:idx val="1"/>
          <c:order val="1"/>
          <c:tx>
            <c:strRef>
              <c:f>index_1!$W$3</c:f>
              <c:strCache>
                <c:ptCount val="1"/>
              </c:strCache>
            </c:strRef>
          </c:tx>
          <c:spPr>
            <a:gradFill rotWithShape="1">
              <a:gsLst>
                <a:gs pos="0">
                  <a:schemeClr val="accent4">
                    <a:shade val="61000"/>
                    <a:satMod val="103000"/>
                    <a:lumMod val="102000"/>
                    <a:tint val="94000"/>
                  </a:schemeClr>
                </a:gs>
                <a:gs pos="50000">
                  <a:schemeClr val="accent4">
                    <a:shade val="61000"/>
                    <a:satMod val="110000"/>
                    <a:lumMod val="100000"/>
                    <a:shade val="100000"/>
                  </a:schemeClr>
                </a:gs>
                <a:gs pos="100000">
                  <a:schemeClr val="accent4">
                    <a:shade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index_1!$X$1</c:f>
              <c:numCache>
                <c:formatCode>#,##0.00</c:formatCode>
                <c:ptCount val="1"/>
              </c:numCache>
            </c:numRef>
          </c:cat>
          <c:val>
            <c:numRef>
              <c:f>index_1!$X$3</c:f>
              <c:numCache>
                <c:formatCode>#,##0.00</c:formatCode>
                <c:ptCount val="1"/>
              </c:numCache>
            </c:numRef>
          </c:val>
          <c:extLst>
            <c:ext xmlns:c16="http://schemas.microsoft.com/office/drawing/2014/chart" uri="{C3380CC4-5D6E-409C-BE32-E72D297353CC}">
              <c16:uniqueId val="{00000001-56C7-445B-A4E8-60F8940C8386}"/>
            </c:ext>
          </c:extLst>
        </c:ser>
        <c:ser>
          <c:idx val="2"/>
          <c:order val="2"/>
          <c:tx>
            <c:strRef>
              <c:f>index_1!$W$4</c:f>
              <c:strCache>
                <c:ptCount val="1"/>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index_1!$X$1</c:f>
              <c:numCache>
                <c:formatCode>#,##0.00</c:formatCode>
                <c:ptCount val="1"/>
              </c:numCache>
            </c:numRef>
          </c:cat>
          <c:val>
            <c:numRef>
              <c:f>index_1!$X$4</c:f>
              <c:numCache>
                <c:formatCode>#,##0.00</c:formatCode>
                <c:ptCount val="1"/>
              </c:numCache>
            </c:numRef>
          </c:val>
          <c:extLst>
            <c:ext xmlns:c16="http://schemas.microsoft.com/office/drawing/2014/chart" uri="{C3380CC4-5D6E-409C-BE32-E72D297353CC}">
              <c16:uniqueId val="{00000002-56C7-445B-A4E8-60F8940C8386}"/>
            </c:ext>
          </c:extLst>
        </c:ser>
        <c:ser>
          <c:idx val="3"/>
          <c:order val="3"/>
          <c:tx>
            <c:strRef>
              <c:f>index_1!$W$5</c:f>
              <c:strCache>
                <c:ptCount val="1"/>
              </c:strCache>
            </c:strRef>
          </c:tx>
          <c:spPr>
            <a:gradFill rotWithShape="1">
              <a:gsLst>
                <a:gs pos="0">
                  <a:schemeClr val="accent4">
                    <a:shade val="92000"/>
                    <a:satMod val="103000"/>
                    <a:lumMod val="102000"/>
                    <a:tint val="94000"/>
                  </a:schemeClr>
                </a:gs>
                <a:gs pos="50000">
                  <a:schemeClr val="accent4">
                    <a:shade val="92000"/>
                    <a:satMod val="110000"/>
                    <a:lumMod val="100000"/>
                    <a:shade val="100000"/>
                  </a:schemeClr>
                </a:gs>
                <a:gs pos="100000">
                  <a:schemeClr val="accent4">
                    <a:shade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index_1!$X$1</c:f>
              <c:numCache>
                <c:formatCode>#,##0.00</c:formatCode>
                <c:ptCount val="1"/>
              </c:numCache>
            </c:numRef>
          </c:cat>
          <c:val>
            <c:numRef>
              <c:f>index_1!$X$5</c:f>
              <c:numCache>
                <c:formatCode>#,##0.00</c:formatCode>
                <c:ptCount val="1"/>
              </c:numCache>
            </c:numRef>
          </c:val>
          <c:extLst>
            <c:ext xmlns:c16="http://schemas.microsoft.com/office/drawing/2014/chart" uri="{C3380CC4-5D6E-409C-BE32-E72D297353CC}">
              <c16:uniqueId val="{00000003-56C7-445B-A4E8-60F8940C8386}"/>
            </c:ext>
          </c:extLst>
        </c:ser>
        <c:ser>
          <c:idx val="4"/>
          <c:order val="4"/>
          <c:tx>
            <c:strRef>
              <c:f>index_1!$W$6</c:f>
              <c:strCache>
                <c:ptCount val="1"/>
              </c:strCache>
            </c:strRef>
          </c:tx>
          <c:spPr>
            <a:gradFill rotWithShape="1">
              <a:gsLst>
                <a:gs pos="0">
                  <a:schemeClr val="accent4">
                    <a:tint val="93000"/>
                    <a:satMod val="103000"/>
                    <a:lumMod val="102000"/>
                    <a:tint val="94000"/>
                  </a:schemeClr>
                </a:gs>
                <a:gs pos="50000">
                  <a:schemeClr val="accent4">
                    <a:tint val="93000"/>
                    <a:satMod val="110000"/>
                    <a:lumMod val="100000"/>
                    <a:shade val="100000"/>
                  </a:schemeClr>
                </a:gs>
                <a:gs pos="100000">
                  <a:schemeClr val="accent4">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index_1!$X$1</c:f>
              <c:numCache>
                <c:formatCode>#,##0.00</c:formatCode>
                <c:ptCount val="1"/>
              </c:numCache>
            </c:numRef>
          </c:cat>
          <c:val>
            <c:numRef>
              <c:f>index_1!$X$6</c:f>
              <c:numCache>
                <c:formatCode>#,##0.00</c:formatCode>
                <c:ptCount val="1"/>
              </c:numCache>
            </c:numRef>
          </c:val>
          <c:extLst>
            <c:ext xmlns:c16="http://schemas.microsoft.com/office/drawing/2014/chart" uri="{C3380CC4-5D6E-409C-BE32-E72D297353CC}">
              <c16:uniqueId val="{00000004-56C7-445B-A4E8-60F8940C8386}"/>
            </c:ext>
          </c:extLst>
        </c:ser>
        <c:ser>
          <c:idx val="5"/>
          <c:order val="5"/>
          <c:tx>
            <c:strRef>
              <c:f>index_1!$W$7</c:f>
              <c:strCache>
                <c:ptCount val="1"/>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index_1!$X$1</c:f>
              <c:numCache>
                <c:formatCode>#,##0.00</c:formatCode>
                <c:ptCount val="1"/>
              </c:numCache>
            </c:numRef>
          </c:cat>
          <c:val>
            <c:numRef>
              <c:f>index_1!$X$7</c:f>
              <c:numCache>
                <c:formatCode>#,##0.00</c:formatCode>
                <c:ptCount val="1"/>
              </c:numCache>
            </c:numRef>
          </c:val>
          <c:extLst>
            <c:ext xmlns:c16="http://schemas.microsoft.com/office/drawing/2014/chart" uri="{C3380CC4-5D6E-409C-BE32-E72D297353CC}">
              <c16:uniqueId val="{00000005-56C7-445B-A4E8-60F8940C8386}"/>
            </c:ext>
          </c:extLst>
        </c:ser>
        <c:ser>
          <c:idx val="6"/>
          <c:order val="6"/>
          <c:tx>
            <c:strRef>
              <c:f>index_1!$W$8</c:f>
              <c:strCache>
                <c:ptCount val="1"/>
              </c:strCache>
            </c:strRef>
          </c:tx>
          <c:spPr>
            <a:gradFill rotWithShape="1">
              <a:gsLst>
                <a:gs pos="0">
                  <a:schemeClr val="accent4">
                    <a:tint val="62000"/>
                    <a:satMod val="103000"/>
                    <a:lumMod val="102000"/>
                    <a:tint val="94000"/>
                  </a:schemeClr>
                </a:gs>
                <a:gs pos="50000">
                  <a:schemeClr val="accent4">
                    <a:tint val="62000"/>
                    <a:satMod val="110000"/>
                    <a:lumMod val="100000"/>
                    <a:shade val="100000"/>
                  </a:schemeClr>
                </a:gs>
                <a:gs pos="100000">
                  <a:schemeClr val="accent4">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index_1!$X$1</c:f>
              <c:numCache>
                <c:formatCode>#,##0.00</c:formatCode>
                <c:ptCount val="1"/>
              </c:numCache>
            </c:numRef>
          </c:cat>
          <c:val>
            <c:numRef>
              <c:f>index_1!$X$8</c:f>
              <c:numCache>
                <c:formatCode>#,##0.00</c:formatCode>
                <c:ptCount val="1"/>
              </c:numCache>
            </c:numRef>
          </c:val>
          <c:extLst>
            <c:ext xmlns:c16="http://schemas.microsoft.com/office/drawing/2014/chart" uri="{C3380CC4-5D6E-409C-BE32-E72D297353CC}">
              <c16:uniqueId val="{00000006-56C7-445B-A4E8-60F8940C8386}"/>
            </c:ext>
          </c:extLst>
        </c:ser>
        <c:ser>
          <c:idx val="7"/>
          <c:order val="7"/>
          <c:tx>
            <c:strRef>
              <c:f>index_1!$W$9</c:f>
              <c:strCache>
                <c:ptCount val="1"/>
              </c:strCache>
            </c:strRef>
          </c:tx>
          <c:spPr>
            <a:gradFill rotWithShape="1">
              <a:gsLst>
                <a:gs pos="0">
                  <a:schemeClr val="accent4">
                    <a:tint val="46000"/>
                    <a:satMod val="103000"/>
                    <a:lumMod val="102000"/>
                    <a:tint val="94000"/>
                  </a:schemeClr>
                </a:gs>
                <a:gs pos="50000">
                  <a:schemeClr val="accent4">
                    <a:tint val="46000"/>
                    <a:satMod val="110000"/>
                    <a:lumMod val="100000"/>
                    <a:shade val="100000"/>
                  </a:schemeClr>
                </a:gs>
                <a:gs pos="100000">
                  <a:schemeClr val="accent4">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index_1!$X$1</c:f>
              <c:numCache>
                <c:formatCode>#,##0.00</c:formatCode>
                <c:ptCount val="1"/>
              </c:numCache>
            </c:numRef>
          </c:cat>
          <c:val>
            <c:numRef>
              <c:f>index_1!$X$9</c:f>
              <c:numCache>
                <c:formatCode>#,##0.00</c:formatCode>
                <c:ptCount val="1"/>
              </c:numCache>
            </c:numRef>
          </c:val>
          <c:extLst>
            <c:ext xmlns:c16="http://schemas.microsoft.com/office/drawing/2014/chart" uri="{C3380CC4-5D6E-409C-BE32-E72D297353CC}">
              <c16:uniqueId val="{00000007-56C7-445B-A4E8-60F8940C8386}"/>
            </c:ext>
          </c:extLst>
        </c:ser>
        <c:dLbls>
          <c:dLblPos val="inBase"/>
          <c:showLegendKey val="0"/>
          <c:showVal val="1"/>
          <c:showCatName val="0"/>
          <c:showSerName val="0"/>
          <c:showPercent val="0"/>
          <c:showBubbleSize val="0"/>
        </c:dLbls>
        <c:gapWidth val="75"/>
        <c:overlap val="40"/>
        <c:axId val="334269248"/>
        <c:axId val="279066136"/>
      </c:barChart>
      <c:catAx>
        <c:axId val="334269248"/>
        <c:scaling>
          <c:orientation val="minMax"/>
        </c:scaling>
        <c:delete val="1"/>
        <c:axPos val="l"/>
        <c:numFmt formatCode="#,##0.00" sourceLinked="1"/>
        <c:majorTickMark val="none"/>
        <c:minorTickMark val="none"/>
        <c:tickLblPos val="nextTo"/>
        <c:crossAx val="279066136"/>
        <c:crosses val="autoZero"/>
        <c:auto val="1"/>
        <c:lblAlgn val="ctr"/>
        <c:lblOffset val="100"/>
        <c:noMultiLvlLbl val="0"/>
      </c:catAx>
      <c:valAx>
        <c:axId val="279066136"/>
        <c:scaling>
          <c:orientation val="minMax"/>
        </c:scaling>
        <c:delete val="1"/>
        <c:axPos val="b"/>
        <c:numFmt formatCode="#,##0.00" sourceLinked="1"/>
        <c:majorTickMark val="none"/>
        <c:minorTickMark val="none"/>
        <c:tickLblPos val="nextTo"/>
        <c:crossAx val="33426924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ysClr val="windowText" lastClr="000000"/>
          </a:solidFill>
          <a:latin typeface="MV Boli" panose="02000500030200090000" pitchFamily="2" charset="0"/>
          <a:cs typeface="MV Boli" panose="02000500030200090000" pitchFamily="2"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 Coffee sales data.12345.xlsx]Pivot!PivotTable5</c:name>
    <c:fmtId val="7"/>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pivotFmt>
      <c:pivotFmt>
        <c:idx val="4"/>
        <c:spPr>
          <a:solidFill>
            <a:srgbClr val="BEB46E"/>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EB46E"/>
          </a:solidFill>
          <a:ln w="9525" cap="flat" cmpd="sng" algn="ctr">
            <a:noFill/>
            <a:round/>
          </a:ln>
          <a:effectLst/>
        </c:spPr>
      </c:pivotFmt>
      <c:pivotFmt>
        <c:idx val="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s>
    <c:plotArea>
      <c:layout/>
      <c:barChart>
        <c:barDir val="bar"/>
        <c:grouping val="clustered"/>
        <c:varyColors val="0"/>
        <c:ser>
          <c:idx val="0"/>
          <c:order val="0"/>
          <c:tx>
            <c:strRef>
              <c:f>Pivot!$K$3</c:f>
              <c:strCache>
                <c:ptCount val="1"/>
                <c:pt idx="0">
                  <c:v>Sum of Price </c:v>
                </c:pt>
              </c:strCache>
            </c:strRef>
          </c:tx>
          <c:spPr>
            <a:solidFill>
              <a:srgbClr val="BEB46E"/>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Pivot!$J$4:$J$12</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Pivot!$K$4:$K$12</c:f>
              <c:numCache>
                <c:formatCode>"$"#,##0.0</c:formatCode>
                <c:ptCount val="8"/>
                <c:pt idx="0">
                  <c:v>38.700000000000003</c:v>
                </c:pt>
                <c:pt idx="1">
                  <c:v>33.799999999999997</c:v>
                </c:pt>
                <c:pt idx="2">
                  <c:v>38.700000000000003</c:v>
                </c:pt>
                <c:pt idx="3">
                  <c:v>28.9</c:v>
                </c:pt>
                <c:pt idx="4">
                  <c:v>38.700000000000003</c:v>
                </c:pt>
                <c:pt idx="5">
                  <c:v>38.700000000000003</c:v>
                </c:pt>
                <c:pt idx="6">
                  <c:v>28.9</c:v>
                </c:pt>
                <c:pt idx="7">
                  <c:v>24</c:v>
                </c:pt>
              </c:numCache>
            </c:numRef>
          </c:val>
          <c:extLst>
            <c:ext xmlns:c16="http://schemas.microsoft.com/office/drawing/2014/chart" uri="{C3380CC4-5D6E-409C-BE32-E72D297353CC}">
              <c16:uniqueId val="{00000000-0FF8-4469-978F-C6790D79D109}"/>
            </c:ext>
          </c:extLst>
        </c:ser>
        <c:ser>
          <c:idx val="1"/>
          <c:order val="1"/>
          <c:tx>
            <c:strRef>
              <c:f>Pivot!$L$3</c:f>
              <c:strCache>
                <c:ptCount val="1"/>
                <c:pt idx="0">
                  <c:v>Sum of Sales percentage</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Pivot!$J$4:$J$12</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Pivot!$L$4:$L$12</c:f>
              <c:numCache>
                <c:formatCode>0.0%</c:formatCode>
                <c:ptCount val="8"/>
                <c:pt idx="0">
                  <c:v>0.24140967315876269</c:v>
                </c:pt>
                <c:pt idx="1">
                  <c:v>0.21890993781771267</c:v>
                </c:pt>
                <c:pt idx="2">
                  <c:v>0.1562322892920639</c:v>
                </c:pt>
                <c:pt idx="3">
                  <c:v>0.13048647519162329</c:v>
                </c:pt>
                <c:pt idx="4">
                  <c:v>8.8125450591597945E-2</c:v>
                </c:pt>
                <c:pt idx="5">
                  <c:v>7.5180119686485039E-2</c:v>
                </c:pt>
                <c:pt idx="6">
                  <c:v>6.5275551110017233E-2</c:v>
                </c:pt>
                <c:pt idx="7">
                  <c:v>2.43805031517372E-2</c:v>
                </c:pt>
              </c:numCache>
            </c:numRef>
          </c:val>
          <c:extLst>
            <c:ext xmlns:c16="http://schemas.microsoft.com/office/drawing/2014/chart" uri="{C3380CC4-5D6E-409C-BE32-E72D297353CC}">
              <c16:uniqueId val="{00000001-0FF8-4469-978F-C6790D79D109}"/>
            </c:ext>
          </c:extLst>
        </c:ser>
        <c:dLbls>
          <c:showLegendKey val="0"/>
          <c:showVal val="1"/>
          <c:showCatName val="0"/>
          <c:showSerName val="0"/>
          <c:showPercent val="0"/>
          <c:showBubbleSize val="0"/>
        </c:dLbls>
        <c:gapWidth val="150"/>
        <c:axId val="279066920"/>
        <c:axId val="279060648"/>
      </c:barChart>
      <c:catAx>
        <c:axId val="279066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crossAx val="279060648"/>
        <c:crosses val="autoZero"/>
        <c:auto val="1"/>
        <c:lblAlgn val="ctr"/>
        <c:lblOffset val="100"/>
        <c:noMultiLvlLbl val="0"/>
      </c:catAx>
      <c:valAx>
        <c:axId val="279060648"/>
        <c:scaling>
          <c:orientation val="minMax"/>
        </c:scaling>
        <c:delete val="0"/>
        <c:axPos val="b"/>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crossAx val="2790669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 Coffee sales data.12345.xlsx]Pivot 2!PivotTable6</c:name>
    <c:fmtId val="20"/>
  </c:pivotSource>
  <c:chart>
    <c:autoTitleDeleted val="1"/>
    <c:pivotFmts>
      <c:pivotFmt>
        <c:idx val="0"/>
        <c:spPr>
          <a:solidFill>
            <a:srgbClr val="BEB46E"/>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BEB46E"/>
          </a:solidFill>
          <a:ln>
            <a:noFill/>
          </a:ln>
          <a:effectLst/>
        </c:spPr>
      </c:pivotFmt>
      <c:pivotFmt>
        <c:idx val="2"/>
        <c:spPr>
          <a:solidFill>
            <a:srgbClr val="BEB46E"/>
          </a:solidFill>
          <a:ln>
            <a:noFill/>
          </a:ln>
          <a:effectLst/>
        </c:spPr>
        <c:marker>
          <c:symbol val="none"/>
        </c:marker>
        <c:dLbl>
          <c:idx val="0"/>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MV Boli" panose="02000500030200090000" pitchFamily="2" charset="0"/>
                  <a:ea typeface="+mn-ea"/>
                  <a:cs typeface="MV Boli" panose="0200050003020009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58580519900765"/>
          <c:y val="3.8897893030794169E-2"/>
          <c:w val="0.73779188560334064"/>
          <c:h val="0.92868719611021067"/>
        </c:manualLayout>
      </c:layout>
      <c:barChart>
        <c:barDir val="bar"/>
        <c:grouping val="stacked"/>
        <c:varyColors val="0"/>
        <c:ser>
          <c:idx val="0"/>
          <c:order val="0"/>
          <c:tx>
            <c:strRef>
              <c:f>'Pivot 2'!$B$12</c:f>
              <c:strCache>
                <c:ptCount val="1"/>
                <c:pt idx="0">
                  <c:v>Total</c:v>
                </c:pt>
              </c:strCache>
            </c:strRef>
          </c:tx>
          <c:spPr>
            <a:solidFill>
              <a:srgbClr val="BEB46E"/>
            </a:solidFill>
            <a:ln>
              <a:noFill/>
            </a:ln>
            <a:effectLst/>
          </c:spPr>
          <c:invertIfNegative val="0"/>
          <c:dLbls>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MV Boli" panose="02000500030200090000" pitchFamily="2" charset="0"/>
                    <a:ea typeface="+mn-ea"/>
                    <a:cs typeface="MV Boli" panose="02000500030200090000" pitchFamily="2"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2'!$A$13:$A$25</c:f>
              <c:strCache>
                <c:ptCount val="12"/>
                <c:pt idx="0">
                  <c:v>January</c:v>
                </c:pt>
                <c:pt idx="1">
                  <c:v>April</c:v>
                </c:pt>
                <c:pt idx="2">
                  <c:v>July</c:v>
                </c:pt>
                <c:pt idx="3">
                  <c:v>August</c:v>
                </c:pt>
                <c:pt idx="4">
                  <c:v>June</c:v>
                </c:pt>
                <c:pt idx="5">
                  <c:v>December</c:v>
                </c:pt>
                <c:pt idx="6">
                  <c:v>November</c:v>
                </c:pt>
                <c:pt idx="7">
                  <c:v>May</c:v>
                </c:pt>
                <c:pt idx="8">
                  <c:v>September</c:v>
                </c:pt>
                <c:pt idx="9">
                  <c:v>February</c:v>
                </c:pt>
                <c:pt idx="10">
                  <c:v>October</c:v>
                </c:pt>
                <c:pt idx="11">
                  <c:v>March</c:v>
                </c:pt>
              </c:strCache>
            </c:strRef>
          </c:cat>
          <c:val>
            <c:numRef>
              <c:f>'Pivot 2'!$B$13:$B$25</c:f>
              <c:numCache>
                <c:formatCode>"$"#,##0.0</c:formatCode>
                <c:ptCount val="12"/>
                <c:pt idx="0">
                  <c:v>6398.86</c:v>
                </c:pt>
                <c:pt idx="1">
                  <c:v>6720.5599999999986</c:v>
                </c:pt>
                <c:pt idx="2">
                  <c:v>6915.9400000000005</c:v>
                </c:pt>
                <c:pt idx="3">
                  <c:v>7613.84</c:v>
                </c:pt>
                <c:pt idx="4">
                  <c:v>7758.7600000000011</c:v>
                </c:pt>
                <c:pt idx="5">
                  <c:v>8237.739999999998</c:v>
                </c:pt>
                <c:pt idx="6">
                  <c:v>8590.5400000000009</c:v>
                </c:pt>
                <c:pt idx="7">
                  <c:v>9063.4200000000019</c:v>
                </c:pt>
                <c:pt idx="8">
                  <c:v>9988.6400000000012</c:v>
                </c:pt>
                <c:pt idx="9">
                  <c:v>13215.480000000001</c:v>
                </c:pt>
                <c:pt idx="10">
                  <c:v>13891.160000000002</c:v>
                </c:pt>
                <c:pt idx="11">
                  <c:v>17036.639999999996</c:v>
                </c:pt>
              </c:numCache>
            </c:numRef>
          </c:val>
          <c:extLst>
            <c:ext xmlns:c16="http://schemas.microsoft.com/office/drawing/2014/chart" uri="{C3380CC4-5D6E-409C-BE32-E72D297353CC}">
              <c16:uniqueId val="{00000000-DB42-48F9-BCD1-0DEB94BEEF64}"/>
            </c:ext>
          </c:extLst>
        </c:ser>
        <c:dLbls>
          <c:showLegendKey val="0"/>
          <c:showVal val="1"/>
          <c:showCatName val="0"/>
          <c:showSerName val="0"/>
          <c:showPercent val="0"/>
          <c:showBubbleSize val="0"/>
        </c:dLbls>
        <c:gapWidth val="75"/>
        <c:overlap val="100"/>
        <c:axId val="279062216"/>
        <c:axId val="279062608"/>
      </c:barChart>
      <c:catAx>
        <c:axId val="279062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V Boli" panose="02000500030200090000" pitchFamily="2" charset="0"/>
              </a:defRPr>
            </a:pPr>
            <a:endParaRPr lang="en-US"/>
          </a:p>
        </c:txPr>
        <c:crossAx val="279062608"/>
        <c:crosses val="autoZero"/>
        <c:auto val="1"/>
        <c:lblAlgn val="ctr"/>
        <c:lblOffset val="100"/>
        <c:noMultiLvlLbl val="0"/>
      </c:catAx>
      <c:valAx>
        <c:axId val="279062608"/>
        <c:scaling>
          <c:orientation val="minMax"/>
        </c:scaling>
        <c:delete val="1"/>
        <c:axPos val="b"/>
        <c:numFmt formatCode="&quot;$&quot;#,##0.0" sourceLinked="1"/>
        <c:majorTickMark val="none"/>
        <c:minorTickMark val="none"/>
        <c:tickLblPos val="nextTo"/>
        <c:crossAx val="2790622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 Coffee sales data.12345.xlsx]Pivot!PivotTable4</c:name>
    <c:fmtId val="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BEB4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V Boli" panose="02000500030200090000" pitchFamily="2" charset="0"/>
                  <a:ea typeface="+mn-ea"/>
                  <a:cs typeface="MV Boli" panose="02000500030200090000" pitchFamily="2"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EB46E"/>
          </a:solidFill>
          <a:ln>
            <a:noFill/>
          </a:ln>
          <a:effectLst/>
        </c:spPr>
        <c:dLbl>
          <c:idx val="0"/>
          <c:layout>
            <c:manualLayout>
              <c:x val="-0.19163951040773369"/>
              <c:y val="-6.7031523025772538E-17"/>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V Boli" panose="02000500030200090000" pitchFamily="2" charset="0"/>
                  <a:ea typeface="+mn-ea"/>
                  <a:cs typeface="MV Boli" panose="0200050003020009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68792391050128"/>
                  <c:h val="9.3455210237659958E-2"/>
                </c:manualLayout>
              </c15:layout>
            </c:ext>
          </c:extLst>
        </c:dLbl>
      </c:pivotFmt>
      <c:pivotFmt>
        <c:idx val="4"/>
        <c:spPr>
          <a:solidFill>
            <a:srgbClr val="BEB46E"/>
          </a:solidFill>
          <a:ln>
            <a:noFill/>
          </a:ln>
          <a:effectLst/>
        </c:spPr>
      </c:pivotFmt>
      <c:pivotFmt>
        <c:idx val="5"/>
        <c:spPr>
          <a:solidFill>
            <a:srgbClr val="BEB46E"/>
          </a:solidFill>
          <a:ln>
            <a:noFill/>
          </a:ln>
          <a:effectLst/>
        </c:spPr>
      </c:pivotFmt>
    </c:pivotFmts>
    <c:plotArea>
      <c:layout/>
      <c:barChart>
        <c:barDir val="bar"/>
        <c:grouping val="clustered"/>
        <c:varyColors val="0"/>
        <c:ser>
          <c:idx val="0"/>
          <c:order val="0"/>
          <c:tx>
            <c:strRef>
              <c:f>Pivot!$H$3</c:f>
              <c:strCache>
                <c:ptCount val="1"/>
                <c:pt idx="0">
                  <c:v>Total</c:v>
                </c:pt>
              </c:strCache>
            </c:strRef>
          </c:tx>
          <c:spPr>
            <a:solidFill>
              <a:srgbClr val="BEB46E"/>
            </a:solidFill>
            <a:ln>
              <a:noFill/>
            </a:ln>
            <a:effectLst/>
          </c:spPr>
          <c:invertIfNegative val="0"/>
          <c:dPt>
            <c:idx val="4"/>
            <c:invertIfNegative val="0"/>
            <c:bubble3D val="0"/>
            <c:extLst>
              <c:ext xmlns:c16="http://schemas.microsoft.com/office/drawing/2014/chart" uri="{C3380CC4-5D6E-409C-BE32-E72D297353CC}">
                <c16:uniqueId val="{00000000-E69D-4662-91DB-747A40CCE5A5}"/>
              </c:ext>
            </c:extLst>
          </c:dPt>
          <c:dPt>
            <c:idx val="6"/>
            <c:invertIfNegative val="0"/>
            <c:bubble3D val="0"/>
            <c:extLst>
              <c:ext xmlns:c16="http://schemas.microsoft.com/office/drawing/2014/chart" uri="{C3380CC4-5D6E-409C-BE32-E72D297353CC}">
                <c16:uniqueId val="{00000001-E69D-4662-91DB-747A40CCE5A5}"/>
              </c:ext>
            </c:extLst>
          </c:dPt>
          <c:dPt>
            <c:idx val="7"/>
            <c:invertIfNegative val="0"/>
            <c:bubble3D val="0"/>
            <c:extLst>
              <c:ext xmlns:c16="http://schemas.microsoft.com/office/drawing/2014/chart" uri="{C3380CC4-5D6E-409C-BE32-E72D297353CC}">
                <c16:uniqueId val="{00000002-E69D-4662-91DB-747A40CCE5A5}"/>
              </c:ext>
            </c:extLst>
          </c:dPt>
          <c:dLbls>
            <c:dLbl>
              <c:idx val="4"/>
              <c:layout>
                <c:manualLayout>
                  <c:x val="-0.19163951040773369"/>
                  <c:y val="-6.7031523025772538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368792391050128"/>
                      <c:h val="9.3455210237659958E-2"/>
                    </c:manualLayout>
                  </c15:layout>
                </c:ext>
                <c:ext xmlns:c16="http://schemas.microsoft.com/office/drawing/2014/chart" uri="{C3380CC4-5D6E-409C-BE32-E72D297353CC}">
                  <c16:uniqueId val="{00000000-E69D-4662-91DB-747A40CCE5A5}"/>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V Boli" panose="02000500030200090000" pitchFamily="2" charset="0"/>
                    <a:ea typeface="+mn-ea"/>
                    <a:cs typeface="MV Boli" panose="02000500030200090000" pitchFamily="2"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Pivot!$G$4:$G$12</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Pivot!$H$4:$H$12</c:f>
              <c:numCache>
                <c:formatCode>"$"#,##0.0</c:formatCode>
                <c:ptCount val="8"/>
                <c:pt idx="0">
                  <c:v>2814.2799999999934</c:v>
                </c:pt>
                <c:pt idx="1">
                  <c:v>7534.8600000000133</c:v>
                </c:pt>
                <c:pt idx="2">
                  <c:v>8678.1600000000381</c:v>
                </c:pt>
                <c:pt idx="3">
                  <c:v>10172.460000000045</c:v>
                </c:pt>
                <c:pt idx="4">
                  <c:v>15062.259999999818</c:v>
                </c:pt>
                <c:pt idx="5">
                  <c:v>18034.139999999945</c:v>
                </c:pt>
                <c:pt idx="6">
                  <c:v>25269.120000000225</c:v>
                </c:pt>
                <c:pt idx="7">
                  <c:v>27866.299999999457</c:v>
                </c:pt>
              </c:numCache>
            </c:numRef>
          </c:val>
          <c:extLst>
            <c:ext xmlns:c16="http://schemas.microsoft.com/office/drawing/2014/chart" uri="{C3380CC4-5D6E-409C-BE32-E72D297353CC}">
              <c16:uniqueId val="{00000003-E69D-4662-91DB-747A40CCE5A5}"/>
            </c:ext>
          </c:extLst>
        </c:ser>
        <c:dLbls>
          <c:showLegendKey val="0"/>
          <c:showVal val="0"/>
          <c:showCatName val="0"/>
          <c:showSerName val="0"/>
          <c:showPercent val="0"/>
          <c:showBubbleSize val="0"/>
        </c:dLbls>
        <c:gapWidth val="219"/>
        <c:axId val="279064176"/>
        <c:axId val="339485128"/>
      </c:barChart>
      <c:catAx>
        <c:axId val="27906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V Boli" panose="02000500030200090000" pitchFamily="2" charset="0"/>
              </a:defRPr>
            </a:pPr>
            <a:endParaRPr lang="en-US"/>
          </a:p>
        </c:txPr>
        <c:crossAx val="339485128"/>
        <c:crosses val="autoZero"/>
        <c:auto val="1"/>
        <c:lblAlgn val="ctr"/>
        <c:lblOffset val="100"/>
        <c:noMultiLvlLbl val="0"/>
      </c:catAx>
      <c:valAx>
        <c:axId val="339485128"/>
        <c:scaling>
          <c:orientation val="minMax"/>
        </c:scaling>
        <c:delete val="1"/>
        <c:axPos val="b"/>
        <c:numFmt formatCode="&quot;$&quot;#,##0.0" sourceLinked="1"/>
        <c:majorTickMark val="none"/>
        <c:minorTickMark val="none"/>
        <c:tickLblPos val="nextTo"/>
        <c:crossAx val="2790641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 Coffee sales data.12345.xlsx]Combined Pivot !PivotTable7</c:name>
    <c:fmtId val="18"/>
  </c:pivotSource>
  <c:chart>
    <c:autoTitleDeleted val="1"/>
    <c:pivotFmts>
      <c:pivotFmt>
        <c:idx val="0"/>
        <c:spPr>
          <a:solidFill>
            <a:srgbClr val="BEB46E"/>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solidFill>
            <a:srgbClr val="BEB46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MV Boli" panose="02000500030200090000" pitchFamily="2" charset="0"/>
                  <a:ea typeface="+mn-ea"/>
                  <a:cs typeface="MV Boli" panose="0200050003020009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EB46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95000"/>
                      <a:lumOff val="5000"/>
                    </a:schemeClr>
                  </a:solidFill>
                  <a:latin typeface="+mn-lt"/>
                  <a:ea typeface="+mn-ea"/>
                  <a:cs typeface="MV Boli" panose="02000500030200090000" pitchFamily="2"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EB46E"/>
          </a:solidFill>
          <a:ln>
            <a:noFill/>
          </a:ln>
          <a:effectLst>
            <a:outerShdw blurRad="57150" dist="19050" dir="5400000" algn="ctr" rotWithShape="0">
              <a:srgbClr val="000000">
                <a:alpha val="63000"/>
              </a:srgbClr>
            </a:outerShdw>
          </a:effectLst>
        </c:spPr>
      </c:pivotFmt>
      <c:pivotFmt>
        <c:idx val="4"/>
        <c:spPr>
          <a:solidFill>
            <a:srgbClr val="BEB46E"/>
          </a:solidFill>
          <a:ln>
            <a:noFill/>
          </a:ln>
          <a:effectLst>
            <a:outerShdw blurRad="57150" dist="19050" dir="5400000" algn="ctr" rotWithShape="0">
              <a:srgbClr val="000000">
                <a:alpha val="63000"/>
              </a:srgbClr>
            </a:outerShdw>
          </a:effectLst>
        </c:spPr>
      </c:pivotFmt>
      <c:pivotFmt>
        <c:idx val="5"/>
        <c:spPr>
          <a:solidFill>
            <a:srgbClr val="BEB46E"/>
          </a:solidFill>
          <a:ln>
            <a:noFill/>
          </a:ln>
          <a:effectLst>
            <a:outerShdw blurRad="57150" dist="19050" dir="5400000" algn="ctr" rotWithShape="0">
              <a:srgbClr val="000000">
                <a:alpha val="63000"/>
              </a:srgbClr>
            </a:outerShdw>
          </a:effectLst>
        </c:spPr>
      </c:pivotFmt>
      <c:pivotFmt>
        <c:idx val="6"/>
        <c:spPr>
          <a:solidFill>
            <a:srgbClr val="BEB46E"/>
          </a:solidFill>
          <a:ln>
            <a:noFill/>
          </a:ln>
          <a:effectLst>
            <a:outerShdw blurRad="57150" dist="19050" dir="5400000" algn="ctr" rotWithShape="0">
              <a:srgbClr val="000000">
                <a:alpha val="63000"/>
              </a:srgbClr>
            </a:outerShdw>
          </a:effectLst>
        </c:spPr>
        <c:dLbl>
          <c:idx val="0"/>
          <c:layout>
            <c:manualLayout>
              <c:x val="-0.30558088855081111"/>
              <c:y val="2.7007467440063968E-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95000"/>
                      <a:lumOff val="5000"/>
                    </a:schemeClr>
                  </a:solidFill>
                  <a:latin typeface="+mn-lt"/>
                  <a:ea typeface="+mn-ea"/>
                  <a:cs typeface="MV Boli" panose="0200050003020009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80389243797356"/>
          <c:y val="3.949730700179533E-2"/>
          <c:w val="0.71302629624127167"/>
          <c:h val="0.92100538599640935"/>
        </c:manualLayout>
      </c:layout>
      <c:barChart>
        <c:barDir val="bar"/>
        <c:grouping val="clustered"/>
        <c:varyColors val="0"/>
        <c:ser>
          <c:idx val="0"/>
          <c:order val="0"/>
          <c:tx>
            <c:strRef>
              <c:f>'Combined Pivot '!$H$1</c:f>
              <c:strCache>
                <c:ptCount val="1"/>
                <c:pt idx="0">
                  <c:v>Total</c:v>
                </c:pt>
              </c:strCache>
            </c:strRef>
          </c:tx>
          <c:spPr>
            <a:solidFill>
              <a:srgbClr val="BEB46E"/>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F3B1-4E90-849C-A809AFB312DC}"/>
              </c:ext>
            </c:extLst>
          </c:dPt>
          <c:dPt>
            <c:idx val="9"/>
            <c:invertIfNegative val="0"/>
            <c:bubble3D val="0"/>
            <c:spPr>
              <a:solidFill>
                <a:srgbClr val="BEB46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3B1-4E90-849C-A809AFB312DC}"/>
              </c:ext>
            </c:extLst>
          </c:dPt>
          <c:dPt>
            <c:idx val="10"/>
            <c:invertIfNegative val="0"/>
            <c:bubble3D val="0"/>
            <c:spPr>
              <a:solidFill>
                <a:srgbClr val="BEB46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F3B1-4E90-849C-A809AFB312DC}"/>
              </c:ext>
            </c:extLst>
          </c:dPt>
          <c:dPt>
            <c:idx val="11"/>
            <c:invertIfNegative val="0"/>
            <c:bubble3D val="0"/>
            <c:spPr>
              <a:solidFill>
                <a:srgbClr val="BEB46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F3B1-4E90-849C-A809AFB312DC}"/>
              </c:ext>
            </c:extLst>
          </c:dPt>
          <c:dLbls>
            <c:dLbl>
              <c:idx val="10"/>
              <c:layout>
                <c:manualLayout>
                  <c:x val="-0.30558088855081111"/>
                  <c:y val="2.700746744006396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B1-4E90-849C-A809AFB312DC}"/>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95000"/>
                        <a:lumOff val="5000"/>
                      </a:schemeClr>
                    </a:solidFill>
                    <a:latin typeface="+mn-lt"/>
                    <a:ea typeface="+mn-ea"/>
                    <a:cs typeface="MV Boli" panose="02000500030200090000" pitchFamily="2"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'Combined Pivot '!$G$2:$G$14</c:f>
              <c:strCache>
                <c:ptCount val="12"/>
                <c:pt idx="0">
                  <c:v>January</c:v>
                </c:pt>
                <c:pt idx="1">
                  <c:v>July</c:v>
                </c:pt>
                <c:pt idx="2">
                  <c:v>June</c:v>
                </c:pt>
                <c:pt idx="3">
                  <c:v>April</c:v>
                </c:pt>
                <c:pt idx="4">
                  <c:v>August</c:v>
                </c:pt>
                <c:pt idx="5">
                  <c:v>November</c:v>
                </c:pt>
                <c:pt idx="6">
                  <c:v>December</c:v>
                </c:pt>
                <c:pt idx="7">
                  <c:v>May</c:v>
                </c:pt>
                <c:pt idx="8">
                  <c:v>September</c:v>
                </c:pt>
                <c:pt idx="9">
                  <c:v>February</c:v>
                </c:pt>
                <c:pt idx="10">
                  <c:v>October</c:v>
                </c:pt>
                <c:pt idx="11">
                  <c:v>March</c:v>
                </c:pt>
              </c:strCache>
            </c:strRef>
          </c:cat>
          <c:val>
            <c:numRef>
              <c:f>'Combined Pivot '!$H$2:$H$14</c:f>
              <c:numCache>
                <c:formatCode>_("$"* #,##0.0_);_("$"* \(#,##0.0\);_("$"* "-"?_);_(@_)</c:formatCode>
                <c:ptCount val="12"/>
                <c:pt idx="0">
                  <c:v>5732.6600000000117</c:v>
                </c:pt>
                <c:pt idx="1">
                  <c:v>6287.0000000000036</c:v>
                </c:pt>
                <c:pt idx="2">
                  <c:v>6530.4800000000041</c:v>
                </c:pt>
                <c:pt idx="3">
                  <c:v>6546.6600000000017</c:v>
                </c:pt>
                <c:pt idx="4">
                  <c:v>6736.5800000000099</c:v>
                </c:pt>
                <c:pt idx="5">
                  <c:v>7483.9600000000173</c:v>
                </c:pt>
                <c:pt idx="6">
                  <c:v>7537.7600000000175</c:v>
                </c:pt>
                <c:pt idx="7">
                  <c:v>8161.9000000000106</c:v>
                </c:pt>
                <c:pt idx="8">
                  <c:v>8560.8000000000102</c:v>
                </c:pt>
                <c:pt idx="9">
                  <c:v>11643.600000000009</c:v>
                </c:pt>
                <c:pt idx="10">
                  <c:v>12073.340000000038</c:v>
                </c:pt>
                <c:pt idx="11">
                  <c:v>15661.179999999977</c:v>
                </c:pt>
              </c:numCache>
            </c:numRef>
          </c:val>
          <c:extLst>
            <c:ext xmlns:c16="http://schemas.microsoft.com/office/drawing/2014/chart" uri="{C3380CC4-5D6E-409C-BE32-E72D297353CC}">
              <c16:uniqueId val="{00000007-F3B1-4E90-849C-A809AFB312DC}"/>
            </c:ext>
          </c:extLst>
        </c:ser>
        <c:dLbls>
          <c:showLegendKey val="0"/>
          <c:showVal val="0"/>
          <c:showCatName val="0"/>
          <c:showSerName val="0"/>
          <c:showPercent val="0"/>
          <c:showBubbleSize val="0"/>
        </c:dLbls>
        <c:gapWidth val="115"/>
        <c:overlap val="-20"/>
        <c:axId val="339489048"/>
        <c:axId val="339486696"/>
      </c:barChart>
      <c:catAx>
        <c:axId val="3394890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95000"/>
                    <a:lumOff val="5000"/>
                  </a:schemeClr>
                </a:solidFill>
                <a:latin typeface="+mn-lt"/>
                <a:ea typeface="+mn-ea"/>
                <a:cs typeface="MV Boli" panose="02000500030200090000" pitchFamily="2" charset="0"/>
              </a:defRPr>
            </a:pPr>
            <a:endParaRPr lang="en-US"/>
          </a:p>
        </c:txPr>
        <c:crossAx val="339486696"/>
        <c:crosses val="autoZero"/>
        <c:auto val="1"/>
        <c:lblAlgn val="ctr"/>
        <c:lblOffset val="100"/>
        <c:noMultiLvlLbl val="0"/>
      </c:catAx>
      <c:valAx>
        <c:axId val="339486696"/>
        <c:scaling>
          <c:orientation val="minMax"/>
        </c:scaling>
        <c:delete val="1"/>
        <c:axPos val="b"/>
        <c:numFmt formatCode="_(&quot;$&quot;* #,##0.0_);_(&quot;$&quot;* \(#,##0.0\);_(&quot;$&quot;* &quot;-&quot;?_);_(@_)" sourceLinked="1"/>
        <c:majorTickMark val="none"/>
        <c:minorTickMark val="none"/>
        <c:tickLblPos val="nextTo"/>
        <c:crossAx val="3394890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 Coffee sales data.12345.xlsx]Combined Pivot !PivotTable10</c:name>
    <c:fmtId val="5"/>
  </c:pivotSource>
  <c:chart>
    <c:autoTitleDeleted val="1"/>
    <c:pivotFmts>
      <c:pivotFmt>
        <c:idx val="0"/>
        <c:spPr>
          <a:solidFill>
            <a:srgbClr val="BEB46E"/>
          </a:solidFill>
          <a:ln w="19050">
            <a:solidFill>
              <a:schemeClr val="lt1"/>
            </a:solidFill>
          </a:ln>
          <a:effectLst/>
        </c:spPr>
        <c:marker>
          <c:symbol val="none"/>
        </c:marker>
      </c:pivotFmt>
      <c:pivotFmt>
        <c:idx val="1"/>
        <c:spPr>
          <a:solidFill>
            <a:schemeClr val="tx1">
              <a:lumMod val="95000"/>
              <a:lumOff val="5000"/>
            </a:schemeClr>
          </a:solidFill>
          <a:ln w="19050">
            <a:solidFill>
              <a:schemeClr val="lt1"/>
            </a:solidFill>
          </a:ln>
          <a:effectLst/>
        </c:spPr>
      </c:pivotFmt>
      <c:pivotFmt>
        <c:idx val="2"/>
        <c:spPr>
          <a:solidFill>
            <a:srgbClr val="BEB46E"/>
          </a:solidFill>
          <a:ln w="19050">
            <a:solidFill>
              <a:schemeClr val="lt1"/>
            </a:solidFill>
          </a:ln>
          <a:effectLst/>
        </c:spPr>
        <c:marker>
          <c:symbol val="none"/>
        </c:marker>
      </c:pivotFmt>
      <c:pivotFmt>
        <c:idx val="3"/>
        <c:spPr>
          <a:solidFill>
            <a:srgbClr val="BEB46E"/>
          </a:solidFill>
          <a:ln w="19050">
            <a:solidFill>
              <a:schemeClr val="lt1"/>
            </a:solidFill>
          </a:ln>
          <a:effectLst/>
        </c:spPr>
      </c:pivotFmt>
      <c:pivotFmt>
        <c:idx val="4"/>
        <c:spPr>
          <a:solidFill>
            <a:schemeClr val="tx1">
              <a:lumMod val="95000"/>
              <a:lumOff val="5000"/>
            </a:schemeClr>
          </a:solidFill>
          <a:ln w="19050">
            <a:solidFill>
              <a:schemeClr val="lt1"/>
            </a:solidFill>
          </a:ln>
          <a:effectLst/>
        </c:spPr>
      </c:pivotFmt>
      <c:pivotFmt>
        <c:idx val="5"/>
        <c:spPr>
          <a:solidFill>
            <a:srgbClr val="BEB46E"/>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BEB46E"/>
          </a:solidFill>
          <a:ln w="19050">
            <a:noFill/>
          </a:ln>
          <a:effectLst/>
        </c:spPr>
        <c:dLbl>
          <c:idx val="0"/>
          <c:layout>
            <c:manualLayout>
              <c:x val="-0.28882833787465939"/>
              <c:y val="9.38628158844765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1">
              <a:lumMod val="95000"/>
              <a:lumOff val="5000"/>
            </a:schemeClr>
          </a:solidFill>
          <a:ln w="19050">
            <a:noFill/>
          </a:ln>
          <a:effectLst/>
        </c:spPr>
        <c:dLbl>
          <c:idx val="0"/>
          <c:layout>
            <c:manualLayout>
              <c:x val="0.48501362397820152"/>
              <c:y val="2.16606498194945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'Combined Pivot '!$E$11</c:f>
              <c:strCache>
                <c:ptCount val="1"/>
                <c:pt idx="0">
                  <c:v>Total</c:v>
                </c:pt>
              </c:strCache>
            </c:strRef>
          </c:tx>
          <c:spPr>
            <a:solidFill>
              <a:srgbClr val="BEB46E"/>
            </a:solidFill>
            <a:ln>
              <a:noFill/>
            </a:ln>
          </c:spPr>
          <c:dPt>
            <c:idx val="0"/>
            <c:bubble3D val="0"/>
            <c:spPr>
              <a:solidFill>
                <a:srgbClr val="BEB46E"/>
              </a:solidFill>
              <a:ln w="19050">
                <a:noFill/>
              </a:ln>
              <a:effectLst/>
            </c:spPr>
            <c:extLst>
              <c:ext xmlns:c16="http://schemas.microsoft.com/office/drawing/2014/chart" uri="{C3380CC4-5D6E-409C-BE32-E72D297353CC}">
                <c16:uniqueId val="{00000001-4608-48C2-81CF-0F24E01347E7}"/>
              </c:ext>
            </c:extLst>
          </c:dPt>
          <c:dPt>
            <c:idx val="1"/>
            <c:bubble3D val="0"/>
            <c:spPr>
              <a:solidFill>
                <a:schemeClr val="tx1">
                  <a:lumMod val="95000"/>
                  <a:lumOff val="5000"/>
                </a:schemeClr>
              </a:solidFill>
              <a:ln w="19050">
                <a:noFill/>
              </a:ln>
              <a:effectLst/>
            </c:spPr>
            <c:extLst>
              <c:ext xmlns:c16="http://schemas.microsoft.com/office/drawing/2014/chart" uri="{C3380CC4-5D6E-409C-BE32-E72D297353CC}">
                <c16:uniqueId val="{00000003-4608-48C2-81CF-0F24E01347E7}"/>
              </c:ext>
            </c:extLst>
          </c:dPt>
          <c:dLbls>
            <c:dLbl>
              <c:idx val="0"/>
              <c:layout>
                <c:manualLayout>
                  <c:x val="-0.28882833787465939"/>
                  <c:y val="9.38628158844765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608-48C2-81CF-0F24E01347E7}"/>
                </c:ext>
              </c:extLst>
            </c:dLbl>
            <c:dLbl>
              <c:idx val="1"/>
              <c:layout>
                <c:manualLayout>
                  <c:x val="0.48501362397820152"/>
                  <c:y val="2.166064981949458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608-48C2-81CF-0F24E01347E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'Combined Pivot '!$D$12:$D$14</c:f>
              <c:strCache>
                <c:ptCount val="2"/>
                <c:pt idx="0">
                  <c:v>Card</c:v>
                </c:pt>
                <c:pt idx="1">
                  <c:v>Cash</c:v>
                </c:pt>
              </c:strCache>
            </c:strRef>
          </c:cat>
          <c:val>
            <c:numRef>
              <c:f>'Combined Pivot '!$E$12:$E$14</c:f>
              <c:numCache>
                <c:formatCode>#,##0</c:formatCode>
                <c:ptCount val="2"/>
                <c:pt idx="0">
                  <c:v>3144</c:v>
                </c:pt>
                <c:pt idx="1">
                  <c:v>86</c:v>
                </c:pt>
              </c:numCache>
            </c:numRef>
          </c:val>
          <c:extLst>
            <c:ext xmlns:c16="http://schemas.microsoft.com/office/drawing/2014/chart" uri="{C3380CC4-5D6E-409C-BE32-E72D297353CC}">
              <c16:uniqueId val="{00000004-4608-48C2-81CF-0F24E01347E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 Coffee sales data.12345.xlsx]Combined Pivot !PivotTable5</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ln w="28575" cap="rnd">
            <a:solidFill>
              <a:srgbClr val="BEB46E"/>
            </a:solidFill>
            <a:round/>
          </a:ln>
          <a:effectLst/>
        </c:spPr>
        <c:marker>
          <c:symbol val="diamond"/>
          <c:size val="5"/>
          <c:spPr>
            <a:solidFill>
              <a:schemeClr val="tx1">
                <a:lumMod val="95000"/>
                <a:lumOff val="5000"/>
              </a:schemeClr>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'Combined Pivot '!$B$1</c:f>
              <c:strCache>
                <c:ptCount val="1"/>
                <c:pt idx="0">
                  <c:v>Total</c:v>
                </c:pt>
              </c:strCache>
            </c:strRef>
          </c:tx>
          <c:spPr>
            <a:ln w="28575" cap="rnd">
              <a:solidFill>
                <a:srgbClr val="BEB46E"/>
              </a:solidFill>
              <a:round/>
            </a:ln>
            <a:effectLst/>
          </c:spPr>
          <c:marker>
            <c:symbol val="diamond"/>
            <c:size val="5"/>
            <c:spPr>
              <a:solidFill>
                <a:schemeClr val="tx1">
                  <a:lumMod val="95000"/>
                  <a:lumOff val="5000"/>
                </a:schemeClr>
              </a:solidFill>
              <a:ln w="9525">
                <a:solidFill>
                  <a:schemeClr val="tx1">
                    <a:lumMod val="95000"/>
                    <a:lumOff val="5000"/>
                  </a:schemeClr>
                </a:solidFill>
              </a:ln>
              <a:effectLst/>
            </c:spPr>
          </c:marker>
          <c:cat>
            <c:strRef>
              <c:f>'Combined Pivot '!$A$2:$A$9</c:f>
              <c:strCache>
                <c:ptCount val="7"/>
                <c:pt idx="0">
                  <c:v>Tuesday</c:v>
                </c:pt>
                <c:pt idx="1">
                  <c:v>Monday</c:v>
                </c:pt>
                <c:pt idx="2">
                  <c:v>Friday</c:v>
                </c:pt>
                <c:pt idx="3">
                  <c:v>Thursday</c:v>
                </c:pt>
                <c:pt idx="4">
                  <c:v>Wednesday</c:v>
                </c:pt>
                <c:pt idx="5">
                  <c:v>Saturday</c:v>
                </c:pt>
                <c:pt idx="6">
                  <c:v>Sunday</c:v>
                </c:pt>
              </c:strCache>
            </c:strRef>
          </c:cat>
          <c:val>
            <c:numRef>
              <c:f>'Combined Pivot '!$B$2:$B$9</c:f>
              <c:numCache>
                <c:formatCode>"$"#,##0.0</c:formatCode>
                <c:ptCount val="7"/>
                <c:pt idx="0">
                  <c:v>16440.919999999995</c:v>
                </c:pt>
                <c:pt idx="1">
                  <c:v>16156.960000000012</c:v>
                </c:pt>
                <c:pt idx="2">
                  <c:v>15120.979999999996</c:v>
                </c:pt>
                <c:pt idx="3">
                  <c:v>15044.120000000003</c:v>
                </c:pt>
                <c:pt idx="4">
                  <c:v>14600.919999999995</c:v>
                </c:pt>
                <c:pt idx="5">
                  <c:v>13148.139999999996</c:v>
                </c:pt>
                <c:pt idx="6">
                  <c:v>12443.88000000001</c:v>
                </c:pt>
              </c:numCache>
            </c:numRef>
          </c:val>
          <c:smooth val="0"/>
          <c:extLst>
            <c:ext xmlns:c16="http://schemas.microsoft.com/office/drawing/2014/chart" uri="{C3380CC4-5D6E-409C-BE32-E72D297353CC}">
              <c16:uniqueId val="{00000000-81E7-468C-97EC-C076D3643821}"/>
            </c:ext>
          </c:extLst>
        </c:ser>
        <c:dLbls>
          <c:showLegendKey val="0"/>
          <c:showVal val="0"/>
          <c:showCatName val="0"/>
          <c:showSerName val="0"/>
          <c:showPercent val="0"/>
          <c:showBubbleSize val="0"/>
        </c:dLbls>
        <c:marker val="1"/>
        <c:smooth val="0"/>
        <c:axId val="339490224"/>
        <c:axId val="339489832"/>
      </c:lineChart>
      <c:catAx>
        <c:axId val="33949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V Boli" panose="02000500030200090000" pitchFamily="2" charset="0"/>
                <a:ea typeface="+mn-ea"/>
                <a:cs typeface="MV Boli" panose="02000500030200090000" pitchFamily="2" charset="0"/>
              </a:defRPr>
            </a:pPr>
            <a:endParaRPr lang="en-US"/>
          </a:p>
        </c:txPr>
        <c:crossAx val="339489832"/>
        <c:crosses val="autoZero"/>
        <c:auto val="1"/>
        <c:lblAlgn val="ctr"/>
        <c:lblOffset val="100"/>
        <c:noMultiLvlLbl val="0"/>
      </c:catAx>
      <c:valAx>
        <c:axId val="339489832"/>
        <c:scaling>
          <c:orientation val="minMax"/>
        </c:scaling>
        <c:delete val="1"/>
        <c:axPos val="l"/>
        <c:numFmt formatCode="&quot;$&quot;#,##0.0" sourceLinked="1"/>
        <c:majorTickMark val="none"/>
        <c:minorTickMark val="none"/>
        <c:tickLblPos val="nextTo"/>
        <c:crossAx val="3394902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 Coffee sales data.12345.xlsx]Pivot 2!PivotTable4</c:name>
    <c:fmtId val="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BEB46E"/>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V Boli" panose="02000500030200090000" pitchFamily="2" charset="0"/>
                  <a:ea typeface="+mn-ea"/>
                  <a:cs typeface="MV Boli" panose="0200050003020009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BEB46E"/>
          </a:solidFill>
          <a:ln w="19050">
            <a:noFill/>
          </a:ln>
          <a:effectLst/>
        </c:spPr>
        <c:dLbl>
          <c:idx val="0"/>
          <c:layout>
            <c:manualLayout>
              <c:x val="-0.30174017721469026"/>
              <c:y val="6.32606501110438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V Boli" panose="02000500030200090000" pitchFamily="2" charset="0"/>
                  <a:ea typeface="+mn-ea"/>
                  <a:cs typeface="MV Boli" panose="0200050003020009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1"/>
          </a:solidFill>
          <a:ln w="19050">
            <a:noFill/>
          </a:ln>
          <a:effectLst/>
        </c:spPr>
        <c:dLbl>
          <c:idx val="0"/>
          <c:layout>
            <c:manualLayout>
              <c:x val="0.39522862273794723"/>
              <c:y val="-0.167320294640589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V Boli" panose="02000500030200090000" pitchFamily="2" charset="0"/>
                  <a:ea typeface="+mn-ea"/>
                  <a:cs typeface="MV Boli" panose="0200050003020009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BEB46E"/>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V Boli" panose="02000500030200090000" pitchFamily="2" charset="0"/>
                  <a:ea typeface="+mn-ea"/>
                  <a:cs typeface="MV Boli" panose="0200050003020009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BEB46E"/>
          </a:solidFill>
          <a:ln w="19050">
            <a:noFill/>
          </a:ln>
          <a:effectLst/>
        </c:spPr>
        <c:dLbl>
          <c:idx val="0"/>
          <c:layout>
            <c:manualLayout>
              <c:x val="-0.30174017721469026"/>
              <c:y val="6.32606501110438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V Boli" panose="02000500030200090000" pitchFamily="2" charset="0"/>
                  <a:ea typeface="+mn-ea"/>
                  <a:cs typeface="MV Boli" panose="0200050003020009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tx1"/>
          </a:solidFill>
          <a:ln w="19050">
            <a:noFill/>
          </a:ln>
          <a:effectLst/>
        </c:spPr>
        <c:dLbl>
          <c:idx val="0"/>
          <c:layout>
            <c:manualLayout>
              <c:x val="0.39522862273794723"/>
              <c:y val="-0.167320294640589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V Boli" panose="02000500030200090000" pitchFamily="2" charset="0"/>
                  <a:ea typeface="+mn-ea"/>
                  <a:cs typeface="MV Boli" panose="0200050003020009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BEB46E"/>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V Boli" panose="02000500030200090000" pitchFamily="2" charset="0"/>
                  <a:ea typeface="+mn-ea"/>
                  <a:cs typeface="MV Boli" panose="0200050003020009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BEB46E"/>
          </a:solidFill>
          <a:ln w="19050">
            <a:noFill/>
          </a:ln>
          <a:effectLst/>
        </c:spPr>
        <c:dLbl>
          <c:idx val="0"/>
          <c:layout>
            <c:manualLayout>
              <c:x val="-0.30174017721469026"/>
              <c:y val="6.32606501110438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V Boli" panose="02000500030200090000" pitchFamily="2" charset="0"/>
                  <a:ea typeface="+mn-ea"/>
                  <a:cs typeface="MV Boli" panose="0200050003020009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tx1"/>
          </a:solidFill>
          <a:ln w="19050">
            <a:noFill/>
          </a:ln>
          <a:effectLst/>
        </c:spPr>
        <c:dLbl>
          <c:idx val="0"/>
          <c:layout>
            <c:manualLayout>
              <c:x val="0.39522862273794723"/>
              <c:y val="-0.167320294640589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V Boli" panose="02000500030200090000" pitchFamily="2" charset="0"/>
                  <a:ea typeface="+mn-ea"/>
                  <a:cs typeface="MV Boli" panose="0200050003020009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2'!$K$1</c:f>
              <c:strCache>
                <c:ptCount val="1"/>
                <c:pt idx="0">
                  <c:v>Total</c:v>
                </c:pt>
              </c:strCache>
            </c:strRef>
          </c:tx>
          <c:spPr>
            <a:solidFill>
              <a:srgbClr val="BEB46E"/>
            </a:solidFill>
            <a:ln>
              <a:noFill/>
            </a:ln>
          </c:spPr>
          <c:dPt>
            <c:idx val="0"/>
            <c:bubble3D val="0"/>
            <c:spPr>
              <a:solidFill>
                <a:srgbClr val="BEB46E"/>
              </a:solidFill>
              <a:ln w="19050">
                <a:noFill/>
              </a:ln>
              <a:effectLst/>
            </c:spPr>
            <c:extLst>
              <c:ext xmlns:c16="http://schemas.microsoft.com/office/drawing/2014/chart" uri="{C3380CC4-5D6E-409C-BE32-E72D297353CC}">
                <c16:uniqueId val="{00000001-6045-418F-81C9-1BCE4AE7135F}"/>
              </c:ext>
            </c:extLst>
          </c:dPt>
          <c:dPt>
            <c:idx val="1"/>
            <c:bubble3D val="0"/>
            <c:spPr>
              <a:solidFill>
                <a:schemeClr val="tx1"/>
              </a:solidFill>
              <a:ln w="19050">
                <a:noFill/>
              </a:ln>
              <a:effectLst/>
            </c:spPr>
            <c:extLst>
              <c:ext xmlns:c16="http://schemas.microsoft.com/office/drawing/2014/chart" uri="{C3380CC4-5D6E-409C-BE32-E72D297353CC}">
                <c16:uniqueId val="{00000003-6045-418F-81C9-1BCE4AE7135F}"/>
              </c:ext>
            </c:extLst>
          </c:dPt>
          <c:dLbls>
            <c:dLbl>
              <c:idx val="0"/>
              <c:layout>
                <c:manualLayout>
                  <c:x val="-0.30174017721469026"/>
                  <c:y val="6.326065011104381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045-418F-81C9-1BCE4AE7135F}"/>
                </c:ext>
              </c:extLst>
            </c:dLbl>
            <c:dLbl>
              <c:idx val="1"/>
              <c:layout>
                <c:manualLayout>
                  <c:x val="0.39522862273794723"/>
                  <c:y val="-0.1673202946405892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045-418F-81C9-1BCE4AE7135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V Boli" panose="02000500030200090000" pitchFamily="2" charset="0"/>
                    <a:ea typeface="+mn-ea"/>
                    <a:cs typeface="MV Boli" panose="02000500030200090000" pitchFamily="2"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2'!$J$2:$J$4</c:f>
              <c:strCache>
                <c:ptCount val="2"/>
                <c:pt idx="0">
                  <c:v>card</c:v>
                </c:pt>
                <c:pt idx="1">
                  <c:v>cash</c:v>
                </c:pt>
              </c:strCache>
            </c:strRef>
          </c:cat>
          <c:val>
            <c:numRef>
              <c:f>'Pivot 2'!$K$2:$K$4</c:f>
              <c:numCache>
                <c:formatCode>"$"#,##0.0</c:formatCode>
                <c:ptCount val="2"/>
                <c:pt idx="0">
                  <c:v>112245.57999999814</c:v>
                </c:pt>
                <c:pt idx="1">
                  <c:v>3186</c:v>
                </c:pt>
              </c:numCache>
            </c:numRef>
          </c:val>
          <c:extLst>
            <c:ext xmlns:c16="http://schemas.microsoft.com/office/drawing/2014/chart" uri="{C3380CC4-5D6E-409C-BE32-E72D297353CC}">
              <c16:uniqueId val="{00000004-6045-418F-81C9-1BCE4AE7135F}"/>
            </c:ext>
          </c:extLst>
        </c:ser>
        <c:dLbls>
          <c:showLegendKey val="0"/>
          <c:showVal val="0"/>
          <c:showCatName val="0"/>
          <c:showSerName val="0"/>
          <c:showPercent val="0"/>
          <c:showBubbleSize val="0"/>
          <c:showLeaderLines val="1"/>
        </c:dLbls>
        <c:firstSliceAng val="180"/>
        <c:holeSize val="75"/>
      </c:doughnutChart>
      <c:spPr>
        <a:noFill/>
        <a:ln>
          <a:noFill/>
        </a:ln>
        <a:effectLst/>
      </c:spPr>
    </c:plotArea>
    <c:legend>
      <c:legendPos val="r"/>
      <c:layout>
        <c:manualLayout>
          <c:xMode val="edge"/>
          <c:yMode val="edge"/>
          <c:x val="0.30700965010952586"/>
          <c:y val="0.33306375412750827"/>
          <c:w val="0.19530834961419297"/>
          <c:h val="0.2832105664211328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V Boli" panose="02000500030200090000" pitchFamily="2" charset="0"/>
              <a:ea typeface="+mn-ea"/>
              <a:cs typeface="MV Boli" panose="02000500030200090000" pitchFamily="2"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 Coffee sales data.12345.xlsx]Pivot!PivotTable5</c:name>
    <c:fmtId val="21"/>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pivotFmt>
      <c:pivotFmt>
        <c:idx val="8"/>
        <c:spPr>
          <a:solidFill>
            <a:srgbClr val="BEB46E"/>
          </a:solidFill>
          <a:ln w="9525" cap="flat" cmpd="sng" algn="ctr">
            <a:noFill/>
            <a:round/>
          </a:ln>
          <a:effectLst/>
        </c:spPr>
        <c:marker>
          <c:symbol val="none"/>
        </c:marke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tx1"/>
            </a:solidFill>
            <a:round/>
          </a:ln>
          <a:effectLst>
            <a:outerShdw blurRad="50800" dist="12700" algn="ctr" rotWithShape="0">
              <a:srgbClr val="000000">
                <a:alpha val="43137"/>
              </a:srgbClr>
            </a:outerShdw>
          </a:effectLst>
        </c:spPr>
        <c:marker>
          <c:symbol val="diamond"/>
          <c:size val="5"/>
          <c:spPr>
            <a:solidFill>
              <a:schemeClr val="tx1"/>
            </a:solidFill>
            <a:ln w="9525" cap="flat" cmpd="sng" algn="ctr">
              <a:noFill/>
              <a:round/>
            </a:ln>
            <a:effectLst>
              <a:outerShdw blurRad="50800" dist="12700" algn="ctr" rotWithShape="0">
                <a:srgbClr val="000000">
                  <a:alpha val="43137"/>
                </a:srgbClr>
              </a:outerShdw>
            </a:effectLst>
          </c:spPr>
        </c:marker>
      </c:pivotFmt>
      <c:pivotFmt>
        <c:idx val="10"/>
        <c:spPr>
          <a:solidFill>
            <a:srgbClr val="BEB46E"/>
          </a:solidFill>
          <a:ln w="9525" cap="flat" cmpd="sng" algn="ctr">
            <a:noFill/>
            <a:round/>
          </a:ln>
          <a:effectLst/>
        </c:spPr>
        <c:marker>
          <c:symbol val="none"/>
        </c:marke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tx1"/>
            </a:solidFill>
            <a:round/>
          </a:ln>
          <a:effectLst>
            <a:outerShdw blurRad="50800" dist="12700" algn="ctr" rotWithShape="0">
              <a:srgbClr val="000000">
                <a:alpha val="43137"/>
              </a:srgbClr>
            </a:outerShdw>
          </a:effectLst>
        </c:spPr>
        <c:marker>
          <c:symbol val="diamond"/>
          <c:size val="5"/>
          <c:spPr>
            <a:solidFill>
              <a:schemeClr val="tx1"/>
            </a:solidFill>
            <a:ln w="9525" cap="flat" cmpd="sng" algn="ctr">
              <a:noFill/>
              <a:round/>
            </a:ln>
            <a:effectLst>
              <a:outerShdw blurRad="50800" dist="12700" algn="ctr" rotWithShape="0">
                <a:srgbClr val="000000">
                  <a:alpha val="43137"/>
                </a:srgbClr>
              </a:outerShdw>
            </a:effectLst>
          </c:spPr>
        </c:marker>
      </c:pivotFmt>
      <c:pivotFmt>
        <c:idx val="12"/>
        <c:spPr>
          <a:solidFill>
            <a:srgbClr val="BEB46E"/>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15875" cap="rnd">
            <a:solidFill>
              <a:schemeClr val="tx1"/>
            </a:solidFill>
            <a:round/>
          </a:ln>
          <a:effectLst>
            <a:outerShdw blurRad="50800" dist="12700" algn="ctr" rotWithShape="0">
              <a:srgbClr val="000000">
                <a:alpha val="43137"/>
              </a:srgbClr>
            </a:outerShdw>
          </a:effectLst>
        </c:spPr>
        <c:marker>
          <c:symbol val="diamond"/>
          <c:size val="5"/>
          <c:spPr>
            <a:solidFill>
              <a:schemeClr val="tx1"/>
            </a:solidFill>
            <a:ln w="9525" cap="flat" cmpd="sng" algn="ctr">
              <a:noFill/>
              <a:round/>
            </a:ln>
            <a:effectLst>
              <a:outerShdw blurRad="50800" dist="12700" algn="ctr" rotWithShape="0">
                <a:srgbClr val="000000">
                  <a:alpha val="43137"/>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c:f>
              <c:strCache>
                <c:ptCount val="1"/>
                <c:pt idx="0">
                  <c:v>Sum of Price </c:v>
                </c:pt>
              </c:strCache>
            </c:strRef>
          </c:tx>
          <c:spPr>
            <a:solidFill>
              <a:srgbClr val="BEB46E"/>
            </a:solidFill>
            <a:ln w="9525" cap="flat" cmpd="sng" algn="ctr">
              <a:noFill/>
              <a:round/>
            </a:ln>
            <a:effectLst/>
          </c:spPr>
          <c:invertIfNegative val="0"/>
          <c:cat>
            <c:strRef>
              <c:f>Pivot!$J$4:$J$12</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Pivot!$K$4:$K$12</c:f>
              <c:numCache>
                <c:formatCode>"$"#,##0.0</c:formatCode>
                <c:ptCount val="8"/>
                <c:pt idx="0">
                  <c:v>38.700000000000003</c:v>
                </c:pt>
                <c:pt idx="1">
                  <c:v>33.799999999999997</c:v>
                </c:pt>
                <c:pt idx="2">
                  <c:v>38.700000000000003</c:v>
                </c:pt>
                <c:pt idx="3">
                  <c:v>28.9</c:v>
                </c:pt>
                <c:pt idx="4">
                  <c:v>38.700000000000003</c:v>
                </c:pt>
                <c:pt idx="5">
                  <c:v>38.700000000000003</c:v>
                </c:pt>
                <c:pt idx="6">
                  <c:v>28.9</c:v>
                </c:pt>
                <c:pt idx="7">
                  <c:v>24</c:v>
                </c:pt>
              </c:numCache>
            </c:numRef>
          </c:val>
          <c:extLst>
            <c:ext xmlns:c16="http://schemas.microsoft.com/office/drawing/2014/chart" uri="{C3380CC4-5D6E-409C-BE32-E72D297353CC}">
              <c16:uniqueId val="{00000000-33AB-4121-AF9D-AD6B03A59D8E}"/>
            </c:ext>
          </c:extLst>
        </c:ser>
        <c:dLbls>
          <c:showLegendKey val="0"/>
          <c:showVal val="0"/>
          <c:showCatName val="0"/>
          <c:showSerName val="0"/>
          <c:showPercent val="0"/>
          <c:showBubbleSize val="0"/>
        </c:dLbls>
        <c:gapWidth val="345"/>
        <c:overlap val="100"/>
        <c:axId val="339491792"/>
        <c:axId val="339485912"/>
      </c:barChart>
      <c:lineChart>
        <c:grouping val="standard"/>
        <c:varyColors val="0"/>
        <c:ser>
          <c:idx val="1"/>
          <c:order val="1"/>
          <c:tx>
            <c:strRef>
              <c:f>Pivot!$L$3</c:f>
              <c:strCache>
                <c:ptCount val="1"/>
                <c:pt idx="0">
                  <c:v>Sum of Sales percentage</c:v>
                </c:pt>
              </c:strCache>
            </c:strRef>
          </c:tx>
          <c:spPr>
            <a:ln w="15875" cap="rnd">
              <a:solidFill>
                <a:schemeClr val="tx1"/>
              </a:solidFill>
              <a:round/>
            </a:ln>
            <a:effectLst>
              <a:outerShdw blurRad="50800" dist="12700" algn="ctr" rotWithShape="0">
                <a:srgbClr val="000000">
                  <a:alpha val="43137"/>
                </a:srgbClr>
              </a:outerShdw>
            </a:effectLst>
          </c:spPr>
          <c:marker>
            <c:symbol val="diamond"/>
            <c:size val="5"/>
            <c:spPr>
              <a:solidFill>
                <a:schemeClr val="tx1"/>
              </a:solidFill>
              <a:ln w="9525" cap="flat" cmpd="sng" algn="ctr">
                <a:noFill/>
                <a:round/>
              </a:ln>
              <a:effectLst>
                <a:outerShdw blurRad="50800" dist="12700" algn="ctr" rotWithShape="0">
                  <a:srgbClr val="000000">
                    <a:alpha val="43137"/>
                  </a:srgbClr>
                </a:outerShdw>
              </a:effectLst>
            </c:spPr>
          </c:marker>
          <c:cat>
            <c:strRef>
              <c:f>Pivot!$J$4:$J$12</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Pivot!$L$4:$L$12</c:f>
              <c:numCache>
                <c:formatCode>0.0%</c:formatCode>
                <c:ptCount val="8"/>
                <c:pt idx="0">
                  <c:v>0.24140967315876269</c:v>
                </c:pt>
                <c:pt idx="1">
                  <c:v>0.21890993781771267</c:v>
                </c:pt>
                <c:pt idx="2">
                  <c:v>0.1562322892920639</c:v>
                </c:pt>
                <c:pt idx="3">
                  <c:v>0.13048647519162329</c:v>
                </c:pt>
                <c:pt idx="4">
                  <c:v>8.8125450591597945E-2</c:v>
                </c:pt>
                <c:pt idx="5">
                  <c:v>7.5180119686485039E-2</c:v>
                </c:pt>
                <c:pt idx="6">
                  <c:v>6.5275551110017233E-2</c:v>
                </c:pt>
                <c:pt idx="7">
                  <c:v>2.43805031517372E-2</c:v>
                </c:pt>
              </c:numCache>
            </c:numRef>
          </c:val>
          <c:smooth val="0"/>
          <c:extLst>
            <c:ext xmlns:c16="http://schemas.microsoft.com/office/drawing/2014/chart" uri="{C3380CC4-5D6E-409C-BE32-E72D297353CC}">
              <c16:uniqueId val="{00000001-33AB-4121-AF9D-AD6B03A59D8E}"/>
            </c:ext>
          </c:extLst>
        </c:ser>
        <c:dLbls>
          <c:showLegendKey val="0"/>
          <c:showVal val="0"/>
          <c:showCatName val="0"/>
          <c:showSerName val="0"/>
          <c:showPercent val="0"/>
          <c:showBubbleSize val="0"/>
        </c:dLbls>
        <c:marker val="1"/>
        <c:smooth val="0"/>
        <c:axId val="339487872"/>
        <c:axId val="339492184"/>
      </c:lineChart>
      <c:catAx>
        <c:axId val="33949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crossAx val="339485912"/>
        <c:crosses val="autoZero"/>
        <c:auto val="1"/>
        <c:lblAlgn val="ctr"/>
        <c:lblOffset val="100"/>
        <c:noMultiLvlLbl val="0"/>
      </c:catAx>
      <c:valAx>
        <c:axId val="339485912"/>
        <c:scaling>
          <c:orientation val="minMax"/>
        </c:scaling>
        <c:delete val="0"/>
        <c:axPos val="l"/>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339491792"/>
        <c:crosses val="autoZero"/>
        <c:crossBetween val="between"/>
      </c:valAx>
      <c:valAx>
        <c:axId val="339492184"/>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339487872"/>
        <c:crosses val="max"/>
        <c:crossBetween val="between"/>
      </c:valAx>
      <c:catAx>
        <c:axId val="339487872"/>
        <c:scaling>
          <c:orientation val="minMax"/>
        </c:scaling>
        <c:delete val="1"/>
        <c:axPos val="b"/>
        <c:numFmt formatCode="General" sourceLinked="1"/>
        <c:majorTickMark val="none"/>
        <c:minorTickMark val="none"/>
        <c:tickLblPos val="nextTo"/>
        <c:crossAx val="339492184"/>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 Coffee sales data.12345.xlsx]Pivot!PivotTable2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barChart>
        <c:barDir val="bar"/>
        <c:grouping val="clustered"/>
        <c:varyColors val="0"/>
        <c:ser>
          <c:idx val="0"/>
          <c:order val="0"/>
          <c:tx>
            <c:strRef>
              <c:f>Pivot!$B$17</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5FF3-4162-99EA-CB49D1A8F3F9}"/>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5FF3-4162-99EA-CB49D1A8F3F9}"/>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5FF3-4162-99EA-CB49D1A8F3F9}"/>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5FF3-4162-99EA-CB49D1A8F3F9}"/>
              </c:ext>
            </c:extLst>
          </c:dPt>
          <c:cat>
            <c:strRef>
              <c:f>Pivot!$A$18:$A$22</c:f>
              <c:strCache>
                <c:ptCount val="4"/>
                <c:pt idx="0">
                  <c:v>4th</c:v>
                </c:pt>
                <c:pt idx="1">
                  <c:v>1st</c:v>
                </c:pt>
                <c:pt idx="2">
                  <c:v>3rd</c:v>
                </c:pt>
                <c:pt idx="3">
                  <c:v>2nd</c:v>
                </c:pt>
              </c:strCache>
            </c:strRef>
          </c:cat>
          <c:val>
            <c:numRef>
              <c:f>Pivot!$B$18:$B$22</c:f>
              <c:numCache>
                <c:formatCode>"$"#,##0.0</c:formatCode>
                <c:ptCount val="4"/>
                <c:pt idx="0">
                  <c:v>30719.440000000002</c:v>
                </c:pt>
                <c:pt idx="1">
                  <c:v>28132.659999999996</c:v>
                </c:pt>
                <c:pt idx="2">
                  <c:v>24518.420000000002</c:v>
                </c:pt>
                <c:pt idx="3">
                  <c:v>23542.74</c:v>
                </c:pt>
              </c:numCache>
            </c:numRef>
          </c:val>
          <c:extLst>
            <c:ext xmlns:c16="http://schemas.microsoft.com/office/drawing/2014/chart" uri="{C3380CC4-5D6E-409C-BE32-E72D297353CC}">
              <c16:uniqueId val="{00000008-5FF3-4162-99EA-CB49D1A8F3F9}"/>
            </c:ext>
          </c:extLst>
        </c:ser>
        <c:dLbls>
          <c:showLegendKey val="0"/>
          <c:showVal val="0"/>
          <c:showCatName val="0"/>
          <c:showSerName val="0"/>
          <c:showPercent val="0"/>
          <c:showBubbleSize val="0"/>
        </c:dLbls>
        <c:gapWidth val="100"/>
        <c:axId val="339488656"/>
        <c:axId val="339488264"/>
      </c:barChart>
      <c:valAx>
        <c:axId val="3394882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488656"/>
        <c:crosses val="autoZero"/>
        <c:crossBetween val="between"/>
      </c:valAx>
      <c:catAx>
        <c:axId val="3394886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48826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chart" Target="../charts/chart4.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412750</xdr:colOff>
      <xdr:row>11</xdr:row>
      <xdr:rowOff>44450</xdr:rowOff>
    </xdr:from>
    <xdr:to>
      <xdr:col>9</xdr:col>
      <xdr:colOff>146050</xdr:colOff>
      <xdr:row>12</xdr:row>
      <xdr:rowOff>88900</xdr:rowOff>
    </xdr:to>
    <xdr:sp macro="" textlink="">
      <xdr:nvSpPr>
        <xdr:cNvPr id="43" name="Rounded Rectangle 42">
          <a:extLst>
            <a:ext uri="{FF2B5EF4-FFF2-40B4-BE49-F238E27FC236}">
              <a16:creationId xmlns:a16="http://schemas.microsoft.com/office/drawing/2014/main" id="{00000000-0008-0000-0000-00002B000000}"/>
            </a:ext>
          </a:extLst>
        </xdr:cNvPr>
        <xdr:cNvSpPr/>
      </xdr:nvSpPr>
      <xdr:spPr>
        <a:xfrm>
          <a:off x="4845050" y="1873250"/>
          <a:ext cx="2533650" cy="20955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000" b="1" i="0" u="none" strike="noStrike">
            <a:solidFill>
              <a:srgbClr val="000000"/>
            </a:solidFill>
            <a:latin typeface="MV Boli" panose="02000500030200090000" pitchFamily="2" charset="0"/>
            <a:cs typeface="MV Boli" panose="02000500030200090000" pitchFamily="2" charset="0"/>
          </a:endParaRPr>
        </a:p>
      </xdr:txBody>
    </xdr:sp>
    <xdr:clientData/>
  </xdr:twoCellAnchor>
  <xdr:twoCellAnchor>
    <xdr:from>
      <xdr:col>0</xdr:col>
      <xdr:colOff>6350</xdr:colOff>
      <xdr:row>0</xdr:row>
      <xdr:rowOff>6350</xdr:rowOff>
    </xdr:from>
    <xdr:to>
      <xdr:col>1</xdr:col>
      <xdr:colOff>476250</xdr:colOff>
      <xdr:row>29</xdr:row>
      <xdr:rowOff>158750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6350" y="6350"/>
          <a:ext cx="1130300" cy="4940300"/>
          <a:chOff x="533400" y="120650"/>
          <a:chExt cx="1130300" cy="4940300"/>
        </a:xfrm>
      </xdr:grpSpPr>
      <xdr:sp macro="" textlink="">
        <xdr:nvSpPr>
          <xdr:cNvPr id="4" name="Rounded Rectangle 3">
            <a:extLst>
              <a:ext uri="{FF2B5EF4-FFF2-40B4-BE49-F238E27FC236}">
                <a16:creationId xmlns:a16="http://schemas.microsoft.com/office/drawing/2014/main" id="{00000000-0008-0000-0000-000004000000}"/>
              </a:ext>
            </a:extLst>
          </xdr:cNvPr>
          <xdr:cNvSpPr/>
        </xdr:nvSpPr>
        <xdr:spPr>
          <a:xfrm>
            <a:off x="533400" y="120650"/>
            <a:ext cx="1130300" cy="4940300"/>
          </a:xfrm>
          <a:prstGeom prst="roundRect">
            <a:avLst>
              <a:gd name="adj" fmla="val 11553"/>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783" t="20271" r="25251" b="4711"/>
          <a:stretch/>
        </xdr:blipFill>
        <xdr:spPr>
          <a:xfrm>
            <a:off x="742950" y="196850"/>
            <a:ext cx="666750" cy="629399"/>
          </a:xfrm>
          <a:prstGeom prst="rect">
            <a:avLst/>
          </a:prstGeom>
        </xdr:spPr>
      </xdr:pic>
      <xdr:sp macro="" textlink="">
        <xdr:nvSpPr>
          <xdr:cNvPr id="6" name="Rounded Rectangle 5">
            <a:extLst>
              <a:ext uri="{FF2B5EF4-FFF2-40B4-BE49-F238E27FC236}">
                <a16:creationId xmlns:a16="http://schemas.microsoft.com/office/drawing/2014/main" id="{00000000-0008-0000-0000-000006000000}"/>
              </a:ext>
            </a:extLst>
          </xdr:cNvPr>
          <xdr:cNvSpPr/>
        </xdr:nvSpPr>
        <xdr:spPr>
          <a:xfrm>
            <a:off x="539750" y="2597150"/>
            <a:ext cx="1123950" cy="730250"/>
          </a:xfrm>
          <a:prstGeom prst="roundRect">
            <a:avLst>
              <a:gd name="adj" fmla="val 9722"/>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1200" b="1">
                <a:solidFill>
                  <a:schemeClr val="tx1">
                    <a:lumMod val="95000"/>
                    <a:lumOff val="5000"/>
                  </a:schemeClr>
                </a:solidFill>
                <a:latin typeface="Times New Roman" panose="02020603050405020304" pitchFamily="18" charset="0"/>
                <a:cs typeface="Times New Roman" panose="02020603050405020304" pitchFamily="18" charset="0"/>
              </a:rPr>
              <a:t>Blacqmann's</a:t>
            </a:r>
            <a:r>
              <a:rPr lang="en-US" sz="1200" b="1" baseline="0">
                <a:solidFill>
                  <a:schemeClr val="tx1">
                    <a:lumMod val="95000"/>
                    <a:lumOff val="5000"/>
                  </a:schemeClr>
                </a:solidFill>
                <a:latin typeface="Times New Roman" panose="02020603050405020304" pitchFamily="18" charset="0"/>
                <a:cs typeface="Times New Roman" panose="02020603050405020304" pitchFamily="18" charset="0"/>
              </a:rPr>
              <a:t> coffee shop  </a:t>
            </a:r>
            <a:endParaRPr lang="en-US" sz="1200" b="1">
              <a:solidFill>
                <a:schemeClr val="tx1">
                  <a:lumMod val="95000"/>
                  <a:lumOff val="5000"/>
                </a:schemeClr>
              </a:solidFill>
              <a:latin typeface="Times New Roman" panose="02020603050405020304" pitchFamily="18" charset="0"/>
              <a:cs typeface="Times New Roman" panose="02020603050405020304" pitchFamily="18" charset="0"/>
            </a:endParaRPr>
          </a:p>
        </xdr:txBody>
      </xdr:sp>
      <xdr:sp macro="" textlink="">
        <xdr:nvSpPr>
          <xdr:cNvPr id="7" name="Rectangle 6">
            <a:extLst>
              <a:ext uri="{FF2B5EF4-FFF2-40B4-BE49-F238E27FC236}">
                <a16:creationId xmlns:a16="http://schemas.microsoft.com/office/drawing/2014/main" id="{00000000-0008-0000-0000-000007000000}"/>
              </a:ext>
            </a:extLst>
          </xdr:cNvPr>
          <xdr:cNvSpPr/>
        </xdr:nvSpPr>
        <xdr:spPr>
          <a:xfrm>
            <a:off x="546100" y="3764281"/>
            <a:ext cx="1092200" cy="45719"/>
          </a:xfrm>
          <a:prstGeom prst="rect">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0818" t="19014" r="17450" b="15283"/>
          <a:stretch/>
        </xdr:blipFill>
        <xdr:spPr>
          <a:xfrm>
            <a:off x="977902" y="3924301"/>
            <a:ext cx="196884" cy="209549"/>
          </a:xfrm>
          <a:prstGeom prst="rect">
            <a:avLst/>
          </a:prstGeom>
        </xdr:spPr>
      </xdr:pic>
      <xdr:sp macro="" textlink="">
        <xdr:nvSpPr>
          <xdr:cNvPr id="9" name="Rounded Rectangle 8">
            <a:extLst>
              <a:ext uri="{FF2B5EF4-FFF2-40B4-BE49-F238E27FC236}">
                <a16:creationId xmlns:a16="http://schemas.microsoft.com/office/drawing/2014/main" id="{00000000-0008-0000-0000-000009000000}"/>
              </a:ext>
            </a:extLst>
          </xdr:cNvPr>
          <xdr:cNvSpPr/>
        </xdr:nvSpPr>
        <xdr:spPr>
          <a:xfrm>
            <a:off x="717550" y="4102100"/>
            <a:ext cx="742950" cy="1905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chemeClr val="tx1">
                    <a:lumMod val="95000"/>
                    <a:lumOff val="5000"/>
                  </a:schemeClr>
                </a:solidFill>
                <a:latin typeface="Times New Roman" panose="02020603050405020304" pitchFamily="18" charset="0"/>
                <a:cs typeface="Times New Roman" panose="02020603050405020304" pitchFamily="18" charset="0"/>
              </a:rPr>
              <a:t>Blacqmann</a:t>
            </a:r>
          </a:p>
        </xdr:txBody>
      </xdr:sp>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2153" t="11914" r="12033" b="11673"/>
          <a:stretch/>
        </xdr:blipFill>
        <xdr:spPr>
          <a:xfrm>
            <a:off x="951399" y="4387850"/>
            <a:ext cx="226800" cy="228600"/>
          </a:xfrm>
          <a:prstGeom prst="rect">
            <a:avLst/>
          </a:prstGeom>
          <a:ln>
            <a:noFill/>
          </a:ln>
          <a:effectLst>
            <a:innerShdw blurRad="114300">
              <a:prstClr val="black"/>
            </a:innerShdw>
          </a:effectLst>
        </xdr:spPr>
      </xdr:pic>
      <xdr:sp macro="" textlink="">
        <xdr:nvSpPr>
          <xdr:cNvPr id="11" name="Rounded Rectangle 10">
            <a:extLst>
              <a:ext uri="{FF2B5EF4-FFF2-40B4-BE49-F238E27FC236}">
                <a16:creationId xmlns:a16="http://schemas.microsoft.com/office/drawing/2014/main" id="{00000000-0008-0000-0000-00000B000000}"/>
              </a:ext>
            </a:extLst>
          </xdr:cNvPr>
          <xdr:cNvSpPr/>
        </xdr:nvSpPr>
        <xdr:spPr>
          <a:xfrm>
            <a:off x="615950" y="4584700"/>
            <a:ext cx="971550" cy="3048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00" b="1">
                <a:solidFill>
                  <a:schemeClr val="tx1">
                    <a:lumMod val="95000"/>
                    <a:lumOff val="5000"/>
                  </a:schemeClr>
                </a:solidFill>
              </a:rPr>
              <a:t>https://www.linkedin.com/in/blessing-hassan-1100a9236</a:t>
            </a:r>
          </a:p>
        </xdr:txBody>
      </xdr:sp>
    </xdr:grpSp>
    <xdr:clientData/>
  </xdr:twoCellAnchor>
  <xdr:twoCellAnchor>
    <xdr:from>
      <xdr:col>1</xdr:col>
      <xdr:colOff>514350</xdr:colOff>
      <xdr:row>0</xdr:row>
      <xdr:rowOff>69850</xdr:rowOff>
    </xdr:from>
    <xdr:to>
      <xdr:col>4</xdr:col>
      <xdr:colOff>368300</xdr:colOff>
      <xdr:row>4</xdr:row>
      <xdr:rowOff>101600</xdr:rowOff>
    </xdr:to>
    <xdr:sp macro="" textlink="index_1!L2">
      <xdr:nvSpPr>
        <xdr:cNvPr id="13" name="Rounded Rectangle 12">
          <a:extLst>
            <a:ext uri="{FF2B5EF4-FFF2-40B4-BE49-F238E27FC236}">
              <a16:creationId xmlns:a16="http://schemas.microsoft.com/office/drawing/2014/main" id="{00000000-0008-0000-0000-00000D000000}"/>
            </a:ext>
          </a:extLst>
        </xdr:cNvPr>
        <xdr:cNvSpPr/>
      </xdr:nvSpPr>
      <xdr:spPr>
        <a:xfrm>
          <a:off x="1174750" y="69850"/>
          <a:ext cx="2381250" cy="69215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CEF71A4-CE66-4D06-B807-FAA1922A8F67}" type="TxLink">
            <a:rPr lang="en-US" sz="2000" b="1" i="0" u="none" strike="noStrike">
              <a:solidFill>
                <a:schemeClr val="tx1"/>
              </a:solidFill>
              <a:latin typeface="MV Boli" panose="02000500030200090000" pitchFamily="2" charset="0"/>
              <a:cs typeface="MV Boli" panose="02000500030200090000" pitchFamily="2" charset="0"/>
            </a:rPr>
            <a:pPr algn="ctr"/>
            <a:t>$102,955.9</a:t>
          </a:fld>
          <a:endParaRPr lang="en-US" sz="6600" b="1">
            <a:solidFill>
              <a:schemeClr val="tx1"/>
            </a:solidFill>
            <a:latin typeface="MV Boli" panose="02000500030200090000" pitchFamily="2" charset="0"/>
            <a:cs typeface="MV Boli" panose="02000500030200090000" pitchFamily="2" charset="0"/>
          </a:endParaRPr>
        </a:p>
      </xdr:txBody>
    </xdr:sp>
    <xdr:clientData/>
  </xdr:twoCellAnchor>
  <xdr:oneCellAnchor>
    <xdr:from>
      <xdr:col>1</xdr:col>
      <xdr:colOff>508000</xdr:colOff>
      <xdr:row>0</xdr:row>
      <xdr:rowOff>63500</xdr:rowOff>
    </xdr:from>
    <xdr:ext cx="730200" cy="214226"/>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168400" y="63500"/>
          <a:ext cx="730200" cy="214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solidFill>
                <a:sysClr val="windowText" lastClr="000000"/>
              </a:solidFill>
              <a:latin typeface="Creato Display" panose="020B0503000000020004" pitchFamily="34" charset="0"/>
              <a:cs typeface="MV Boli" panose="02000500030200090000" pitchFamily="2" charset="0"/>
            </a:rPr>
            <a:t>Total Sales </a:t>
          </a:r>
        </a:p>
      </xdr:txBody>
    </xdr:sp>
    <xdr:clientData/>
  </xdr:oneCellAnchor>
  <xdr:twoCellAnchor>
    <xdr:from>
      <xdr:col>4</xdr:col>
      <xdr:colOff>381000</xdr:colOff>
      <xdr:row>0</xdr:row>
      <xdr:rowOff>76200</xdr:rowOff>
    </xdr:from>
    <xdr:to>
      <xdr:col>7</xdr:col>
      <xdr:colOff>273050</xdr:colOff>
      <xdr:row>4</xdr:row>
      <xdr:rowOff>95250</xdr:rowOff>
    </xdr:to>
    <xdr:sp macro="" textlink="index_1!E3639">
      <xdr:nvSpPr>
        <xdr:cNvPr id="31" name="Rounded Rectangle 30">
          <a:extLst>
            <a:ext uri="{FF2B5EF4-FFF2-40B4-BE49-F238E27FC236}">
              <a16:creationId xmlns:a16="http://schemas.microsoft.com/office/drawing/2014/main" id="{00000000-0008-0000-0000-00001F000000}"/>
            </a:ext>
          </a:extLst>
        </xdr:cNvPr>
        <xdr:cNvSpPr/>
      </xdr:nvSpPr>
      <xdr:spPr>
        <a:xfrm>
          <a:off x="3568700" y="76200"/>
          <a:ext cx="2457450" cy="67945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F0157D8-2C71-4A4F-B9DE-2F6E3B11502C}" type="TxLink">
            <a:rPr lang="en-US" sz="2400" b="1" i="0" u="none" strike="noStrike">
              <a:solidFill>
                <a:sysClr val="windowText" lastClr="000000"/>
              </a:solidFill>
              <a:latin typeface="MV Boli" panose="02000500030200090000" pitchFamily="2" charset="0"/>
              <a:cs typeface="MV Boli" panose="02000500030200090000" pitchFamily="2" charset="0"/>
            </a:rPr>
            <a:pPr algn="ctr"/>
            <a:t> </a:t>
          </a:fld>
          <a:endParaRPr lang="en-US" sz="19900" b="1">
            <a:solidFill>
              <a:sysClr val="windowText" lastClr="000000"/>
            </a:solidFill>
            <a:latin typeface="MV Boli" panose="02000500030200090000" pitchFamily="2" charset="0"/>
            <a:cs typeface="MV Boli" panose="02000500030200090000" pitchFamily="2" charset="0"/>
          </a:endParaRPr>
        </a:p>
      </xdr:txBody>
    </xdr:sp>
    <xdr:clientData/>
  </xdr:twoCellAnchor>
  <xdr:oneCellAnchor>
    <xdr:from>
      <xdr:col>4</xdr:col>
      <xdr:colOff>355600</xdr:colOff>
      <xdr:row>0</xdr:row>
      <xdr:rowOff>38100</xdr:rowOff>
    </xdr:from>
    <xdr:ext cx="1408655" cy="214226"/>
    <xdr:sp macro="" textlink="">
      <xdr:nvSpPr>
        <xdr:cNvPr id="32" name="TextBox 31">
          <a:extLst>
            <a:ext uri="{FF2B5EF4-FFF2-40B4-BE49-F238E27FC236}">
              <a16:creationId xmlns:a16="http://schemas.microsoft.com/office/drawing/2014/main" id="{00000000-0008-0000-0000-000020000000}"/>
            </a:ext>
          </a:extLst>
        </xdr:cNvPr>
        <xdr:cNvSpPr txBox="1"/>
      </xdr:nvSpPr>
      <xdr:spPr>
        <a:xfrm>
          <a:off x="3543300" y="38100"/>
          <a:ext cx="1408655" cy="214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solidFill>
                <a:sysClr val="windowText" lastClr="000000"/>
              </a:solidFill>
              <a:latin typeface="Creato Display" panose="020B0503000000020004" pitchFamily="34" charset="0"/>
              <a:ea typeface="+mn-ea"/>
              <a:cs typeface="MV Boli" panose="02000500030200090000" pitchFamily="2" charset="0"/>
            </a:rPr>
            <a:t>Average Sales per footfall</a:t>
          </a:r>
        </a:p>
      </xdr:txBody>
    </xdr:sp>
    <xdr:clientData/>
  </xdr:oneCellAnchor>
  <xdr:twoCellAnchor>
    <xdr:from>
      <xdr:col>7</xdr:col>
      <xdr:colOff>292100</xdr:colOff>
      <xdr:row>0</xdr:row>
      <xdr:rowOff>82550</xdr:rowOff>
    </xdr:from>
    <xdr:to>
      <xdr:col>10</xdr:col>
      <xdr:colOff>438150</xdr:colOff>
      <xdr:row>4</xdr:row>
      <xdr:rowOff>95250</xdr:rowOff>
    </xdr:to>
    <xdr:sp macro="" textlink="index_1!X25">
      <xdr:nvSpPr>
        <xdr:cNvPr id="33" name="Rounded Rectangle 32">
          <a:extLst>
            <a:ext uri="{FF2B5EF4-FFF2-40B4-BE49-F238E27FC236}">
              <a16:creationId xmlns:a16="http://schemas.microsoft.com/office/drawing/2014/main" id="{00000000-0008-0000-0000-000021000000}"/>
            </a:ext>
          </a:extLst>
        </xdr:cNvPr>
        <xdr:cNvSpPr/>
      </xdr:nvSpPr>
      <xdr:spPr>
        <a:xfrm>
          <a:off x="6045200" y="82550"/>
          <a:ext cx="2286000" cy="67945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F31381A-5C41-4629-AB51-FE2D100B461A}" type="TxLink">
            <a:rPr lang="en-US" sz="2400" b="1" i="0" u="none" strike="noStrike">
              <a:solidFill>
                <a:srgbClr val="000000"/>
              </a:solidFill>
              <a:latin typeface="MV Boli" panose="02000500030200090000" pitchFamily="2" charset="0"/>
              <a:cs typeface="MV Boli" panose="02000500030200090000" pitchFamily="2" charset="0"/>
            </a:rPr>
            <a:pPr algn="ctr"/>
            <a:t> </a:t>
          </a:fld>
          <a:endParaRPr lang="en-US" sz="85700" b="1">
            <a:solidFill>
              <a:sysClr val="windowText" lastClr="000000"/>
            </a:solidFill>
            <a:latin typeface="MV Boli" panose="02000500030200090000" pitchFamily="2" charset="0"/>
            <a:cs typeface="MV Boli" panose="02000500030200090000" pitchFamily="2" charset="0"/>
          </a:endParaRPr>
        </a:p>
      </xdr:txBody>
    </xdr:sp>
    <xdr:clientData/>
  </xdr:twoCellAnchor>
  <xdr:oneCellAnchor>
    <xdr:from>
      <xdr:col>7</xdr:col>
      <xdr:colOff>304800</xdr:colOff>
      <xdr:row>0</xdr:row>
      <xdr:rowOff>57150</xdr:rowOff>
    </xdr:from>
    <xdr:ext cx="539058" cy="214226"/>
    <xdr:sp macro="" textlink="">
      <xdr:nvSpPr>
        <xdr:cNvPr id="34" name="TextBox 33">
          <a:extLst>
            <a:ext uri="{FF2B5EF4-FFF2-40B4-BE49-F238E27FC236}">
              <a16:creationId xmlns:a16="http://schemas.microsoft.com/office/drawing/2014/main" id="{00000000-0008-0000-0000-000022000000}"/>
            </a:ext>
          </a:extLst>
        </xdr:cNvPr>
        <xdr:cNvSpPr txBox="1"/>
      </xdr:nvSpPr>
      <xdr:spPr>
        <a:xfrm>
          <a:off x="6057900" y="57150"/>
          <a:ext cx="539058" cy="214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solidFill>
                <a:sysClr val="windowText" lastClr="000000"/>
              </a:solidFill>
              <a:latin typeface="Creato Display" panose="020B0503000000020004" pitchFamily="34" charset="0"/>
              <a:ea typeface="+mn-ea"/>
              <a:cs typeface="MV Boli" panose="02000500030200090000" pitchFamily="2" charset="0"/>
            </a:rPr>
            <a:t>Footfall</a:t>
          </a:r>
        </a:p>
      </xdr:txBody>
    </xdr:sp>
    <xdr:clientData/>
  </xdr:oneCellAnchor>
  <xdr:twoCellAnchor>
    <xdr:from>
      <xdr:col>5</xdr:col>
      <xdr:colOff>336550</xdr:colOff>
      <xdr:row>10</xdr:row>
      <xdr:rowOff>107950</xdr:rowOff>
    </xdr:from>
    <xdr:to>
      <xdr:col>11</xdr:col>
      <xdr:colOff>107950</xdr:colOff>
      <xdr:row>29</xdr:row>
      <xdr:rowOff>139699</xdr:rowOff>
    </xdr:to>
    <xdr:graphicFrame macro="">
      <xdr:nvGraphicFramePr>
        <xdr:cNvPr id="36" name="Chart 35">
          <a:extLst>
            <a:ext uri="{FF2B5EF4-FFF2-40B4-BE49-F238E27FC236}">
              <a16:creationId xmlns:a16="http://schemas.microsoft.com/office/drawing/2014/main" id="{00000000-0008-0000-00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533400</xdr:colOff>
      <xdr:row>5</xdr:row>
      <xdr:rowOff>133350</xdr:rowOff>
    </xdr:from>
    <xdr:to>
      <xdr:col>5</xdr:col>
      <xdr:colOff>323850</xdr:colOff>
      <xdr:row>18</xdr:row>
      <xdr:rowOff>101600</xdr:rowOff>
    </xdr:to>
    <xdr:graphicFrame macro="">
      <xdr:nvGraphicFramePr>
        <xdr:cNvPr id="38" name="Chart 37">
          <a:extLst>
            <a:ext uri="{FF2B5EF4-FFF2-40B4-BE49-F238E27FC236}">
              <a16:creationId xmlns:a16="http://schemas.microsoft.com/office/drawing/2014/main" id="{00000000-0008-0000-00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577850</xdr:colOff>
      <xdr:row>18</xdr:row>
      <xdr:rowOff>19050</xdr:rowOff>
    </xdr:from>
    <xdr:to>
      <xdr:col>4</xdr:col>
      <xdr:colOff>927100</xdr:colOff>
      <xdr:row>33</xdr:row>
      <xdr:rowOff>12700</xdr:rowOff>
    </xdr:to>
    <xdr:graphicFrame macro="">
      <xdr:nvGraphicFramePr>
        <xdr:cNvPr id="39" name="Chart 38">
          <a:extLst>
            <a:ext uri="{FF2B5EF4-FFF2-40B4-BE49-F238E27FC236}">
              <a16:creationId xmlns:a16="http://schemas.microsoft.com/office/drawing/2014/main" id="{00000000-0008-0000-00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0</xdr:colOff>
      <xdr:row>12</xdr:row>
      <xdr:rowOff>0</xdr:rowOff>
    </xdr:from>
    <xdr:to>
      <xdr:col>14</xdr:col>
      <xdr:colOff>635000</xdr:colOff>
      <xdr:row>29</xdr:row>
      <xdr:rowOff>57150</xdr:rowOff>
    </xdr:to>
    <xdr:graphicFrame macro="">
      <xdr:nvGraphicFramePr>
        <xdr:cNvPr id="42" name="Chart 41">
          <a:extLst>
            <a:ext uri="{FF2B5EF4-FFF2-40B4-BE49-F238E27FC236}">
              <a16:creationId xmlns:a16="http://schemas.microsoft.com/office/drawing/2014/main" id="{00000000-0008-0000-00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5</xdr:col>
      <xdr:colOff>425450</xdr:colOff>
      <xdr:row>11</xdr:row>
      <xdr:rowOff>31750</xdr:rowOff>
    </xdr:from>
    <xdr:ext cx="1600200" cy="229422"/>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4857750" y="1860550"/>
          <a:ext cx="1600200" cy="2294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b="1">
              <a:latin typeface="Creato Display" panose="020B0503000000020004" pitchFamily="34" charset="0"/>
              <a:cs typeface="MV Boli" panose="02000500030200090000" pitchFamily="2" charset="0"/>
            </a:rPr>
            <a:t>Sales by Month</a:t>
          </a:r>
        </a:p>
      </xdr:txBody>
    </xdr:sp>
    <xdr:clientData/>
  </xdr:oneCellAnchor>
  <xdr:twoCellAnchor>
    <xdr:from>
      <xdr:col>1</xdr:col>
      <xdr:colOff>527050</xdr:colOff>
      <xdr:row>5</xdr:row>
      <xdr:rowOff>12700</xdr:rowOff>
    </xdr:from>
    <xdr:to>
      <xdr:col>4</xdr:col>
      <xdr:colOff>533400</xdr:colOff>
      <xdr:row>6</xdr:row>
      <xdr:rowOff>50800</xdr:rowOff>
    </xdr:to>
    <xdr:sp macro="" textlink="">
      <xdr:nvSpPr>
        <xdr:cNvPr id="46" name="Rounded Rectangle 45">
          <a:extLst>
            <a:ext uri="{FF2B5EF4-FFF2-40B4-BE49-F238E27FC236}">
              <a16:creationId xmlns:a16="http://schemas.microsoft.com/office/drawing/2014/main" id="{00000000-0008-0000-0000-00002E000000}"/>
            </a:ext>
          </a:extLst>
        </xdr:cNvPr>
        <xdr:cNvSpPr/>
      </xdr:nvSpPr>
      <xdr:spPr>
        <a:xfrm>
          <a:off x="1187450" y="838200"/>
          <a:ext cx="2533650" cy="20955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i="0" u="none" strike="noStrike">
              <a:solidFill>
                <a:srgbClr val="000000"/>
              </a:solidFill>
              <a:latin typeface="Creato Display" panose="020B0503000000020004" pitchFamily="34" charset="0"/>
              <a:cs typeface="MV Boli" panose="02000500030200090000" pitchFamily="2" charset="0"/>
            </a:rPr>
            <a:t>Sales by each day of the week</a:t>
          </a:r>
        </a:p>
      </xdr:txBody>
    </xdr:sp>
    <xdr:clientData/>
  </xdr:twoCellAnchor>
  <xdr:twoCellAnchor>
    <xdr:from>
      <xdr:col>5</xdr:col>
      <xdr:colOff>533400</xdr:colOff>
      <xdr:row>5</xdr:row>
      <xdr:rowOff>12700</xdr:rowOff>
    </xdr:from>
    <xdr:to>
      <xdr:col>8</xdr:col>
      <xdr:colOff>82550</xdr:colOff>
      <xdr:row>5</xdr:row>
      <xdr:rowOff>152400</xdr:rowOff>
    </xdr:to>
    <xdr:sp macro="" textlink="">
      <xdr:nvSpPr>
        <xdr:cNvPr id="47" name="Rounded Rectangle 46">
          <a:extLst>
            <a:ext uri="{FF2B5EF4-FFF2-40B4-BE49-F238E27FC236}">
              <a16:creationId xmlns:a16="http://schemas.microsoft.com/office/drawing/2014/main" id="{00000000-0008-0000-0000-00002F000000}"/>
            </a:ext>
          </a:extLst>
        </xdr:cNvPr>
        <xdr:cNvSpPr/>
      </xdr:nvSpPr>
      <xdr:spPr>
        <a:xfrm>
          <a:off x="4965700" y="838200"/>
          <a:ext cx="1689100" cy="13970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i="0" u="none" strike="noStrike">
              <a:solidFill>
                <a:srgbClr val="000000"/>
              </a:solidFill>
              <a:latin typeface="Creato Display" panose="020B0503000000020004" pitchFamily="34" charset="0"/>
              <a:cs typeface="MV Boli" panose="02000500030200090000" pitchFamily="2" charset="0"/>
            </a:rPr>
            <a:t>Sales by each</a:t>
          </a:r>
          <a:r>
            <a:rPr lang="en-US" sz="1000" b="1" i="0" u="none" strike="noStrike" baseline="0">
              <a:solidFill>
                <a:srgbClr val="000000"/>
              </a:solidFill>
              <a:latin typeface="Creato Display" panose="020B0503000000020004" pitchFamily="34" charset="0"/>
              <a:cs typeface="MV Boli" panose="02000500030200090000" pitchFamily="2" charset="0"/>
            </a:rPr>
            <a:t> q</a:t>
          </a:r>
          <a:r>
            <a:rPr lang="en-US" sz="1000" b="1" i="0" u="none" strike="noStrike">
              <a:solidFill>
                <a:srgbClr val="000000"/>
              </a:solidFill>
              <a:latin typeface="Creato Display" panose="020B0503000000020004" pitchFamily="34" charset="0"/>
              <a:cs typeface="MV Boli" panose="02000500030200090000" pitchFamily="2" charset="0"/>
            </a:rPr>
            <a:t>uarter</a:t>
          </a:r>
        </a:p>
      </xdr:txBody>
    </xdr:sp>
    <xdr:clientData/>
  </xdr:twoCellAnchor>
  <xdr:twoCellAnchor editAs="absolute">
    <xdr:from>
      <xdr:col>0</xdr:col>
      <xdr:colOff>31750</xdr:colOff>
      <xdr:row>6</xdr:row>
      <xdr:rowOff>44450</xdr:rowOff>
    </xdr:from>
    <xdr:to>
      <xdr:col>1</xdr:col>
      <xdr:colOff>387350</xdr:colOff>
      <xdr:row>12</xdr:row>
      <xdr:rowOff>133350</xdr:rowOff>
    </xdr:to>
    <mc:AlternateContent xmlns:mc="http://schemas.openxmlformats.org/markup-compatibility/2006" xmlns:sle15="http://schemas.microsoft.com/office/drawing/2012/slicer">
      <mc:Choice Requires="sle15">
        <xdr:graphicFrame macro="">
          <xdr:nvGraphicFramePr>
            <xdr:cNvPr id="17" name="Products">
              <a:extLst>
                <a:ext uri="{FF2B5EF4-FFF2-40B4-BE49-F238E27FC236}">
                  <a16:creationId xmlns:a16="http://schemas.microsoft.com/office/drawing/2014/main" id="{00000000-0008-0000-0000-000011000000}"/>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31750" y="1035050"/>
              <a:ext cx="1016000" cy="1079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xdr:from>
      <xdr:col>4</xdr:col>
      <xdr:colOff>942974</xdr:colOff>
      <xdr:row>20</xdr:row>
      <xdr:rowOff>53978</xdr:rowOff>
    </xdr:from>
    <xdr:to>
      <xdr:col>5</xdr:col>
      <xdr:colOff>50800</xdr:colOff>
      <xdr:row>28</xdr:row>
      <xdr:rowOff>38104</xdr:rowOff>
    </xdr:to>
    <xdr:sp macro="" textlink="">
      <xdr:nvSpPr>
        <xdr:cNvPr id="48" name="Rounded Rectangle 47">
          <a:extLst>
            <a:ext uri="{FF2B5EF4-FFF2-40B4-BE49-F238E27FC236}">
              <a16:creationId xmlns:a16="http://schemas.microsoft.com/office/drawing/2014/main" id="{00000000-0008-0000-0000-000030000000}"/>
            </a:ext>
          </a:extLst>
        </xdr:cNvPr>
        <xdr:cNvSpPr/>
      </xdr:nvSpPr>
      <xdr:spPr>
        <a:xfrm rot="5400000">
          <a:off x="3654424" y="3832228"/>
          <a:ext cx="1304926" cy="352426"/>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i="0" u="none" strike="noStrike">
              <a:solidFill>
                <a:srgbClr val="000000"/>
              </a:solidFill>
              <a:latin typeface="Creato Display" panose="020B0503000000020004" pitchFamily="34" charset="0"/>
              <a:cs typeface="MV Boli" panose="02000500030200090000" pitchFamily="2" charset="0"/>
            </a:rPr>
            <a:t>Sales by Product</a:t>
          </a:r>
        </a:p>
      </xdr:txBody>
    </xdr:sp>
    <xdr:clientData/>
  </xdr:twoCellAnchor>
  <xdr:twoCellAnchor>
    <xdr:from>
      <xdr:col>11</xdr:col>
      <xdr:colOff>400050</xdr:colOff>
      <xdr:row>10</xdr:row>
      <xdr:rowOff>114300</xdr:rowOff>
    </xdr:from>
    <xdr:to>
      <xdr:col>13</xdr:col>
      <xdr:colOff>1028700</xdr:colOff>
      <xdr:row>11</xdr:row>
      <xdr:rowOff>152400</xdr:rowOff>
    </xdr:to>
    <xdr:sp macro="" textlink="">
      <xdr:nvSpPr>
        <xdr:cNvPr id="49" name="Rounded Rectangle 48">
          <a:extLst>
            <a:ext uri="{FF2B5EF4-FFF2-40B4-BE49-F238E27FC236}">
              <a16:creationId xmlns:a16="http://schemas.microsoft.com/office/drawing/2014/main" id="{00000000-0008-0000-0000-000031000000}"/>
            </a:ext>
          </a:extLst>
        </xdr:cNvPr>
        <xdr:cNvSpPr/>
      </xdr:nvSpPr>
      <xdr:spPr>
        <a:xfrm>
          <a:off x="9112250" y="1765300"/>
          <a:ext cx="2533650" cy="20320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i="0" u="none" strike="noStrike">
              <a:solidFill>
                <a:srgbClr val="000000"/>
              </a:solidFill>
              <a:latin typeface="Creato Display" panose="020B0503000000020004" pitchFamily="34" charset="0"/>
              <a:cs typeface="MV Boli" panose="02000500030200090000" pitchFamily="2" charset="0"/>
            </a:rPr>
            <a:t>Prodcut</a:t>
          </a:r>
          <a:r>
            <a:rPr lang="en-US" sz="1000" b="1" i="0" u="none" strike="noStrike" baseline="0">
              <a:solidFill>
                <a:srgbClr val="000000"/>
              </a:solidFill>
              <a:latin typeface="Creato Display" panose="020B0503000000020004" pitchFamily="34" charset="0"/>
              <a:cs typeface="MV Boli" panose="02000500030200090000" pitchFamily="2" charset="0"/>
            </a:rPr>
            <a:t> price per Sales percentage </a:t>
          </a:r>
          <a:endParaRPr lang="en-US" sz="1000" b="1" i="0" u="none" strike="noStrike">
            <a:solidFill>
              <a:srgbClr val="000000"/>
            </a:solidFill>
            <a:latin typeface="Creato Display" panose="020B0503000000020004" pitchFamily="34" charset="0"/>
            <a:cs typeface="MV Boli" panose="02000500030200090000" pitchFamily="2"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31750</xdr:colOff>
      <xdr:row>2</xdr:row>
      <xdr:rowOff>76200</xdr:rowOff>
    </xdr:from>
    <xdr:to>
      <xdr:col>3</xdr:col>
      <xdr:colOff>431800</xdr:colOff>
      <xdr:row>6</xdr:row>
      <xdr:rowOff>107950</xdr:rowOff>
    </xdr:to>
    <xdr:sp macro="" textlink="index_1!L2">
      <xdr:nvSpPr>
        <xdr:cNvPr id="2" name="Revenue">
          <a:extLst>
            <a:ext uri="{FF2B5EF4-FFF2-40B4-BE49-F238E27FC236}">
              <a16:creationId xmlns:a16="http://schemas.microsoft.com/office/drawing/2014/main" id="{00000000-0008-0000-0100-000002000000}"/>
            </a:ext>
          </a:extLst>
        </xdr:cNvPr>
        <xdr:cNvSpPr/>
      </xdr:nvSpPr>
      <xdr:spPr>
        <a:xfrm>
          <a:off x="31750" y="406400"/>
          <a:ext cx="2381250" cy="69215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8FCA0F0-EA78-472D-91E7-4905227D33C7}" type="TxLink">
            <a:rPr lang="en-US" sz="2800" b="1" i="0" u="none" strike="noStrike">
              <a:solidFill>
                <a:srgbClr val="000000"/>
              </a:solidFill>
              <a:latin typeface="MV Boli" panose="02000500030200090000" pitchFamily="2" charset="0"/>
              <a:cs typeface="MV Boli" panose="02000500030200090000" pitchFamily="2" charset="0"/>
            </a:rPr>
            <a:pPr algn="ctr"/>
            <a:t>$102,955.9</a:t>
          </a:fld>
          <a:endParaRPr lang="en-US" sz="2800" b="1" i="0">
            <a:solidFill>
              <a:schemeClr val="tx1"/>
            </a:solidFill>
            <a:latin typeface="MV Boli" panose="02000500030200090000" pitchFamily="2" charset="0"/>
            <a:cs typeface="MV Boli" panose="02000500030200090000" pitchFamily="2" charset="0"/>
          </a:endParaRPr>
        </a:p>
      </xdr:txBody>
    </xdr:sp>
    <xdr:clientData/>
  </xdr:twoCellAnchor>
  <xdr:twoCellAnchor>
    <xdr:from>
      <xdr:col>3</xdr:col>
      <xdr:colOff>546100</xdr:colOff>
      <xdr:row>2</xdr:row>
      <xdr:rowOff>95250</xdr:rowOff>
    </xdr:from>
    <xdr:to>
      <xdr:col>7</xdr:col>
      <xdr:colOff>285750</xdr:colOff>
      <xdr:row>6</xdr:row>
      <xdr:rowOff>127000</xdr:rowOff>
    </xdr:to>
    <xdr:sp macro="" textlink="index_1!E3639">
      <xdr:nvSpPr>
        <xdr:cNvPr id="3" name="Rounded Rectangle 2">
          <a:extLst>
            <a:ext uri="{FF2B5EF4-FFF2-40B4-BE49-F238E27FC236}">
              <a16:creationId xmlns:a16="http://schemas.microsoft.com/office/drawing/2014/main" id="{00000000-0008-0000-0100-000003000000}"/>
            </a:ext>
          </a:extLst>
        </xdr:cNvPr>
        <xdr:cNvSpPr/>
      </xdr:nvSpPr>
      <xdr:spPr>
        <a:xfrm>
          <a:off x="2527300" y="425450"/>
          <a:ext cx="2381250" cy="69215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E36088D-BD61-4902-B9F8-3B40EBE0B21D}" type="TxLink">
            <a:rPr lang="en-US" sz="2800" b="1" i="0" u="none" strike="noStrike">
              <a:solidFill>
                <a:srgbClr val="000000"/>
              </a:solidFill>
              <a:latin typeface="MV Boli" panose="02000500030200090000" pitchFamily="2" charset="0"/>
              <a:ea typeface="+mn-ea"/>
              <a:cs typeface="MV Boli" panose="02000500030200090000" pitchFamily="2" charset="0"/>
            </a:rPr>
            <a:pPr marL="0" indent="0" algn="ctr"/>
            <a:t> </a:t>
          </a:fld>
          <a:endParaRPr lang="en-US" sz="2800" b="1" i="0" u="none" strike="noStrike">
            <a:solidFill>
              <a:srgbClr val="000000"/>
            </a:solidFill>
            <a:latin typeface="MV Boli" panose="02000500030200090000" pitchFamily="2" charset="0"/>
            <a:ea typeface="+mn-ea"/>
            <a:cs typeface="MV Boli" panose="02000500030200090000" pitchFamily="2" charset="0"/>
          </a:endParaRPr>
        </a:p>
      </xdr:txBody>
    </xdr:sp>
    <xdr:clientData/>
  </xdr:twoCellAnchor>
  <xdr:twoCellAnchor>
    <xdr:from>
      <xdr:col>7</xdr:col>
      <xdr:colOff>387350</xdr:colOff>
      <xdr:row>2</xdr:row>
      <xdr:rowOff>101600</xdr:rowOff>
    </xdr:from>
    <xdr:to>
      <xdr:col>11</xdr:col>
      <xdr:colOff>127000</xdr:colOff>
      <xdr:row>6</xdr:row>
      <xdr:rowOff>133350</xdr:rowOff>
    </xdr:to>
    <xdr:sp macro="" textlink="index_1!E3640">
      <xdr:nvSpPr>
        <xdr:cNvPr id="4" name="Rounded Rectangle 3">
          <a:extLst>
            <a:ext uri="{FF2B5EF4-FFF2-40B4-BE49-F238E27FC236}">
              <a16:creationId xmlns:a16="http://schemas.microsoft.com/office/drawing/2014/main" id="{00000000-0008-0000-0100-000004000000}"/>
            </a:ext>
          </a:extLst>
        </xdr:cNvPr>
        <xdr:cNvSpPr/>
      </xdr:nvSpPr>
      <xdr:spPr>
        <a:xfrm>
          <a:off x="5010150" y="431800"/>
          <a:ext cx="2381250" cy="69215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979A6AD-F4B8-4736-94DA-22C8DC45D763}" type="TxLink">
            <a:rPr lang="en-US" sz="2800" b="1" i="0" u="none" strike="noStrike">
              <a:solidFill>
                <a:srgbClr val="000000"/>
              </a:solidFill>
              <a:latin typeface="MV Boli" panose="02000500030200090000" pitchFamily="2" charset="0"/>
              <a:ea typeface="+mn-ea"/>
              <a:cs typeface="MV Boli" panose="02000500030200090000" pitchFamily="2" charset="0"/>
            </a:rPr>
            <a:pPr marL="0" indent="0" algn="ctr"/>
            <a:t> </a:t>
          </a:fld>
          <a:endParaRPr lang="en-US" sz="2800" b="1" i="0" u="none" strike="noStrike">
            <a:solidFill>
              <a:srgbClr val="000000"/>
            </a:solidFill>
            <a:latin typeface="MV Boli" panose="02000500030200090000" pitchFamily="2" charset="0"/>
            <a:ea typeface="+mn-ea"/>
            <a:cs typeface="MV Boli" panose="02000500030200090000" pitchFamily="2" charset="0"/>
          </a:endParaRPr>
        </a:p>
      </xdr:txBody>
    </xdr:sp>
    <xdr:clientData/>
  </xdr:twoCellAnchor>
  <xdr:twoCellAnchor>
    <xdr:from>
      <xdr:col>0</xdr:col>
      <xdr:colOff>57150</xdr:colOff>
      <xdr:row>2</xdr:row>
      <xdr:rowOff>107950</xdr:rowOff>
    </xdr:from>
    <xdr:to>
      <xdr:col>1</xdr:col>
      <xdr:colOff>222250</xdr:colOff>
      <xdr:row>3</xdr:row>
      <xdr:rowOff>88900</xdr:rowOff>
    </xdr:to>
    <xdr:sp macro="" textlink="">
      <xdr:nvSpPr>
        <xdr:cNvPr id="5" name="Rounded Rectangle 4">
          <a:extLst>
            <a:ext uri="{FF2B5EF4-FFF2-40B4-BE49-F238E27FC236}">
              <a16:creationId xmlns:a16="http://schemas.microsoft.com/office/drawing/2014/main" id="{00000000-0008-0000-0100-000005000000}"/>
            </a:ext>
          </a:extLst>
        </xdr:cNvPr>
        <xdr:cNvSpPr/>
      </xdr:nvSpPr>
      <xdr:spPr>
        <a:xfrm>
          <a:off x="57150" y="438150"/>
          <a:ext cx="825500" cy="14605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u="none" strike="noStrike">
              <a:solidFill>
                <a:srgbClr val="000000"/>
              </a:solidFill>
              <a:latin typeface="+mn-lt"/>
              <a:ea typeface="+mn-ea"/>
              <a:cs typeface="MV Boli" panose="02000500030200090000" pitchFamily="2" charset="0"/>
            </a:rPr>
            <a:t>Total sales </a:t>
          </a:r>
        </a:p>
      </xdr:txBody>
    </xdr:sp>
    <xdr:clientData/>
  </xdr:twoCellAnchor>
  <xdr:twoCellAnchor>
    <xdr:from>
      <xdr:col>3</xdr:col>
      <xdr:colOff>558800</xdr:colOff>
      <xdr:row>2</xdr:row>
      <xdr:rowOff>114300</xdr:rowOff>
    </xdr:from>
    <xdr:to>
      <xdr:col>5</xdr:col>
      <xdr:colOff>508000</xdr:colOff>
      <xdr:row>3</xdr:row>
      <xdr:rowOff>95250</xdr:rowOff>
    </xdr:to>
    <xdr:sp macro="" textlink="">
      <xdr:nvSpPr>
        <xdr:cNvPr id="6" name="Rounded Rectangle 5">
          <a:extLst>
            <a:ext uri="{FF2B5EF4-FFF2-40B4-BE49-F238E27FC236}">
              <a16:creationId xmlns:a16="http://schemas.microsoft.com/office/drawing/2014/main" id="{00000000-0008-0000-0100-000006000000}"/>
            </a:ext>
          </a:extLst>
        </xdr:cNvPr>
        <xdr:cNvSpPr/>
      </xdr:nvSpPr>
      <xdr:spPr>
        <a:xfrm>
          <a:off x="2540000" y="444500"/>
          <a:ext cx="1270000" cy="14605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u="none" strike="noStrike">
              <a:solidFill>
                <a:srgbClr val="000000"/>
              </a:solidFill>
              <a:latin typeface="+mn-lt"/>
              <a:ea typeface="+mn-ea"/>
              <a:cs typeface="MV Boli" panose="02000500030200090000" pitchFamily="2" charset="0"/>
            </a:rPr>
            <a:t>AverageTotal sales </a:t>
          </a:r>
        </a:p>
      </xdr:txBody>
    </xdr:sp>
    <xdr:clientData/>
  </xdr:twoCellAnchor>
  <xdr:twoCellAnchor>
    <xdr:from>
      <xdr:col>7</xdr:col>
      <xdr:colOff>381000</xdr:colOff>
      <xdr:row>2</xdr:row>
      <xdr:rowOff>139700</xdr:rowOff>
    </xdr:from>
    <xdr:to>
      <xdr:col>9</xdr:col>
      <xdr:colOff>0</xdr:colOff>
      <xdr:row>3</xdr:row>
      <xdr:rowOff>146050</xdr:rowOff>
    </xdr:to>
    <xdr:sp macro="" textlink="">
      <xdr:nvSpPr>
        <xdr:cNvPr id="7" name="Rounded Rectangle 6">
          <a:extLst>
            <a:ext uri="{FF2B5EF4-FFF2-40B4-BE49-F238E27FC236}">
              <a16:creationId xmlns:a16="http://schemas.microsoft.com/office/drawing/2014/main" id="{00000000-0008-0000-0100-000007000000}"/>
            </a:ext>
          </a:extLst>
        </xdr:cNvPr>
        <xdr:cNvSpPr/>
      </xdr:nvSpPr>
      <xdr:spPr>
        <a:xfrm>
          <a:off x="5003800" y="469900"/>
          <a:ext cx="939800" cy="17145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u="none" strike="noStrike">
              <a:solidFill>
                <a:srgbClr val="000000"/>
              </a:solidFill>
              <a:latin typeface="+mn-lt"/>
              <a:ea typeface="+mn-ea"/>
              <a:cs typeface="MV Boli" panose="02000500030200090000" pitchFamily="2" charset="0"/>
            </a:rPr>
            <a:t>Total Footfall </a:t>
          </a:r>
        </a:p>
      </xdr:txBody>
    </xdr:sp>
    <xdr:clientData/>
  </xdr:twoCellAnchor>
  <xdr:twoCellAnchor>
    <xdr:from>
      <xdr:col>0</xdr:col>
      <xdr:colOff>0</xdr:colOff>
      <xdr:row>8</xdr:row>
      <xdr:rowOff>107950</xdr:rowOff>
    </xdr:from>
    <xdr:to>
      <xdr:col>4</xdr:col>
      <xdr:colOff>603250</xdr:colOff>
      <xdr:row>32</xdr:row>
      <xdr:rowOff>63500</xdr:rowOff>
    </xdr:to>
    <xdr:graphicFrame macro="">
      <xdr:nvGraphicFramePr>
        <xdr:cNvPr id="9" name="Sales by Month">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44450</xdr:rowOff>
    </xdr:from>
    <xdr:to>
      <xdr:col>4</xdr:col>
      <xdr:colOff>609600</xdr:colOff>
      <xdr:row>9</xdr:row>
      <xdr:rowOff>139700</xdr:rowOff>
    </xdr:to>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0" y="1308100"/>
          <a:ext cx="3251200" cy="26035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rgbClr val="000000"/>
              </a:solidFill>
              <a:latin typeface="Creato Display" panose="020B0503000000020004" pitchFamily="34" charset="0"/>
              <a:ea typeface="+mn-ea"/>
              <a:cs typeface="MV Boli" panose="02000500030200090000" pitchFamily="2" charset="0"/>
            </a:rPr>
            <a:t>Sales by Month</a:t>
          </a:r>
        </a:p>
      </xdr:txBody>
    </xdr:sp>
    <xdr:clientData/>
  </xdr:twoCellAnchor>
  <xdr:twoCellAnchor>
    <xdr:from>
      <xdr:col>4</xdr:col>
      <xdr:colOff>558800</xdr:colOff>
      <xdr:row>9</xdr:row>
      <xdr:rowOff>38100</xdr:rowOff>
    </xdr:from>
    <xdr:to>
      <xdr:col>8</xdr:col>
      <xdr:colOff>482600</xdr:colOff>
      <xdr:row>30</xdr:row>
      <xdr:rowOff>31750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95250</xdr:colOff>
      <xdr:row>8</xdr:row>
      <xdr:rowOff>63500</xdr:rowOff>
    </xdr:from>
    <xdr:to>
      <xdr:col>9</xdr:col>
      <xdr:colOff>31750</xdr:colOff>
      <xdr:row>9</xdr:row>
      <xdr:rowOff>158750</xdr:rowOff>
    </xdr:to>
    <xdr:sp macro="" textlink="">
      <xdr:nvSpPr>
        <xdr:cNvPr id="15" name="Rounded Rectangle 14">
          <a:extLst>
            <a:ext uri="{FF2B5EF4-FFF2-40B4-BE49-F238E27FC236}">
              <a16:creationId xmlns:a16="http://schemas.microsoft.com/office/drawing/2014/main" id="{00000000-0008-0000-0100-00000F000000}"/>
            </a:ext>
          </a:extLst>
        </xdr:cNvPr>
        <xdr:cNvSpPr/>
      </xdr:nvSpPr>
      <xdr:spPr>
        <a:xfrm>
          <a:off x="3397250" y="1327150"/>
          <a:ext cx="2578100" cy="26035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baseline="0">
              <a:solidFill>
                <a:srgbClr val="000000"/>
              </a:solidFill>
              <a:latin typeface="Creato Display" panose="020B0503000000020004" pitchFamily="34" charset="0"/>
              <a:ea typeface="+mn-ea"/>
              <a:cs typeface="MV Boli" panose="02000500030200090000" pitchFamily="2" charset="0"/>
            </a:rPr>
            <a:t>Best selling Product</a:t>
          </a:r>
          <a:endParaRPr lang="en-US" sz="1200" b="1" i="0" u="none" strike="noStrike">
            <a:solidFill>
              <a:srgbClr val="000000"/>
            </a:solidFill>
            <a:latin typeface="Creato Display" panose="020B0503000000020004" pitchFamily="34" charset="0"/>
            <a:ea typeface="+mn-ea"/>
            <a:cs typeface="MV Boli" panose="02000500030200090000" pitchFamily="2" charset="0"/>
          </a:endParaRPr>
        </a:p>
      </xdr:txBody>
    </xdr:sp>
    <xdr:clientData/>
  </xdr:twoCellAnchor>
  <xdr:twoCellAnchor>
    <xdr:from>
      <xdr:col>13</xdr:col>
      <xdr:colOff>889000</xdr:colOff>
      <xdr:row>8</xdr:row>
      <xdr:rowOff>57150</xdr:rowOff>
    </xdr:from>
    <xdr:to>
      <xdr:col>17</xdr:col>
      <xdr:colOff>0</xdr:colOff>
      <xdr:row>9</xdr:row>
      <xdr:rowOff>158750</xdr:rowOff>
    </xdr:to>
    <xdr:sp macro="" textlink="">
      <xdr:nvSpPr>
        <xdr:cNvPr id="20" name="Rounded Rectangle 19">
          <a:extLst>
            <a:ext uri="{FF2B5EF4-FFF2-40B4-BE49-F238E27FC236}">
              <a16:creationId xmlns:a16="http://schemas.microsoft.com/office/drawing/2014/main" id="{00000000-0008-0000-0100-000014000000}"/>
            </a:ext>
          </a:extLst>
        </xdr:cNvPr>
        <xdr:cNvSpPr/>
      </xdr:nvSpPr>
      <xdr:spPr>
        <a:xfrm>
          <a:off x="9144000" y="1320800"/>
          <a:ext cx="2940050" cy="26670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baseline="0">
              <a:solidFill>
                <a:srgbClr val="000000"/>
              </a:solidFill>
              <a:latin typeface="Creato Display" panose="020B0503000000020004" pitchFamily="34" charset="0"/>
              <a:ea typeface="+mn-ea"/>
              <a:cs typeface="MV Boli" panose="02000500030200090000" pitchFamily="2" charset="0"/>
            </a:rPr>
            <a:t>Product price per sales Percentage</a:t>
          </a:r>
          <a:endParaRPr lang="en-US" sz="1200" b="1" i="0" u="none" strike="noStrike">
            <a:solidFill>
              <a:srgbClr val="000000"/>
            </a:solidFill>
            <a:latin typeface="Creato Display" panose="020B0503000000020004" pitchFamily="34" charset="0"/>
            <a:ea typeface="+mn-ea"/>
            <a:cs typeface="MV Boli" panose="02000500030200090000" pitchFamily="2" charset="0"/>
          </a:endParaRPr>
        </a:p>
      </xdr:txBody>
    </xdr:sp>
    <xdr:clientData/>
  </xdr:twoCellAnchor>
  <xdr:twoCellAnchor>
    <xdr:from>
      <xdr:col>9</xdr:col>
      <xdr:colOff>635000</xdr:colOff>
      <xdr:row>8</xdr:row>
      <xdr:rowOff>50800</xdr:rowOff>
    </xdr:from>
    <xdr:to>
      <xdr:col>13</xdr:col>
      <xdr:colOff>19050</xdr:colOff>
      <xdr:row>9</xdr:row>
      <xdr:rowOff>152400</xdr:rowOff>
    </xdr:to>
    <xdr:sp macro="" textlink="">
      <xdr:nvSpPr>
        <xdr:cNvPr id="24" name="Rounded Rectangle 23">
          <a:extLst>
            <a:ext uri="{FF2B5EF4-FFF2-40B4-BE49-F238E27FC236}">
              <a16:creationId xmlns:a16="http://schemas.microsoft.com/office/drawing/2014/main" id="{00000000-0008-0000-0100-000018000000}"/>
            </a:ext>
          </a:extLst>
        </xdr:cNvPr>
        <xdr:cNvSpPr/>
      </xdr:nvSpPr>
      <xdr:spPr>
        <a:xfrm>
          <a:off x="6578600" y="1314450"/>
          <a:ext cx="2451100" cy="26670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baseline="0">
              <a:solidFill>
                <a:srgbClr val="000000"/>
              </a:solidFill>
              <a:latin typeface="Creato Display" panose="020B0503000000020004" pitchFamily="34" charset="0"/>
              <a:ea typeface="+mn-ea"/>
              <a:cs typeface="MV Boli" panose="02000500030200090000" pitchFamily="2" charset="0"/>
            </a:rPr>
            <a:t>Product per footfall generated</a:t>
          </a:r>
          <a:endParaRPr lang="en-US" sz="1200" b="1" i="0" u="none" strike="noStrike">
            <a:solidFill>
              <a:srgbClr val="000000"/>
            </a:solidFill>
            <a:latin typeface="Creato Display" panose="020B0503000000020004" pitchFamily="34" charset="0"/>
            <a:ea typeface="+mn-ea"/>
            <a:cs typeface="MV Boli" panose="02000500030200090000" pitchFamily="2" charset="0"/>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88900</xdr:colOff>
      <xdr:row>26</xdr:row>
      <xdr:rowOff>6350</xdr:rowOff>
    </xdr:from>
    <xdr:ext cx="1006301" cy="248851"/>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1409700" y="4311650"/>
          <a:ext cx="1006301"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b="1" i="1">
              <a:solidFill>
                <a:schemeClr val="tx1">
                  <a:lumMod val="95000"/>
                  <a:lumOff val="5000"/>
                </a:schemeClr>
              </a:solidFill>
            </a:rPr>
            <a:t>Sales by Month</a:t>
          </a:r>
        </a:p>
      </xdr:txBody>
    </xdr:sp>
    <xdr:clientData/>
  </xdr:oneCellAnchor>
  <xdr:twoCellAnchor>
    <xdr:from>
      <xdr:col>3</xdr:col>
      <xdr:colOff>403224</xdr:colOff>
      <xdr:row>16</xdr:row>
      <xdr:rowOff>76203</xdr:rowOff>
    </xdr:from>
    <xdr:to>
      <xdr:col>8</xdr:col>
      <xdr:colOff>508000</xdr:colOff>
      <xdr:row>27</xdr:row>
      <xdr:rowOff>101604</xdr:rowOff>
    </xdr:to>
    <xdr:sp macro="" textlink="">
      <xdr:nvSpPr>
        <xdr:cNvPr id="17" name="Rounded Rectangle 16">
          <a:extLst>
            <a:ext uri="{FF2B5EF4-FFF2-40B4-BE49-F238E27FC236}">
              <a16:creationId xmlns:a16="http://schemas.microsoft.com/office/drawing/2014/main" id="{00000000-0008-0000-0300-000011000000}"/>
            </a:ext>
          </a:extLst>
        </xdr:cNvPr>
        <xdr:cNvSpPr/>
      </xdr:nvSpPr>
      <xdr:spPr>
        <a:xfrm rot="5400000">
          <a:off x="3157536" y="1982791"/>
          <a:ext cx="1860551" cy="3406776"/>
        </a:xfrm>
        <a:prstGeom prst="roundRect">
          <a:avLst>
            <a:gd name="adj" fmla="val 2622"/>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xdr:colOff>
      <xdr:row>5</xdr:row>
      <xdr:rowOff>158750</xdr:rowOff>
    </xdr:from>
    <xdr:to>
      <xdr:col>3</xdr:col>
      <xdr:colOff>355600</xdr:colOff>
      <xdr:row>27</xdr:row>
      <xdr:rowOff>69850</xdr:rowOff>
    </xdr:to>
    <xdr:sp macro="" textlink="">
      <xdr:nvSpPr>
        <xdr:cNvPr id="11" name="Rounded Rectangle 10">
          <a:extLst>
            <a:ext uri="{FF2B5EF4-FFF2-40B4-BE49-F238E27FC236}">
              <a16:creationId xmlns:a16="http://schemas.microsoft.com/office/drawing/2014/main" id="{00000000-0008-0000-0300-00000B000000}"/>
            </a:ext>
          </a:extLst>
        </xdr:cNvPr>
        <xdr:cNvSpPr/>
      </xdr:nvSpPr>
      <xdr:spPr>
        <a:xfrm>
          <a:off x="12700" y="990600"/>
          <a:ext cx="2324100" cy="3587750"/>
        </a:xfrm>
        <a:prstGeom prst="roundRect">
          <a:avLst>
            <a:gd name="adj" fmla="val 2622"/>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xdr:colOff>
      <xdr:row>2</xdr:row>
      <xdr:rowOff>36830</xdr:rowOff>
    </xdr:from>
    <xdr:to>
      <xdr:col>2</xdr:col>
      <xdr:colOff>463550</xdr:colOff>
      <xdr:row>5</xdr:row>
      <xdr:rowOff>88900</xdr:rowOff>
    </xdr:to>
    <xdr:sp macro="" textlink="index_1!L2">
      <xdr:nvSpPr>
        <xdr:cNvPr id="2" name="Total sales">
          <a:extLst>
            <a:ext uri="{FF2B5EF4-FFF2-40B4-BE49-F238E27FC236}">
              <a16:creationId xmlns:a16="http://schemas.microsoft.com/office/drawing/2014/main" id="{00000000-0008-0000-0300-000002000000}"/>
            </a:ext>
          </a:extLst>
        </xdr:cNvPr>
        <xdr:cNvSpPr/>
      </xdr:nvSpPr>
      <xdr:spPr>
        <a:xfrm>
          <a:off x="6350" y="367030"/>
          <a:ext cx="1778000" cy="553720"/>
        </a:xfrm>
        <a:prstGeom prst="roundRect">
          <a:avLst>
            <a:gd name="adj" fmla="val 7716"/>
          </a:avLst>
        </a:prstGeom>
        <a:solidFill>
          <a:srgbClr val="BEB46E"/>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66F471E-424A-4560-A3A7-EA972208D7CE}" type="TxLink">
            <a:rPr lang="en-US" sz="2400" b="1" i="0" u="none" strike="noStrike">
              <a:solidFill>
                <a:srgbClr val="000000"/>
              </a:solidFill>
              <a:latin typeface="Creato Display" panose="020B0503000000020004" pitchFamily="34" charset="0"/>
              <a:cs typeface="MV Boli"/>
            </a:rPr>
            <a:pPr algn="l"/>
            <a:t>$102,955.9</a:t>
          </a:fld>
          <a:endParaRPr lang="en-US" sz="3200">
            <a:latin typeface="Creato Display" panose="020B0503000000020004" pitchFamily="34" charset="0"/>
          </a:endParaRPr>
        </a:p>
      </xdr:txBody>
    </xdr:sp>
    <xdr:clientData/>
  </xdr:twoCellAnchor>
  <xdr:twoCellAnchor>
    <xdr:from>
      <xdr:col>2</xdr:col>
      <xdr:colOff>577850</xdr:colOff>
      <xdr:row>2</xdr:row>
      <xdr:rowOff>62230</xdr:rowOff>
    </xdr:from>
    <xdr:to>
      <xdr:col>5</xdr:col>
      <xdr:colOff>38100</xdr:colOff>
      <xdr:row>5</xdr:row>
      <xdr:rowOff>107950</xdr:rowOff>
    </xdr:to>
    <xdr:sp macro="" textlink="index_1!M2">
      <xdr:nvSpPr>
        <xdr:cNvPr id="6" name="Average sales">
          <a:extLst>
            <a:ext uri="{FF2B5EF4-FFF2-40B4-BE49-F238E27FC236}">
              <a16:creationId xmlns:a16="http://schemas.microsoft.com/office/drawing/2014/main" id="{00000000-0008-0000-0300-000006000000}"/>
            </a:ext>
          </a:extLst>
        </xdr:cNvPr>
        <xdr:cNvSpPr/>
      </xdr:nvSpPr>
      <xdr:spPr>
        <a:xfrm>
          <a:off x="1898650" y="392430"/>
          <a:ext cx="1441450" cy="547370"/>
        </a:xfrm>
        <a:prstGeom prst="roundRect">
          <a:avLst>
            <a:gd name="adj" fmla="val 7716"/>
          </a:avLst>
        </a:prstGeom>
        <a:solidFill>
          <a:srgbClr val="BEB46E"/>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513DB69-8BE6-4C5A-A6F3-76A3687A8623}" type="TxLink">
            <a:rPr lang="en-US" sz="2400" b="1" i="0" u="none" strike="noStrike">
              <a:solidFill>
                <a:schemeClr val="tx1">
                  <a:lumMod val="95000"/>
                  <a:lumOff val="5000"/>
                </a:schemeClr>
              </a:solidFill>
              <a:latin typeface="Creato Display" panose="020B0503000000020004" pitchFamily="34" charset="0"/>
              <a:cs typeface="MV Boli" panose="02000500030200090000" pitchFamily="2" charset="0"/>
            </a:rPr>
            <a:pPr algn="l"/>
            <a:t>$31.9</a:t>
          </a:fld>
          <a:endParaRPr lang="en-US" sz="2400" b="1" i="0" u="none" strike="noStrike">
            <a:solidFill>
              <a:schemeClr val="tx1">
                <a:lumMod val="95000"/>
                <a:lumOff val="5000"/>
              </a:schemeClr>
            </a:solidFill>
            <a:latin typeface="Creato Display" panose="020B0503000000020004" pitchFamily="34" charset="0"/>
            <a:cs typeface="MV Boli" panose="02000500030200090000" pitchFamily="2" charset="0"/>
          </a:endParaRPr>
        </a:p>
      </xdr:txBody>
    </xdr:sp>
    <xdr:clientData/>
  </xdr:twoCellAnchor>
  <xdr:twoCellAnchor>
    <xdr:from>
      <xdr:col>5</xdr:col>
      <xdr:colOff>133350</xdr:colOff>
      <xdr:row>2</xdr:row>
      <xdr:rowOff>62230</xdr:rowOff>
    </xdr:from>
    <xdr:to>
      <xdr:col>7</xdr:col>
      <xdr:colOff>260350</xdr:colOff>
      <xdr:row>5</xdr:row>
      <xdr:rowOff>127000</xdr:rowOff>
    </xdr:to>
    <xdr:sp macro="" textlink="index_1!N2">
      <xdr:nvSpPr>
        <xdr:cNvPr id="8" name="Footfall">
          <a:extLst>
            <a:ext uri="{FF2B5EF4-FFF2-40B4-BE49-F238E27FC236}">
              <a16:creationId xmlns:a16="http://schemas.microsoft.com/office/drawing/2014/main" id="{00000000-0008-0000-0300-000008000000}"/>
            </a:ext>
          </a:extLst>
        </xdr:cNvPr>
        <xdr:cNvSpPr/>
      </xdr:nvSpPr>
      <xdr:spPr>
        <a:xfrm>
          <a:off x="3435350" y="392430"/>
          <a:ext cx="1447800" cy="566420"/>
        </a:xfrm>
        <a:prstGeom prst="roundRect">
          <a:avLst>
            <a:gd name="adj" fmla="val 7716"/>
          </a:avLst>
        </a:prstGeom>
        <a:solidFill>
          <a:srgbClr val="BEB46E"/>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EAE1EFB-FCD9-4633-8FED-1AD31634A9B5}" type="TxLink">
            <a:rPr lang="en-US" sz="2400" b="1" i="0" u="none" strike="noStrike">
              <a:solidFill>
                <a:srgbClr val="000000"/>
              </a:solidFill>
              <a:latin typeface="Creato Display"/>
              <a:cs typeface="MV Boli" panose="02000500030200090000" pitchFamily="2" charset="0"/>
            </a:rPr>
            <a:pPr algn="l"/>
            <a:t> 3,230 </a:t>
          </a:fld>
          <a:endParaRPr lang="en-US" sz="4800" b="1" i="0" u="none" strike="noStrike">
            <a:solidFill>
              <a:schemeClr val="tx1">
                <a:lumMod val="95000"/>
                <a:lumOff val="5000"/>
              </a:schemeClr>
            </a:solidFill>
            <a:latin typeface="MV Boli" panose="02000500030200090000" pitchFamily="2" charset="0"/>
            <a:cs typeface="MV Boli" panose="02000500030200090000" pitchFamily="2" charset="0"/>
          </a:endParaRPr>
        </a:p>
      </xdr:txBody>
    </xdr:sp>
    <xdr:clientData/>
  </xdr:twoCellAnchor>
  <xdr:twoCellAnchor>
    <xdr:from>
      <xdr:col>0</xdr:col>
      <xdr:colOff>0</xdr:colOff>
      <xdr:row>5</xdr:row>
      <xdr:rowOff>88900</xdr:rowOff>
    </xdr:from>
    <xdr:to>
      <xdr:col>3</xdr:col>
      <xdr:colOff>450850</xdr:colOff>
      <xdr:row>27</xdr:row>
      <xdr:rowOff>101600</xdr:rowOff>
    </xdr:to>
    <xdr:graphicFrame macro="">
      <xdr:nvGraphicFramePr>
        <xdr:cNvPr id="10" name="Sales by Month">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400050</xdr:colOff>
      <xdr:row>6</xdr:row>
      <xdr:rowOff>0</xdr:rowOff>
    </xdr:from>
    <xdr:to>
      <xdr:col>7</xdr:col>
      <xdr:colOff>184150</xdr:colOff>
      <xdr:row>16</xdr:row>
      <xdr:rowOff>31750</xdr:rowOff>
    </xdr:to>
    <xdr:sp macro="" textlink="">
      <xdr:nvSpPr>
        <xdr:cNvPr id="13" name="Payment">
          <a:extLst>
            <a:ext uri="{FF2B5EF4-FFF2-40B4-BE49-F238E27FC236}">
              <a16:creationId xmlns:a16="http://schemas.microsoft.com/office/drawing/2014/main" id="{00000000-0008-0000-0300-00000D000000}"/>
            </a:ext>
          </a:extLst>
        </xdr:cNvPr>
        <xdr:cNvSpPr/>
      </xdr:nvSpPr>
      <xdr:spPr>
        <a:xfrm>
          <a:off x="2381250" y="996950"/>
          <a:ext cx="2425700" cy="1701800"/>
        </a:xfrm>
        <a:prstGeom prst="roundRect">
          <a:avLst>
            <a:gd name="adj" fmla="val 2622"/>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273050</xdr:colOff>
      <xdr:row>5</xdr:row>
      <xdr:rowOff>88900</xdr:rowOff>
    </xdr:from>
    <xdr:to>
      <xdr:col>6</xdr:col>
      <xdr:colOff>622300</xdr:colOff>
      <xdr:row>16</xdr:row>
      <xdr:rowOff>19050</xdr:rowOff>
    </xdr:to>
    <xdr:graphicFrame macro="">
      <xdr:nvGraphicFramePr>
        <xdr:cNvPr id="15" name="Chart 14">
          <a:extLst>
            <a:ext uri="{FF2B5EF4-FFF2-40B4-BE49-F238E27FC236}">
              <a16:creationId xmlns:a16="http://schemas.microsoft.com/office/drawing/2014/main" id="{00000000-0008-0000-03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5</xdr:col>
      <xdr:colOff>304800</xdr:colOff>
      <xdr:row>14</xdr:row>
      <xdr:rowOff>146050</xdr:rowOff>
    </xdr:from>
    <xdr:ext cx="1319720" cy="248851"/>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3606800" y="2482850"/>
          <a:ext cx="131972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b="1" i="1">
              <a:latin typeface="+mn-lt"/>
            </a:rPr>
            <a:t>Means</a:t>
          </a:r>
          <a:r>
            <a:rPr lang="en-US" sz="1000" b="1" i="1" baseline="0">
              <a:latin typeface="+mn-lt"/>
            </a:rPr>
            <a:t> of Paymment </a:t>
          </a:r>
          <a:endParaRPr lang="en-US" sz="1000" b="1" i="1">
            <a:latin typeface="+mn-lt"/>
          </a:endParaRPr>
        </a:p>
      </xdr:txBody>
    </xdr:sp>
    <xdr:clientData/>
  </xdr:oneCellAnchor>
  <xdr:twoCellAnchor>
    <xdr:from>
      <xdr:col>3</xdr:col>
      <xdr:colOff>349251</xdr:colOff>
      <xdr:row>16</xdr:row>
      <xdr:rowOff>146050</xdr:rowOff>
    </xdr:from>
    <xdr:to>
      <xdr:col>8</xdr:col>
      <xdr:colOff>393701</xdr:colOff>
      <xdr:row>26</xdr:row>
      <xdr:rowOff>50800</xdr:rowOff>
    </xdr:to>
    <xdr:graphicFrame macro="">
      <xdr:nvGraphicFramePr>
        <xdr:cNvPr id="16" name="Highes grossing day">
          <a:extLst>
            <a:ext uri="{FF2B5EF4-FFF2-40B4-BE49-F238E27FC236}">
              <a16:creationId xmlns:a16="http://schemas.microsoft.com/office/drawing/2014/main" id="{00000000-0008-0000-03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6</xdr:col>
      <xdr:colOff>76200</xdr:colOff>
      <xdr:row>25</xdr:row>
      <xdr:rowOff>69850</xdr:rowOff>
    </xdr:from>
    <xdr:ext cx="1772024" cy="248851"/>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4038600" y="4248150"/>
          <a:ext cx="1772024"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b="1" i="1"/>
            <a:t>Sales</a:t>
          </a:r>
          <a:r>
            <a:rPr lang="en-US" sz="1000" b="1" i="1" baseline="0"/>
            <a:t> by each day of the week</a:t>
          </a:r>
          <a:endParaRPr lang="en-US" sz="1000" b="1" i="1"/>
        </a:p>
      </xdr:txBody>
    </xdr:sp>
    <xdr:clientData/>
  </xdr:oneCellAnchor>
  <xdr:oneCellAnchor>
    <xdr:from>
      <xdr:col>2</xdr:col>
      <xdr:colOff>44450</xdr:colOff>
      <xdr:row>25</xdr:row>
      <xdr:rowOff>139700</xdr:rowOff>
    </xdr:from>
    <xdr:ext cx="1002454" cy="248851"/>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1365250" y="4324350"/>
          <a:ext cx="1002454"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b="1" i="1"/>
            <a:t>Sales by</a:t>
          </a:r>
          <a:r>
            <a:rPr lang="en-US" sz="1000" b="1" i="1" baseline="0"/>
            <a:t> Month</a:t>
          </a:r>
          <a:endParaRPr lang="en-US" sz="1000" b="1" i="1"/>
        </a:p>
      </xdr:txBody>
    </xdr:sp>
    <xdr:clientData/>
  </xdr:oneCellAnchor>
  <xdr:twoCellAnchor editAs="oneCell">
    <xdr:from>
      <xdr:col>12</xdr:col>
      <xdr:colOff>12700</xdr:colOff>
      <xdr:row>23</xdr:row>
      <xdr:rowOff>31750</xdr:rowOff>
    </xdr:from>
    <xdr:to>
      <xdr:col>15</xdr:col>
      <xdr:colOff>133350</xdr:colOff>
      <xdr:row>28</xdr:row>
      <xdr:rowOff>44450</xdr:rowOff>
    </xdr:to>
    <mc:AlternateContent xmlns:mc="http://schemas.openxmlformats.org/markup-compatibility/2006">
      <mc:Choice xmlns:a14="http://schemas.microsoft.com/office/drawing/2010/main" Requires="a14">
        <xdr:graphicFrame macro="">
          <xdr:nvGraphicFramePr>
            <xdr:cNvPr id="18" name="Monthly Sales">
              <a:extLst>
                <a:ext uri="{FF2B5EF4-FFF2-40B4-BE49-F238E27FC236}">
                  <a16:creationId xmlns:a16="http://schemas.microsoft.com/office/drawing/2014/main" id="{00000000-0008-0000-0300-000012000000}"/>
                </a:ext>
              </a:extLst>
            </xdr:cNvPr>
            <xdr:cNvGraphicFramePr/>
          </xdr:nvGraphicFramePr>
          <xdr:xfrm>
            <a:off x="0" y="0"/>
            <a:ext cx="0" cy="0"/>
          </xdr:xfrm>
          <a:graphic>
            <a:graphicData uri="http://schemas.microsoft.com/office/drawing/2010/slicer">
              <sle:slicer xmlns:sle="http://schemas.microsoft.com/office/drawing/2010/slicer" name="Monthly Sales"/>
            </a:graphicData>
          </a:graphic>
        </xdr:graphicFrame>
      </mc:Choice>
      <mc:Fallback>
        <xdr:sp macro="" textlink="">
          <xdr:nvSpPr>
            <xdr:cNvPr id="0" name=""/>
            <xdr:cNvSpPr>
              <a:spLocks noTextEdit="1"/>
            </xdr:cNvSpPr>
          </xdr:nvSpPr>
          <xdr:spPr>
            <a:xfrm>
              <a:off x="8489950" y="3879850"/>
              <a:ext cx="2616200" cy="844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44450</xdr:colOff>
      <xdr:row>0</xdr:row>
      <xdr:rowOff>57150</xdr:rowOff>
    </xdr:from>
    <xdr:to>
      <xdr:col>1</xdr:col>
      <xdr:colOff>539750</xdr:colOff>
      <xdr:row>2</xdr:row>
      <xdr:rowOff>19050</xdr:rowOff>
    </xdr:to>
    <xdr:sp macro="" textlink="">
      <xdr:nvSpPr>
        <xdr:cNvPr id="21" name="Payment">
          <a:extLst>
            <a:ext uri="{FF2B5EF4-FFF2-40B4-BE49-F238E27FC236}">
              <a16:creationId xmlns:a16="http://schemas.microsoft.com/office/drawing/2014/main" id="{00000000-0008-0000-0300-000015000000}"/>
            </a:ext>
          </a:extLst>
        </xdr:cNvPr>
        <xdr:cNvSpPr/>
      </xdr:nvSpPr>
      <xdr:spPr>
        <a:xfrm>
          <a:off x="44450" y="57150"/>
          <a:ext cx="1155700" cy="292100"/>
        </a:xfrm>
        <a:prstGeom prst="roundRect">
          <a:avLst>
            <a:gd name="adj" fmla="val 2622"/>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1">
              <a:solidFill>
                <a:schemeClr val="tx1"/>
              </a:solidFill>
            </a:rPr>
            <a:t>Total sales</a:t>
          </a:r>
        </a:p>
      </xdr:txBody>
    </xdr:sp>
    <xdr:clientData/>
  </xdr:twoCellAnchor>
  <xdr:twoCellAnchor>
    <xdr:from>
      <xdr:col>2</xdr:col>
      <xdr:colOff>603250</xdr:colOff>
      <xdr:row>0</xdr:row>
      <xdr:rowOff>82550</xdr:rowOff>
    </xdr:from>
    <xdr:to>
      <xdr:col>4</xdr:col>
      <xdr:colOff>444500</xdr:colOff>
      <xdr:row>2</xdr:row>
      <xdr:rowOff>44450</xdr:rowOff>
    </xdr:to>
    <xdr:sp macro="" textlink="">
      <xdr:nvSpPr>
        <xdr:cNvPr id="22" name="Payment">
          <a:extLst>
            <a:ext uri="{FF2B5EF4-FFF2-40B4-BE49-F238E27FC236}">
              <a16:creationId xmlns:a16="http://schemas.microsoft.com/office/drawing/2014/main" id="{00000000-0008-0000-0300-000016000000}"/>
            </a:ext>
          </a:extLst>
        </xdr:cNvPr>
        <xdr:cNvSpPr/>
      </xdr:nvSpPr>
      <xdr:spPr>
        <a:xfrm>
          <a:off x="1924050" y="82550"/>
          <a:ext cx="1162050" cy="292100"/>
        </a:xfrm>
        <a:prstGeom prst="roundRect">
          <a:avLst>
            <a:gd name="adj" fmla="val 2622"/>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1" i="1">
              <a:solidFill>
                <a:schemeClr val="tx1"/>
              </a:solidFill>
            </a:rPr>
            <a:t>Average</a:t>
          </a:r>
          <a:r>
            <a:rPr lang="en-US" sz="1300" b="1" i="1" baseline="0">
              <a:solidFill>
                <a:schemeClr val="tx1"/>
              </a:solidFill>
            </a:rPr>
            <a:t> Sales</a:t>
          </a:r>
          <a:endParaRPr lang="en-US" sz="1300" b="1" i="1">
            <a:solidFill>
              <a:schemeClr val="tx1"/>
            </a:solidFill>
          </a:endParaRPr>
        </a:p>
      </xdr:txBody>
    </xdr:sp>
    <xdr:clientData/>
  </xdr:twoCellAnchor>
  <xdr:twoCellAnchor>
    <xdr:from>
      <xdr:col>5</xdr:col>
      <xdr:colOff>171450</xdr:colOff>
      <xdr:row>0</xdr:row>
      <xdr:rowOff>95250</xdr:rowOff>
    </xdr:from>
    <xdr:to>
      <xdr:col>7</xdr:col>
      <xdr:colOff>38100</xdr:colOff>
      <xdr:row>2</xdr:row>
      <xdr:rowOff>57150</xdr:rowOff>
    </xdr:to>
    <xdr:sp macro="" textlink="">
      <xdr:nvSpPr>
        <xdr:cNvPr id="23" name="Payment">
          <a:extLst>
            <a:ext uri="{FF2B5EF4-FFF2-40B4-BE49-F238E27FC236}">
              <a16:creationId xmlns:a16="http://schemas.microsoft.com/office/drawing/2014/main" id="{00000000-0008-0000-0300-000017000000}"/>
            </a:ext>
          </a:extLst>
        </xdr:cNvPr>
        <xdr:cNvSpPr/>
      </xdr:nvSpPr>
      <xdr:spPr>
        <a:xfrm>
          <a:off x="3473450" y="95250"/>
          <a:ext cx="1187450" cy="292100"/>
        </a:xfrm>
        <a:prstGeom prst="roundRect">
          <a:avLst>
            <a:gd name="adj" fmla="val 2622"/>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1">
              <a:solidFill>
                <a:schemeClr val="tx1"/>
              </a:solidFill>
            </a:rPr>
            <a:t>Total</a:t>
          </a:r>
          <a:r>
            <a:rPr lang="en-US" sz="1400" b="1" i="1" baseline="0">
              <a:solidFill>
                <a:schemeClr val="tx1"/>
              </a:solidFill>
            </a:rPr>
            <a:t> Footfall</a:t>
          </a:r>
          <a:endParaRPr lang="en-US" sz="1400" b="1" i="1">
            <a:solidFill>
              <a:schemeClr val="tx1"/>
            </a:solidFill>
          </a:endParaRPr>
        </a:p>
      </xdr:txBody>
    </xdr:sp>
    <xdr:clientData/>
  </xdr:twoCellAnchor>
  <xdr:twoCellAnchor>
    <xdr:from>
      <xdr:col>7</xdr:col>
      <xdr:colOff>654050</xdr:colOff>
      <xdr:row>0</xdr:row>
      <xdr:rowOff>69850</xdr:rowOff>
    </xdr:from>
    <xdr:to>
      <xdr:col>9</xdr:col>
      <xdr:colOff>768350</xdr:colOff>
      <xdr:row>1</xdr:row>
      <xdr:rowOff>139700</xdr:rowOff>
    </xdr:to>
    <xdr:sp macro="" textlink="">
      <xdr:nvSpPr>
        <xdr:cNvPr id="24" name="Payment">
          <a:extLst>
            <a:ext uri="{FF2B5EF4-FFF2-40B4-BE49-F238E27FC236}">
              <a16:creationId xmlns:a16="http://schemas.microsoft.com/office/drawing/2014/main" id="{00000000-0008-0000-0300-000018000000}"/>
            </a:ext>
          </a:extLst>
        </xdr:cNvPr>
        <xdr:cNvSpPr/>
      </xdr:nvSpPr>
      <xdr:spPr>
        <a:xfrm>
          <a:off x="5276850" y="69850"/>
          <a:ext cx="1339850" cy="234950"/>
        </a:xfrm>
        <a:prstGeom prst="roundRect">
          <a:avLst>
            <a:gd name="adj" fmla="val 2622"/>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1">
              <a:solidFill>
                <a:schemeClr val="tx1"/>
              </a:solidFill>
            </a:rPr>
            <a:t>Sales</a:t>
          </a:r>
          <a:r>
            <a:rPr lang="en-US" sz="1400" b="1" i="1" baseline="0">
              <a:solidFill>
                <a:schemeClr val="tx1"/>
              </a:solidFill>
            </a:rPr>
            <a:t> by  Year</a:t>
          </a:r>
          <a:endParaRPr lang="en-US" sz="1400" b="1" i="1">
            <a:solidFill>
              <a:schemeClr val="tx1"/>
            </a:solidFill>
          </a:endParaRPr>
        </a:p>
      </xdr:txBody>
    </xdr:sp>
    <xdr:clientData/>
  </xdr:twoCellAnchor>
  <xdr:twoCellAnchor>
    <xdr:from>
      <xdr:col>7</xdr:col>
      <xdr:colOff>635000</xdr:colOff>
      <xdr:row>6</xdr:row>
      <xdr:rowOff>69850</xdr:rowOff>
    </xdr:from>
    <xdr:to>
      <xdr:col>11</xdr:col>
      <xdr:colOff>95250</xdr:colOff>
      <xdr:row>7</xdr:row>
      <xdr:rowOff>139700</xdr:rowOff>
    </xdr:to>
    <xdr:sp macro="" textlink="">
      <xdr:nvSpPr>
        <xdr:cNvPr id="25" name="Payment">
          <a:extLst>
            <a:ext uri="{FF2B5EF4-FFF2-40B4-BE49-F238E27FC236}">
              <a16:creationId xmlns:a16="http://schemas.microsoft.com/office/drawing/2014/main" id="{00000000-0008-0000-0300-000019000000}"/>
            </a:ext>
          </a:extLst>
        </xdr:cNvPr>
        <xdr:cNvSpPr/>
      </xdr:nvSpPr>
      <xdr:spPr>
        <a:xfrm>
          <a:off x="5257800" y="1073150"/>
          <a:ext cx="3130550" cy="234950"/>
        </a:xfrm>
        <a:prstGeom prst="roundRect">
          <a:avLst>
            <a:gd name="adj" fmla="val 2622"/>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1">
              <a:solidFill>
                <a:schemeClr val="tx1"/>
              </a:solidFill>
            </a:rPr>
            <a:t>Best</a:t>
          </a:r>
          <a:r>
            <a:rPr lang="en-US" sz="1200" b="1" i="1" baseline="0">
              <a:solidFill>
                <a:schemeClr val="tx1"/>
              </a:solidFill>
            </a:rPr>
            <a:t> selling products for each day of the week</a:t>
          </a:r>
          <a:endParaRPr lang="en-US" sz="1200" b="1" i="1">
            <a:solidFill>
              <a:schemeClr val="tx1"/>
            </a:solidFill>
          </a:endParaRPr>
        </a:p>
      </xdr:txBody>
    </xdr:sp>
    <xdr:clientData/>
  </xdr:twoCellAnchor>
  <xdr:twoCellAnchor>
    <xdr:from>
      <xdr:col>11</xdr:col>
      <xdr:colOff>95250</xdr:colOff>
      <xdr:row>1</xdr:row>
      <xdr:rowOff>0</xdr:rowOff>
    </xdr:from>
    <xdr:to>
      <xdr:col>15</xdr:col>
      <xdr:colOff>254000</xdr:colOff>
      <xdr:row>2</xdr:row>
      <xdr:rowOff>127000</xdr:rowOff>
    </xdr:to>
    <xdr:sp macro="" textlink="">
      <xdr:nvSpPr>
        <xdr:cNvPr id="26" name="Payment">
          <a:extLst>
            <a:ext uri="{FF2B5EF4-FFF2-40B4-BE49-F238E27FC236}">
              <a16:creationId xmlns:a16="http://schemas.microsoft.com/office/drawing/2014/main" id="{00000000-0008-0000-0300-00001A000000}"/>
            </a:ext>
          </a:extLst>
        </xdr:cNvPr>
        <xdr:cNvSpPr/>
      </xdr:nvSpPr>
      <xdr:spPr>
        <a:xfrm>
          <a:off x="8724900" y="165100"/>
          <a:ext cx="2838450" cy="292100"/>
        </a:xfrm>
        <a:prstGeom prst="roundRect">
          <a:avLst>
            <a:gd name="adj" fmla="val 2622"/>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1">
              <a:solidFill>
                <a:schemeClr val="tx1"/>
              </a:solidFill>
            </a:rPr>
            <a:t>%</a:t>
          </a:r>
          <a:r>
            <a:rPr lang="en-US" sz="1200" b="1" i="1" baseline="0">
              <a:solidFill>
                <a:schemeClr val="tx1"/>
              </a:solidFill>
            </a:rPr>
            <a:t> contribution to total sales by Products</a:t>
          </a:r>
          <a:endParaRPr lang="en-US" sz="1200" b="1" i="1">
            <a:solidFill>
              <a:schemeClr val="tx1"/>
            </a:solidFill>
          </a:endParaRPr>
        </a:p>
      </xdr:txBody>
    </xdr:sp>
    <xdr:clientData/>
  </xdr:twoCellAnchor>
  <xdr:twoCellAnchor>
    <xdr:from>
      <xdr:col>9</xdr:col>
      <xdr:colOff>12700</xdr:colOff>
      <xdr:row>16</xdr:row>
      <xdr:rowOff>76200</xdr:rowOff>
    </xdr:from>
    <xdr:to>
      <xdr:col>10</xdr:col>
      <xdr:colOff>819150</xdr:colOff>
      <xdr:row>17</xdr:row>
      <xdr:rowOff>158750</xdr:rowOff>
    </xdr:to>
    <xdr:sp macro="" textlink="">
      <xdr:nvSpPr>
        <xdr:cNvPr id="27" name="Payment">
          <a:extLst>
            <a:ext uri="{FF2B5EF4-FFF2-40B4-BE49-F238E27FC236}">
              <a16:creationId xmlns:a16="http://schemas.microsoft.com/office/drawing/2014/main" id="{00000000-0008-0000-0300-00001B000000}"/>
            </a:ext>
          </a:extLst>
        </xdr:cNvPr>
        <xdr:cNvSpPr/>
      </xdr:nvSpPr>
      <xdr:spPr>
        <a:xfrm>
          <a:off x="6197600" y="2755900"/>
          <a:ext cx="2368550" cy="247650"/>
        </a:xfrm>
        <a:prstGeom prst="roundRect">
          <a:avLst>
            <a:gd name="adj" fmla="val 2622"/>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1">
              <a:solidFill>
                <a:schemeClr val="tx1"/>
              </a:solidFill>
            </a:rPr>
            <a:t>Top</a:t>
          </a:r>
          <a:r>
            <a:rPr lang="en-US" sz="1200" b="1" i="1" baseline="0">
              <a:solidFill>
                <a:schemeClr val="tx1"/>
              </a:solidFill>
            </a:rPr>
            <a:t> rated Customers with thier ID </a:t>
          </a:r>
          <a:endParaRPr lang="en-US" sz="1200" b="1" i="1">
            <a:solidFill>
              <a:schemeClr val="tx1"/>
            </a:solidFill>
          </a:endParaRPr>
        </a:p>
      </xdr:txBody>
    </xdr:sp>
    <xdr:clientData/>
  </xdr:twoCellAnchor>
  <xdr:twoCellAnchor>
    <xdr:from>
      <xdr:col>12</xdr:col>
      <xdr:colOff>12700</xdr:colOff>
      <xdr:row>12</xdr:row>
      <xdr:rowOff>69850</xdr:rowOff>
    </xdr:from>
    <xdr:to>
      <xdr:col>14</xdr:col>
      <xdr:colOff>723900</xdr:colOff>
      <xdr:row>13</xdr:row>
      <xdr:rowOff>133350</xdr:rowOff>
    </xdr:to>
    <xdr:sp macro="" textlink="">
      <xdr:nvSpPr>
        <xdr:cNvPr id="29" name="Payment">
          <a:extLst>
            <a:ext uri="{FF2B5EF4-FFF2-40B4-BE49-F238E27FC236}">
              <a16:creationId xmlns:a16="http://schemas.microsoft.com/office/drawing/2014/main" id="{00000000-0008-0000-0300-00001D000000}"/>
            </a:ext>
          </a:extLst>
        </xdr:cNvPr>
        <xdr:cNvSpPr/>
      </xdr:nvSpPr>
      <xdr:spPr>
        <a:xfrm>
          <a:off x="8489950" y="2076450"/>
          <a:ext cx="2463800" cy="228600"/>
        </a:xfrm>
        <a:prstGeom prst="roundRect">
          <a:avLst>
            <a:gd name="adj" fmla="val 2622"/>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1" baseline="0">
              <a:solidFill>
                <a:schemeClr val="tx1"/>
              </a:solidFill>
            </a:rPr>
            <a:t>Best performing Product by Price </a:t>
          </a:r>
          <a:endParaRPr lang="en-US" sz="1200" b="1" i="1">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0</xdr:colOff>
      <xdr:row>14</xdr:row>
      <xdr:rowOff>0</xdr:rowOff>
    </xdr:from>
    <xdr:to>
      <xdr:col>18</xdr:col>
      <xdr:colOff>552450</xdr:colOff>
      <xdr:row>25</xdr:row>
      <xdr:rowOff>158750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12</xdr:row>
      <xdr:rowOff>0</xdr:rowOff>
    </xdr:from>
    <xdr:to>
      <xdr:col>18</xdr:col>
      <xdr:colOff>304800</xdr:colOff>
      <xdr:row>13</xdr:row>
      <xdr:rowOff>95250</xdr:rowOff>
    </xdr:to>
    <xdr:sp macro="" textlink="">
      <xdr:nvSpPr>
        <xdr:cNvPr id="3" name="Rounded Rectangle 2">
          <a:extLst>
            <a:ext uri="{FF2B5EF4-FFF2-40B4-BE49-F238E27FC236}">
              <a16:creationId xmlns:a16="http://schemas.microsoft.com/office/drawing/2014/main" id="{00000000-0008-0000-0400-000003000000}"/>
            </a:ext>
          </a:extLst>
        </xdr:cNvPr>
        <xdr:cNvSpPr/>
      </xdr:nvSpPr>
      <xdr:spPr>
        <a:xfrm>
          <a:off x="14071600" y="1981200"/>
          <a:ext cx="2286000" cy="260350"/>
        </a:xfrm>
        <a:prstGeom prst="roundRect">
          <a:avLst>
            <a:gd name="adj" fmla="val 6074"/>
          </a:avLst>
        </a:prstGeom>
        <a:solidFill>
          <a:srgbClr val="BEB4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rgbClr val="000000"/>
              </a:solidFill>
              <a:latin typeface="Creato Display" panose="020B0503000000020004" pitchFamily="34" charset="0"/>
              <a:ea typeface="+mn-ea"/>
              <a:cs typeface="MV Boli" panose="02000500030200090000" pitchFamily="2" charset="0"/>
            </a:rPr>
            <a:t>Means</a:t>
          </a:r>
          <a:r>
            <a:rPr lang="en-US" sz="1200" b="1" i="0" u="none" strike="noStrike" baseline="0">
              <a:solidFill>
                <a:srgbClr val="000000"/>
              </a:solidFill>
              <a:latin typeface="Creato Display" panose="020B0503000000020004" pitchFamily="34" charset="0"/>
              <a:ea typeface="+mn-ea"/>
              <a:cs typeface="MV Boli" panose="02000500030200090000" pitchFamily="2" charset="0"/>
            </a:rPr>
            <a:t> of Paytment</a:t>
          </a:r>
          <a:endParaRPr lang="en-US" sz="1200" b="1" i="0" u="none" strike="noStrike">
            <a:solidFill>
              <a:srgbClr val="000000"/>
            </a:solidFill>
            <a:latin typeface="Creato Display" panose="020B0503000000020004" pitchFamily="34" charset="0"/>
            <a:ea typeface="+mn-ea"/>
            <a:cs typeface="MV Boli" panose="02000500030200090000" pitchFamily="2" charset="0"/>
          </a:endParaRPr>
        </a:p>
      </xdr:txBody>
    </xdr:sp>
    <xdr:clientData/>
  </xdr:twoCellAnchor>
  <xdr:twoCellAnchor>
    <xdr:from>
      <xdr:col>6</xdr:col>
      <xdr:colOff>1092200</xdr:colOff>
      <xdr:row>11</xdr:row>
      <xdr:rowOff>76200</xdr:rowOff>
    </xdr:from>
    <xdr:to>
      <xdr:col>14</xdr:col>
      <xdr:colOff>336550</xdr:colOff>
      <xdr:row>26</xdr:row>
      <xdr:rowOff>44450</xdr:rowOff>
    </xdr:to>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34925</xdr:colOff>
      <xdr:row>26</xdr:row>
      <xdr:rowOff>92075</xdr:rowOff>
    </xdr:from>
    <xdr:to>
      <xdr:col>3</xdr:col>
      <xdr:colOff>812800</xdr:colOff>
      <xdr:row>43</xdr:row>
      <xdr:rowOff>76200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2" Type="http://schemas.microsoft.com/office/2006/relationships/xlExternalLinkPath/xlPathMissing" Target="Current%20Coffee%20sales%20data.xlsx" TargetMode="External"/><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2" Type="http://schemas.microsoft.com/office/2006/relationships/xlExternalLinkPath/xlPathMissing" Target="Current%20Coffee%20sales%20data.xlsx" TargetMode="External"/><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cqmann" refreshedDate="45750.608220138885" createdVersion="5" refreshedVersion="5" minRefreshableVersion="3" recordCount="7" xr:uid="{00000000-000A-0000-FFFF-FFFF00000000}">
  <cacheSource type="worksheet">
    <worksheetSource ref="N1:O8" sheet="index_1"/>
  </cacheSource>
  <cacheFields count="2">
    <cacheField name="Day" numFmtId="0">
      <sharedItems count="7">
        <s v="Friday"/>
        <s v="Saturday"/>
        <s v="Sunday"/>
        <s v="Monday"/>
        <s v="Tuesday"/>
        <s v="Wednesday"/>
        <s v="Thursday"/>
      </sharedItems>
    </cacheField>
    <cacheField name="Sales " numFmtId="4">
      <sharedItems containsSemiMixedTypes="0" containsString="0" containsNumber="1" minValue="13858.06" maxValue="18637.3799999999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cqmann" refreshedDate="45750.610498495371" createdVersion="5" refreshedVersion="5" minRefreshableVersion="3" recordCount="4" xr:uid="{00000000-000A-0000-FFFF-FFFF01000000}">
  <cacheSource type="worksheet">
    <worksheetSource ref="N16:O20" sheet="index_1"/>
  </cacheSource>
  <cacheFields count="2">
    <cacheField name="QUARTERS" numFmtId="0">
      <sharedItems count="4">
        <s v="1st"/>
        <s v="2nd"/>
        <s v="3rd"/>
        <s v="4th"/>
      </sharedItems>
    </cacheField>
    <cacheField name="SALES" numFmtId="4">
      <sharedItems containsSemiMixedTypes="0" containsString="0" containsNumber="1" minValue="23542.74" maxValue="30719.44000000000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cqmann" refreshedDate="45750.617236342594" createdVersion="5" refreshedVersion="5" minRefreshableVersion="3" recordCount="12" xr:uid="{00000000-000A-0000-FFFF-FFFF02000000}">
  <cacheSource type="worksheet">
    <worksheetSource ref="Q1:R13" sheet="index_1"/>
  </cacheSource>
  <cacheFields count="2">
    <cacheField name="Month" numFmtId="0">
      <sharedItems count="12">
        <s v="January"/>
        <s v="February"/>
        <s v="March"/>
        <s v="April"/>
        <s v="May"/>
        <s v="June"/>
        <s v="July"/>
        <s v="August"/>
        <s v="September"/>
        <s v="October"/>
        <s v="November"/>
        <s v="December"/>
      </sharedItems>
    </cacheField>
    <cacheField name="Sales" numFmtId="4">
      <sharedItems containsSemiMixedTypes="0" containsString="0" containsNumber="1" minValue="6398.86" maxValue="17036.63999999999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cqmann" refreshedDate="45750.617742476854" createdVersion="5" refreshedVersion="5" minRefreshableVersion="3" recordCount="8" xr:uid="{00000000-000A-0000-FFFF-FFFF03000000}">
  <cacheSource type="worksheet">
    <worksheetSource ref="W1:X9" sheet="index_1"/>
  </cacheSource>
  <cacheFields count="2">
    <cacheField name="Product" numFmtId="0">
      <sharedItems count="8">
        <s v="Latte"/>
        <s v="Hot Chocolate"/>
        <s v="Americano"/>
        <s v="Cocoa"/>
        <s v="Americano with Milk"/>
        <s v="Cortado"/>
        <s v="Espresso"/>
        <s v="Cappuccino"/>
      </sharedItems>
    </cacheField>
    <cacheField name="Sales " numFmtId="4">
      <sharedItems containsSemiMixedTypes="0" containsString="0" containsNumber="1" minValue="2814.2799999999934" maxValue="27866.299999999457"/>
    </cacheField>
  </cacheFields>
  <extLst>
    <ext xmlns:x14="http://schemas.microsoft.com/office/spreadsheetml/2009/9/main" uri="{725AE2AE-9491-48be-B2B4-4EB974FC3084}">
      <x14:pivotCacheDefinition pivotCacheId="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cqmann" refreshedDate="45750.618245949074" createdVersion="5" refreshedVersion="5" minRefreshableVersion="3" recordCount="8" xr:uid="{00000000-000A-0000-FFFF-FFFF04000000}">
  <cacheSource type="worksheet">
    <worksheetSource ref="Z1:AB9" sheet="index_1"/>
  </cacheSource>
  <cacheFields count="3">
    <cacheField name="Product " numFmtId="0">
      <sharedItems count="8">
        <s v="Latte"/>
        <s v="Hot Chocolate"/>
        <s v="Americano"/>
        <s v="Cocoa"/>
        <s v="Americano with Milk"/>
        <s v="Cortado"/>
        <s v="Espresso"/>
        <s v="Cappuccino"/>
      </sharedItems>
    </cacheField>
    <cacheField name="Price " numFmtId="0">
      <sharedItems containsSemiMixedTypes="0" containsString="0" containsNumber="1" minValue="24" maxValue="38.700000000000003" count="4">
        <n v="38.700000000000003"/>
        <n v="28.9"/>
        <n v="33.799999999999997"/>
        <n v="24"/>
      </sharedItems>
    </cacheField>
    <cacheField name="Sales percentage" numFmtId="164">
      <sharedItems containsSemiMixedTypes="0" containsString="0" containsNumber="1" minValue="2.43805031517372E-2" maxValue="0.24140967315876269" count="8">
        <n v="0.24140967315876269"/>
        <n v="8.8125450591597945E-2"/>
        <n v="0.13048647519162329"/>
        <n v="7.5180119686485039E-2"/>
        <n v="0.21890993781771267"/>
        <n v="6.5275551110017233E-2"/>
        <n v="2.43805031517372E-2"/>
        <n v="0.1562322892920639"/>
      </sharedItems>
    </cacheField>
  </cacheFields>
  <extLst>
    <ext xmlns:x14="http://schemas.microsoft.com/office/spreadsheetml/2009/9/main" uri="{725AE2AE-9491-48be-B2B4-4EB974FC3084}">
      <x14:pivotCacheDefinition pivotCacheId="2"/>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cqmann" refreshedDate="45750.620173611111" createdVersion="5" refreshedVersion="5" minRefreshableVersion="3" recordCount="8" xr:uid="{00000000-000A-0000-FFFF-FFFF05000000}">
  <cacheSource type="worksheet">
    <worksheetSource ref="W14:Y22" sheet="index_1"/>
  </cacheSource>
  <cacheFields count="3">
    <cacheField name="Product" numFmtId="0">
      <sharedItems count="8">
        <s v="Latte"/>
        <s v="Hot Chocolate"/>
        <s v="Americano"/>
        <s v="Cocoa"/>
        <s v="Americano with Milk"/>
        <s v="Cortado"/>
        <s v="Espresso"/>
        <s v="Cappuccino"/>
      </sharedItems>
    </cacheField>
    <cacheField name="Footfall" numFmtId="3">
      <sharedItems containsSemiMixedTypes="0" containsString="0" containsNumber="1" containsInteger="1" minValue="134" maxValue="824"/>
    </cacheField>
    <cacheField name="Percentage " numFmtId="164">
      <sharedItems containsSemiMixedTypes="0" containsString="0" containsNumber="1" minValue="3.6853685368536851E-2" maxValue="0.22662266226622663"/>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cqmann" refreshedDate="45750.621243402777" createdVersion="5" refreshedVersion="5" minRefreshableVersion="3" recordCount="2" xr:uid="{00000000-000A-0000-FFFF-FFFF06000000}">
  <cacheSource type="worksheet">
    <worksheetSource ref="T1:U3" sheet="index_1"/>
  </cacheSource>
  <cacheFields count="2">
    <cacheField name="Year" numFmtId="0">
      <sharedItems containsSemiMixedTypes="0" containsString="0" containsNumber="1" containsInteger="1" minValue="2024" maxValue="2025" count="2">
        <n v="2024"/>
        <n v="2025"/>
      </sharedItems>
    </cacheField>
    <cacheField name="Sales" numFmtId="4">
      <sharedItems containsSemiMixedTypes="0" containsString="0" containsNumber="1" minValue="29600.779999999995" maxValue="85830.8" count="2">
        <n v="85830.8"/>
        <n v="29600.779999999995"/>
      </sharedItems>
    </cacheField>
  </cacheFields>
  <extLst>
    <ext xmlns:x14="http://schemas.microsoft.com/office/spreadsheetml/2009/9/main" uri="{725AE2AE-9491-48be-B2B4-4EB974FC3084}">
      <x14:pivotCacheDefinition pivotCacheId="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cqmann" refreshedDate="45772.938907060183" createdVersion="5" refreshedVersion="5" minRefreshableVersion="3" recordCount="3636" xr:uid="{00000000-000A-0000-FFFF-FFFF07000000}">
  <cacheSource type="worksheet">
    <worksheetSource ref="A1:F3231" sheet="index_1" r:id="rId2"/>
  </cacheSource>
  <cacheFields count="7">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cacheField>
    <cacheField name="Day" numFmtId="14">
      <sharedItems count="7">
        <s v="Friday"/>
        <s v="Saturday"/>
        <s v="Sunday"/>
        <s v="Monday"/>
        <s v="Tuesday"/>
        <s v="Wednesday"/>
        <s v="Thursday"/>
      </sharedItems>
    </cacheField>
    <cacheField name="datetime" numFmtId="47">
      <sharedItems containsSemiMixedTypes="0" containsNonDate="0" containsDate="1" containsString="0" minDate="2024-03-01T10:15:51" maxDate="2025-03-23T18:11:39" count="3636">
        <d v="2024-03-01T10:15:51"/>
        <d v="2024-03-01T12:19:23"/>
        <d v="2024-03-01T12:20:18"/>
        <d v="2024-03-01T13:46:33"/>
        <d v="2024-03-01T13:48:15"/>
        <d v="2024-03-01T15:39:48"/>
        <d v="2024-03-01T16:19:03"/>
        <d v="2024-03-01T18:39:04"/>
        <d v="2024-03-01T19:22:02"/>
        <d v="2024-03-01T19:23:16"/>
        <d v="2024-03-01T19:29:17"/>
        <d v="2024-03-02T10:22:07"/>
        <d v="2024-03-02T10:30:36"/>
        <d v="2024-03-02T10:41:41"/>
        <d v="2024-03-02T11:59:45"/>
        <d v="2024-03-02T14:38:36"/>
        <d v="2024-03-02T16:37:24"/>
        <d v="2024-03-02T17:34:55"/>
        <d v="2024-03-03T10:10:44"/>
        <d v="2024-03-03T10:27:19"/>
        <d v="2024-03-03T11:33:56"/>
        <d v="2024-03-03T12:26:56"/>
        <d v="2024-03-03T13:09:36"/>
        <d v="2024-03-03T17:06:40"/>
        <d v="2024-03-03T17:08:46"/>
        <d v="2024-03-03T18:03:23"/>
        <d v="2024-03-03T18:04:28"/>
        <d v="2024-03-03T18:08:05"/>
        <d v="2024-03-04T10:03:52"/>
        <d v="2024-03-04T10:54:51"/>
        <d v="2024-03-04T11:05:16"/>
        <d v="2024-03-04T14:04:38"/>
        <d v="2024-03-05T09:59:53"/>
        <d v="2024-03-05T14:34:56"/>
        <d v="2024-03-05T17:34:06"/>
        <d v="2024-03-05T17:35:25"/>
        <d v="2024-03-05T17:36:29"/>
        <d v="2024-03-05T17:37:14"/>
        <d v="2024-03-05T17:38:09"/>
        <d v="2024-03-05T17:56:16"/>
        <d v="2024-03-05T18:01:31"/>
        <d v="2024-03-06T12:30:27"/>
        <d v="2024-03-06T13:24:08"/>
        <d v="2024-03-06T13:25:14"/>
        <d v="2024-03-06T14:52:02"/>
        <d v="2024-03-06T14:53:18"/>
        <d v="2024-03-07T10:08:59"/>
        <d v="2024-03-07T10:18:41"/>
        <d v="2024-03-07T11:03:59"/>
        <d v="2024-03-07T11:25:44"/>
        <d v="2024-03-07T15:40:23"/>
        <d v="2024-03-07T15:41:29"/>
        <d v="2024-03-08T10:34:41"/>
        <d v="2024-03-08T12:22:29"/>
        <d v="2024-03-08T13:53:02"/>
        <d v="2024-03-08T14:44:13"/>
        <d v="2024-03-08T14:45:11"/>
        <d v="2024-03-08T14:46:11"/>
        <d v="2024-03-08T18:57:51"/>
        <d v="2024-03-08T18:59:25"/>
        <d v="2024-03-09T11:49:37"/>
        <d v="2024-03-09T12:05:16"/>
        <d v="2024-03-09T12:07:38"/>
        <d v="2024-03-09T12:09:48"/>
        <d v="2024-03-09T12:13:04"/>
        <d v="2024-03-09T12:14:26"/>
        <d v="2024-03-09T13:09:22"/>
        <d v="2024-03-09T13:41:06"/>
        <d v="2024-03-09T13:53:10"/>
        <d v="2024-03-09T13:54:37"/>
        <d v="2024-03-09T14:08:02"/>
        <d v="2024-03-09T14:26:53"/>
        <d v="2024-03-09T19:17:58"/>
        <d v="2024-03-09T19:19:10"/>
        <d v="2024-03-10T07:44:19"/>
        <d v="2024-03-10T07:45:29"/>
        <d v="2024-03-10T10:06:03"/>
        <d v="2024-03-10T11:19:21"/>
        <d v="2024-03-10T17:51:03"/>
        <d v="2024-03-10T19:34:00"/>
        <d v="2024-03-10T19:35:55"/>
        <d v="2024-03-11T10:18:47"/>
        <d v="2024-03-11T11:24:15"/>
        <d v="2024-03-11T11:24:52"/>
        <d v="2024-03-11T11:26:44"/>
        <d v="2024-03-11T11:32:59"/>
        <d v="2024-03-11T16:24:26"/>
        <d v="2024-03-11T16:25:46"/>
        <d v="2024-03-11T16:50:50"/>
        <d v="2024-03-12T10:15:00"/>
        <d v="2024-03-12T10:15:35"/>
        <d v="2024-03-12T10:16:25"/>
        <d v="2024-03-12T11:20:46"/>
        <d v="2024-03-12T12:46:23"/>
        <d v="2024-03-12T12:47:26"/>
        <d v="2024-03-12T16:15:43"/>
        <d v="2024-03-13T11:06:43"/>
        <d v="2024-03-13T11:48:17"/>
        <d v="2024-03-13T12:18:06"/>
        <d v="2024-03-13T12:19:05"/>
        <d v="2024-03-13T12:34:30"/>
        <d v="2024-03-13T14:26:41"/>
        <d v="2024-03-13T15:40:22"/>
        <d v="2024-03-13T15:41:20"/>
        <d v="2024-03-13T16:47:09"/>
        <d v="2024-03-14T10:02:12"/>
        <d v="2024-03-14T10:28:33"/>
        <d v="2024-03-14T10:29:34"/>
        <d v="2024-03-14T13:27:30"/>
        <d v="2024-03-14T13:28:25"/>
        <d v="2024-03-14T13:52:00"/>
        <d v="2024-03-14T13:52:56"/>
        <d v="2024-03-14T15:20:38"/>
        <d v="2024-03-14T16:04:10"/>
        <d v="2024-03-14T16:54:38"/>
        <d v="2024-03-14T18:58:56"/>
        <d v="2024-03-14T19:00:09"/>
        <d v="2024-03-15T10:02:17"/>
        <d v="2024-03-15T10:53:02"/>
        <d v="2024-03-15T18:19:28"/>
        <d v="2024-03-16T12:06:55"/>
        <d v="2024-03-16T12:07:54"/>
        <d v="2024-03-16T15:58:18"/>
        <d v="2024-03-16T16:03:22"/>
        <d v="2024-03-16T16:04:11"/>
        <d v="2024-03-16T17:58:07"/>
        <d v="2024-03-17T10:10:21"/>
        <d v="2024-03-17T12:55:26"/>
        <d v="2024-03-18T11:18:00"/>
        <d v="2024-03-18T15:31:40"/>
        <d v="2024-03-18T15:32:38"/>
        <d v="2024-03-18T15:33:37"/>
        <d v="2024-03-19T10:20:26"/>
        <d v="2024-03-19T14:02:22"/>
        <d v="2024-03-19T14:03:20"/>
        <d v="2024-03-19T15:04:36"/>
        <d v="2024-03-19T16:53:49"/>
        <d v="2024-03-19T19:26:33"/>
        <d v="2024-03-20T11:41:16"/>
        <d v="2024-03-20T12:21:08"/>
        <d v="2024-03-20T12:30:49"/>
        <d v="2024-03-20T13:16:47"/>
        <d v="2024-03-20T16:42:38"/>
        <d v="2024-03-20T17:50:29"/>
        <d v="2024-03-21T10:18:57"/>
        <d v="2024-03-21T12:25:09"/>
        <d v="2024-03-21T12:26:17"/>
        <d v="2024-03-21T17:21:01"/>
        <d v="2024-03-21T17:22:01"/>
        <d v="2024-03-21T19:20:37"/>
        <d v="2024-03-22T10:35:54"/>
        <d v="2024-03-22T13:29:20"/>
        <d v="2024-03-22T16:15:14"/>
        <d v="2024-03-22T17:17:04"/>
        <d v="2024-03-22T17:17:59"/>
        <d v="2024-03-22T17:20:49"/>
        <d v="2024-03-23T10:44:00"/>
        <d v="2024-03-23T10:45:07"/>
        <d v="2024-03-23T13:10:08"/>
        <d v="2024-03-23T13:11:12"/>
        <d v="2024-03-23T14:44:41"/>
        <d v="2024-03-23T15:47:19"/>
        <d v="2024-03-23T15:49:34"/>
        <d v="2024-03-23T16:00:58"/>
        <d v="2024-03-24T10:03:56"/>
        <d v="2024-03-24T18:45:08"/>
        <d v="2024-03-25T10:31:47"/>
        <d v="2024-03-25T11:16:26"/>
        <d v="2024-03-25T14:27:09"/>
        <d v="2024-03-25T14:29:25"/>
        <d v="2024-03-25T18:37:31"/>
        <d v="2024-03-25T19:34:25"/>
        <d v="2024-03-26T10:35:50"/>
        <d v="2024-03-26T10:36:36"/>
        <d v="2024-03-26T10:42:30"/>
        <d v="2024-03-26T11:11:47"/>
        <d v="2024-03-26T13:35:53"/>
        <d v="2024-03-26T13:36:50"/>
        <d v="2024-03-26T13:38:00"/>
        <d v="2024-03-26T13:57:54"/>
        <d v="2024-03-26T15:48:02"/>
        <d v="2024-03-26T18:33:39"/>
        <d v="2024-03-26T18:34:55"/>
        <d v="2024-03-27T11:04:51"/>
        <d v="2024-03-27T11:05:58"/>
        <d v="2024-03-27T12:57:00"/>
        <d v="2024-03-27T13:35:20"/>
        <d v="2024-03-27T14:22:32"/>
        <d v="2024-03-27T14:23:35"/>
        <d v="2024-03-27T18:30:12"/>
        <d v="2024-03-27T19:31:12"/>
        <d v="2024-03-28T14:24:47"/>
        <d v="2024-03-28T17:24:46"/>
        <d v="2024-03-28T17:27:05"/>
        <d v="2024-03-28T17:32:45"/>
        <d v="2024-03-29T10:56:19"/>
        <d v="2024-03-29T12:34:17"/>
        <d v="2024-03-29T12:41:32"/>
        <d v="2024-03-29T13:22:45"/>
        <d v="2024-03-30T11:59:20"/>
        <d v="2024-03-30T13:49:26"/>
        <d v="2024-03-30T16:12:32"/>
        <d v="2024-03-30T16:36:41"/>
        <d v="2024-03-30T16:37:58"/>
        <d v="2024-03-31T10:40:05"/>
        <d v="2024-03-31T19:36:45"/>
        <d v="2024-04-01T10:28:48"/>
        <d v="2024-04-01T10:29:42"/>
        <d v="2024-04-01T10:30:44"/>
        <d v="2024-04-01T11:15:44"/>
        <d v="2024-04-01T17:01:43"/>
        <d v="2024-04-01T18:18:42"/>
        <d v="2024-04-01T18:45:27"/>
        <d v="2024-04-02T10:01:14"/>
        <d v="2024-04-02T16:18:34"/>
        <d v="2024-04-02T16:19:28"/>
        <d v="2024-04-02T19:59:32"/>
        <d v="2024-04-03T10:19:14"/>
        <d v="2024-04-03T10:20:08"/>
        <d v="2024-04-03T13:12:05"/>
        <d v="2024-04-03T15:36:12"/>
        <d v="2024-04-04T10:44:56"/>
        <d v="2024-04-04T11:26:38"/>
        <d v="2024-04-04T11:27:48"/>
        <d v="2024-04-04T12:23:02"/>
        <d v="2024-04-04T19:42:08"/>
        <d v="2024-04-05T10:40:43"/>
        <d v="2024-04-05T10:42:06"/>
        <d v="2024-04-05T11:06:15"/>
        <d v="2024-04-05T12:14:28"/>
        <d v="2024-04-05T14:23:40"/>
        <d v="2024-04-05T14:24:50"/>
        <d v="2024-04-05T15:30:50"/>
        <d v="2024-04-05T15:54:16"/>
        <d v="2024-04-05T15:55:31"/>
        <d v="2024-04-05T16:17:44"/>
        <d v="2024-04-05T16:18:24"/>
        <d v="2024-04-06T12:32:31"/>
        <d v="2024-04-06T14:13:19"/>
        <d v="2024-04-06T14:14:27"/>
        <d v="2024-04-06T14:49:50"/>
        <d v="2024-04-07T10:12:53"/>
        <d v="2024-04-07T12:44:32"/>
        <d v="2024-04-07T12:46:05"/>
        <d v="2024-04-07T14:16:25"/>
        <d v="2024-04-07T14:17:31"/>
        <d v="2024-04-07T18:01:17"/>
        <d v="2024-04-07T18:02:04"/>
        <d v="2024-04-08T10:58:21"/>
        <d v="2024-04-08T10:59:28"/>
        <d v="2024-04-08T11:01:20"/>
        <d v="2024-04-08T11:04:47"/>
        <d v="2024-04-08T12:54:26"/>
        <d v="2024-04-08T15:43:37"/>
        <d v="2024-04-08T16:41:38"/>
        <d v="2024-04-08T18:18:10"/>
        <d v="2024-04-08T19:22:27"/>
        <d v="2024-04-08T19:23:59"/>
        <d v="2024-04-09T10:22:27"/>
        <d v="2024-04-09T10:24:10"/>
        <d v="2024-04-09T11:42:28"/>
        <d v="2024-04-09T15:11:49"/>
        <d v="2024-04-09T17:25:24"/>
        <d v="2024-04-10T10:21:26"/>
        <d v="2024-04-10T17:55:07"/>
        <d v="2024-04-10T17:55:31"/>
        <d v="2024-04-10T18:24:59"/>
        <d v="2024-04-10T20:04:05"/>
        <d v="2024-04-11T10:41:23"/>
        <d v="2024-04-11T10:42:59"/>
        <d v="2024-04-11T16:35:23"/>
        <d v="2024-04-11T19:16:57"/>
        <d v="2024-04-11T19:18:37"/>
        <d v="2024-04-12T19:03:43"/>
        <d v="2024-04-12T19:38:23"/>
        <d v="2024-04-13T12:29:20"/>
        <d v="2024-04-13T12:43:02"/>
        <d v="2024-04-13T15:06:52"/>
        <d v="2024-04-13T15:07:56"/>
        <d v="2024-04-13T16:18:04"/>
        <d v="2024-04-13T16:19:40"/>
        <d v="2024-04-13T17:51:26"/>
        <d v="2024-04-13T17:53:19"/>
        <d v="2024-04-14T10:55:27"/>
        <d v="2024-04-14T12:24:39"/>
        <d v="2024-04-14T12:27:09"/>
        <d v="2024-04-14T12:29:07"/>
        <d v="2024-04-14T12:31:36"/>
        <d v="2024-04-14T13:21:50"/>
        <d v="2024-04-14T14:23:32"/>
        <d v="2024-04-14T14:24:27"/>
        <d v="2024-04-14T14:25:18"/>
        <d v="2024-04-14T15:46:28"/>
        <d v="2024-04-14T16:59:55"/>
        <d v="2024-04-14T17:00:45"/>
        <d v="2024-04-14T18:38:20"/>
        <d v="2024-04-15T11:45:25"/>
        <d v="2024-04-15T17:01:46"/>
        <d v="2024-04-15T17:02:50"/>
        <d v="2024-04-15T19:33:03"/>
        <d v="2024-04-15T19:41:58"/>
        <d v="2024-04-16T10:43:50"/>
        <d v="2024-04-16T10:46:26"/>
        <d v="2024-04-16T12:40:48"/>
        <d v="2024-04-16T12:52:08"/>
        <d v="2024-04-16T15:03:17"/>
        <d v="2024-04-16T17:42:04"/>
        <d v="2024-04-16T17:43:23"/>
        <d v="2024-04-16T18:09:05"/>
        <d v="2024-04-17T13:33:00"/>
        <d v="2024-04-17T13:44:00"/>
        <d v="2024-04-17T16:13:24"/>
        <d v="2024-04-17T17:01:35"/>
        <d v="2024-04-17T17:02:41"/>
        <d v="2024-04-17T18:14:03"/>
        <d v="2024-04-18T11:19:02"/>
        <d v="2024-04-18T11:20:06"/>
        <d v="2024-04-18T13:49:13"/>
        <d v="2024-04-18T13:50:17"/>
        <d v="2024-04-18T14:34:20"/>
        <d v="2024-04-18T14:35:49"/>
        <d v="2024-04-18T17:44:16"/>
        <d v="2024-04-18T18:21:06"/>
        <d v="2024-04-18T19:39:51"/>
        <d v="2024-04-18T19:40:49"/>
        <d v="2024-04-19T10:10:36"/>
        <d v="2024-04-19T13:11:48"/>
        <d v="2024-04-19T13:13:21"/>
        <d v="2024-04-19T13:58:54"/>
        <d v="2024-04-19T13:59:50"/>
        <d v="2024-04-19T18:23:19"/>
        <d v="2024-04-19T18:25:33"/>
        <d v="2024-04-20T11:24:43"/>
        <d v="2024-04-20T12:08:36"/>
        <d v="2024-04-20T12:09:43"/>
        <d v="2024-04-20T13:08:37"/>
        <d v="2024-04-20T13:09:48"/>
        <d v="2024-04-20T13:10:55"/>
        <d v="2024-04-20T14:44:18"/>
        <d v="2024-04-20T15:11:00"/>
        <d v="2024-04-20T15:22:41"/>
        <d v="2024-04-20T15:49:25"/>
        <d v="2024-04-20T17:07:58"/>
        <d v="2024-04-20T18:27:41"/>
        <d v="2024-04-20T18:28:47"/>
        <d v="2024-04-20T19:30:55"/>
        <d v="2024-04-21T11:16:46"/>
        <d v="2024-04-21T14:15:38"/>
        <d v="2024-04-21T17:09:03"/>
        <d v="2024-04-22T11:09:16"/>
        <d v="2024-04-22T11:29:27"/>
        <d v="2024-04-22T18:40:33"/>
        <d v="2024-04-22T19:39:05"/>
        <d v="2024-04-22T20:02:29"/>
        <d v="2024-04-23T14:22:36"/>
        <d v="2024-04-23T14:23:53"/>
        <d v="2024-04-23T14:24:58"/>
        <d v="2024-04-23T19:42:28"/>
        <d v="2024-04-23T19:43:26"/>
        <d v="2024-04-24T10:19:38"/>
        <d v="2024-04-24T10:21:27"/>
        <d v="2024-04-24T11:23:46"/>
        <d v="2024-04-24T11:33:26"/>
        <d v="2024-04-24T12:39:09"/>
        <d v="2024-04-24T16:39:07"/>
        <d v="2024-04-24T19:39:50"/>
        <d v="2024-04-24T19:40:54"/>
        <d v="2024-04-25T10:46:08"/>
        <d v="2024-04-25T15:18:27"/>
        <d v="2024-04-25T17:09:44"/>
        <d v="2024-04-25T17:10:49"/>
        <d v="2024-04-26T10:12:51"/>
        <d v="2024-04-26T12:01:31"/>
        <d v="2024-04-26T13:31:28"/>
        <d v="2024-04-26T15:32:35"/>
        <d v="2024-04-26T15:33:33"/>
        <d v="2024-04-26T16:23:27"/>
        <d v="2024-04-26T16:24:34"/>
        <d v="2024-04-26T19:32:07"/>
        <d v="2024-04-26T19:33:30"/>
        <d v="2024-04-27T15:27:01"/>
        <d v="2024-04-28T10:32:52"/>
        <d v="2024-04-28T12:30:10"/>
        <d v="2024-04-28T18:27:08"/>
        <d v="2024-04-28T18:28:11"/>
        <d v="2024-04-28T18:29:02"/>
        <d v="2024-04-29T11:26:32"/>
        <d v="2024-04-29T13:27:57"/>
        <d v="2024-04-29T13:28:54"/>
        <d v="2024-04-29T13:53:36"/>
        <d v="2024-04-29T13:54:24"/>
        <d v="2024-04-29T18:37:48"/>
        <d v="2024-04-29T19:12:33"/>
        <d v="2024-04-29T19:13:38"/>
        <d v="2024-04-30T10:16:41"/>
        <d v="2024-04-30T10:34:52"/>
        <d v="2024-04-30T10:35:48"/>
        <d v="2024-04-30T13:41:52"/>
        <d v="2024-04-30T13:43:00"/>
        <d v="2024-04-30T19:19:18"/>
        <d v="2024-04-30T19:30:04"/>
        <d v="2024-04-30T19:31:21"/>
        <d v="2024-05-02T10:33:56"/>
        <d v="2024-05-02T11:29:57"/>
        <d v="2024-05-02T13:49:40"/>
        <d v="2024-05-02T18:36:22"/>
        <d v="2024-05-02T18:41:11"/>
        <d v="2024-05-02T19:18:33"/>
        <d v="2024-05-02T19:19:56"/>
        <d v="2024-05-03T10:11:53"/>
        <d v="2024-05-03T14:30:01"/>
        <d v="2024-05-03T17:03:25"/>
        <d v="2024-05-06T10:05:18"/>
        <d v="2024-05-06T10:06:52"/>
        <d v="2024-05-06T10:08:06"/>
        <d v="2024-05-06T10:09:08"/>
        <d v="2024-05-06T10:39:13"/>
        <d v="2024-05-06T11:34:21"/>
        <d v="2024-05-06T13:18:11"/>
        <d v="2024-05-06T13:19:01"/>
        <d v="2024-05-06T19:18:13"/>
        <d v="2024-05-06T19:19:50"/>
        <d v="2024-05-07T10:44:56"/>
        <d v="2024-05-07T11:21:58"/>
        <d v="2024-05-07T13:23:35"/>
        <d v="2024-05-07T16:42:08"/>
        <d v="2024-05-07T16:55:39"/>
        <d v="2024-05-07T17:37:46"/>
        <d v="2024-05-07T17:38:48"/>
        <d v="2024-05-07T18:35:37"/>
        <d v="2024-05-07T19:12:13"/>
        <d v="2024-05-07T19:13:12"/>
        <d v="2024-05-08T10:07:29"/>
        <d v="2024-05-09T12:54:22"/>
        <d v="2024-05-09T13:03:59"/>
        <d v="2024-05-09T13:04:58"/>
        <d v="2024-05-09T13:06:11"/>
        <d v="2024-05-09T13:07:16"/>
        <d v="2024-05-09T16:55:15"/>
        <d v="2024-05-09T16:56:15"/>
        <d v="2024-05-09T18:01:30"/>
        <d v="2024-05-09T18:13:56"/>
        <d v="2024-05-10T10:09:22"/>
        <d v="2024-05-10T15:46:22"/>
        <d v="2024-05-10T15:47:33"/>
        <d v="2024-05-10T16:20:15"/>
        <d v="2024-05-11T11:39:53"/>
        <d v="2024-05-11T17:02:44"/>
        <d v="2024-05-11T17:20:30"/>
        <d v="2024-05-11T17:21:56"/>
        <d v="2024-05-11T17:23:57"/>
        <d v="2024-05-11T17:28:54"/>
        <d v="2024-05-11T18:35:40"/>
        <d v="2024-05-11T19:38:16"/>
        <d v="2024-05-12T10:20:43"/>
        <d v="2024-05-12T13:24:03"/>
        <d v="2024-05-12T13:27:39"/>
        <d v="2024-05-12T15:16:20"/>
        <d v="2024-05-12T15:38:02"/>
        <d v="2024-05-12T15:52:15"/>
        <d v="2024-05-12T16:04:21"/>
        <d v="2024-05-12T19:41:31"/>
        <d v="2024-05-13T11:03:53"/>
        <d v="2024-05-13T15:31:11"/>
        <d v="2024-05-13T15:31:51"/>
        <d v="2024-05-14T08:38:15"/>
        <d v="2024-05-14T08:39:25"/>
        <d v="2024-05-14T08:40:17"/>
        <d v="2024-05-14T10:19:23"/>
        <d v="2024-05-14T11:32:29"/>
        <d v="2024-05-14T11:34:13"/>
        <d v="2024-05-14T14:04:55"/>
        <d v="2024-05-14T14:06:00"/>
        <d v="2024-05-14T15:01:55"/>
        <d v="2024-05-14T16:57:57"/>
        <d v="2024-05-14T16:59:10"/>
        <d v="2024-05-14T22:51:25"/>
        <d v="2024-05-15T08:40:06"/>
        <d v="2024-05-15T11:14:19"/>
        <d v="2024-05-15T11:19:10"/>
        <d v="2024-05-15T13:34:35"/>
        <d v="2024-05-15T13:35:29"/>
        <d v="2024-05-15T13:36:27"/>
        <d v="2024-05-15T13:55:29"/>
        <d v="2024-05-15T14:38:11"/>
        <d v="2024-05-15T14:38:52"/>
        <d v="2024-05-15T14:39:44"/>
        <d v="2024-05-15T17:28:59"/>
        <d v="2024-05-15T20:20:35"/>
        <d v="2024-05-16T10:38:42"/>
        <d v="2024-05-16T10:39:49"/>
        <d v="2024-05-16T11:42:50"/>
        <d v="2024-05-16T11:44:21"/>
        <d v="2024-05-16T12:14:00"/>
        <d v="2024-05-16T15:15:16"/>
        <d v="2024-05-16T17:44:32"/>
        <d v="2024-05-16T18:12:57"/>
        <d v="2024-05-16T18:13:58"/>
        <d v="2024-05-17T09:00:48"/>
        <d v="2024-05-17T11:30:28"/>
        <d v="2024-05-17T14:58:03"/>
        <d v="2024-05-17T19:55:19"/>
        <d v="2024-05-17T19:56:47"/>
        <d v="2024-05-17T20:37:53"/>
        <d v="2024-05-17T22:34:51"/>
        <d v="2024-05-17T22:36:33"/>
        <d v="2024-05-17T22:37:43"/>
        <d v="2024-05-18T08:01:38"/>
        <d v="2024-05-18T08:02:40"/>
        <d v="2024-05-18T11:15:56"/>
        <d v="2024-05-18T16:48:29"/>
        <d v="2024-05-18T16:49:27"/>
        <d v="2024-05-18T19:58:44"/>
        <d v="2024-05-18T20:22:53"/>
        <d v="2024-05-18T22:05:27"/>
        <d v="2024-05-19T07:58:38"/>
        <d v="2024-05-19T07:59:34"/>
        <d v="2024-05-19T08:00:35"/>
        <d v="2024-05-19T09:28:50"/>
        <d v="2024-05-19T12:14:27"/>
        <d v="2024-05-19T14:43:40"/>
        <d v="2024-05-19T15:58:58"/>
        <d v="2024-05-19T18:12:36"/>
        <d v="2024-05-19T18:13:48"/>
        <d v="2024-05-19T18:16:30"/>
        <d v="2024-05-19T19:51:07"/>
        <d v="2024-05-19T21:15:42"/>
        <d v="2024-05-19T21:18:36"/>
        <d v="2024-05-20T10:05:59"/>
        <d v="2024-05-20T10:17:52"/>
        <d v="2024-05-20T10:58:48"/>
        <d v="2024-05-20T11:15:16"/>
        <d v="2024-05-20T11:16:20"/>
        <d v="2024-05-20T13:27:13"/>
        <d v="2024-05-20T13:28:10"/>
        <d v="2024-05-20T14:13:19"/>
        <d v="2024-05-20T14:14:31"/>
        <d v="2024-05-20T14:32:21"/>
        <d v="2024-05-20T17:12:51"/>
        <d v="2024-05-20T17:13:57"/>
        <d v="2024-05-20T20:36:48"/>
        <d v="2024-05-20T20:37:57"/>
        <d v="2024-05-20T20:46:52"/>
        <d v="2024-05-20T21:36:54"/>
        <d v="2024-05-20T21:37:58"/>
        <d v="2024-05-21T08:27:38"/>
        <d v="2024-05-21T09:43:51"/>
        <d v="2024-05-21T09:44:40"/>
        <d v="2024-05-21T09:46:09"/>
        <d v="2024-05-21T10:05:08"/>
        <d v="2024-05-21T16:10:20"/>
        <d v="2024-05-21T18:13:24"/>
        <d v="2024-05-21T19:11:09"/>
        <d v="2024-05-21T20:13:48"/>
        <d v="2024-05-22T09:34:42"/>
        <d v="2024-05-22T10:49:47"/>
        <d v="2024-05-22T11:18:14"/>
        <d v="2024-05-22T11:34:55"/>
        <d v="2024-05-22T12:29:51"/>
        <d v="2024-05-22T12:30:43"/>
        <d v="2024-05-22T14:00:20"/>
        <d v="2024-05-22T19:24:58"/>
        <d v="2024-05-22T19:25:59"/>
        <d v="2024-05-22T21:23:53"/>
        <d v="2024-05-22T21:24:50"/>
        <d v="2024-05-23T10:10:20"/>
        <d v="2024-05-23T12:22:07"/>
        <d v="2024-05-23T15:55:17"/>
        <d v="2024-05-23T15:56:27"/>
        <d v="2024-05-23T16:18:14"/>
        <d v="2024-05-23T16:41:00"/>
        <d v="2024-05-23T17:14:33"/>
        <d v="2024-05-23T17:15:45"/>
        <d v="2024-05-23T19:03:54"/>
        <d v="2024-05-23T19:17:28"/>
        <d v="2024-05-23T19:18:26"/>
        <d v="2024-05-23T19:42:32"/>
        <d v="2024-05-23T20:15:01"/>
        <d v="2024-05-23T20:16:24"/>
        <d v="2024-05-23T22:48:11"/>
        <d v="2024-05-23T22:55:37"/>
        <d v="2024-05-24T11:11:59"/>
        <d v="2024-05-24T11:15:08"/>
        <d v="2024-05-24T11:16:13"/>
        <d v="2024-05-24T16:07:20"/>
        <d v="2024-05-24T18:17:40"/>
        <d v="2024-05-24T18:18:37"/>
        <d v="2024-05-24T22:30:40"/>
        <d v="2024-05-25T07:40:59"/>
        <d v="2024-05-25T12:13:53"/>
        <d v="2024-05-25T12:40:24"/>
        <d v="2024-05-25T12:42:10"/>
        <d v="2024-05-25T12:43:13"/>
        <d v="2024-05-25T12:58:12"/>
        <d v="2024-05-25T16:47:10"/>
        <d v="2024-05-25T16:48:17"/>
        <d v="2024-05-26T10:20:02"/>
        <d v="2024-05-26T14:24:50"/>
        <d v="2024-05-26T14:26:05"/>
        <d v="2024-05-26T14:40:59"/>
        <d v="2024-05-26T17:19:16"/>
        <d v="2024-05-26T18:09:53"/>
        <d v="2024-05-26T18:11:02"/>
        <d v="2024-05-26T18:13:14"/>
        <d v="2024-05-26T18:39:19"/>
        <d v="2024-05-26T20:59:15"/>
        <d v="2024-05-26T21:00:06"/>
        <d v="2024-05-26T21:02:37"/>
        <d v="2024-05-26T21:03:52"/>
        <d v="2024-05-26T21:04:59"/>
        <d v="2024-05-26T21:06:03"/>
        <d v="2024-05-27T11:34:55"/>
        <d v="2024-05-27T14:05:22"/>
        <d v="2024-05-27T14:06:44"/>
        <d v="2024-05-27T15:11:34"/>
        <d v="2024-05-27T15:14:06"/>
        <d v="2024-05-27T17:50:56"/>
        <d v="2024-05-27T18:00:51"/>
        <d v="2024-05-27T19:16:27"/>
        <d v="2024-05-27T19:17:39"/>
        <d v="2024-05-27T21:29:07"/>
        <d v="2024-05-27T21:30:20"/>
        <d v="2024-05-28T08:37:09"/>
        <d v="2024-05-28T09:20:11"/>
        <d v="2024-05-28T11:48:18"/>
        <d v="2024-05-28T13:14:40"/>
        <d v="2024-05-28T14:10:54"/>
        <d v="2024-05-28T16:25:39"/>
        <d v="2024-05-28T17:21:44"/>
        <d v="2024-05-28T19:09:29"/>
        <d v="2024-05-28T19:10:31"/>
        <d v="2024-05-28T20:24:32"/>
        <d v="2024-05-28T20:50:19"/>
        <d v="2024-05-29T09:14:44"/>
        <d v="2024-05-29T10:48:47"/>
        <d v="2024-05-29T11:14:03"/>
        <d v="2024-05-29T15:10:49"/>
        <d v="2024-05-29T15:22:56"/>
        <d v="2024-05-29T15:45:13"/>
        <d v="2024-05-29T16:45:04"/>
        <d v="2024-05-29T18:24:03"/>
        <d v="2024-05-29T18:24:59"/>
        <d v="2024-05-29T20:30:42"/>
        <d v="2024-05-29T20:32:35"/>
        <d v="2024-05-30T08:29:06"/>
        <d v="2024-05-30T08:30:22"/>
        <d v="2024-05-30T08:37:05"/>
        <d v="2024-05-30T09:47:59"/>
        <d v="2024-05-30T14:56:15"/>
        <d v="2024-05-30T15:16:16"/>
        <d v="2024-05-30T15:17:39"/>
        <d v="2024-05-30T19:53:11"/>
        <d v="2024-05-30T20:31:05"/>
        <d v="2024-05-30T20:46:14"/>
        <d v="2024-05-30T20:47:22"/>
        <d v="2024-05-31T07:53:57"/>
        <d v="2024-05-31T09:21:08"/>
        <d v="2024-05-31T09:23:59"/>
        <d v="2024-05-31T10:38:08"/>
        <d v="2024-05-31T10:39:06"/>
        <d v="2024-05-31T14:50:13"/>
        <d v="2024-05-31T18:23:45"/>
        <d v="2024-05-31T18:25:03"/>
        <d v="2024-05-31T20:06:39"/>
        <d v="2024-05-31T20:33:06"/>
        <d v="2024-05-31T20:34:33"/>
        <d v="2024-05-31T22:05:47"/>
        <d v="2024-05-31T22:06:52"/>
        <d v="2024-05-31T22:07:55"/>
        <d v="2024-06-01T08:27:02"/>
        <d v="2024-06-01T09:48:25"/>
        <d v="2024-06-01T11:38:09"/>
        <d v="2024-06-01T14:28:54"/>
        <d v="2024-06-01T18:20:13"/>
        <d v="2024-06-01T18:21:15"/>
        <d v="2024-06-01T20:50:10"/>
        <d v="2024-06-01T20:51:14"/>
        <d v="2024-06-01T20:54:59"/>
        <d v="2024-06-01T20:59:10"/>
        <d v="2024-06-01T21:51:05"/>
        <d v="2024-06-02T20:03:26"/>
        <d v="2024-06-02T20:24:02"/>
        <d v="2024-06-02T20:25:07"/>
        <d v="2024-06-02T21:07:21"/>
        <d v="2024-06-02T21:30:12"/>
        <d v="2024-06-02T22:43:11"/>
        <d v="2024-06-03T10:12:04"/>
        <d v="2024-06-03T10:27:50"/>
        <d v="2024-06-03T14:31:42"/>
        <d v="2024-06-03T14:33:01"/>
        <d v="2024-06-03T14:34:07"/>
        <d v="2024-06-03T21:42:52"/>
        <d v="2024-06-03T21:43:37"/>
        <d v="2024-06-04T09:23:43"/>
        <d v="2024-06-04T10:27:14"/>
        <d v="2024-06-04T12:02:10"/>
        <d v="2024-06-04T12:05:29"/>
        <d v="2024-06-04T15:30:32"/>
        <d v="2024-06-04T17:46:37"/>
        <d v="2024-06-04T17:47:29"/>
        <d v="2024-06-04T20:13:01"/>
        <d v="2024-06-04T20:50:34"/>
        <d v="2024-06-04T21:31:59"/>
        <d v="2024-06-04T21:33:03"/>
        <d v="2024-06-04T21:34:56"/>
        <d v="2024-06-04T21:36:07"/>
        <d v="2024-06-04T21:37:15"/>
        <d v="2024-06-05T08:21:49"/>
        <d v="2024-06-05T08:23:07"/>
        <d v="2024-06-05T09:22:43"/>
        <d v="2024-06-05T10:28:51"/>
        <d v="2024-06-05T10:40:53"/>
        <d v="2024-06-05T19:43:58"/>
        <d v="2024-06-05T19:59:54"/>
        <d v="2024-06-05T20:10:48"/>
        <d v="2024-06-05T20:12:02"/>
        <d v="2024-06-06T08:52:56"/>
        <d v="2024-06-06T08:54:08"/>
        <d v="2024-06-06T10:36:10"/>
        <d v="2024-06-06T12:17:41"/>
        <d v="2024-06-06T15:11:14"/>
        <d v="2024-06-06T15:24:06"/>
        <d v="2024-06-06T21:14:05"/>
        <d v="2024-06-06T21:15:42"/>
        <d v="2024-06-06T21:18:27"/>
        <d v="2024-06-06T21:19:30"/>
        <d v="2024-06-06T21:21:04"/>
        <d v="2024-06-07T08:18:04"/>
        <d v="2024-06-07T10:35:28"/>
        <d v="2024-06-07T13:34:18"/>
        <d v="2024-06-07T16:45:42"/>
        <d v="2024-06-07T16:47:15"/>
        <d v="2024-06-08T09:04:20"/>
        <d v="2024-06-08T09:26:11"/>
        <d v="2024-06-08T20:24:54"/>
        <d v="2024-06-08T20:25:56"/>
        <d v="2024-06-09T08:15:53"/>
        <d v="2024-06-09T10:30:04"/>
        <d v="2024-06-09T10:52:06"/>
        <d v="2024-06-09T11:04:41"/>
        <d v="2024-06-09T11:07:08"/>
        <d v="2024-06-09T11:52:50"/>
        <d v="2024-06-09T12:11:24"/>
        <d v="2024-06-09T12:13:08"/>
        <d v="2024-06-09T12:14:11"/>
        <d v="2024-06-09T15:10:31"/>
        <d v="2024-06-09T16:17:28"/>
        <d v="2024-06-09T19:21:19"/>
        <d v="2024-06-09T21:05:09"/>
        <d v="2024-06-10T12:47:50"/>
        <d v="2024-06-10T12:56:48"/>
        <d v="2024-06-10T19:04:28"/>
        <d v="2024-06-10T19:05:23"/>
        <d v="2024-06-10T19:37:24"/>
        <d v="2024-06-10T19:38:20"/>
        <d v="2024-06-11T10:38:04"/>
        <d v="2024-06-11T18:48:25"/>
        <d v="2024-06-11T18:49:36"/>
        <d v="2024-06-11T21:17:03"/>
        <d v="2024-06-11T21:27:42"/>
        <d v="2024-06-11T21:28:50"/>
        <d v="2024-06-12T10:18:19"/>
        <d v="2024-06-12T11:51:44"/>
        <d v="2024-06-12T17:41:17"/>
        <d v="2024-06-12T17:47:28"/>
        <d v="2024-06-12T20:16:34"/>
        <d v="2024-06-12T20:25:34"/>
        <d v="2024-06-13T08:54:24"/>
        <d v="2024-06-13T08:57:26"/>
        <d v="2024-06-13T09:50:25"/>
        <d v="2024-06-13T09:57:12"/>
        <d v="2024-06-13T17:04:59"/>
        <d v="2024-06-13T17:27:47"/>
        <d v="2024-06-13T19:22:19"/>
        <d v="2024-06-13T20:20:52"/>
        <d v="2024-06-13T20:43:46"/>
        <d v="2024-06-13T20:45:01"/>
        <d v="2024-06-13T20:48:18"/>
        <d v="2024-06-13T21:02:28"/>
        <d v="2024-06-14T07:46:13"/>
        <d v="2024-06-14T10:30:32"/>
        <d v="2024-06-14T12:14:42"/>
        <d v="2024-06-14T18:29:53"/>
        <d v="2024-06-15T11:26:02"/>
        <d v="2024-06-15T12:21:28"/>
        <d v="2024-06-15T12:22:47"/>
        <d v="2024-06-15T12:23:52"/>
        <d v="2024-06-15T12:24:35"/>
        <d v="2024-06-15T12:25:24"/>
        <d v="2024-06-15T16:03:30"/>
        <d v="2024-06-15T18:14:05"/>
        <d v="2024-06-16T10:43:51"/>
        <d v="2024-06-16T10:58:41"/>
        <d v="2024-06-16T11:00:38"/>
        <d v="2024-06-16T11:01:41"/>
        <d v="2024-06-16T12:49:28"/>
        <d v="2024-06-16T14:00:39"/>
        <d v="2024-06-16T15:02:36"/>
        <d v="2024-06-16T15:05:10"/>
        <d v="2024-06-16T15:44:00"/>
        <d v="2024-06-16T16:47:37"/>
        <d v="2024-06-16T17:45:17"/>
        <d v="2024-06-16T17:46:17"/>
        <d v="2024-06-17T08:57:24"/>
        <d v="2024-06-17T10:12:05"/>
        <d v="2024-06-17T10:13:38"/>
        <d v="2024-06-17T10:55:52"/>
        <d v="2024-06-17T14:51:35"/>
        <d v="2024-06-17T16:50:13"/>
        <d v="2024-06-17T16:51:11"/>
        <d v="2024-06-17T16:52:36"/>
        <d v="2024-06-17T18:51:20"/>
        <d v="2024-06-17T21:16:11"/>
        <d v="2024-06-18T14:04:06"/>
        <d v="2024-06-18T14:05:12"/>
        <d v="2024-06-18T19:20:41"/>
        <d v="2024-06-18T19:21:39"/>
        <d v="2024-06-18T20:35:49"/>
        <d v="2024-06-18T21:20:50"/>
        <d v="2024-06-18T21:22:19"/>
        <d v="2024-06-19T07:47:20"/>
        <d v="2024-06-19T08:17:55"/>
        <d v="2024-06-19T10:54:00"/>
        <d v="2024-06-19T11:11:28"/>
        <d v="2024-06-19T11:12:31"/>
        <d v="2024-06-19T14:21:36"/>
        <d v="2024-06-19T18:28:43"/>
        <d v="2024-06-19T18:29:59"/>
        <d v="2024-06-19T19:31:31"/>
        <d v="2024-06-19T21:28:59"/>
        <d v="2024-06-19T21:30:03"/>
        <d v="2024-06-20T10:50:06"/>
        <d v="2024-06-20T18:59:02"/>
        <d v="2024-06-20T19:00:00"/>
        <d v="2024-06-20T21:39:10"/>
        <d v="2024-06-20T21:57:41"/>
        <d v="2024-06-20T21:59:18"/>
        <d v="2024-06-21T09:59:56"/>
        <d v="2024-06-21T10:01:40"/>
        <d v="2024-06-21T13:19:19"/>
        <d v="2024-06-21T13:20:32"/>
        <d v="2024-06-21T18:12:16"/>
        <d v="2024-06-21T19:30:27"/>
        <d v="2024-06-21T19:47:06"/>
        <d v="2024-06-21T19:48:07"/>
        <d v="2024-06-21T19:49:55"/>
        <d v="2024-06-21T19:51:00"/>
        <d v="2024-06-21T19:52:19"/>
        <d v="2024-06-21T19:55:37"/>
        <d v="2024-06-22T08:39:50"/>
        <d v="2024-06-22T09:37:49"/>
        <d v="2024-06-22T12:53:16"/>
        <d v="2024-06-22T15:37:20"/>
        <d v="2024-06-22T22:10:23"/>
        <d v="2024-06-23T18:12:01"/>
        <d v="2024-06-23T18:13:51"/>
        <d v="2024-06-23T21:06:47"/>
        <d v="2024-06-23T21:29:08"/>
        <d v="2024-06-23T21:30:36"/>
        <d v="2024-06-24T11:44:40"/>
        <d v="2024-06-24T11:49:36"/>
        <d v="2024-06-24T11:50:44"/>
        <d v="2024-06-24T15:02:29"/>
        <d v="2024-06-24T16:46:01"/>
        <d v="2024-06-24T16:47:00"/>
        <d v="2024-06-25T08:19:24"/>
        <d v="2024-06-25T10:28:26"/>
        <d v="2024-06-25T10:29:42"/>
        <d v="2024-06-25T11:34:52"/>
        <d v="2024-06-26T09:33:02"/>
        <d v="2024-06-26T16:32:29"/>
        <d v="2024-06-26T16:34:02"/>
        <d v="2024-06-26T21:21:53"/>
        <d v="2024-06-26T21:27:01"/>
        <d v="2024-06-26T21:28:15"/>
        <d v="2024-06-27T09:15:43"/>
        <d v="2024-06-27T16:11:48"/>
        <d v="2024-06-27T21:44:03"/>
        <d v="2024-06-27T21:50:32"/>
        <d v="2024-06-28T08:08:35"/>
        <d v="2024-06-28T17:51:54"/>
        <d v="2024-06-28T21:50:55"/>
        <d v="2024-06-28T21:52:02"/>
        <d v="2024-06-28T22:28:20"/>
        <d v="2024-06-29T09:47:10"/>
        <d v="2024-06-29T11:40:20"/>
        <d v="2024-06-29T11:41:27"/>
        <d v="2024-06-29T12:30:24"/>
        <d v="2024-06-29T12:31:43"/>
        <d v="2024-06-29T17:23:44"/>
        <d v="2024-06-29T17:24:52"/>
        <d v="2024-06-29T21:27:22"/>
        <d v="2024-06-30T10:28:10"/>
        <d v="2024-06-30T13:05:51"/>
        <d v="2024-06-30T16:54:42"/>
        <d v="2024-06-30T21:04:10"/>
        <d v="2024-07-01T18:07:27"/>
        <d v="2024-07-01T18:56:52"/>
        <d v="2024-07-01T18:57:54"/>
        <d v="2024-07-02T10:42:54"/>
        <d v="2024-07-02T10:45:01"/>
        <d v="2024-07-02T12:48:05"/>
        <d v="2024-07-02T14:03:13"/>
        <d v="2024-07-02T16:31:24"/>
        <d v="2024-07-02T22:02:24"/>
        <d v="2024-07-03T13:51:15"/>
        <d v="2024-07-03T16:01:17"/>
        <d v="2024-07-03T16:50:25"/>
        <d v="2024-07-03T16:53:16"/>
        <d v="2024-07-03T16:54:23"/>
        <d v="2024-07-03T16:55:31"/>
        <d v="2024-07-03T16:59:26"/>
        <d v="2024-07-03T17:59:02"/>
        <d v="2024-07-03T19:06:09"/>
        <d v="2024-07-04T10:26:24"/>
        <d v="2024-07-04T10:27:30"/>
        <d v="2024-07-05T12:20:29"/>
        <d v="2024-07-05T13:43:43"/>
        <d v="2024-07-05T13:44:44"/>
        <d v="2024-07-05T18:55:56"/>
        <d v="2024-07-05T19:55:08"/>
        <d v="2024-07-05T22:11:56"/>
        <d v="2024-07-05T22:18:03"/>
        <d v="2024-07-05T22:18:57"/>
        <d v="2024-07-05T22:20:01"/>
        <d v="2024-07-05T22:21:09"/>
        <d v="2024-07-06T10:28:07"/>
        <d v="2024-07-06T17:15:46"/>
        <d v="2024-07-06T17:17:01"/>
        <d v="2024-07-06T19:09:46"/>
        <d v="2024-07-06T19:10:40"/>
        <d v="2024-07-07T09:04:20"/>
        <d v="2024-07-07T09:14:29"/>
        <d v="2024-07-07T09:15:37"/>
        <d v="2024-07-07T09:28:49"/>
        <d v="2024-07-07T09:29:56"/>
        <d v="2024-07-07T14:56:30"/>
        <d v="2024-07-07T14:57:47"/>
        <d v="2024-07-07T17:07:50"/>
        <d v="2024-07-07T19:33:27"/>
        <d v="2024-07-07T20:01:32"/>
        <d v="2024-07-07T22:33:36"/>
        <d v="2024-07-08T07:33:08"/>
        <d v="2024-07-08T12:02:50"/>
        <d v="2024-07-08T14:40:24"/>
        <d v="2024-07-08T19:30:35"/>
        <d v="2024-07-08T22:14:46"/>
        <d v="2024-07-09T10:26:52"/>
        <d v="2024-07-09T10:40:29"/>
        <d v="2024-07-09T11:21:36"/>
        <d v="2024-07-09T11:22:50"/>
        <d v="2024-07-09T16:43:00"/>
        <d v="2024-07-10T11:10:42"/>
        <d v="2024-07-10T12:28:54"/>
        <d v="2024-07-10T22:13:10"/>
        <d v="2024-07-11T11:27:28"/>
        <d v="2024-07-11T16:48:19"/>
        <d v="2024-07-11T22:22:14"/>
        <d v="2024-07-11T22:30:59"/>
        <d v="2024-07-12T08:03:17"/>
        <d v="2024-07-12T11:48:33"/>
        <d v="2024-07-12T22:33:26"/>
        <d v="2024-07-12T22:34:14"/>
        <d v="2024-07-12T22:35:30"/>
        <d v="2024-07-13T10:38:10"/>
        <d v="2024-07-13T11:41:38"/>
        <d v="2024-07-14T10:54:24"/>
        <d v="2024-07-14T10:55:31"/>
        <d v="2024-07-14T10:56:30"/>
        <d v="2024-07-14T10:57:54"/>
        <d v="2024-07-14T11:02:12"/>
        <d v="2024-07-14T22:31:30"/>
        <d v="2024-07-15T07:33:06"/>
        <d v="2024-07-16T12:23:37"/>
        <d v="2024-07-16T19:29:25"/>
        <d v="2024-07-17T13:05:00"/>
        <d v="2024-07-18T11:10:13"/>
        <d v="2024-07-18T11:11:23"/>
        <d v="2024-07-18T11:33:00"/>
        <d v="2024-07-18T11:34:48"/>
        <d v="2024-07-18T11:35:52"/>
        <d v="2024-07-18T13:23:34"/>
        <d v="2024-07-18T18:18:23"/>
        <d v="2024-07-18T19:30:51"/>
        <d v="2024-07-18T21:19:42"/>
        <d v="2024-07-18T21:22:00"/>
        <d v="2024-07-18T21:46:19"/>
        <d v="2024-07-19T11:03:02"/>
        <d v="2024-07-19T11:16:21"/>
        <d v="2024-07-19T12:58:38"/>
        <d v="2024-07-19T12:59:55"/>
        <d v="2024-07-19T14:09:21"/>
        <d v="2024-07-19T14:11:22"/>
        <d v="2024-07-19T16:36:19"/>
        <d v="2024-07-19T16:37:36"/>
        <d v="2024-07-20T08:05:44"/>
        <d v="2024-07-20T08:06:49"/>
        <d v="2024-07-20T08:07:51"/>
        <d v="2024-07-20T09:00:54"/>
        <d v="2024-07-20T09:02:28"/>
        <d v="2024-07-20T10:39:21"/>
        <d v="2024-07-20T15:15:09"/>
        <d v="2024-07-21T10:30:56"/>
        <d v="2024-07-21T11:39:29"/>
        <d v="2024-07-21T13:34:31"/>
        <d v="2024-07-21T13:42:31"/>
        <d v="2024-07-22T08:13:23"/>
        <d v="2024-07-22T08:40:50"/>
        <d v="2024-07-22T10:15:37"/>
        <d v="2024-07-22T16:44:38"/>
        <d v="2024-07-23T08:12:56"/>
        <d v="2024-07-23T08:40:19"/>
        <d v="2024-07-23T08:44:54"/>
        <d v="2024-07-23T08:49:25"/>
        <d v="2024-07-23T08:51:10"/>
        <d v="2024-07-23T09:01:46"/>
        <d v="2024-07-23T10:03:36"/>
        <d v="2024-07-23T15:20:05"/>
        <d v="2024-07-23T15:21:01"/>
        <d v="2024-07-23T21:01:41"/>
        <d v="2024-07-23T21:23:14"/>
        <d v="2024-07-23T21:24:23"/>
        <d v="2024-07-24T09:16:10"/>
        <d v="2024-07-24T09:38:55"/>
        <d v="2024-07-24T09:54:37"/>
        <d v="2024-07-24T11:43:53"/>
        <d v="2024-07-24T13:55:14"/>
        <d v="2024-07-24T14:45:50"/>
        <d v="2024-07-24T15:18:31"/>
        <d v="2024-07-24T19:15:06"/>
        <d v="2024-07-24T19:17:00"/>
        <d v="2024-07-24T21:17:37"/>
        <d v="2024-07-24T21:18:41"/>
        <d v="2024-07-24T21:25:17"/>
        <d v="2024-07-25T07:54:48"/>
        <d v="2024-07-25T08:49:18"/>
        <d v="2024-07-25T10:29:45"/>
        <d v="2024-07-25T11:26:05"/>
        <d v="2024-07-25T15:25:07"/>
        <d v="2024-07-25T19:21:01"/>
        <d v="2024-07-25T21:06:01"/>
        <d v="2024-07-25T21:06:50"/>
        <d v="2024-07-25T22:38:51"/>
        <d v="2024-07-25T22:39:47"/>
        <d v="2024-07-26T08:33:01"/>
        <d v="2024-07-26T09:19:37"/>
        <d v="2024-07-26T09:20:34"/>
        <d v="2024-07-26T09:33:12"/>
        <d v="2024-07-26T09:34:17"/>
        <d v="2024-07-26T09:59:08"/>
        <d v="2024-07-26T10:00:03"/>
        <d v="2024-07-26T11:47:14"/>
        <d v="2024-07-26T12:07:02"/>
        <d v="2024-07-26T12:28:08"/>
        <d v="2024-07-26T12:29:18"/>
        <d v="2024-07-26T13:09:56"/>
        <d v="2024-07-26T17:23:29"/>
        <d v="2024-07-26T17:58:29"/>
        <d v="2024-07-26T21:15:10"/>
        <d v="2024-07-26T22:49:52"/>
        <d v="2024-07-27T09:09:16"/>
        <d v="2024-07-27T11:55:31"/>
        <d v="2024-07-27T12:25:10"/>
        <d v="2024-07-27T12:26:13"/>
        <d v="2024-07-27T12:33:23"/>
        <d v="2024-07-27T14:28:42"/>
        <d v="2024-07-27T14:51:53"/>
        <d v="2024-07-27T17:02:33"/>
        <d v="2024-07-27T17:03:39"/>
        <d v="2024-07-27T17:09:00"/>
        <d v="2024-07-27T17:10:08"/>
        <d v="2024-07-27T20:55:20"/>
        <d v="2024-07-27T22:56:24"/>
        <d v="2024-07-28T11:07:26"/>
        <d v="2024-07-28T14:17:54"/>
        <d v="2024-07-28T14:18:52"/>
        <d v="2024-07-29T08:12:06"/>
        <d v="2024-07-29T09:04:48"/>
        <d v="2024-07-29T09:15:46"/>
        <d v="2024-07-29T09:19:44"/>
        <d v="2024-07-29T09:51:25"/>
        <d v="2024-07-29T09:58:30"/>
        <d v="2024-07-29T10:43:44"/>
        <d v="2024-07-29T10:44:56"/>
        <d v="2024-07-29T19:06:31"/>
        <d v="2024-07-29T19:30:16"/>
        <d v="2024-07-29T21:57:34"/>
        <d v="2024-07-30T07:41:11"/>
        <d v="2024-07-30T08:05:07"/>
        <d v="2024-07-30T08:20:51"/>
        <d v="2024-07-30T09:13:43"/>
        <d v="2024-07-30T10:17:11"/>
        <d v="2024-07-30T10:19:34"/>
        <d v="2024-07-30T10:23:20"/>
        <d v="2024-07-30T11:12:07"/>
        <d v="2024-07-30T11:13:16"/>
        <d v="2024-07-30T11:14:42"/>
        <d v="2024-07-30T11:16:02"/>
        <d v="2024-07-30T11:30:35"/>
        <d v="2024-07-30T11:31:41"/>
        <d v="2024-07-30T12:08:08"/>
        <d v="2024-07-30T15:16:10"/>
        <d v="2024-07-30T16:08:53"/>
        <d v="2024-07-30T16:09:44"/>
        <d v="2024-07-30T20:24:20"/>
        <d v="2024-07-30T20:53:52"/>
        <d v="2024-07-30T20:54:46"/>
        <d v="2024-07-30T20:57:02"/>
        <d v="2024-07-30T21:33:19"/>
        <d v="2024-07-30T22:15:21"/>
        <d v="2024-07-30T22:16:19"/>
        <d v="2024-07-31T07:59:52"/>
        <d v="2024-07-31T08:37:42"/>
        <d v="2024-07-31T08:38:38"/>
        <d v="2024-07-31T09:54:45"/>
        <d v="2024-07-31T09:55:45"/>
        <d v="2024-07-31T09:58:16"/>
        <d v="2024-07-31T13:11:43"/>
        <d v="2024-07-31T13:14:00"/>
        <d v="2024-07-31T13:24:49"/>
        <d v="2024-07-31T17:48:07"/>
        <d v="2024-07-31T18:04:15"/>
        <d v="2024-07-31T19:22:39"/>
        <d v="2024-07-31T19:28:45"/>
        <d v="2024-07-31T20:46:42"/>
        <d v="2024-07-31T20:50:07"/>
        <d v="2024-07-31T20:51:10"/>
        <d v="2024-07-31T20:52:15"/>
        <d v="2024-07-31T20:53:35"/>
        <d v="2024-07-31T20:59:25"/>
        <d v="2024-07-31T21:26:26"/>
        <d v="2024-07-31T21:54:12"/>
        <d v="2024-07-31T21:55:17"/>
        <d v="2024-08-01T07:31:00"/>
        <d v="2024-08-01T09:25:20"/>
        <d v="2024-08-01T11:04:14"/>
        <d v="2024-08-01T11:22:46"/>
        <d v="2024-08-01T13:22:47"/>
        <d v="2024-08-01T13:23:37"/>
        <d v="2024-08-01T13:49:07"/>
        <d v="2024-08-01T15:43:44"/>
        <d v="2024-08-01T16:24:01"/>
        <d v="2024-08-01T16:26:07"/>
        <d v="2024-08-01T17:23:35"/>
        <d v="2024-08-01T20:41:28"/>
        <d v="2024-08-02T09:01:54"/>
        <d v="2024-08-02T09:35:03"/>
        <d v="2024-08-02T11:09:19"/>
        <d v="2024-08-02T18:08:35"/>
        <d v="2024-08-02T21:23:04"/>
        <d v="2024-08-03T08:53:47"/>
        <d v="2024-08-03T09:37:19"/>
        <d v="2024-08-03T09:38:41"/>
        <d v="2024-08-03T10:12:26"/>
        <d v="2024-08-03T11:20:27"/>
        <d v="2024-08-03T11:21:22"/>
        <d v="2024-08-03T11:56:37"/>
        <d v="2024-08-03T11:57:31"/>
        <d v="2024-08-03T12:03:36"/>
        <d v="2024-08-03T16:54:00"/>
        <d v="2024-08-03T18:38:42"/>
        <d v="2024-08-03T21:30:49"/>
        <d v="2024-08-03T21:33:06"/>
        <d v="2024-08-04T08:18:37"/>
        <d v="2024-08-04T10:37:51"/>
        <d v="2024-08-04T11:50:55"/>
        <d v="2024-08-04T11:52:33"/>
        <d v="2024-08-04T15:33:52"/>
        <d v="2024-08-04T15:35:06"/>
        <d v="2024-08-05T08:50:06"/>
        <d v="2024-08-05T09:19:19"/>
        <d v="2024-08-05T11:20:47"/>
        <d v="2024-08-05T13:45:22"/>
        <d v="2024-08-05T16:05:58"/>
        <d v="2024-08-05T16:07:19"/>
        <d v="2024-08-05T17:44:25"/>
        <d v="2024-08-05T17:45:32"/>
        <d v="2024-08-05T19:20:03"/>
        <d v="2024-08-05T19:34:51"/>
        <d v="2024-08-05T20:49:31"/>
        <d v="2024-08-05T20:50:22"/>
        <d v="2024-08-05T22:43:48"/>
        <d v="2024-08-06T10:21:03"/>
        <d v="2024-08-06T10:32:32"/>
        <d v="2024-08-06T17:40:49"/>
        <d v="2024-08-06T17:42:53"/>
        <d v="2024-08-06T17:44:05"/>
        <d v="2024-08-06T19:04:05"/>
        <d v="2024-08-06T19:05:23"/>
        <d v="2024-08-06T20:04:27"/>
        <d v="2024-08-07T08:55:48"/>
        <d v="2024-08-07T12:12:27"/>
        <d v="2024-08-07T12:13:41"/>
        <d v="2024-08-07T13:11:16"/>
        <d v="2024-08-07T16:19:02"/>
        <d v="2024-08-07T19:36:23"/>
        <d v="2024-08-07T20:40:09"/>
        <d v="2024-08-07T21:18:12"/>
        <d v="2024-08-07T22:28:57"/>
        <d v="2024-08-07T22:32:16"/>
        <d v="2024-08-08T08:46:36"/>
        <d v="2024-08-08T08:47:29"/>
        <d v="2024-08-08T12:27:05"/>
        <d v="2024-08-08T12:43:20"/>
        <d v="2024-08-08T12:44:15"/>
        <d v="2024-08-08T16:57:53"/>
        <d v="2024-08-08T17:17:52"/>
        <d v="2024-08-08T21:25:59"/>
        <d v="2024-08-09T07:35:22"/>
        <d v="2024-08-09T09:53:35"/>
        <d v="2024-08-09T10:13:08"/>
        <d v="2024-08-09T10:26:47"/>
        <d v="2024-08-09T11:28:09"/>
        <d v="2024-08-09T11:29:49"/>
        <d v="2024-08-09T18:56:28"/>
        <d v="2024-08-09T19:03:07"/>
        <d v="2024-08-10T08:36:45"/>
        <d v="2024-08-10T08:37:57"/>
        <d v="2024-08-10T08:45:09"/>
        <d v="2024-08-10T11:52:34"/>
        <d v="2024-08-10T11:54:24"/>
        <d v="2024-08-10T12:15:11"/>
        <d v="2024-08-10T12:33:12"/>
        <d v="2024-08-10T16:06:12"/>
        <d v="2024-08-10T21:16:49"/>
        <d v="2024-08-10T21:17:41"/>
        <d v="2024-08-10T21:37:42"/>
        <d v="2024-08-11T09:52:37"/>
        <d v="2024-08-11T09:53:44"/>
        <d v="2024-08-11T10:17:24"/>
        <d v="2024-08-11T11:56:41"/>
        <d v="2024-08-11T11:57:41"/>
        <d v="2024-08-11T12:20:20"/>
        <d v="2024-08-11T15:53:52"/>
        <d v="2024-08-11T15:55:15"/>
        <d v="2024-08-11T15:56:28"/>
        <d v="2024-08-11T16:27:35"/>
        <d v="2024-08-11T16:28:38"/>
        <d v="2024-08-11T21:30:33"/>
        <d v="2024-08-11T21:41:09"/>
        <d v="2024-08-11T21:43:10"/>
        <d v="2024-08-11T22:39:30"/>
        <d v="2024-08-12T08:26:19"/>
        <d v="2024-08-12T11:15:05"/>
        <d v="2024-08-12T11:19:30"/>
        <d v="2024-08-12T11:20:24"/>
        <d v="2024-08-12T11:44:28"/>
        <d v="2024-08-12T14:04:03"/>
        <d v="2024-08-12T14:05:07"/>
        <d v="2024-08-12T15:33:33"/>
        <d v="2024-08-12T18:05:05"/>
        <d v="2024-08-12T21:25:49"/>
        <d v="2024-08-12T21:37:38"/>
        <d v="2024-08-12T22:58:20"/>
        <d v="2024-08-12T22:59:19"/>
        <d v="2024-08-13T08:44:30"/>
        <d v="2024-08-13T09:14:22"/>
        <d v="2024-08-13T09:45:56"/>
        <d v="2024-08-13T10:42:09"/>
        <d v="2024-08-13T11:59:48"/>
        <d v="2024-08-13T13:01:41"/>
        <d v="2024-08-13T14:45:40"/>
        <d v="2024-08-13T15:47:57"/>
        <d v="2024-08-13T15:55:30"/>
        <d v="2024-08-13T20:29:35"/>
        <d v="2024-08-13T20:30:37"/>
        <d v="2024-08-13T20:44:23"/>
        <d v="2024-08-13T21:00:45"/>
        <d v="2024-08-14T07:35:48"/>
        <d v="2024-08-14T07:36:56"/>
        <d v="2024-08-14T10:09:29"/>
        <d v="2024-08-14T11:39:08"/>
        <d v="2024-08-14T12:49:17"/>
        <d v="2024-08-14T12:51:05"/>
        <d v="2024-08-14T15:21:27"/>
        <d v="2024-08-14T17:24:23"/>
        <d v="2024-08-14T18:10:04"/>
        <d v="2024-08-14T18:59:18"/>
        <d v="2024-08-14T19:34:52"/>
        <d v="2024-08-14T19:35:49"/>
        <d v="2024-08-14T21:41:33"/>
        <d v="2024-08-15T09:36:11"/>
        <d v="2024-08-15T09:37:02"/>
        <d v="2024-08-15T09:38:05"/>
        <d v="2024-08-15T09:38:50"/>
        <d v="2024-08-15T12:38:38"/>
        <d v="2024-08-15T13:48:14"/>
        <d v="2024-08-15T14:17:48"/>
        <d v="2024-08-15T14:18:51"/>
        <d v="2024-08-15T17:53:52"/>
        <d v="2024-08-15T19:10:58"/>
        <d v="2024-08-15T19:11:54"/>
        <d v="2024-08-15T19:41:30"/>
        <d v="2024-08-15T19:42:38"/>
        <d v="2024-08-15T20:40:42"/>
        <d v="2024-08-15T21:35:20"/>
        <d v="2024-08-15T21:36:11"/>
        <d v="2024-08-16T12:29:17"/>
        <d v="2024-08-16T12:54:17"/>
        <d v="2024-08-16T13:36:13"/>
        <d v="2024-08-16T15:18:52"/>
        <d v="2024-08-16T15:19:39"/>
        <d v="2024-08-17T09:16:53"/>
        <d v="2024-08-17T09:18:09"/>
        <d v="2024-08-17T10:53:41"/>
        <d v="2024-08-17T11:58:42"/>
        <d v="2024-08-17T11:59:28"/>
        <d v="2024-08-17T13:18:40"/>
        <d v="2024-08-17T16:31:55"/>
        <d v="2024-08-17T16:33:49"/>
        <d v="2024-08-17T18:48:59"/>
        <d v="2024-08-17T21:18:57"/>
        <d v="2024-08-17T22:42:39"/>
        <d v="2024-08-18T08:09:43"/>
        <d v="2024-08-18T08:32:06"/>
        <d v="2024-08-18T08:41:06"/>
        <d v="2024-08-18T08:56:01"/>
        <d v="2024-08-18T12:31:41"/>
        <d v="2024-08-18T14:30:22"/>
        <d v="2024-08-18T18:24:11"/>
        <d v="2024-08-18T18:26:04"/>
        <d v="2024-08-18T18:27:18"/>
        <d v="2024-08-18T18:28:13"/>
        <d v="2024-08-19T15:09:49"/>
        <d v="2024-08-19T15:10:51"/>
        <d v="2024-08-19T21:21:12"/>
        <d v="2024-08-19T21:31:57"/>
        <d v="2024-08-20T08:27:16"/>
        <d v="2024-08-20T08:29:15"/>
        <d v="2024-08-20T08:49:47"/>
        <d v="2024-08-20T08:50:36"/>
        <d v="2024-08-20T09:14:55"/>
        <d v="2024-08-20T11:09:56"/>
        <d v="2024-08-20T11:11:39"/>
        <d v="2024-08-20T11:12:31"/>
        <d v="2024-08-20T11:42:20"/>
        <d v="2024-08-20T20:42:41"/>
        <d v="2024-08-20T20:44:15"/>
        <d v="2024-08-20T20:45:12"/>
        <d v="2024-08-20T20:46:04"/>
        <d v="2024-08-21T07:59:13"/>
        <d v="2024-08-21T08:40:27"/>
        <d v="2024-08-21T10:13:32"/>
        <d v="2024-08-21T10:38:45"/>
        <d v="2024-08-21T11:51:41"/>
        <d v="2024-08-21T13:17:11"/>
        <d v="2024-08-21T19:42:04"/>
        <d v="2024-08-22T09:22:26"/>
        <d v="2024-08-22T10:09:23"/>
        <d v="2024-08-22T10:47:59"/>
        <d v="2024-08-22T14:16:12"/>
        <d v="2024-08-22T14:26:58"/>
        <d v="2024-08-22T15:07:07"/>
        <d v="2024-08-22T15:27:27"/>
        <d v="2024-08-23T07:43:16"/>
        <d v="2024-08-23T08:21:48"/>
        <d v="2024-08-23T08:22:57"/>
        <d v="2024-08-23T08:33:39"/>
        <d v="2024-08-23T08:34:35"/>
        <d v="2024-08-23T09:14:52"/>
        <d v="2024-08-23T10:10:59"/>
        <d v="2024-08-23T10:11:55"/>
        <d v="2024-08-23T10:39:12"/>
        <d v="2024-08-23T11:12:59"/>
        <d v="2024-08-23T13:24:55"/>
        <d v="2024-08-23T15:28:53"/>
        <d v="2024-08-23T19:48:03"/>
        <d v="2024-08-24T08:13:42"/>
        <d v="2024-08-24T08:14:48"/>
        <d v="2024-08-24T08:44:12"/>
        <d v="2024-08-24T10:18:09"/>
        <d v="2024-08-24T10:18:52"/>
        <d v="2024-08-24T10:19:49"/>
        <d v="2024-08-25T08:14:37"/>
        <d v="2024-08-25T08:26:28"/>
        <d v="2024-08-25T08:27:36"/>
        <d v="2024-08-25T09:24:22"/>
        <d v="2024-08-25T12:41:43"/>
        <d v="2024-08-25T14:53:03"/>
        <d v="2024-08-26T08:11:47"/>
        <d v="2024-08-26T08:16:10"/>
        <d v="2024-08-26T08:17:23"/>
        <d v="2024-08-26T09:21:37"/>
        <d v="2024-08-26T10:37:44"/>
        <d v="2024-08-26T10:38:49"/>
        <d v="2024-08-26T12:45:13"/>
        <d v="2024-08-26T12:46:24"/>
        <d v="2024-08-26T18:53:28"/>
        <d v="2024-08-26T18:54:31"/>
        <d v="2024-08-26T22:55:40"/>
        <d v="2024-08-27T10:04:05"/>
        <d v="2024-08-28T12:08:19"/>
        <d v="2024-08-28T12:10:04"/>
        <d v="2024-08-28T12:35:07"/>
        <d v="2024-08-28T13:48:35"/>
        <d v="2024-08-29T07:29:30"/>
        <d v="2024-08-30T17:13:30"/>
        <d v="2024-08-30T17:14:33"/>
        <d v="2024-08-30T17:15:35"/>
        <d v="2024-08-31T09:08:32"/>
        <d v="2024-08-31T10:02:08"/>
        <d v="2024-08-31T10:22:27"/>
        <d v="2024-08-31T11:29:55"/>
        <d v="2024-08-31T11:33:40"/>
        <d v="2024-08-31T11:34:33"/>
        <d v="2024-09-01T09:34:15"/>
        <d v="2024-09-01T12:11:25"/>
        <d v="2024-09-01T12:30:09"/>
        <d v="2024-09-01T12:32:22"/>
        <d v="2024-09-01T12:50:17"/>
        <d v="2024-09-01T13:57:34"/>
        <d v="2024-09-01T14:44:04"/>
        <d v="2024-09-01T17:20:46"/>
        <d v="2024-09-01T17:23:14"/>
        <d v="2024-09-01T17:24:50"/>
        <d v="2024-09-02T08:24:40"/>
        <d v="2024-09-02T08:50:18"/>
        <d v="2024-09-02T08:51:33"/>
        <d v="2024-09-02T14:58:47"/>
        <d v="2024-09-02T20:09:44"/>
        <d v="2024-09-02T20:11:18"/>
        <d v="2024-09-02T20:52:32"/>
        <d v="2024-09-02T20:53:29"/>
        <d v="2024-09-03T08:22:15"/>
        <d v="2024-09-03T08:28:12"/>
        <d v="2024-09-03T08:41:12"/>
        <d v="2024-09-03T09:03:12"/>
        <d v="2024-09-03T09:04:12"/>
        <d v="2024-09-03T09:12:48"/>
        <d v="2024-09-03T09:13:34"/>
        <d v="2024-09-03T09:17:02"/>
        <d v="2024-09-03T09:20:17"/>
        <d v="2024-09-03T09:37:52"/>
        <d v="2024-09-03T09:38:56"/>
        <d v="2024-09-03T12:56:53"/>
        <d v="2024-09-03T14:14:52"/>
        <d v="2024-09-03T14:16:17"/>
        <d v="2024-09-03T18:48:35"/>
        <d v="2024-09-03T19:11:12"/>
        <d v="2024-09-03T19:17:14"/>
        <d v="2024-09-04T11:11:22"/>
        <d v="2024-09-04T11:33:37"/>
        <d v="2024-09-04T11:48:04"/>
        <d v="2024-09-04T11:55:34"/>
        <d v="2024-09-04T12:53:31"/>
        <d v="2024-09-04T13:03:51"/>
        <d v="2024-09-04T13:05:16"/>
        <d v="2024-09-04T18:03:47"/>
        <d v="2024-09-04T19:41:42"/>
        <d v="2024-09-04T21:19:36"/>
        <d v="2024-09-05T09:31:17"/>
        <d v="2024-09-05T10:28:56"/>
        <d v="2024-09-05T11:06:31"/>
        <d v="2024-09-05T14:00:28"/>
        <d v="2024-09-05T15:25:12"/>
        <d v="2024-09-05T16:38:50"/>
        <d v="2024-09-05T16:40:00"/>
        <d v="2024-09-05T17:04:29"/>
        <d v="2024-09-05T17:05:32"/>
        <d v="2024-09-05T20:30:15"/>
        <d v="2024-09-05T20:54:24"/>
        <d v="2024-09-05T20:55:31"/>
        <d v="2024-09-05T21:26:29"/>
        <d v="2024-09-05T21:27:30"/>
        <d v="2024-09-06T08:25:34"/>
        <d v="2024-09-06T08:34:47"/>
        <d v="2024-09-06T08:54:42"/>
        <d v="2024-09-06T09:50:40"/>
        <d v="2024-09-06T09:51:52"/>
        <d v="2024-09-06T10:30:06"/>
        <d v="2024-09-06T11:23:25"/>
        <d v="2024-09-06T11:24:29"/>
        <d v="2024-09-06T20:00:12"/>
        <d v="2024-09-06T21:09:31"/>
        <d v="2024-09-07T08:48:57"/>
        <d v="2024-09-07T09:52:03"/>
        <d v="2024-09-07T09:53:04"/>
        <d v="2024-09-07T09:54:42"/>
        <d v="2024-09-07T09:57:48"/>
        <d v="2024-09-07T09:59:02"/>
        <d v="2024-09-07T10:00:20"/>
        <d v="2024-09-07T10:22:45"/>
        <d v="2024-09-07T10:37:52"/>
        <d v="2024-09-07T10:40:13"/>
        <d v="2024-09-07T10:53:32"/>
        <d v="2024-09-07T11:18:57"/>
        <d v="2024-09-07T11:20:00"/>
        <d v="2024-09-07T11:20:57"/>
        <d v="2024-09-07T15:55:09"/>
        <d v="2024-09-07T16:20:01"/>
        <d v="2024-09-07T16:20:59"/>
        <d v="2024-09-07T19:35:05"/>
        <d v="2024-09-07T19:36:05"/>
        <d v="2024-09-07T19:37:16"/>
        <d v="2024-09-07T20:13:52"/>
        <d v="2024-09-07T20:14:59"/>
        <d v="2024-09-08T08:15:41"/>
        <d v="2024-09-08T09:18:17"/>
        <d v="2024-09-08T09:19:12"/>
        <d v="2024-09-08T10:05:56"/>
        <d v="2024-09-08T12:43:28"/>
        <d v="2024-09-08T20:13:33"/>
        <d v="2024-09-09T07:51:14"/>
        <d v="2024-09-09T07:53:52"/>
        <d v="2024-09-09T07:55:22"/>
        <d v="2024-09-09T07:56:38"/>
        <d v="2024-09-09T09:49:51"/>
        <d v="2024-09-09T09:50:52"/>
        <d v="2024-09-09T09:59:11"/>
        <d v="2024-09-09T11:11:36"/>
        <d v="2024-09-09T11:12:51"/>
        <d v="2024-09-09T11:29:49"/>
        <d v="2024-09-09T12:07:00"/>
        <d v="2024-09-09T15:12:14"/>
        <d v="2024-09-09T15:13:25"/>
        <d v="2024-09-09T17:24:10"/>
        <d v="2024-09-09T18:13:46"/>
        <d v="2024-09-09T20:07:36"/>
        <d v="2024-09-09T20:13:44"/>
        <d v="2024-09-10T08:12:02"/>
        <d v="2024-09-10T09:32:47"/>
        <d v="2024-09-10T15:21:54"/>
        <d v="2024-09-10T15:23:06"/>
        <d v="2024-09-10T18:43:42"/>
        <d v="2024-09-10T18:45:23"/>
        <d v="2024-09-10T19:02:43"/>
        <d v="2024-09-10T19:03:53"/>
        <d v="2024-09-10T21:29:35"/>
        <d v="2024-09-10T21:30:27"/>
        <d v="2024-09-11T08:47:22"/>
        <d v="2024-09-11T09:28:47"/>
        <d v="2024-09-11T10:52:09"/>
        <d v="2024-09-11T19:53:13"/>
        <d v="2024-09-11T20:13:15"/>
        <d v="2024-09-11T20:14:19"/>
        <d v="2024-09-11T20:15:19"/>
        <d v="2024-09-11T21:01:34"/>
        <d v="2024-09-12T10:57:26"/>
        <d v="2024-09-12T10:58:20"/>
        <d v="2024-09-12T11:27:36"/>
        <d v="2024-09-12T12:08:22"/>
        <d v="2024-09-12T12:31:07"/>
        <d v="2024-09-12T12:32:23"/>
        <d v="2024-09-12T12:37:20"/>
        <d v="2024-09-12T12:38:10"/>
        <d v="2024-09-12T17:01:25"/>
        <d v="2024-09-12T21:09:10"/>
        <d v="2024-09-12T21:10:21"/>
        <d v="2024-09-12T21:13:17"/>
        <d v="2024-09-13T07:56:54"/>
        <d v="2024-09-13T08:41:03"/>
        <d v="2024-09-13T08:54:16"/>
        <d v="2024-09-13T09:51:19"/>
        <d v="2024-09-13T15:38:19"/>
        <d v="2024-09-13T15:50:54"/>
        <d v="2024-09-14T16:29:19"/>
        <d v="2024-09-14T16:30:17"/>
        <d v="2024-09-15T08:42:41"/>
        <d v="2024-09-15T09:49:39"/>
        <d v="2024-09-15T13:49:37"/>
        <d v="2024-09-15T14:36:19"/>
        <d v="2024-09-15T14:37:21"/>
        <d v="2024-09-15T14:53:19"/>
        <d v="2024-09-16T13:32:23"/>
        <d v="2024-09-16T13:33:37"/>
        <d v="2024-09-16T15:23:19"/>
        <d v="2024-09-16T17:16:06"/>
        <d v="2024-09-16T17:18:03"/>
        <d v="2024-09-16T18:54:45"/>
        <d v="2024-09-16T18:56:05"/>
        <d v="2024-09-16T21:10:19"/>
        <d v="2024-09-16T21:11:32"/>
        <d v="2024-09-16T21:37:47"/>
        <d v="2024-09-16T21:38:49"/>
        <d v="2024-09-17T07:54:58"/>
        <d v="2024-09-17T08:09:01"/>
        <d v="2024-09-17T08:37:38"/>
        <d v="2024-09-17T08:42:31"/>
        <d v="2024-09-17T09:10:04"/>
        <d v="2024-09-17T09:11:08"/>
        <d v="2024-09-17T09:34:57"/>
        <d v="2024-09-17T12:38:34"/>
        <d v="2024-09-17T12:39:34"/>
        <d v="2024-09-17T12:44:15"/>
        <d v="2024-09-17T13:54:23"/>
        <d v="2024-09-17T13:55:31"/>
        <d v="2024-09-17T16:29:37"/>
        <d v="2024-09-17T16:31:01"/>
        <d v="2024-09-17T18:54:24"/>
        <d v="2024-09-17T19:00:46"/>
        <d v="2024-09-17T19:03:53"/>
        <d v="2024-09-17T19:12:48"/>
        <d v="2024-09-17T19:14:00"/>
        <d v="2024-09-17T19:15:00"/>
        <d v="2024-09-17T19:31:57"/>
        <d v="2024-09-17T22:19:36"/>
        <d v="2024-09-17T22:20:19"/>
        <d v="2024-09-18T14:29:49"/>
        <d v="2024-09-18T17:34:20"/>
        <d v="2024-09-18T21:15:39"/>
        <d v="2024-09-18T21:18:22"/>
        <d v="2024-09-19T08:17:19"/>
        <d v="2024-09-19T08:30:29"/>
        <d v="2024-09-19T10:01:31"/>
        <d v="2024-09-19T12:59:34"/>
        <d v="2024-09-19T13:00:34"/>
        <d v="2024-09-19T13:45:42"/>
        <d v="2024-09-20T08:34:57"/>
        <d v="2024-09-20T09:46:15"/>
        <d v="2024-09-20T13:39:55"/>
        <d v="2024-09-20T16:03:30"/>
        <d v="2024-09-20T20:39:23"/>
        <d v="2024-09-20T21:31:37"/>
        <d v="2024-09-20T21:32:43"/>
        <d v="2024-09-21T11:01:15"/>
        <d v="2024-09-21T11:02:14"/>
        <d v="2024-09-21T11:37:47"/>
        <d v="2024-09-21T11:38:45"/>
        <d v="2024-09-21T15:10:09"/>
        <d v="2024-09-21T15:36:14"/>
        <d v="2024-09-21T18:16:29"/>
        <d v="2024-09-21T18:17:31"/>
        <d v="2024-09-21T20:29:43"/>
        <d v="2024-09-21T20:30:39"/>
        <d v="2024-09-21T20:33:58"/>
        <d v="2024-09-21T20:35:30"/>
        <d v="2024-09-21T22:18:46"/>
        <d v="2024-09-21T22:19:50"/>
        <d v="2024-09-21T22:20:48"/>
        <d v="2024-09-22T08:32:54"/>
        <d v="2024-09-22T10:12:10"/>
        <d v="2024-09-22T10:13:09"/>
        <d v="2024-09-22T11:06:26"/>
        <d v="2024-09-22T11:07:36"/>
        <d v="2024-09-22T11:52:00"/>
        <d v="2024-09-22T11:55:13"/>
        <d v="2024-09-22T12:07:21"/>
        <d v="2024-09-22T13:28:15"/>
        <d v="2024-09-22T13:29:36"/>
        <d v="2024-09-22T13:33:35"/>
        <d v="2024-09-22T15:34:10"/>
        <d v="2024-09-22T15:35:24"/>
        <d v="2024-09-22T16:25:03"/>
        <d v="2024-09-22T20:19:10"/>
        <d v="2024-09-22T20:20:36"/>
        <d v="2024-09-22T20:46:26"/>
        <d v="2024-09-22T20:47:35"/>
        <d v="2024-09-22T21:07:05"/>
        <d v="2024-09-22T21:08:15"/>
        <d v="2024-09-22T21:54:04"/>
        <d v="2024-09-22T21:54:54"/>
        <d v="2024-09-22T22:37:02"/>
        <d v="2024-09-22T22:37:58"/>
        <d v="2024-09-23T09:03:37"/>
        <d v="2024-09-23T10:04:17"/>
        <d v="2024-09-23T12:11:04"/>
        <d v="2024-09-23T14:08:52"/>
        <d v="2024-09-23T17:27:48"/>
        <d v="2024-09-23T18:48:30"/>
        <d v="2024-09-23T19:47:22"/>
        <d v="2024-09-23T20:09:46"/>
        <d v="2024-09-23T22:13:31"/>
        <d v="2024-09-23T22:15:15"/>
        <d v="2024-09-24T08:33:33"/>
        <d v="2024-09-24T12:23:57"/>
        <d v="2024-09-24T12:24:55"/>
        <d v="2024-09-24T12:46:44"/>
        <d v="2024-09-24T12:47:49"/>
        <d v="2024-09-24T14:11:39"/>
        <d v="2024-09-24T14:31:29"/>
        <d v="2024-09-24T15:37:24"/>
        <d v="2024-09-24T16:38:48"/>
        <d v="2024-09-24T18:43:03"/>
        <d v="2024-09-24T18:43:54"/>
        <d v="2024-09-24T20:15:50"/>
        <d v="2024-09-24T21:05:14"/>
        <d v="2024-09-24T21:06:32"/>
        <d v="2024-09-24T21:07:35"/>
        <d v="2024-09-25T07:51:21"/>
        <d v="2024-09-25T11:35:33"/>
        <d v="2024-09-25T11:51:15"/>
        <d v="2024-09-25T11:52:53"/>
        <d v="2024-09-25T13:54:51"/>
        <d v="2024-09-25T13:55:59"/>
        <d v="2024-09-25T17:36:37"/>
        <d v="2024-09-25T17:37:32"/>
        <d v="2024-09-25T21:34:41"/>
        <d v="2024-09-25T22:18:52"/>
        <d v="2024-09-26T08:43:35"/>
        <d v="2024-09-26T10:37:06"/>
        <d v="2024-09-26T10:55:52"/>
        <d v="2024-09-26T11:34:49"/>
        <d v="2024-09-26T12:48:01"/>
        <d v="2024-09-26T18:21:56"/>
        <d v="2024-09-26T22:45:15"/>
        <d v="2024-09-26T22:46:18"/>
        <d v="2024-09-26T22:47:25"/>
        <d v="2024-09-27T09:29:46"/>
        <d v="2024-09-27T09:33:44"/>
        <d v="2024-09-27T09:41:05"/>
        <d v="2024-09-27T10:46:57"/>
        <d v="2024-09-27T11:35:00"/>
        <d v="2024-09-27T13:20:31"/>
        <d v="2024-09-27T13:25:05"/>
        <d v="2024-09-27T13:28:33"/>
        <d v="2024-09-27T13:33:52"/>
        <d v="2024-09-27T18:07:44"/>
        <d v="2024-09-27T18:08:58"/>
        <d v="2024-09-27T18:37:46"/>
        <d v="2024-09-27T18:40:54"/>
        <d v="2024-09-27T20:18:13"/>
        <d v="2024-09-27T20:19:14"/>
        <d v="2024-09-27T20:58:15"/>
        <d v="2024-09-28T08:06:45"/>
        <d v="2024-09-28T09:31:15"/>
        <d v="2024-09-28T14:25:47"/>
        <d v="2024-09-28T16:57:20"/>
        <d v="2024-09-28T17:26:17"/>
        <d v="2024-09-28T20:34:31"/>
        <d v="2024-09-28T20:38:37"/>
        <d v="2024-09-28T22:16:37"/>
        <d v="2024-09-28T22:17:30"/>
        <d v="2024-09-28T22:18:16"/>
        <d v="2024-09-28T22:19:13"/>
        <d v="2024-09-29T10:48:45"/>
        <d v="2024-09-29T10:50:05"/>
        <d v="2024-09-29T10:51:03"/>
        <d v="2024-09-29T10:52:23"/>
        <d v="2024-09-29T10:53:42"/>
        <d v="2024-09-29T12:35:43"/>
        <d v="2024-09-29T12:50:58"/>
        <d v="2024-09-29T12:54:15"/>
        <d v="2024-09-29T12:55:22"/>
        <d v="2024-09-29T18:02:27"/>
        <d v="2024-09-29T22:31:03"/>
        <d v="2024-09-30T08:08:48"/>
        <d v="2024-09-30T08:58:55"/>
        <d v="2024-09-30T09:00:05"/>
        <d v="2024-09-30T10:01:09"/>
        <d v="2024-09-30T10:05:18"/>
        <d v="2024-09-30T11:32:55"/>
        <d v="2024-09-30T16:45:44"/>
        <d v="2024-09-30T19:32:18"/>
        <d v="2024-09-30T19:53:14"/>
        <d v="2024-09-30T19:54:18"/>
        <d v="2024-09-30T19:59:19"/>
        <d v="2024-09-30T20:00:42"/>
        <d v="2024-09-30T20:01:42"/>
        <d v="2024-09-30T21:41:08"/>
        <d v="2024-10-01T07:47:08"/>
        <d v="2024-10-01T09:48:31"/>
        <d v="2024-10-01T10:02:27"/>
        <d v="2024-10-01T10:03:47"/>
        <d v="2024-10-01T11:55:32"/>
        <d v="2024-10-01T12:12:48"/>
        <d v="2024-10-01T12:14:23"/>
        <d v="2024-10-01T14:17:35"/>
        <d v="2024-10-01T14:18:53"/>
        <d v="2024-10-01T16:08:39"/>
        <d v="2024-10-01T16:41:54"/>
        <d v="2024-10-01T18:08:27"/>
        <d v="2024-10-01T18:23:11"/>
        <d v="2024-10-01T18:24:14"/>
        <d v="2024-10-01T20:03:22"/>
        <d v="2024-10-02T07:57:19"/>
        <d v="2024-10-02T08:42:45"/>
        <d v="2024-10-02T09:19:17"/>
        <d v="2024-10-02T10:22:02"/>
        <d v="2024-10-02T10:23:55"/>
        <d v="2024-10-02T11:28:54"/>
        <d v="2024-10-02T15:13:42"/>
        <d v="2024-10-02T18:31:07"/>
        <d v="2024-10-02T22:18:55"/>
        <d v="2024-10-02T22:19:41"/>
        <d v="2024-10-02T22:20:24"/>
        <d v="2024-10-03T13:47:36"/>
        <d v="2024-10-03T15:12:05"/>
        <d v="2024-10-03T20:12:58"/>
        <d v="2024-10-03T20:14:05"/>
        <d v="2024-10-03T21:21:06"/>
        <d v="2024-10-03T21:21:47"/>
        <d v="2024-10-03T21:29:03"/>
        <d v="2024-10-03T21:31:00"/>
        <d v="2024-10-04T08:44:01"/>
        <d v="2024-10-04T08:45:39"/>
        <d v="2024-10-04T09:30:22"/>
        <d v="2024-10-04T09:31:27"/>
        <d v="2024-10-04T09:53:59"/>
        <d v="2024-10-04T09:55:05"/>
        <d v="2024-10-04T17:35:15"/>
        <d v="2024-10-04T17:42:22"/>
        <d v="2024-10-04T17:44:36"/>
        <d v="2024-10-05T09:00:47"/>
        <d v="2024-10-05T09:01:43"/>
        <d v="2024-10-05T09:35:45"/>
        <d v="2024-10-05T13:12:13"/>
        <d v="2024-10-05T20:08:38"/>
        <d v="2024-10-05T20:09:34"/>
        <d v="2024-10-06T08:22:57"/>
        <d v="2024-10-06T10:05:44"/>
        <d v="2024-10-06T10:06:47"/>
        <d v="2024-10-06T11:55:29"/>
        <d v="2024-10-06T12:09:04"/>
        <d v="2024-10-06T12:10:17"/>
        <d v="2024-10-06T12:11:43"/>
        <d v="2024-10-06T13:46:04"/>
        <d v="2024-10-06T13:47:02"/>
        <d v="2024-10-06T13:50:00"/>
        <d v="2024-10-06T13:51:04"/>
        <d v="2024-10-06T13:51:56"/>
        <d v="2024-10-06T16:31:34"/>
        <d v="2024-10-06T16:35:46"/>
        <d v="2024-10-06T18:17:45"/>
        <d v="2024-10-06T18:35:16"/>
        <d v="2024-10-06T21:09:13"/>
        <d v="2024-10-06T21:10:00"/>
        <d v="2024-10-06T21:10:45"/>
        <d v="2024-10-06T21:16:49"/>
        <d v="2024-10-07T08:33:36"/>
        <d v="2024-10-07T08:49:36"/>
        <d v="2024-10-07T08:50:42"/>
        <d v="2024-10-07T09:05:28"/>
        <d v="2024-10-07T09:09:58"/>
        <d v="2024-10-07T12:17:57"/>
        <d v="2024-10-07T14:31:45"/>
        <d v="2024-10-07T14:32:39"/>
        <d v="2024-10-07T17:48:55"/>
        <d v="2024-10-07T21:14:42"/>
        <d v="2024-10-07T21:15:20"/>
        <d v="2024-10-07T21:40:49"/>
        <d v="2024-10-08T08:11:51"/>
        <d v="2024-10-08T09:05:14"/>
        <d v="2024-10-08T10:22:31"/>
        <d v="2024-10-08T10:27:09"/>
        <d v="2024-10-08T11:30:10"/>
        <d v="2024-10-08T12:48:05"/>
        <d v="2024-10-08T12:49:05"/>
        <d v="2024-10-08T13:04:01"/>
        <d v="2024-10-08T13:04:59"/>
        <d v="2024-10-08T14:42:52"/>
        <d v="2024-10-08T15:13:41"/>
        <d v="2024-10-08T15:19:52"/>
        <d v="2024-10-08T15:50:43"/>
        <d v="2024-10-08T20:40:40"/>
        <d v="2024-10-08T20:41:33"/>
        <d v="2024-10-08T20:51:09"/>
        <d v="2024-10-08T21:24:32"/>
        <d v="2024-10-08T21:25:32"/>
        <d v="2024-10-09T07:54:43"/>
        <d v="2024-10-09T08:25:58"/>
        <d v="2024-10-09T09:43:21"/>
        <d v="2024-10-09T09:59:40"/>
        <d v="2024-10-09T10:37:57"/>
        <d v="2024-10-09T11:18:02"/>
        <d v="2024-10-09T13:03:09"/>
        <d v="2024-10-09T13:52:35"/>
        <d v="2024-10-09T17:26:44"/>
        <d v="2024-10-09T17:27:49"/>
        <d v="2024-10-09T17:50:00"/>
        <d v="2024-10-09T20:49:12"/>
        <d v="2024-10-10T08:48:07"/>
        <d v="2024-10-10T09:23:20"/>
        <d v="2024-10-10T09:51:44"/>
        <d v="2024-10-10T10:05:09"/>
        <d v="2024-10-10T10:42:43"/>
        <d v="2024-10-10T10:43:30"/>
        <d v="2024-10-10T10:55:33"/>
        <d v="2024-10-10T11:04:19"/>
        <d v="2024-10-10T15:05:43"/>
        <d v="2024-10-10T17:40:44"/>
        <d v="2024-10-10T18:18:33"/>
        <d v="2024-10-10T18:56:31"/>
        <d v="2024-10-10T18:57:35"/>
        <d v="2024-10-10T22:33:17"/>
        <d v="2024-10-10T22:34:00"/>
        <d v="2024-10-11T07:54:52"/>
        <d v="2024-10-11T08:00:51"/>
        <d v="2024-10-11T08:12:20"/>
        <d v="2024-10-11T08:28:19"/>
        <d v="2024-10-11T08:29:22"/>
        <d v="2024-10-11T08:55:44"/>
        <d v="2024-10-11T08:56:59"/>
        <d v="2024-10-11T08:58:09"/>
        <d v="2024-10-11T09:31:42"/>
        <d v="2024-10-11T09:38:47"/>
        <d v="2024-10-11T10:00:40"/>
        <d v="2024-10-11T10:01:55"/>
        <d v="2024-10-11T10:30:36"/>
        <d v="2024-10-11T13:05:01"/>
        <d v="2024-10-11T13:29:02"/>
        <d v="2024-10-11T13:30:09"/>
        <d v="2024-10-11T14:33:41"/>
        <d v="2024-10-11T14:35:29"/>
        <d v="2024-10-11T14:50:09"/>
        <d v="2024-10-11T17:12:07"/>
        <d v="2024-10-11T17:13:22"/>
        <d v="2024-10-11T17:26:11"/>
        <d v="2024-10-11T21:48:38"/>
        <d v="2024-10-11T21:53:54"/>
        <d v="2024-10-11T22:36:28"/>
        <d v="2024-10-11T22:37:27"/>
        <d v="2024-10-12T08:28:16"/>
        <d v="2024-10-12T10:31:39"/>
        <d v="2024-10-12T10:32:56"/>
        <d v="2024-10-12T11:52:15"/>
        <d v="2024-10-12T11:53:41"/>
        <d v="2024-10-12T13:18:47"/>
        <d v="2024-10-12T20:10:54"/>
        <d v="2024-10-13T09:54:55"/>
        <d v="2024-10-13T12:20:47"/>
        <d v="2024-10-13T13:32:30"/>
        <d v="2024-10-13T13:33:29"/>
        <d v="2024-10-13T13:34:26"/>
        <d v="2024-10-13T17:53:21"/>
        <d v="2024-10-13T17:54:22"/>
        <d v="2024-10-13T18:22:59"/>
        <d v="2024-10-13T20:43:05"/>
        <d v="2024-10-14T08:26:55"/>
        <d v="2024-10-14T09:49:55"/>
        <d v="2024-10-14T10:27:51"/>
        <d v="2024-10-14T10:38:07"/>
        <d v="2024-10-14T10:39:14"/>
        <d v="2024-10-14T11:23:51"/>
        <d v="2024-10-14T11:25:37"/>
        <d v="2024-10-14T11:26:45"/>
        <d v="2024-10-14T14:36:07"/>
        <d v="2024-10-14T14:49:51"/>
        <d v="2024-10-14T16:37:47"/>
        <d v="2024-10-14T18:19:19"/>
        <d v="2024-10-14T18:20:21"/>
        <d v="2024-10-14T22:08:54"/>
        <d v="2024-10-14T22:10:24"/>
        <d v="2024-10-14T22:21:54"/>
        <d v="2024-10-15T08:14:29"/>
        <d v="2024-10-15T08:34:18"/>
        <d v="2024-10-15T11:13:22"/>
        <d v="2024-10-15T11:15:21"/>
        <d v="2024-10-15T11:16:27"/>
        <d v="2024-10-15T13:00:43"/>
        <d v="2024-10-15T13:15:45"/>
        <d v="2024-10-15T15:32:11"/>
        <d v="2024-10-15T15:54:17"/>
        <d v="2024-10-15T15:55:19"/>
        <d v="2024-10-15T17:04:11"/>
        <d v="2024-10-15T19:22:21"/>
        <d v="2024-10-15T19:23:17"/>
        <d v="2024-10-15T20:11:15"/>
        <d v="2024-10-15T20:12:29"/>
        <d v="2024-10-15T21:18:08"/>
        <d v="2024-10-15T21:35:20"/>
        <d v="2024-10-15T22:15:20"/>
        <d v="2024-10-16T08:21:26"/>
        <d v="2024-10-16T08:36:24"/>
        <d v="2024-10-16T09:25:51"/>
        <d v="2024-10-16T10:15:48"/>
        <d v="2024-10-16T10:16:54"/>
        <d v="2024-10-16T10:45:25"/>
        <d v="2024-10-16T11:49:45"/>
        <d v="2024-10-16T12:29:44"/>
        <d v="2024-10-16T13:20:10"/>
        <d v="2024-10-16T16:45:30"/>
        <d v="2024-10-16T17:43:21"/>
        <d v="2024-10-16T19:37:42"/>
        <d v="2024-10-16T19:38:37"/>
        <d v="2024-10-16T21:20:29"/>
        <d v="2024-10-17T07:47:01"/>
        <d v="2024-10-17T07:58:07"/>
        <d v="2024-10-17T09:24:27"/>
        <d v="2024-10-17T10:26:38"/>
        <d v="2024-10-17T10:44:54"/>
        <d v="2024-10-17T11:59:27"/>
        <d v="2024-10-17T13:57:25"/>
        <d v="2024-10-17T14:34:43"/>
        <d v="2024-10-17T16:37:13"/>
        <d v="2024-10-17T16:38:18"/>
        <d v="2024-10-17T16:39:10"/>
        <d v="2024-10-17T16:48:36"/>
        <d v="2024-10-17T16:49:33"/>
        <d v="2024-10-17T17:08:28"/>
        <d v="2024-10-17T17:09:30"/>
        <d v="2024-10-17T19:43:12"/>
        <d v="2024-10-17T20:11:36"/>
        <d v="2024-10-17T21:46:13"/>
        <d v="2024-10-17T21:47:20"/>
        <d v="2024-10-17T21:48:32"/>
        <d v="2024-10-17T21:49:55"/>
        <d v="2024-10-18T08:41:59"/>
        <d v="2024-10-18T08:42:59"/>
        <d v="2024-10-18T09:32:42"/>
        <d v="2024-10-18T09:34:08"/>
        <d v="2024-10-18T09:55:20"/>
        <d v="2024-10-18T11:54:59"/>
        <d v="2024-10-18T14:51:04"/>
        <d v="2024-10-18T14:52:15"/>
        <d v="2024-10-18T15:39:20"/>
        <d v="2024-10-18T16:09:58"/>
        <d v="2024-10-18T17:45:39"/>
        <d v="2024-10-18T21:14:40"/>
        <d v="2024-10-18T21:15:23"/>
        <d v="2024-10-18T21:52:23"/>
        <d v="2024-10-18T22:03:27"/>
        <d v="2024-10-19T08:34:14"/>
        <d v="2024-10-19T13:22:06"/>
        <d v="2024-10-19T14:10:33"/>
        <d v="2024-10-19T15:56:55"/>
        <d v="2024-10-19T15:59:24"/>
        <d v="2024-10-19T16:02:46"/>
        <d v="2024-10-19T16:17:43"/>
        <d v="2024-10-19T21:46:46"/>
        <d v="2024-10-19T22:46:38"/>
        <d v="2024-10-20T08:40:44"/>
        <d v="2024-10-20T08:41:50"/>
        <d v="2024-10-20T11:16:52"/>
        <d v="2024-10-20T14:28:46"/>
        <d v="2024-10-20T14:29:44"/>
        <d v="2024-10-20T15:52:45"/>
        <d v="2024-10-20T16:45:10"/>
        <d v="2024-10-20T16:46:05"/>
        <d v="2024-10-20T17:27:06"/>
        <d v="2024-10-20T18:34:16"/>
        <d v="2024-10-20T18:35:08"/>
        <d v="2024-10-20T21:14:18"/>
        <d v="2024-10-20T21:15:18"/>
        <d v="2024-10-20T21:17:27"/>
        <d v="2024-10-20T21:25:00"/>
        <d v="2024-10-20T22:17:29"/>
        <d v="2024-10-21T07:48:43"/>
        <d v="2024-10-21T08:19:56"/>
        <d v="2024-10-21T09:04:54"/>
        <d v="2024-10-21T09:34:26"/>
        <d v="2024-10-21T10:25:09"/>
        <d v="2024-10-21T10:41:45"/>
        <d v="2024-10-21T10:42:36"/>
        <d v="2024-10-21T11:27:42"/>
        <d v="2024-10-21T12:40:24"/>
        <d v="2024-10-21T14:42:56"/>
        <d v="2024-10-21T14:43:58"/>
        <d v="2024-10-21T15:27:02"/>
        <d v="2024-10-21T15:39:05"/>
        <d v="2024-10-21T16:42:57"/>
        <d v="2024-10-21T16:55:23"/>
        <d v="2024-10-21T19:21:13"/>
        <d v="2024-10-21T21:05:36"/>
        <d v="2024-10-21T22:30:44"/>
        <d v="2024-10-21T22:31:34"/>
        <d v="2024-10-22T07:33:00"/>
        <d v="2024-10-22T07:34:00"/>
        <d v="2024-10-22T08:25:32"/>
        <d v="2024-10-22T09:17:50"/>
        <d v="2024-10-22T10:51:32"/>
        <d v="2024-10-22T10:52:17"/>
        <d v="2024-10-22T18:07:03"/>
        <d v="2024-10-22T19:46:39"/>
        <d v="2024-10-22T19:47:50"/>
        <d v="2024-10-23T07:58:07"/>
        <d v="2024-10-23T08:45:15"/>
        <d v="2024-10-23T10:24:58"/>
        <d v="2024-10-23T12:31:05"/>
        <d v="2024-10-23T16:20:02"/>
        <d v="2024-10-23T16:21:09"/>
        <d v="2024-10-23T16:42:30"/>
        <d v="2024-10-23T17:02:46"/>
        <d v="2024-10-23T18:58:59"/>
        <d v="2024-10-23T19:00:43"/>
        <d v="2024-10-23T21:57:21"/>
        <d v="2024-10-23T21:58:24"/>
        <d v="2024-10-23T22:23:38"/>
        <d v="2024-10-24T12:07:47"/>
        <d v="2024-10-24T13:24:00"/>
        <d v="2024-10-24T14:09:47"/>
        <d v="2024-10-24T14:49:02"/>
        <d v="2024-10-24T14:49:49"/>
        <d v="2024-10-24T15:47:33"/>
        <d v="2024-10-24T15:48:30"/>
        <d v="2024-10-24T18:53:47"/>
        <d v="2024-10-24T18:55:08"/>
        <d v="2024-10-24T19:50:19"/>
        <d v="2024-10-24T20:44:11"/>
        <d v="2024-10-24T21:14:45"/>
        <d v="2024-10-24T21:15:29"/>
        <d v="2024-10-24T21:56:20"/>
        <d v="2024-10-24T21:57:10"/>
        <d v="2024-10-25T07:38:11"/>
        <d v="2024-10-25T07:45:23"/>
        <d v="2024-10-25T08:10:05"/>
        <d v="2024-10-25T08:10:55"/>
        <d v="2024-10-25T08:18:50"/>
        <d v="2024-10-25T10:03:28"/>
        <d v="2024-10-25T10:05:21"/>
        <d v="2024-10-25T10:51:01"/>
        <d v="2024-10-25T11:49:43"/>
        <d v="2024-10-25T11:50:30"/>
        <d v="2024-10-25T12:06:50"/>
        <d v="2024-10-25T12:40:37"/>
        <d v="2024-10-25T14:23:17"/>
        <d v="2024-10-25T22:19:24"/>
        <d v="2024-10-25T22:22:32"/>
        <d v="2024-10-26T07:49:59"/>
        <d v="2024-10-26T08:41:45"/>
        <d v="2024-10-26T08:53:00"/>
        <d v="2024-10-26T10:24:38"/>
        <d v="2024-10-26T12:18:09"/>
        <d v="2024-10-26T13:03:31"/>
        <d v="2024-10-26T14:34:59"/>
        <d v="2024-10-26T14:36:15"/>
        <d v="2024-10-26T15:05:22"/>
        <d v="2024-10-26T15:06:19"/>
        <d v="2024-10-26T15:38:29"/>
        <d v="2024-10-26T15:39:30"/>
        <d v="2024-10-26T15:52:02"/>
        <d v="2024-10-26T15:53:22"/>
        <d v="2024-10-26T19:19:21"/>
        <d v="2024-10-26T20:34:47"/>
        <d v="2024-10-27T11:01:57"/>
        <d v="2024-10-27T12:53:26"/>
        <d v="2024-10-27T12:54:28"/>
        <d v="2024-10-27T13:43:47"/>
        <d v="2024-10-27T16:17:06"/>
        <d v="2024-10-28T07:46:28"/>
        <d v="2024-10-28T08:01:12"/>
        <d v="2024-10-28T08:35:03"/>
        <d v="2024-10-28T09:15:43"/>
        <d v="2024-10-28T11:42:36"/>
        <d v="2024-10-28T11:43:43"/>
        <d v="2024-10-28T12:01:36"/>
        <d v="2024-10-28T12:02:35"/>
        <d v="2024-10-28T12:21:30"/>
        <d v="2024-10-28T14:10:55"/>
        <d v="2024-10-28T14:11:56"/>
        <d v="2024-10-28T14:31:00"/>
        <d v="2024-10-28T16:01:21"/>
        <d v="2024-10-28T17:55:18"/>
        <d v="2024-10-28T17:56:02"/>
        <d v="2024-10-28T19:10:25"/>
        <d v="2024-10-28T21:20:04"/>
        <d v="2024-10-28T22:05:51"/>
        <d v="2024-10-29T08:40:52"/>
        <d v="2024-10-29T08:47:06"/>
        <d v="2024-10-29T09:31:58"/>
        <d v="2024-10-29T11:59:47"/>
        <d v="2024-10-29T12:21:37"/>
        <d v="2024-10-29T14:15:44"/>
        <d v="2024-10-29T14:17:01"/>
        <d v="2024-10-29T14:37:36"/>
        <d v="2024-10-29T16:09:34"/>
        <d v="2024-10-29T16:10:57"/>
        <d v="2024-10-29T16:17:33"/>
        <d v="2024-10-29T18:02:04"/>
        <d v="2024-10-29T18:02:57"/>
        <d v="2024-10-29T19:02:05"/>
        <d v="2024-10-29T19:05:44"/>
        <d v="2024-10-29T19:51:13"/>
        <d v="2024-10-29T19:54:02"/>
        <d v="2024-10-29T20:07:36"/>
        <d v="2024-10-30T07:52:05"/>
        <d v="2024-10-30T08:46:27"/>
        <d v="2024-10-30T08:47:29"/>
        <d v="2024-10-30T09:11:29"/>
        <d v="2024-10-30T10:31:53"/>
        <d v="2024-10-30T10:33:08"/>
        <d v="2024-10-30T12:08:46"/>
        <d v="2024-10-30T12:09:47"/>
        <d v="2024-10-30T12:10:58"/>
        <d v="2024-10-30T12:37:01"/>
        <d v="2024-10-30T15:05:15"/>
        <d v="2024-10-30T15:07:03"/>
        <d v="2024-10-30T16:04:48"/>
        <d v="2024-10-30T18:08:12"/>
        <d v="2024-10-30T19:18:31"/>
        <d v="2024-10-30T19:43:21"/>
        <d v="2024-10-31T07:54:17"/>
        <d v="2024-10-31T08:38:54"/>
        <d v="2024-10-31T09:18:19"/>
        <d v="2024-10-31T15:59:27"/>
        <d v="2024-10-31T16:00:31"/>
        <d v="2024-11-01T08:24:03"/>
        <d v="2024-11-01T08:30:58"/>
        <d v="2024-11-01T10:54:50"/>
        <d v="2024-11-01T12:41:27"/>
        <d v="2024-11-01T12:42:18"/>
        <d v="2024-11-01T15:55:42"/>
        <d v="2024-11-01T22:41:56"/>
        <d v="2024-11-02T08:19:44"/>
        <d v="2024-11-02T10:25:46"/>
        <d v="2024-11-02T10:33:10"/>
        <d v="2024-11-02T14:54:15"/>
        <d v="2024-11-02T16:24:16"/>
        <d v="2024-11-02T16:25:57"/>
        <d v="2024-11-02T16:37:05"/>
        <d v="2024-11-02T18:18:27"/>
        <d v="2024-11-02T18:58:24"/>
        <d v="2024-11-03T08:23:00"/>
        <d v="2024-11-03T09:47:06"/>
        <d v="2024-11-03T09:48:12"/>
        <d v="2024-11-03T13:13:51"/>
        <d v="2024-11-03T13:14:57"/>
        <d v="2024-11-03T13:18:25"/>
        <d v="2024-11-03T13:44:19"/>
        <d v="2024-11-03T13:59:01"/>
        <d v="2024-11-03T16:15:18"/>
        <d v="2024-11-03T16:16:44"/>
        <d v="2024-11-03T16:20:37"/>
        <d v="2024-11-03T16:21:46"/>
        <d v="2024-11-03T20:26:15"/>
        <d v="2024-11-04T07:43:37"/>
        <d v="2024-11-04T08:37:33"/>
        <d v="2024-11-04T08:38:59"/>
        <d v="2024-11-04T12:33:36"/>
        <d v="2024-11-04T12:35:06"/>
        <d v="2024-11-04T14:44:38"/>
        <d v="2024-11-04T14:45:20"/>
        <d v="2024-11-05T07:49:32"/>
        <d v="2024-11-05T09:05:42"/>
        <d v="2024-11-05T09:12:12"/>
        <d v="2024-11-05T09:13:40"/>
        <d v="2024-11-05T10:41:44"/>
        <d v="2024-11-05T11:47:30"/>
        <d v="2024-11-05T11:48:22"/>
        <d v="2024-11-05T14:36:38"/>
        <d v="2024-11-05T14:41:48"/>
        <d v="2024-11-05T18:52:56"/>
        <d v="2024-11-05T18:54:11"/>
        <d v="2024-11-05T18:55:19"/>
        <d v="2024-11-05T21:40:45"/>
        <d v="2024-11-05T21:42:03"/>
        <d v="2024-11-05T21:54:20"/>
        <d v="2024-11-05T22:05:51"/>
        <d v="2024-11-05T22:06:39"/>
        <d v="2024-11-06T08:11:25"/>
        <d v="2024-11-06T11:45:31"/>
        <d v="2024-11-06T13:15:33"/>
        <d v="2024-11-06T15:44:16"/>
        <d v="2024-11-06T16:00:44"/>
        <d v="2024-11-06T16:02:05"/>
        <d v="2024-11-06T18:40:43"/>
        <d v="2024-11-06T18:41:31"/>
        <d v="2024-11-07T12:17:16"/>
        <d v="2024-11-07T15:50:11"/>
        <d v="2024-11-07T16:39:39"/>
        <d v="2024-11-07T18:17:34"/>
        <d v="2024-11-07T19:20:15"/>
        <d v="2024-11-07T19:21:38"/>
        <d v="2024-11-07T20:02:31"/>
        <d v="2024-11-08T09:05:42"/>
        <d v="2024-11-08T09:47:31"/>
        <d v="2024-11-08T09:49:00"/>
        <d v="2024-11-08T11:47:11"/>
        <d v="2024-11-08T13:25:13"/>
        <d v="2024-11-08T13:26:18"/>
        <d v="2024-11-08T16:33:03"/>
        <d v="2024-11-08T16:55:28"/>
        <d v="2024-11-08T20:13:32"/>
        <d v="2024-11-08T20:14:24"/>
        <d v="2024-11-08T20:15:20"/>
        <d v="2024-11-08T22:27:10"/>
        <d v="2024-11-09T10:08:19"/>
        <d v="2024-11-09T11:02:08"/>
        <d v="2024-11-09T11:03:01"/>
        <d v="2024-11-09T11:08:44"/>
        <d v="2024-11-09T13:50:15"/>
        <d v="2024-11-09T13:50:55"/>
        <d v="2024-11-09T14:21:52"/>
        <d v="2024-11-09T14:22:50"/>
        <d v="2024-11-09T14:37:33"/>
        <d v="2024-11-09T15:29:51"/>
        <d v="2024-11-09T16:15:48"/>
        <d v="2024-11-09T16:16:52"/>
        <d v="2024-11-09T20:42:05"/>
        <d v="2024-11-09T20:43:28"/>
        <d v="2024-11-09T22:13:28"/>
        <d v="2024-11-09T22:52:58"/>
        <d v="2024-11-09T22:54:19"/>
        <d v="2024-11-10T09:46:22"/>
        <d v="2024-11-10T17:52:48"/>
        <d v="2024-11-10T18:12:53"/>
        <d v="2024-11-10T18:14:04"/>
        <d v="2024-11-10T20:38:08"/>
        <d v="2024-11-10T20:39:07"/>
        <d v="2024-11-11T07:48:27"/>
        <d v="2024-11-11T09:52:26"/>
        <d v="2024-11-11T10:19:09"/>
        <d v="2024-11-11T16:18:44"/>
        <d v="2024-11-11T16:19:53"/>
        <d v="2024-11-11T17:33:32"/>
        <d v="2024-11-11T19:00:47"/>
        <d v="2024-11-11T19:04:16"/>
        <d v="2024-11-11T21:08:32"/>
        <d v="2024-11-11T21:09:47"/>
        <d v="2024-11-12T10:03:09"/>
        <d v="2024-11-12T13:15:45"/>
        <d v="2024-11-12T14:39:15"/>
        <d v="2024-11-12T16:47:14"/>
        <d v="2024-11-12T16:48:05"/>
        <d v="2024-11-12T16:49:04"/>
        <d v="2024-11-12T18:45:14"/>
        <d v="2024-11-12T20:07:58"/>
        <d v="2024-11-12T20:09:22"/>
        <d v="2024-11-13T08:09:11"/>
        <d v="2024-11-13T10:37:43"/>
        <d v="2024-11-13T13:19:55"/>
        <d v="2024-11-13T13:20:58"/>
        <d v="2024-11-13T14:17:30"/>
        <d v="2024-11-13T14:46:58"/>
        <d v="2024-11-14T09:36:28"/>
        <d v="2024-11-14T10:06:43"/>
        <d v="2024-11-14T12:48:50"/>
        <d v="2024-11-14T15:03:45"/>
        <d v="2024-11-14T15:04:57"/>
        <d v="2024-11-14T15:05:50"/>
        <d v="2024-11-14T16:13:08"/>
        <d v="2024-11-14T16:14:22"/>
        <d v="2024-11-14T19:43:26"/>
        <d v="2024-11-14T19:46:37"/>
        <d v="2024-11-14T20:31:30"/>
        <d v="2024-11-14T20:32:31"/>
        <d v="2024-11-14T21:24:32"/>
        <d v="2024-11-14T22:40:42"/>
        <d v="2024-11-15T08:45:51"/>
        <d v="2024-11-15T11:05:53"/>
        <d v="2024-11-15T12:09:00"/>
        <d v="2024-11-15T12:14:19"/>
        <d v="2024-11-15T13:57:34"/>
        <d v="2024-11-15T15:19:51"/>
        <d v="2024-11-15T17:35:41"/>
        <d v="2024-11-15T17:55:01"/>
        <d v="2024-11-15T18:12:45"/>
        <d v="2024-11-15T18:42:22"/>
        <d v="2024-11-15T18:43:21"/>
        <d v="2024-11-16T10:21:35"/>
        <d v="2024-11-16T10:45:51"/>
        <d v="2024-11-16T11:02:01"/>
        <d v="2024-11-16T11:03:07"/>
        <d v="2024-11-16T11:39:25"/>
        <d v="2024-11-16T12:30:15"/>
        <d v="2024-11-16T12:31:51"/>
        <d v="2024-11-16T12:48:36"/>
        <d v="2024-11-16T12:49:35"/>
        <d v="2024-11-16T13:16:55"/>
        <d v="2024-11-16T13:18:00"/>
        <d v="2024-11-16T13:19:09"/>
        <d v="2024-11-16T14:25:47"/>
        <d v="2024-11-17T10:29:37"/>
        <d v="2024-11-17T13:35:20"/>
        <d v="2024-11-17T14:18:42"/>
        <d v="2024-11-17T14:33:40"/>
        <d v="2024-11-17T16:27:26"/>
        <d v="2024-11-17T16:28:36"/>
        <d v="2024-11-17T18:10:07"/>
        <d v="2024-11-17T19:17:34"/>
        <d v="2024-11-17T19:18:28"/>
        <d v="2024-11-18T07:52:20"/>
        <d v="2024-11-18T07:53:16"/>
        <d v="2024-11-18T07:57:22"/>
        <d v="2024-11-18T16:44:49"/>
        <d v="2024-11-18T16:46:53"/>
        <d v="2024-11-18T18:50:54"/>
        <d v="2024-11-19T07:49:01"/>
        <d v="2024-11-19T07:51:14"/>
        <d v="2024-11-19T07:52:13"/>
        <d v="2024-11-19T07:53:38"/>
        <d v="2024-11-19T07:54:47"/>
        <d v="2024-11-19T10:29:23"/>
        <d v="2024-11-19T11:07:09"/>
        <d v="2024-11-19T16:22:40"/>
        <d v="2024-11-19T16:23:59"/>
        <d v="2024-11-19T16:41:04"/>
        <d v="2024-11-19T16:47:41"/>
        <d v="2024-11-20T13:29:39"/>
        <d v="2024-11-20T16:34:50"/>
        <d v="2024-11-20T17:49:52"/>
        <d v="2024-11-20T17:50:50"/>
        <d v="2024-11-21T11:06:11"/>
        <d v="2024-11-21T12:33:36"/>
        <d v="2024-11-21T12:59:45"/>
        <d v="2024-11-21T13:00:47"/>
        <d v="2024-11-21T16:14:14"/>
        <d v="2024-11-21T17:35:27"/>
        <d v="2024-11-21T17:39:23"/>
        <d v="2024-11-21T19:01:03"/>
        <d v="2024-11-22T07:50:36"/>
        <d v="2024-11-22T10:03:43"/>
        <d v="2024-11-22T11:02:32"/>
        <d v="2024-11-22T11:24:26"/>
        <d v="2024-11-22T16:33:05"/>
        <d v="2024-11-22T16:33:50"/>
        <d v="2024-11-23T09:10:46"/>
        <d v="2024-11-23T09:11:49"/>
        <d v="2024-11-23T10:05:16"/>
        <d v="2024-11-23T11:03:00"/>
        <d v="2024-11-23T11:09:28"/>
        <d v="2024-11-23T11:10:26"/>
        <d v="2024-11-23T11:41:27"/>
        <d v="2024-11-23T22:37:04"/>
        <d v="2024-11-24T08:17:07"/>
        <d v="2024-11-25T07:49:18"/>
        <d v="2024-11-25T07:54:24"/>
        <d v="2024-11-25T09:12:21"/>
        <d v="2024-11-25T10:38:08"/>
        <d v="2024-11-25T12:50:58"/>
        <d v="2024-11-25T12:52:41"/>
        <d v="2024-11-25T16:30:56"/>
        <d v="2024-11-25T19:01:59"/>
        <d v="2024-11-25T19:37:58"/>
        <d v="2024-11-25T21:42:15"/>
        <d v="2024-11-25T21:43:00"/>
        <d v="2024-11-26T07:54:38"/>
        <d v="2024-11-26T11:02:56"/>
        <d v="2024-11-26T11:03:47"/>
        <d v="2024-11-26T11:06:09"/>
        <d v="2024-11-26T11:07:10"/>
        <d v="2024-11-26T16:03:54"/>
        <d v="2024-11-26T16:05:01"/>
        <d v="2024-11-26T17:11:38"/>
        <d v="2024-11-26T17:12:34"/>
        <d v="2024-11-26T19:47:25"/>
        <d v="2024-11-28T08:41:17"/>
        <d v="2024-11-28T09:14:01"/>
        <d v="2024-11-28T20:24:42"/>
        <d v="2024-11-28T20:25:46"/>
        <d v="2024-11-28T20:55:00"/>
        <d v="2024-11-28T22:00:16"/>
        <d v="2024-11-29T07:53:16"/>
        <d v="2024-11-29T07:57:42"/>
        <d v="2024-11-29T09:07:32"/>
        <d v="2024-11-29T09:08:30"/>
        <d v="2024-11-29T15:18:07"/>
        <d v="2024-11-29T15:19:20"/>
        <d v="2024-11-29T20:57:55"/>
        <d v="2024-11-30T12:58:12"/>
        <d v="2024-11-30T14:04:56"/>
        <d v="2024-11-30T14:05:58"/>
        <d v="2024-11-30T14:16:52"/>
        <d v="2024-11-30T15:33:44"/>
        <d v="2024-11-30T22:03:48"/>
        <d v="2024-12-01T10:15:32"/>
        <d v="2024-12-01T10:16:32"/>
        <d v="2024-12-01T10:22:47"/>
        <d v="2024-12-01T14:34:23"/>
        <d v="2024-12-01T15:09:13"/>
        <d v="2024-12-01T15:09:57"/>
        <d v="2024-12-01T15:43:02"/>
        <d v="2024-12-01T15:56:31"/>
        <d v="2024-12-01T15:57:49"/>
        <d v="2024-12-01T16:32:59"/>
        <d v="2024-12-01T16:34:30"/>
        <d v="2024-12-01T17:10:24"/>
        <d v="2024-12-01T17:11:32"/>
        <d v="2024-12-01T18:38:29"/>
        <d v="2024-12-02T07:50:37"/>
        <d v="2024-12-02T07:51:59"/>
        <d v="2024-12-02T08:21:30"/>
        <d v="2024-12-02T08:53:14"/>
        <d v="2024-12-02T11:04:25"/>
        <d v="2024-12-02T15:28:24"/>
        <d v="2024-12-02T16:12:24"/>
        <d v="2024-12-02T17:34:22"/>
        <d v="2024-12-02T18:00:32"/>
        <d v="2024-12-03T08:11:19"/>
        <d v="2024-12-03T09:23:31"/>
        <d v="2024-12-03T09:24:27"/>
        <d v="2024-12-03T11:17:58"/>
        <d v="2024-12-03T11:42:08"/>
        <d v="2024-12-03T11:43:16"/>
        <d v="2024-12-03T11:45:54"/>
        <d v="2024-12-03T20:50:56"/>
        <d v="2024-12-03T21:33:17"/>
        <d v="2024-12-03T21:34:13"/>
        <d v="2024-12-03T21:35:19"/>
        <d v="2024-12-03T22:19:14"/>
        <d v="2024-12-03T22:21:42"/>
        <d v="2024-12-04T08:32:48"/>
        <d v="2024-12-04T08:50:30"/>
        <d v="2024-12-04T08:52:15"/>
        <d v="2024-12-04T09:04:14"/>
        <d v="2024-12-04T10:23:01"/>
        <d v="2024-12-04T10:24:08"/>
        <d v="2024-12-04T10:26:58"/>
        <d v="2024-12-04T10:29:48"/>
        <d v="2024-12-04T11:45:58"/>
        <d v="2024-12-04T14:33:55"/>
        <d v="2024-12-05T08:53:48"/>
        <d v="2024-12-05T09:20:29"/>
        <d v="2024-12-05T10:02:51"/>
        <d v="2024-12-05T10:05:06"/>
        <d v="2024-12-05T11:31:58"/>
        <d v="2024-12-05T11:50:45"/>
        <d v="2024-12-05T14:30:58"/>
        <d v="2024-12-05T15:21:19"/>
        <d v="2024-12-05T16:02:10"/>
        <d v="2024-12-06T11:42:18"/>
        <d v="2024-12-06T16:31:58"/>
        <d v="2024-12-06T22:30:33"/>
        <d v="2024-12-06T22:31:30"/>
        <d v="2024-12-07T11:17:10"/>
        <d v="2024-12-07T14:16:43"/>
        <d v="2024-12-07T15:44:05"/>
        <d v="2024-12-07T19:11:13"/>
        <d v="2024-12-07T22:00:10"/>
        <d v="2024-12-07T22:28:17"/>
        <d v="2024-12-08T08:29:25"/>
        <d v="2024-12-08T10:42:38"/>
        <d v="2024-12-08T10:43:43"/>
        <d v="2024-12-08T12:51:41"/>
        <d v="2024-12-08T13:02:36"/>
        <d v="2024-12-08T13:03:39"/>
        <d v="2024-12-08T17:26:29"/>
        <d v="2024-12-08T18:41:49"/>
        <d v="2024-12-08T20:47:19"/>
        <d v="2024-12-08T21:28:30"/>
        <d v="2024-12-08T21:41:24"/>
        <d v="2024-12-09T08:32:41"/>
        <d v="2024-12-09T09:12:25"/>
        <d v="2024-12-09T09:33:57"/>
        <d v="2024-12-09T13:00:55"/>
        <d v="2024-12-09T21:21:51"/>
        <d v="2024-12-10T12:25:50"/>
        <d v="2024-12-10T18:21:58"/>
        <d v="2024-12-11T07:49:46"/>
        <d v="2024-12-11T10:45:48"/>
        <d v="2024-12-11T12:13:06"/>
        <d v="2024-12-11T12:56:48"/>
        <d v="2024-12-11T17:59:25"/>
        <d v="2024-12-11T21:01:08"/>
        <d v="2024-12-11T21:18:17"/>
        <d v="2024-12-12T07:58:31"/>
        <d v="2024-12-12T12:49:24"/>
        <d v="2024-12-12T16:55:02"/>
        <d v="2024-12-12T16:55:49"/>
        <d v="2024-12-12T16:57:01"/>
        <d v="2024-12-12T19:50:01"/>
        <d v="2024-12-12T19:50:58"/>
        <d v="2024-12-13T12:27:25"/>
        <d v="2024-12-13T12:53:06"/>
        <d v="2024-12-13T12:54:40"/>
        <d v="2024-12-13T14:01:58"/>
        <d v="2024-12-13T16:23:24"/>
        <d v="2024-12-13T19:19:04"/>
        <d v="2024-12-13T19:20:10"/>
        <d v="2024-12-13T21:35:42"/>
        <d v="2024-12-14T08:27:32"/>
        <d v="2024-12-14T09:03:06"/>
        <d v="2024-12-14T11:41:58"/>
        <d v="2024-12-14T13:19:07"/>
        <d v="2024-12-14T13:20:09"/>
        <d v="2024-12-14T16:10:30"/>
        <d v="2024-12-14T16:29:59"/>
        <d v="2024-12-14T16:30:50"/>
        <d v="2024-12-14T17:00:16"/>
        <d v="2024-12-14T17:01:29"/>
        <d v="2024-12-14T18:23:44"/>
        <d v="2024-12-15T11:09:25"/>
        <d v="2024-12-15T11:10:26"/>
        <d v="2024-12-15T17:58:05"/>
        <d v="2024-12-16T07:52:18"/>
        <d v="2024-12-16T08:03:31"/>
        <d v="2024-12-16T08:46:54"/>
        <d v="2024-12-16T12:19:08"/>
        <d v="2024-12-16T13:08:53"/>
        <d v="2024-12-16T14:13:18"/>
        <d v="2024-12-16T18:23:07"/>
        <d v="2024-12-16T18:24:01"/>
        <d v="2024-12-17T08:48:18"/>
        <d v="2024-12-17T08:52:33"/>
        <d v="2024-12-17T10:49:06"/>
        <d v="2024-12-17T16:22:35"/>
        <d v="2024-12-17T16:23:37"/>
        <d v="2024-12-17T17:14:22"/>
        <d v="2024-12-17T18:54:57"/>
        <d v="2024-12-18T09:30:28"/>
        <d v="2024-12-18T10:01:21"/>
        <d v="2024-12-18T10:03:02"/>
        <d v="2024-12-18T10:04:03"/>
        <d v="2024-12-19T10:12:11"/>
        <d v="2024-12-19T11:25:44"/>
        <d v="2024-12-19T12:10:52"/>
        <d v="2024-12-19T13:38:57"/>
        <d v="2024-12-19T19:00:56"/>
        <d v="2024-12-19T19:10:41"/>
        <d v="2024-12-19T19:48:18"/>
        <d v="2024-12-19T19:49:43"/>
        <d v="2024-12-19T21:08:12"/>
        <d v="2024-12-19T21:09:16"/>
        <d v="2024-12-20T08:14:52"/>
        <d v="2024-12-20T09:39:30"/>
        <d v="2024-12-20T10:12:43"/>
        <d v="2024-12-20T10:55:29"/>
        <d v="2024-12-20T12:21:17"/>
        <d v="2024-12-20T12:22:49"/>
        <d v="2024-12-20T14:58:20"/>
        <d v="2024-12-20T18:28:22"/>
        <d v="2024-12-20T18:57:13"/>
        <d v="2024-12-21T10:19:24"/>
        <d v="2024-12-21T10:20:41"/>
        <d v="2024-12-21T10:32:03"/>
        <d v="2024-12-21T15:33:04"/>
        <d v="2024-12-21T15:33:50"/>
        <d v="2024-12-21T15:35:29"/>
        <d v="2024-12-21T15:58:07"/>
        <d v="2024-12-21T17:47:28"/>
        <d v="2024-12-21T18:02:37"/>
        <d v="2024-12-21T18:08:17"/>
        <d v="2024-12-21T19:48:13"/>
        <d v="2024-12-21T19:49:46"/>
        <d v="2024-12-21T21:49:47"/>
        <d v="2024-12-21T21:58:49"/>
        <d v="2024-12-21T22:16:14"/>
        <d v="2024-12-22T10:42:56"/>
        <d v="2024-12-22T18:55:45"/>
        <d v="2024-12-22T19:35:46"/>
        <d v="2024-12-22T19:36:30"/>
        <d v="2024-12-22T20:26:37"/>
        <d v="2024-12-22T21:55:19"/>
        <d v="2024-12-22T21:56:56"/>
        <d v="2024-12-23T09:03:21"/>
        <d v="2024-12-23T09:22:18"/>
        <d v="2024-12-23T10:42:03"/>
        <d v="2024-12-23T11:35:54"/>
        <d v="2024-12-23T14:05:32"/>
        <d v="2024-12-23T15:00:24"/>
        <d v="2024-12-23T16:14:50"/>
        <d v="2024-12-23T17:21:20"/>
        <d v="2024-12-23T17:22:40"/>
        <d v="2024-12-23T20:46:07"/>
        <d v="2024-12-24T15:10:43"/>
        <d v="2024-12-24T16:08:38"/>
        <d v="2024-12-24T17:55:29"/>
        <d v="2024-12-24T19:10:36"/>
        <d v="2024-12-24T19:11:37"/>
        <d v="2024-12-24T19:12:35"/>
        <d v="2024-12-24T19:36:02"/>
        <d v="2024-12-25T10:43:57"/>
        <d v="2024-12-25T10:45:02"/>
        <d v="2024-12-25T12:35:03"/>
        <d v="2024-12-25T12:36:00"/>
        <d v="2024-12-25T13:17:11"/>
        <d v="2024-12-25T13:32:48"/>
        <d v="2024-12-25T20:02:40"/>
        <d v="2024-12-25T21:18:50"/>
        <d v="2024-12-25T21:19:42"/>
        <d v="2024-12-25T21:57:30"/>
        <d v="2024-12-25T22:51:03"/>
        <d v="2024-12-25T22:53:06"/>
        <d v="2024-12-26T13:12:38"/>
        <d v="2024-12-26T15:04:34"/>
        <d v="2024-12-27T07:50:21"/>
        <d v="2024-12-27T08:57:39"/>
        <d v="2024-12-27T09:09:55"/>
        <d v="2024-12-27T10:12:53"/>
        <d v="2024-12-27T17:12:05"/>
        <d v="2024-12-27T19:47:28"/>
        <d v="2024-12-27T19:48:22"/>
        <d v="2024-12-27T22:54:33"/>
        <d v="2024-12-28T09:00:23"/>
        <d v="2024-12-28T09:50:38"/>
        <d v="2024-12-28T10:18:44"/>
        <d v="2024-12-28T10:52:03"/>
        <d v="2024-12-28T14:10:01"/>
        <d v="2024-12-28T14:13:17"/>
        <d v="2024-12-28T17:23:40"/>
        <d v="2024-12-28T22:11:02"/>
        <d v="2024-12-29T13:46:16"/>
        <d v="2024-12-29T15:04:27"/>
        <d v="2024-12-29T15:05:16"/>
        <d v="2024-12-29T17:30:05"/>
        <d v="2024-12-29T17:31:47"/>
        <d v="2024-12-29T19:47:44"/>
        <d v="2024-12-29T20:25:54"/>
        <d v="2024-12-29T21:17:19"/>
        <d v="2024-12-30T09:02:44"/>
        <d v="2024-12-30T09:44:12"/>
        <d v="2024-12-30T13:52:31"/>
        <d v="2024-12-30T13:53:39"/>
        <d v="2024-12-30T15:12:45"/>
        <d v="2024-12-30T15:13:39"/>
        <d v="2024-12-30T16:29:54"/>
        <d v="2024-12-30T16:31:29"/>
        <d v="2024-12-30T16:36:46"/>
        <d v="2024-12-31T08:52:29"/>
        <d v="2024-12-31T09:36:50"/>
        <d v="2024-12-31T09:39:41"/>
        <d v="2024-12-31T09:45:29"/>
        <d v="2024-12-31T10:26:53"/>
        <d v="2024-12-31T10:29:28"/>
        <d v="2024-12-31T11:11:31"/>
        <d v="2024-12-31T11:12:42"/>
        <d v="2024-12-31T15:42:14"/>
        <d v="2024-12-31T15:43:13"/>
        <d v="2024-12-31T16:07:19"/>
        <d v="2024-12-31T17:10:18"/>
        <d v="2024-12-31T17:30:53"/>
        <d v="2024-12-31T17:31:49"/>
        <d v="2024-12-31T19:07:25"/>
        <d v="2024-12-31T19:08:39"/>
        <d v="2025-01-02T09:58:05"/>
        <d v="2025-01-02T13:29:40"/>
        <d v="2025-01-02T13:30:39"/>
        <d v="2025-01-02T14:41:11"/>
        <d v="2025-01-02T14:42:46"/>
        <d v="2025-01-02T16:22:32"/>
        <d v="2025-01-02T16:34:59"/>
        <d v="2025-01-02T16:35:44"/>
        <d v="2025-01-02T17:43:10"/>
        <d v="2025-01-03T09:03:23"/>
        <d v="2025-01-03T10:10:31"/>
        <d v="2025-01-03T16:58:09"/>
        <d v="2025-01-03T22:13:29"/>
        <d v="2025-01-03T22:18:20"/>
        <d v="2025-01-03T22:19:14"/>
        <d v="2025-01-03T22:21:26"/>
        <d v="2025-01-04T08:58:27"/>
        <d v="2025-01-04T09:59:28"/>
        <d v="2025-01-04T13:40:00"/>
        <d v="2025-01-04T15:59:33"/>
        <d v="2025-01-04T16:12:55"/>
        <d v="2025-01-04T16:14:10"/>
        <d v="2025-01-04T16:16:11"/>
        <d v="2025-01-04T16:18:04"/>
        <d v="2025-01-04T18:11:39"/>
        <d v="2025-01-04T22:23:31"/>
        <d v="2025-01-05T09:45:58"/>
        <d v="2025-01-05T10:53:01"/>
        <d v="2025-01-05T22:07:16"/>
        <d v="2025-01-06T19:58:51"/>
        <d v="2025-01-07T13:29:03"/>
        <d v="2025-01-07T22:32:45"/>
        <d v="2025-01-07T22:33:59"/>
        <d v="2025-01-08T07:30:02"/>
        <d v="2025-01-08T09:11:15"/>
        <d v="2025-01-08T10:30:29"/>
        <d v="2025-01-08T17:22:52"/>
        <d v="2025-01-09T08:07:08"/>
        <d v="2025-01-09T08:56:35"/>
        <d v="2025-01-09T09:02:32"/>
        <d v="2025-01-09T14:27:24"/>
        <d v="2025-01-09T15:36:59"/>
        <d v="2025-01-09T15:48:10"/>
        <d v="2025-01-09T15:49:12"/>
        <d v="2025-01-09T20:30:29"/>
        <d v="2025-01-09T22:10:21"/>
        <d v="2025-01-10T08:49:21"/>
        <d v="2025-01-10T09:16:36"/>
        <d v="2025-01-10T17:51:19"/>
        <d v="2025-01-10T17:55:53"/>
        <d v="2025-01-10T17:59:39"/>
        <d v="2025-01-11T07:44:30"/>
        <d v="2025-01-11T10:49:41"/>
        <d v="2025-01-11T11:13:54"/>
        <d v="2025-01-11T11:20:18"/>
        <d v="2025-01-11T11:21:26"/>
        <d v="2025-01-11T12:10:59"/>
        <d v="2025-01-11T12:13:25"/>
        <d v="2025-01-11T14:12:55"/>
        <d v="2025-01-11T14:15:38"/>
        <d v="2025-01-11T14:16:44"/>
        <d v="2025-01-11T14:47:03"/>
        <d v="2025-01-11T17:19:34"/>
        <d v="2025-01-11T17:20:57"/>
        <d v="2025-01-11T17:22:05"/>
        <d v="2025-01-11T18:01:28"/>
        <d v="2025-01-12T11:45:32"/>
        <d v="2025-01-12T11:48:19"/>
        <d v="2025-01-12T11:49:50"/>
        <d v="2025-01-12T16:15:59"/>
        <d v="2025-01-12T20:56:04"/>
        <d v="2025-01-13T08:08:20"/>
        <d v="2025-01-13T09:17:20"/>
        <d v="2025-01-13T13:02:57"/>
        <d v="2025-01-13T13:50:47"/>
        <d v="2025-01-13T14:11:27"/>
        <d v="2025-01-13T14:12:28"/>
        <d v="2025-01-13T16:25:36"/>
        <d v="2025-01-13T20:51:18"/>
        <d v="2025-01-14T07:37:42"/>
        <d v="2025-01-14T09:53:43"/>
        <d v="2025-01-14T10:21:46"/>
        <d v="2025-01-14T12:49:14"/>
        <d v="2025-01-14T16:18:19"/>
        <d v="2025-01-14T16:19:27"/>
        <d v="2025-01-14T19:41:56"/>
        <d v="2025-01-14T21:02:36"/>
        <d v="2025-01-15T09:12:04"/>
        <d v="2025-01-15T11:10:24"/>
        <d v="2025-01-15T13:14:15"/>
        <d v="2025-01-15T15:35:22"/>
        <d v="2025-01-15T15:36:48"/>
        <d v="2025-01-15T15:37:56"/>
        <d v="2025-01-15T16:55:26"/>
        <d v="2025-01-15T18:06:12"/>
        <d v="2025-01-15T19:51:14"/>
        <d v="2025-01-15T21:41:14"/>
        <d v="2025-01-16T09:32:58"/>
        <d v="2025-01-16T09:38:09"/>
        <d v="2025-01-16T10:41:41"/>
        <d v="2025-01-16T12:12:16"/>
        <d v="2025-01-16T15:16:19"/>
        <d v="2025-01-16T16:35:11"/>
        <d v="2025-01-16T18:15:57"/>
        <d v="2025-01-16T21:16:00"/>
        <d v="2025-01-16T21:16:59"/>
        <d v="2025-01-16T21:40:13"/>
        <d v="2025-01-17T07:38:20"/>
        <d v="2025-01-17T08:26:21"/>
        <d v="2025-01-17T08:27:48"/>
        <d v="2025-01-17T08:47:56"/>
        <d v="2025-01-17T09:27:38"/>
        <d v="2025-01-17T14:20:54"/>
        <d v="2025-01-17T14:22:03"/>
        <d v="2025-01-17T17:39:11"/>
        <d v="2025-01-17T21:22:19"/>
        <d v="2025-01-18T10:12:38"/>
        <d v="2025-01-18T16:33:40"/>
        <d v="2025-01-18T16:35:14"/>
        <d v="2025-01-18T16:36:29"/>
        <d v="2025-01-20T08:29:48"/>
        <d v="2025-01-20T10:57:25"/>
        <d v="2025-01-20T11:40:24"/>
        <d v="2025-01-20T12:04:50"/>
        <d v="2025-01-20T12:06:01"/>
        <d v="2025-01-20T13:45:14"/>
        <d v="2025-01-20T20:08:11"/>
        <d v="2025-01-20T20:26:25"/>
        <d v="2025-01-20T20:27:29"/>
        <d v="2025-01-20T21:13:45"/>
        <d v="2025-01-21T08:05:04"/>
        <d v="2025-01-21T08:18:19"/>
        <d v="2025-01-21T08:19:28"/>
        <d v="2025-01-21T15:35:17"/>
        <d v="2025-01-21T18:32:33"/>
        <d v="2025-01-21T18:54:13"/>
        <d v="2025-01-21T18:56:15"/>
        <d v="2025-01-21T19:15:21"/>
        <d v="2025-01-22T11:24:46"/>
        <d v="2025-01-22T17:32:07"/>
        <d v="2025-01-22T18:49:59"/>
        <d v="2025-01-22T19:10:26"/>
        <d v="2025-01-22T19:11:23"/>
        <d v="2025-01-22T19:29:16"/>
        <d v="2025-01-22T20:14:31"/>
        <d v="2025-01-24T13:42:17"/>
        <d v="2025-01-24T13:43:38"/>
        <d v="2025-01-24T15:28:39"/>
        <d v="2025-01-24T17:41:49"/>
        <d v="2025-01-24T21:16:26"/>
        <d v="2025-01-24T22:31:56"/>
        <d v="2025-01-24T22:32:58"/>
        <d v="2025-01-25T13:21:04"/>
        <d v="2025-01-25T14:38:25"/>
        <d v="2025-01-25T14:39:35"/>
        <d v="2025-01-26T12:35:23"/>
        <d v="2025-01-26T12:36:34"/>
        <d v="2025-01-27T08:07:42"/>
        <d v="2025-01-27T08:32:44"/>
        <d v="2025-01-27T12:05:02"/>
        <d v="2025-01-27T13:45:09"/>
        <d v="2025-01-27T15:27:54"/>
        <d v="2025-01-27T15:29:01"/>
        <d v="2025-01-27T15:30:13"/>
        <d v="2025-01-27T18:55:19"/>
        <d v="2025-01-27T19:02:40"/>
        <d v="2025-01-27T19:03:45"/>
        <d v="2025-01-28T08:26:37"/>
        <d v="2025-01-28T09:33:17"/>
        <d v="2025-01-28T11:56:27"/>
        <d v="2025-01-28T12:22:01"/>
        <d v="2025-01-28T16:19:08"/>
        <d v="2025-01-28T16:20:45"/>
        <d v="2025-01-28T17:40:01"/>
        <d v="2025-01-28T20:11:51"/>
        <d v="2025-01-28T20:13:45"/>
        <d v="2025-01-29T09:38:47"/>
        <d v="2025-01-29T16:25:37"/>
        <d v="2025-01-29T19:19:08"/>
        <d v="2025-01-29T19:20:35"/>
        <d v="2025-01-30T09:18:06"/>
        <d v="2025-01-30T10:12:34"/>
        <d v="2025-01-30T11:26:29"/>
        <d v="2025-01-30T12:42:16"/>
        <d v="2025-01-30T13:02:01"/>
        <d v="2025-01-30T14:41:42"/>
        <d v="2025-01-30T17:18:48"/>
        <d v="2025-01-30T18:24:07"/>
        <d v="2025-01-30T18:41:50"/>
        <d v="2025-01-31T08:40:51"/>
        <d v="2025-01-31T08:41:45"/>
        <d v="2025-01-31T09:17:15"/>
        <d v="2025-01-31T09:20:11"/>
        <d v="2025-01-31T09:26:47"/>
        <d v="2025-01-31T09:27:48"/>
        <d v="2025-01-31T12:31:01"/>
        <d v="2025-01-31T12:54:26"/>
        <d v="2025-01-31T14:02:58"/>
        <d v="2025-01-31T16:48:34"/>
        <d v="2025-01-31T22:35:59"/>
        <d v="2025-01-31T22:37:02"/>
        <d v="2025-02-01T08:50:24"/>
        <d v="2025-02-01T10:07:23"/>
        <d v="2025-02-01T13:14:47"/>
        <d v="2025-02-01T13:15:29"/>
        <d v="2025-02-01T14:35:19"/>
        <d v="2025-02-01T14:36:17"/>
        <d v="2025-02-01T15:49:59"/>
        <d v="2025-02-01T18:57:14"/>
        <d v="2025-02-01T19:53:16"/>
        <d v="2025-02-01T19:54:24"/>
        <d v="2025-02-01T21:37:02"/>
        <d v="2025-02-02T10:56:22"/>
        <d v="2025-02-02T10:57:38"/>
        <d v="2025-02-02T12:54:32"/>
        <d v="2025-02-02T12:56:05"/>
        <d v="2025-02-02T14:22:57"/>
        <d v="2025-02-02T16:45:08"/>
        <d v="2025-02-02T16:46:57"/>
        <d v="2025-02-03T07:03:25"/>
        <d v="2025-02-03T07:04:57"/>
        <d v="2025-02-03T08:04:04"/>
        <d v="2025-02-03T08:09:09"/>
        <d v="2025-02-03T10:15:39"/>
        <d v="2025-02-03T10:22:18"/>
        <d v="2025-02-03T10:49:59"/>
        <d v="2025-02-03T13:25:02"/>
        <d v="2025-02-03T13:32:54"/>
        <d v="2025-02-03T13:51:03"/>
        <d v="2025-02-03T14:06:37"/>
        <d v="2025-02-03T14:47:02"/>
        <d v="2025-02-03T14:50:21"/>
        <d v="2025-02-03T15:01:45"/>
        <d v="2025-02-03T15:41:27"/>
        <d v="2025-02-03T17:01:27"/>
        <d v="2025-02-03T17:09:55"/>
        <d v="2025-02-03T17:11:07"/>
        <d v="2025-02-03T17:12:05"/>
        <d v="2025-02-03T17:13:22"/>
        <d v="2025-02-03T17:14:18"/>
        <d v="2025-02-03T17:15:41"/>
        <d v="2025-02-03T17:44:18"/>
        <d v="2025-02-03T18:09:00"/>
        <d v="2025-02-03T20:44:14"/>
        <d v="2025-02-04T10:04:57"/>
        <d v="2025-02-04T10:11:31"/>
        <d v="2025-02-04T12:35:58"/>
        <d v="2025-02-04T13:07:39"/>
        <d v="2025-02-04T14:15:14"/>
        <d v="2025-02-04T14:17:36"/>
        <d v="2025-02-04T14:19:49"/>
        <d v="2025-02-04T18:13:42"/>
        <d v="2025-02-04T19:05:22"/>
        <d v="2025-02-04T19:09:37"/>
        <d v="2025-02-04T19:10:28"/>
        <d v="2025-02-04T19:27:27"/>
        <d v="2025-02-05T08:42:11"/>
        <d v="2025-02-05T09:10:44"/>
        <d v="2025-02-05T11:49:36"/>
        <d v="2025-02-05T11:50:42"/>
        <d v="2025-02-05T11:51:45"/>
        <d v="2025-02-05T11:58:36"/>
        <d v="2025-02-05T12:10:47"/>
        <d v="2025-02-05T13:20:46"/>
        <d v="2025-02-05T13:43:43"/>
        <d v="2025-02-05T13:44:29"/>
        <d v="2025-02-05T14:57:53"/>
        <d v="2025-02-05T15:50:59"/>
        <d v="2025-02-05T16:34:20"/>
        <d v="2025-02-05T16:35:33"/>
        <d v="2025-02-05T16:36:34"/>
        <d v="2025-02-05T16:39:02"/>
        <d v="2025-02-05T16:41:10"/>
        <d v="2025-02-05T18:18:34"/>
        <d v="2025-02-05T18:19:49"/>
        <d v="2025-02-05T18:20:51"/>
        <d v="2025-02-05T18:25:29"/>
        <d v="2025-02-05T18:45:42"/>
        <d v="2025-02-05T19:06:46"/>
        <d v="2025-02-05T20:03:21"/>
        <d v="2025-02-06T07:16:49"/>
        <d v="2025-02-06T13:59:21"/>
        <d v="2025-02-06T14:55:32"/>
        <d v="2025-02-06T14:59:22"/>
        <d v="2025-02-06T16:14:50"/>
        <d v="2025-02-06T17:09:46"/>
        <d v="2025-02-06T17:54:25"/>
        <d v="2025-02-06T19:53:13"/>
        <d v="2025-02-06T19:55:07"/>
        <d v="2025-02-06T20:06:59"/>
        <d v="2025-02-06T20:07:47"/>
        <d v="2025-02-06T20:23:14"/>
        <d v="2025-02-07T08:44:50"/>
        <d v="2025-02-07T09:07:05"/>
        <d v="2025-02-07T10:49:23"/>
        <d v="2025-02-07T12:09:39"/>
        <d v="2025-02-07T12:51:22"/>
        <d v="2025-02-07T12:58:52"/>
        <d v="2025-02-07T16:04:11"/>
        <d v="2025-02-07T16:22:13"/>
        <d v="2025-02-07T16:23:14"/>
        <d v="2025-02-07T16:24:35"/>
        <d v="2025-02-07T18:42:37"/>
        <d v="2025-02-07T18:43:36"/>
        <d v="2025-02-07T18:44:31"/>
        <d v="2025-02-07T18:45:23"/>
        <d v="2025-02-07T20:10:59"/>
        <d v="2025-02-07T20:30:57"/>
        <d v="2025-02-08T09:01:43"/>
        <d v="2025-02-08T10:56:17"/>
        <d v="2025-02-08T11:02:41"/>
        <d v="2025-02-08T11:39:34"/>
        <d v="2025-02-08T12:46:13"/>
        <d v="2025-02-08T13:26:48"/>
        <d v="2025-02-08T15:07:04"/>
        <d v="2025-02-08T15:08:09"/>
        <d v="2025-02-09T08:49:24"/>
        <d v="2025-02-09T10:31:09"/>
        <d v="2025-02-09T10:51:28"/>
        <d v="2025-02-09T12:05:05"/>
        <d v="2025-02-09T15:13:09"/>
        <d v="2025-02-09T15:14:02"/>
        <d v="2025-02-09T15:15:58"/>
        <d v="2025-02-09T15:16:52"/>
        <d v="2025-02-09T16:20:19"/>
        <d v="2025-02-10T07:01:47"/>
        <d v="2025-02-10T08:16:32"/>
        <d v="2025-02-10T08:24:56"/>
        <d v="2025-02-10T11:11:43"/>
        <d v="2025-02-10T13:08:50"/>
        <d v="2025-02-10T13:11:06"/>
        <d v="2025-02-10T13:26:55"/>
        <d v="2025-02-10T13:40:13"/>
        <d v="2025-02-10T14:01:52"/>
        <d v="2025-02-10T14:07:41"/>
        <d v="2025-02-10T14:11:46"/>
        <d v="2025-02-10T14:15:45"/>
        <d v="2025-02-10T15:01:55"/>
        <d v="2025-02-10T15:14:01"/>
        <d v="2025-02-10T15:46:03"/>
        <d v="2025-02-10T15:47:44"/>
        <d v="2025-02-10T16:20:55"/>
        <d v="2025-02-10T17:12:02"/>
        <d v="2025-02-10T18:27:15"/>
        <d v="2025-02-10T19:14:01"/>
        <d v="2025-02-10T19:14:54"/>
        <d v="2025-02-11T10:38:26"/>
        <d v="2025-02-11T11:19:15"/>
        <d v="2025-02-11T11:20:12"/>
        <d v="2025-02-11T11:21:08"/>
        <d v="2025-02-11T15:56:50"/>
        <d v="2025-02-11T16:09:08"/>
        <d v="2025-02-11T16:49:41"/>
        <d v="2025-02-11T17:35:35"/>
        <d v="2025-02-11T17:36:42"/>
        <d v="2025-02-11T17:44:13"/>
        <d v="2025-02-11T17:50:40"/>
        <d v="2025-02-11T17:54:38"/>
        <d v="2025-02-11T19:04:11"/>
        <d v="2025-02-11T19:05:04"/>
        <d v="2025-02-12T07:16:57"/>
        <d v="2025-02-12T07:35:38"/>
        <d v="2025-02-12T08:54:36"/>
        <d v="2025-02-12T09:19:46"/>
        <d v="2025-02-12T10:43:13"/>
        <d v="2025-02-12T12:43:29"/>
        <d v="2025-02-12T13:08:09"/>
        <d v="2025-02-12T13:41:40"/>
        <d v="2025-02-12T15:41:25"/>
        <d v="2025-02-12T15:42:17"/>
        <d v="2025-02-12T15:43:35"/>
        <d v="2025-02-12T16:12:58"/>
        <d v="2025-02-12T16:26:09"/>
        <d v="2025-02-12T17:05:32"/>
        <d v="2025-02-12T17:42:51"/>
        <d v="2025-02-12T20:05:41"/>
        <d v="2025-02-12T20:23:13"/>
        <d v="2025-02-12T21:17:04"/>
        <d v="2025-02-13T07:38:48"/>
        <d v="2025-02-13T08:45:57"/>
        <d v="2025-02-13T09:17:21"/>
        <d v="2025-02-13T09:36:05"/>
        <d v="2025-02-13T10:29:33"/>
        <d v="2025-02-13T10:59:27"/>
        <d v="2025-02-13T16:30:39"/>
        <d v="2025-02-13T16:31:34"/>
        <d v="2025-02-13T17:16:12"/>
        <d v="2025-02-13T17:17:20"/>
        <d v="2025-02-13T18:01:35"/>
        <d v="2025-02-13T18:15:09"/>
        <d v="2025-02-13T19:06:30"/>
        <d v="2025-02-14T11:38:56"/>
        <d v="2025-02-14T14:07:09"/>
        <d v="2025-02-14T14:46:00"/>
        <d v="2025-02-14T14:46:45"/>
        <d v="2025-02-14T14:58:12"/>
        <d v="2025-02-14T15:00:17"/>
        <d v="2025-02-14T15:36:41"/>
        <d v="2025-02-14T15:38:47"/>
        <d v="2025-02-14T15:53:56"/>
        <d v="2025-02-14T15:54:57"/>
        <d v="2025-02-14T17:03:16"/>
        <d v="2025-02-14T17:04:30"/>
        <d v="2025-02-14T17:09:08"/>
        <d v="2025-02-14T17:25:25"/>
        <d v="2025-02-14T21:18:30"/>
        <d v="2025-02-15T09:22:52"/>
        <d v="2025-02-15T12:41:54"/>
        <d v="2025-02-15T12:44:27"/>
        <d v="2025-02-15T13:02:20"/>
        <d v="2025-02-15T13:32:06"/>
        <d v="2025-02-15T14:01:51"/>
        <d v="2025-02-15T14:11:54"/>
        <d v="2025-02-15T15:40:08"/>
        <d v="2025-02-15T15:40:59"/>
        <d v="2025-02-16T10:46:43"/>
        <d v="2025-02-16T10:50:01"/>
        <d v="2025-02-16T10:51:04"/>
        <d v="2025-02-16T11:04:48"/>
        <d v="2025-02-16T11:32:29"/>
        <d v="2025-02-16T14:15:37"/>
        <d v="2025-02-16T14:16:41"/>
        <d v="2025-02-16T17:12:27"/>
        <d v="2025-02-16T17:13:33"/>
        <d v="2025-02-16T17:44:33"/>
        <d v="2025-02-17T06:50:04"/>
        <d v="2025-02-17T08:53:14"/>
        <d v="2025-02-17T09:00:55"/>
        <d v="2025-02-17T09:28:07"/>
        <d v="2025-02-17T09:56:59"/>
        <d v="2025-02-17T10:20:12"/>
        <d v="2025-02-17T10:44:48"/>
        <d v="2025-02-17T11:53:59"/>
        <d v="2025-02-17T11:55:02"/>
        <d v="2025-02-17T12:48:58"/>
        <d v="2025-02-17T14:23:02"/>
        <d v="2025-02-17T15:05:42"/>
        <d v="2025-02-17T15:33:20"/>
        <d v="2025-02-17T16:19:06"/>
        <d v="2025-02-17T16:22:42"/>
        <d v="2025-02-17T17:31:14"/>
        <d v="2025-02-17T18:23:53"/>
        <d v="2025-02-17T19:13:52"/>
        <d v="2025-02-17T19:15:01"/>
        <d v="2025-02-17T20:18:17"/>
        <d v="2025-02-18T08:53:09"/>
        <d v="2025-02-18T08:54:14"/>
        <d v="2025-02-18T11:07:35"/>
        <d v="2025-02-18T11:30:06"/>
        <d v="2025-02-18T11:38:24"/>
        <d v="2025-02-18T12:15:27"/>
        <d v="2025-02-18T13:04:27"/>
        <d v="2025-02-18T13:25:45"/>
        <d v="2025-02-18T13:27:05"/>
        <d v="2025-02-18T17:05:28"/>
        <d v="2025-02-18T17:08:19"/>
        <d v="2025-02-18T17:09:17"/>
        <d v="2025-02-18T17:10:23"/>
        <d v="2025-02-18T17:11:36"/>
        <d v="2025-02-18T19:36:27"/>
        <d v="2025-02-18T20:06:56"/>
        <d v="2025-02-18T20:58:13"/>
        <d v="2025-02-18T21:02:00"/>
        <d v="2025-02-19T08:08:53"/>
        <d v="2025-02-19T08:09:54"/>
        <d v="2025-02-19T08:47:33"/>
        <d v="2025-02-19T09:24:32"/>
        <d v="2025-02-19T10:09:51"/>
        <d v="2025-02-19T10:19:01"/>
        <d v="2025-02-19T10:40:52"/>
        <d v="2025-02-19T12:45:06"/>
        <d v="2025-02-19T12:46:04"/>
        <d v="2025-02-19T13:06:54"/>
        <d v="2025-02-19T15:50:43"/>
        <d v="2025-02-19T17:04:00"/>
        <d v="2025-02-19T17:34:49"/>
        <d v="2025-02-19T17:57:52"/>
        <d v="2025-02-19T18:35:39"/>
        <d v="2025-02-19T19:01:33"/>
        <d v="2025-02-19T19:11:50"/>
        <d v="2025-02-19T19:12:43"/>
        <d v="2025-02-19T19:26:23"/>
        <d v="2025-02-19T20:05:28"/>
        <d v="2025-02-20T07:56:25"/>
        <d v="2025-02-20T09:17:53"/>
        <d v="2025-02-20T10:16:40"/>
        <d v="2025-02-20T10:17:39"/>
        <d v="2025-02-20T10:20:25"/>
        <d v="2025-02-20T10:24:24"/>
        <d v="2025-02-20T13:02:20"/>
        <d v="2025-02-20T14:20:33"/>
        <d v="2025-02-20T14:38:00"/>
        <d v="2025-02-20T14:38:49"/>
        <d v="2025-02-20T15:19:46"/>
        <d v="2025-02-20T16:05:50"/>
        <d v="2025-02-20T16:59:07"/>
        <d v="2025-02-20T17:00:37"/>
        <d v="2025-02-20T17:07:28"/>
        <d v="2025-02-20T18:57:35"/>
        <d v="2025-02-20T19:01:51"/>
        <d v="2025-02-20T19:07:26"/>
        <d v="2025-02-20T20:07:04"/>
        <d v="2025-02-21T06:59:08"/>
        <d v="2025-02-21T09:41:30"/>
        <d v="2025-02-21T09:49:21"/>
        <d v="2025-02-21T09:51:13"/>
        <d v="2025-02-21T10:18:11"/>
        <d v="2025-02-21T11:10:08"/>
        <d v="2025-02-21T12:04:49"/>
        <d v="2025-02-21T12:07:43"/>
        <d v="2025-02-21T12:56:18"/>
        <d v="2025-02-21T12:57:03"/>
        <d v="2025-02-21T13:06:43"/>
        <d v="2025-02-21T14:17:55"/>
        <d v="2025-02-21T15:18:31"/>
        <d v="2025-02-21T15:45:54"/>
        <d v="2025-02-21T15:46:48"/>
        <d v="2025-02-21T15:52:48"/>
        <d v="2025-02-21T16:10:06"/>
        <d v="2025-02-21T16:46:59"/>
        <d v="2025-02-21T16:48:59"/>
        <d v="2025-02-21T16:50:13"/>
        <d v="2025-02-21T19:08:19"/>
        <d v="2025-02-21T19:09:10"/>
        <d v="2025-02-21T19:59:24"/>
        <d v="2025-02-22T10:52:19"/>
        <d v="2025-02-22T11:28:30"/>
        <d v="2025-02-22T11:41:13"/>
        <d v="2025-02-22T12:59:42"/>
        <d v="2025-02-22T15:03:03"/>
        <d v="2025-02-23T10:33:12"/>
        <d v="2025-02-23T12:52:26"/>
        <d v="2025-02-23T12:54:06"/>
        <d v="2025-02-23T13:50:22"/>
        <d v="2025-02-23T14:02:03"/>
        <d v="2025-02-23T17:27:45"/>
        <d v="2025-02-24T09:14:54"/>
        <d v="2025-02-24T09:45:11"/>
        <d v="2025-02-24T10:02:49"/>
        <d v="2025-02-24T10:09:12"/>
        <d v="2025-02-24T10:10:22"/>
        <d v="2025-02-24T10:47:48"/>
        <d v="2025-02-24T12:58:41"/>
        <d v="2025-02-24T13:00:01"/>
        <d v="2025-02-24T15:40:02"/>
        <d v="2025-02-24T16:00:06"/>
        <d v="2025-02-24T16:10:24"/>
        <d v="2025-02-24T16:28:52"/>
        <d v="2025-02-24T16:59:39"/>
        <d v="2025-02-24T17:00:45"/>
        <d v="2025-02-24T17:37:39"/>
        <d v="2025-02-24T18:07:02"/>
        <d v="2025-02-24T18:21:57"/>
        <d v="2025-02-24T19:04:34"/>
        <d v="2025-02-24T19:24:11"/>
        <d v="2025-02-24T19:24:54"/>
        <d v="2025-02-24T19:26:15"/>
        <d v="2025-02-24T20:14:51"/>
        <d v="2025-02-25T08:00:39"/>
        <d v="2025-02-25T08:49:21"/>
        <d v="2025-02-25T08:50:14"/>
        <d v="2025-02-25T10:02:45"/>
        <d v="2025-02-25T11:03:34"/>
        <d v="2025-02-25T11:04:27"/>
        <d v="2025-02-25T12:20:42"/>
        <d v="2025-02-25T14:14:19"/>
        <d v="2025-02-25T16:49:37"/>
        <d v="2025-02-25T16:50:36"/>
        <d v="2025-02-25T18:19:09"/>
        <d v="2025-02-25T19:32:40"/>
        <d v="2025-02-26T08:57:37"/>
        <d v="2025-02-26T10:11:27"/>
        <d v="2025-02-26T10:12:26"/>
        <d v="2025-02-26T10:16:57"/>
        <d v="2025-02-26T13:13:27"/>
        <d v="2025-02-26T13:31:24"/>
        <d v="2025-02-26T15:01:59"/>
        <d v="2025-02-26T15:14:48"/>
        <d v="2025-02-26T15:17:25"/>
        <d v="2025-02-26T15:20:03"/>
        <d v="2025-02-26T15:20:49"/>
        <d v="2025-02-26T15:28:45"/>
        <d v="2025-02-26T16:20:47"/>
        <d v="2025-02-26T16:55:14"/>
        <d v="2025-02-26T16:56:00"/>
        <d v="2025-02-26T17:22:45"/>
        <d v="2025-02-26T18:11:24"/>
        <d v="2025-02-26T18:13:50"/>
        <d v="2025-02-27T07:19:00"/>
        <d v="2025-02-27T07:21:01"/>
        <d v="2025-02-27T10:52:29"/>
        <d v="2025-02-27T11:08:17"/>
        <d v="2025-02-27T12:48:16"/>
        <d v="2025-02-27T13:29:48"/>
        <d v="2025-02-27T14:23:16"/>
        <d v="2025-02-27T14:43:19"/>
        <d v="2025-02-27T15:47:51"/>
        <d v="2025-02-27T16:28:28"/>
        <d v="2025-02-27T17:12:56"/>
        <d v="2025-02-27T17:23:10"/>
        <d v="2025-02-27T17:53:13"/>
        <d v="2025-02-27T18:17:29"/>
        <d v="2025-02-27T18:38:41"/>
        <d v="2025-02-27T18:40:02"/>
        <d v="2025-02-27T18:40:52"/>
        <d v="2025-02-27T19:14:16"/>
        <d v="2025-02-27T20:02:07"/>
        <d v="2025-02-28T06:52:46"/>
        <d v="2025-02-28T06:55:00"/>
        <d v="2025-02-28T07:18:37"/>
        <d v="2025-02-28T08:09:58"/>
        <d v="2025-02-28T09:02:38"/>
        <d v="2025-02-28T14:44:28"/>
        <d v="2025-02-28T14:45:22"/>
        <d v="2025-02-28T14:47:52"/>
        <d v="2025-02-28T14:52:02"/>
        <d v="2025-02-28T15:19:19"/>
        <d v="2025-02-28T16:22:27"/>
        <d v="2025-02-28T16:30:07"/>
        <d v="2025-02-28T17:21:01"/>
        <d v="2025-02-28T17:31:04"/>
        <d v="2025-02-28T17:32:17"/>
        <d v="2025-02-28T17:33:49"/>
        <d v="2025-02-28T18:53:49"/>
        <d v="2025-03-01T10:31:46"/>
        <d v="2025-03-01T11:24:05"/>
        <d v="2025-03-01T11:27:58"/>
        <d v="2025-03-01T14:43:24"/>
        <d v="2025-03-01T15:02:31"/>
        <d v="2025-03-01T15:08:20"/>
        <d v="2025-03-01T16:42:13"/>
        <d v="2025-03-01T17:08:34"/>
        <d v="2025-03-02T09:58:15"/>
        <d v="2025-03-02T12:17:36"/>
        <d v="2025-03-02T13:36:20"/>
        <d v="2025-03-02T15:22:17"/>
        <d v="2025-03-02T15:23:16"/>
        <d v="2025-03-02T15:24:45"/>
        <d v="2025-03-03T08:24:02"/>
        <d v="2025-03-03T09:46:52"/>
        <d v="2025-03-03T09:48:39"/>
        <d v="2025-03-03T10:21:25"/>
        <d v="2025-03-03T10:24:47"/>
        <d v="2025-03-03T12:58:08"/>
        <d v="2025-03-03T15:11:01"/>
        <d v="2025-03-03T15:47:59"/>
        <d v="2025-03-03T16:14:50"/>
        <d v="2025-03-03T16:16:35"/>
        <d v="2025-03-03T16:18:27"/>
        <d v="2025-03-03T16:40:29"/>
        <d v="2025-03-03T16:42:23"/>
        <d v="2025-03-03T16:52:12"/>
        <d v="2025-03-03T17:28:43"/>
        <d v="2025-03-03T17:31:22"/>
        <d v="2025-03-03T17:32:18"/>
        <d v="2025-03-03T17:32:59"/>
        <d v="2025-03-03T17:57:33"/>
        <d v="2025-03-03T17:58:27"/>
        <d v="2025-03-03T18:03:05"/>
        <d v="2025-03-03T18:46:53"/>
        <d v="2025-03-04T07:19:22"/>
        <d v="2025-03-04T07:31:55"/>
        <d v="2025-03-04T08:51:45"/>
        <d v="2025-03-04T09:09:32"/>
        <d v="2025-03-04T09:10:22"/>
        <d v="2025-03-04T09:58:37"/>
        <d v="2025-03-04T11:04:02"/>
        <d v="2025-03-04T11:05:07"/>
        <d v="2025-03-04T11:46:41"/>
        <d v="2025-03-04T11:47:25"/>
        <d v="2025-03-04T11:51:35"/>
        <d v="2025-03-04T12:25:59"/>
        <d v="2025-03-04T16:48:58"/>
        <d v="2025-03-04T18:43:22"/>
        <d v="2025-03-04T19:10:09"/>
        <d v="2025-03-04T20:09:01"/>
        <d v="2025-03-05T08:39:52"/>
        <d v="2025-03-05T09:38:24"/>
        <d v="2025-03-05T10:01:14"/>
        <d v="2025-03-05T10:02:04"/>
        <d v="2025-03-05T10:10:51"/>
        <d v="2025-03-05T10:40:35"/>
        <d v="2025-03-05T11:08:32"/>
        <d v="2025-03-05T11:10:54"/>
        <d v="2025-03-05T11:38:51"/>
        <d v="2025-03-05T11:41:22"/>
        <d v="2025-03-05T12:12:56"/>
        <d v="2025-03-05T15:07:51"/>
        <d v="2025-03-05T15:21:36"/>
        <d v="2025-03-05T15:25:11"/>
        <d v="2025-03-05T17:09:57"/>
        <d v="2025-03-05T17:16:24"/>
        <d v="2025-03-05T17:31:41"/>
        <d v="2025-03-05T18:13:27"/>
        <d v="2025-03-05T19:02:57"/>
        <d v="2025-03-06T09:33:39"/>
        <d v="2025-03-06T09:35:53"/>
        <d v="2025-03-06T10:48:05"/>
        <d v="2025-03-06T10:56:47"/>
        <d v="2025-03-06T10:57:35"/>
        <d v="2025-03-06T11:05:44"/>
        <d v="2025-03-06T11:17:38"/>
        <d v="2025-03-06T13:51:33"/>
        <d v="2025-03-06T16:06:47"/>
        <d v="2025-03-06T17:49:11"/>
        <d v="2025-03-06T18:27:12"/>
        <d v="2025-03-06T19:22:11"/>
        <d v="2025-03-07T07:05:42"/>
        <d v="2025-03-07T08:45:11"/>
        <d v="2025-03-07T08:46:04"/>
        <d v="2025-03-07T09:02:41"/>
        <d v="2025-03-07T10:09:58"/>
        <d v="2025-03-07T10:26:35"/>
        <d v="2025-03-07T10:27:33"/>
        <d v="2025-03-07T10:41:46"/>
        <d v="2025-03-07T11:50:59"/>
        <d v="2025-03-07T12:03:46"/>
        <d v="2025-03-07T13:43:48"/>
        <d v="2025-03-07T13:55:32"/>
        <d v="2025-03-07T14:53:30"/>
        <d v="2025-03-07T15:09:04"/>
        <d v="2025-03-07T15:52:53"/>
        <d v="2025-03-07T17:10:29"/>
        <d v="2025-03-07T17:12:24"/>
        <d v="2025-03-08T09:23:45"/>
        <d v="2025-03-08T09:41:53"/>
        <d v="2025-03-08T10:54:14"/>
        <d v="2025-03-08T11:19:46"/>
        <d v="2025-03-08T11:20:32"/>
        <d v="2025-03-08T12:41:20"/>
        <d v="2025-03-08T12:45:05"/>
        <d v="2025-03-08T13:40:06"/>
        <d v="2025-03-09T09:42:04"/>
        <d v="2025-03-09T11:25:53"/>
        <d v="2025-03-09T13:51:56"/>
        <d v="2025-03-09T14:18:30"/>
        <d v="2025-03-09T15:12:41"/>
        <d v="2025-03-09T15:39:07"/>
        <d v="2025-03-09T15:52:39"/>
        <d v="2025-03-09T15:53:40"/>
        <d v="2025-03-10T08:34:43"/>
        <d v="2025-03-10T08:35:40"/>
        <d v="2025-03-10T09:06:28"/>
        <d v="2025-03-10T09:19:29"/>
        <d v="2025-03-10T09:50:54"/>
        <d v="2025-03-10T10:18:57"/>
        <d v="2025-03-10T12:36:15"/>
        <d v="2025-03-10T15:32:09"/>
        <d v="2025-03-10T15:41:58"/>
        <d v="2025-03-10T16:18:01"/>
        <d v="2025-03-10T16:18:54"/>
        <d v="2025-03-10T16:24:25"/>
        <d v="2025-03-10T16:25:32"/>
        <d v="2025-03-10T18:15:54"/>
        <d v="2025-03-10T18:48:30"/>
        <d v="2025-03-10T18:49:22"/>
        <d v="2025-03-10T19:26:43"/>
        <d v="2025-03-11T08:46:26"/>
        <d v="2025-03-11T09:12:28"/>
        <d v="2025-03-11T09:27:04"/>
        <d v="2025-03-11T10:26:58"/>
        <d v="2025-03-11T12:33:20"/>
        <d v="2025-03-11T13:16:55"/>
        <d v="2025-03-11T16:29:31"/>
        <d v="2025-03-11T16:30:16"/>
        <d v="2025-03-11T16:49:41"/>
        <d v="2025-03-11T17:46:50"/>
        <d v="2025-03-11T18:56:52"/>
        <d v="2025-03-11T19:07:14"/>
        <d v="2025-03-11T20:08:56"/>
        <d v="2025-03-12T11:11:39"/>
        <d v="2025-03-12T11:47:34"/>
        <d v="2025-03-12T11:50:15"/>
        <d v="2025-03-12T11:55:56"/>
        <d v="2025-03-12T11:56:49"/>
        <d v="2025-03-12T12:06:11"/>
        <d v="2025-03-12T12:55:38"/>
        <d v="2025-03-12T13:01:49"/>
        <d v="2025-03-12T13:56:24"/>
        <d v="2025-03-12T16:27:37"/>
        <d v="2025-03-12T16:35:04"/>
        <d v="2025-03-12T16:36:01"/>
        <d v="2025-03-12T18:10:34"/>
        <d v="2025-03-12T18:17:18"/>
        <d v="2025-03-12T18:24:40"/>
        <d v="2025-03-12T18:38:57"/>
        <d v="2025-03-12T18:42:14"/>
        <d v="2025-03-13T07:01:36"/>
        <d v="2025-03-13T08:23:17"/>
        <d v="2025-03-13T09:04:47"/>
        <d v="2025-03-13T09:20:09"/>
        <d v="2025-03-13T09:22:05"/>
        <d v="2025-03-13T09:38:20"/>
        <d v="2025-03-13T09:39:15"/>
        <d v="2025-03-13T11:18:02"/>
        <d v="2025-03-13T12:13:37"/>
        <d v="2025-03-13T14:53:50"/>
        <d v="2025-03-13T14:55:32"/>
        <d v="2025-03-13T18:47:44"/>
        <d v="2025-03-14T07:55:06"/>
        <d v="2025-03-14T08:13:40"/>
        <d v="2025-03-14T08:59:27"/>
        <d v="2025-03-14T09:00:30"/>
        <d v="2025-03-14T09:26:08"/>
        <d v="2025-03-14T09:28:37"/>
        <d v="2025-03-14T10:20:51"/>
        <d v="2025-03-14T10:48:23"/>
        <d v="2025-03-14T10:49:28"/>
        <d v="2025-03-14T14:35:17"/>
        <d v="2025-03-14T14:36:22"/>
        <d v="2025-03-14T15:54:21"/>
        <d v="2025-03-14T15:55:41"/>
        <d v="2025-03-14T16:27:04"/>
        <d v="2025-03-14T16:31:00"/>
        <d v="2025-03-14T16:31:55"/>
        <d v="2025-03-14T16:32:40"/>
        <d v="2025-03-14T17:05:24"/>
        <d v="2025-03-14T17:22:15"/>
        <d v="2025-03-14T17:27:15"/>
        <d v="2025-03-14T17:28:38"/>
        <d v="2025-03-14T20:20:22"/>
        <d v="2025-03-14T21:40:44"/>
        <d v="2025-03-15T09:53:22"/>
        <d v="2025-03-15T10:03:23"/>
        <d v="2025-03-15T13:55:42"/>
        <d v="2025-03-15T17:10:23"/>
        <d v="2025-03-15T17:12:08"/>
        <d v="2025-03-15T19:30:37"/>
        <d v="2025-03-15T19:51:27"/>
        <d v="2025-03-16T09:32:17"/>
        <d v="2025-03-16T09:36:23"/>
        <d v="2025-03-16T10:50:09"/>
        <d v="2025-03-16T12:00:47"/>
        <d v="2025-03-16T14:22:43"/>
        <d v="2025-03-17T06:54:41"/>
        <d v="2025-03-17T08:09:50"/>
        <d v="2025-03-17T08:18:03"/>
        <d v="2025-03-17T09:02:59"/>
        <d v="2025-03-17T10:32:40"/>
        <d v="2025-03-17T13:59:01"/>
        <d v="2025-03-17T14:21:25"/>
        <d v="2025-03-17T14:22:20"/>
        <d v="2025-03-17T14:48:04"/>
        <d v="2025-03-17T15:11:17"/>
        <d v="2025-03-17T15:47:16"/>
        <d v="2025-03-17T15:48:58"/>
        <d v="2025-03-17T16:46:45"/>
        <d v="2025-03-18T08:23:11"/>
        <d v="2025-03-18T08:33:50"/>
        <d v="2025-03-18T10:49:51"/>
        <d v="2025-03-18T10:51:18"/>
        <d v="2025-03-18T11:47:20"/>
        <d v="2025-03-18T11:48:56"/>
        <d v="2025-03-18T14:43:35"/>
        <d v="2025-03-18T15:03:53"/>
        <d v="2025-03-18T15:11:07"/>
        <d v="2025-03-18T16:09:08"/>
        <d v="2025-03-18T16:11:45"/>
        <d v="2025-03-18T16:23:21"/>
        <d v="2025-03-18T18:42:31"/>
        <d v="2025-03-18T18:43:17"/>
        <d v="2025-03-18T20:00:35"/>
        <d v="2025-03-18T20:01:38"/>
        <d v="2025-03-18T21:20:40"/>
        <d v="2025-03-19T07:03:07"/>
        <d v="2025-03-19T07:04:09"/>
        <d v="2025-03-19T07:06:35"/>
        <d v="2025-03-19T08:03:18"/>
        <d v="2025-03-19T10:18:39"/>
        <d v="2025-03-19T11:55:40"/>
        <d v="2025-03-19T12:58:27"/>
        <d v="2025-03-19T15:12:53"/>
        <d v="2025-03-19T15:14:23"/>
        <d v="2025-03-19T16:19:34"/>
        <d v="2025-03-19T16:29:56"/>
        <d v="2025-03-19T16:40:34"/>
        <d v="2025-03-19T16:42:16"/>
        <d v="2025-03-19T16:51:35"/>
        <d v="2025-03-19T16:52:30"/>
        <d v="2025-03-19T17:00:00"/>
        <d v="2025-03-19T17:09:55"/>
        <d v="2025-03-19T17:27:40"/>
        <d v="2025-03-19T18:29:50"/>
        <d v="2025-03-19T18:30:44"/>
        <d v="2025-03-19T18:31:26"/>
        <d v="2025-03-20T08:13:16"/>
        <d v="2025-03-20T09:52:05"/>
        <d v="2025-03-20T10:06:44"/>
        <d v="2025-03-20T10:45:44"/>
        <d v="2025-03-20T10:55:17"/>
        <d v="2025-03-20T12:48:24"/>
        <d v="2025-03-20T14:04:44"/>
        <d v="2025-03-20T14:20:38"/>
        <d v="2025-03-20T14:21:42"/>
        <d v="2025-03-20T14:25:05"/>
        <d v="2025-03-20T14:26:47"/>
        <d v="2025-03-20T14:59:47"/>
        <d v="2025-03-20T15:05:22"/>
        <d v="2025-03-20T15:21:52"/>
        <d v="2025-03-20T16:45:45"/>
        <d v="2025-03-20T17:23:51"/>
        <d v="2025-03-20T18:55:59"/>
        <d v="2025-03-20T19:36:42"/>
        <d v="2025-03-20T19:57:48"/>
        <d v="2025-03-20T21:50:16"/>
        <d v="2025-03-21T07:06:12"/>
        <d v="2025-03-21T07:09:08"/>
        <d v="2025-03-21T08:16:44"/>
        <d v="2025-03-21T08:28:37"/>
        <d v="2025-03-21T08:29:21"/>
        <d v="2025-03-21T08:35:19"/>
        <d v="2025-03-21T11:50:09"/>
        <d v="2025-03-21T11:51:08"/>
        <d v="2025-03-21T13:02:48"/>
        <d v="2025-03-21T13:23:57"/>
        <d v="2025-03-21T14:11:44"/>
        <d v="2025-03-21T15:09:03"/>
        <d v="2025-03-21T15:24:43"/>
        <d v="2025-03-21T15:28:20"/>
        <d v="2025-03-21T15:29:32"/>
        <d v="2025-03-21T17:01:29"/>
        <d v="2025-03-21T17:21:17"/>
        <d v="2025-03-21T17:22:50"/>
        <d v="2025-03-21T18:52:13"/>
        <d v="2025-03-21T18:59:24"/>
        <d v="2025-03-22T09:05:13"/>
        <d v="2025-03-22T10:30:09"/>
        <d v="2025-03-22T11:14:06"/>
        <d v="2025-03-22T11:41:21"/>
        <d v="2025-03-22T12:18:27"/>
        <d v="2025-03-22T12:26:00"/>
        <d v="2025-03-22T13:06:22"/>
        <d v="2025-03-22T13:23:18"/>
        <d v="2025-03-22T15:57:58"/>
        <d v="2025-03-22T16:27:00"/>
        <d v="2025-03-22T17:53:36"/>
        <d v="2025-03-22T19:16:53"/>
        <d v="2025-03-23T10:07:11"/>
        <d v="2025-03-23T10:34:55"/>
        <d v="2025-03-23T14:43:37"/>
        <d v="2025-03-23T14:44:17"/>
        <d v="2025-03-23T15:47:29"/>
        <d v="2025-03-23T18:11:39"/>
      </sharedItems>
    </cacheField>
    <cacheField name="cash_type" numFmtId="0">
      <sharedItems count="2">
        <s v="card"/>
        <s v="cash"/>
      </sharedItems>
    </cacheField>
    <cacheField name="card" numFmtId="0">
      <sharedItems containsBlank="1" count="1317">
        <s v="ANON-0000-0000-0001"/>
        <s v="ANON-0000-0000-0002"/>
        <s v="ANON-0000-0000-0003"/>
        <s v="ANON-0000-0000-0004"/>
        <s v="ANON-0000-0000-0005"/>
        <s v="ANON-0000-0000-0006"/>
        <s v="ANON-0000-0000-0007"/>
        <s v="ANON-0000-0000-0008"/>
        <s v="ANON-0000-0000-0009"/>
        <s v="ANON-0000-0000-0010"/>
        <m/>
        <s v="ANON-0000-0000-0011"/>
        <s v="ANON-0000-0000-0012"/>
        <s v="ANON-0000-0000-0013"/>
        <s v="ANON-0000-0000-0014"/>
        <s v="ANON-0000-0000-0015"/>
        <s v="ANON-0000-0000-0016"/>
        <s v="ANON-0000-0000-0017"/>
        <s v="ANON-0000-0000-0018"/>
        <s v="ANON-0000-0000-0019"/>
        <s v="ANON-0000-0000-0020"/>
        <s v="ANON-0000-0000-0021"/>
        <s v="ANON-0000-0000-0022"/>
        <s v="ANON-0000-0000-0023"/>
        <s v="ANON-0000-0000-0024"/>
        <s v="ANON-0000-0000-0025"/>
        <s v="ANON-0000-0000-0026"/>
        <s v="ANON-0000-0000-0027"/>
        <s v="ANON-0000-0000-0028"/>
        <s v="ANON-0000-0000-0029"/>
        <s v="ANON-0000-0000-0030"/>
        <s v="ANON-0000-0000-0031"/>
        <s v="ANON-0000-0000-0032"/>
        <s v="ANON-0000-0000-0033"/>
        <s v="ANON-0000-0000-0034"/>
        <s v="ANON-0000-0000-0035"/>
        <s v="ANON-0000-0000-0036"/>
        <s v="ANON-0000-0000-0037"/>
        <s v="ANON-0000-0000-0038"/>
        <s v="ANON-0000-0000-0039"/>
        <s v="ANON-0000-0000-0040"/>
        <s v="ANON-0000-0000-0041"/>
        <s v="ANON-0000-0000-0042"/>
        <s v="ANON-0000-0000-0043"/>
        <s v="ANON-0000-0000-0044"/>
        <s v="ANON-0000-0000-0045"/>
        <s v="ANON-0000-0000-0046"/>
        <s v="ANON-0000-0000-0047"/>
        <s v="ANON-0000-0000-0048"/>
        <s v="ANON-0000-0000-0049"/>
        <s v="ANON-0000-0000-0050"/>
        <s v="ANON-0000-0000-0051"/>
        <s v="ANON-0000-0000-0052"/>
        <s v="ANON-0000-0000-0053"/>
        <s v="ANON-0000-0000-0054"/>
        <s v="ANON-0000-0000-0055"/>
        <s v="ANON-0000-0000-0056"/>
        <s v="ANON-0000-0000-0057"/>
        <s v="ANON-0000-0000-0058"/>
        <s v="ANON-0000-0000-0059"/>
        <s v="ANON-0000-0000-0060"/>
        <s v="ANON-0000-0000-0061"/>
        <s v="ANON-0000-0000-0062"/>
        <s v="ANON-0000-0000-0063"/>
        <s v="ANON-0000-0000-0064"/>
        <s v="ANON-0000-0000-0065"/>
        <s v="ANON-0000-0000-0066"/>
        <s v="ANON-0000-0000-0067"/>
        <s v="ANON-0000-0000-0068"/>
        <s v="ANON-0000-0000-0069"/>
        <s v="ANON-0000-0000-0070"/>
        <s v="ANON-0000-0000-0071"/>
        <s v="ANON-0000-0000-0072"/>
        <s v="ANON-0000-0000-0073"/>
        <s v="ANON-0000-0000-0074"/>
        <s v="ANON-0000-0000-0075"/>
        <s v="ANON-0000-0000-0076"/>
        <s v="ANON-0000-0000-0077"/>
        <s v="ANON-0000-0000-0078"/>
        <s v="ANON-0000-0000-0079"/>
        <s v="ANON-0000-0000-0080"/>
        <s v="ANON-0000-0000-0081"/>
        <s v="ANON-0000-0000-0082"/>
        <s v="ANON-0000-0000-0083"/>
        <s v="ANON-0000-0000-0084"/>
        <s v="ANON-0000-0000-0085"/>
        <s v="ANON-0000-0000-0086"/>
        <s v="ANON-0000-0000-0087"/>
        <s v="ANON-0000-0000-0088"/>
        <s v="ANON-0000-0000-0089"/>
        <s v="ANON-0000-0000-0090"/>
        <s v="ANON-0000-0000-0091"/>
        <s v="ANON-0000-0000-0092"/>
        <s v="ANON-0000-0000-0093"/>
        <s v="ANON-0000-0000-0094"/>
        <s v="ANON-0000-0000-0095"/>
        <s v="ANON-0000-0000-0096"/>
        <s v="ANON-0000-0000-0097"/>
        <s v="ANON-0000-0000-0098"/>
        <s v="ANON-0000-0000-0099"/>
        <s v="ANON-0000-0000-0100"/>
        <s v="ANON-0000-0000-0101"/>
        <s v="ANON-0000-0000-0102"/>
        <s v="ANON-0000-0000-0103"/>
        <s v="ANON-0000-0000-0104"/>
        <s v="ANON-0000-0000-0105"/>
        <s v="ANON-0000-0000-0106"/>
        <s v="ANON-0000-0000-0107"/>
        <s v="ANON-0000-0000-0108"/>
        <s v="ANON-0000-0000-0109"/>
        <s v="ANON-0000-0000-0110"/>
        <s v="ANON-0000-0000-0111"/>
        <s v="ANON-0000-0000-0112"/>
        <s v="ANON-0000-0000-0113"/>
        <s v="ANON-0000-0000-0114"/>
        <s v="ANON-0000-0000-0115"/>
        <s v="ANON-0000-0000-0116"/>
        <s v="ANON-0000-0000-0117"/>
        <s v="ANON-0000-0000-0118"/>
        <s v="ANON-0000-0000-0119"/>
        <s v="ANON-0000-0000-0120"/>
        <s v="ANON-0000-0000-0121"/>
        <s v="ANON-0000-0000-0122"/>
        <s v="ANON-0000-0000-0123"/>
        <s v="ANON-0000-0000-0124"/>
        <s v="ANON-0000-0000-0125"/>
        <s v="ANON-0000-0000-0126"/>
        <s v="ANON-0000-0000-0127"/>
        <s v="ANON-0000-0000-0128"/>
        <s v="ANON-0000-0000-0129"/>
        <s v="ANON-0000-0000-0130"/>
        <s v="ANON-0000-0000-0131"/>
        <s v="ANON-0000-0000-0132"/>
        <s v="ANON-0000-0000-0133"/>
        <s v="ANON-0000-0000-0134"/>
        <s v="ANON-0000-0000-0135"/>
        <s v="ANON-0000-0000-0136"/>
        <s v="ANON-0000-0000-0137"/>
        <s v="ANON-0000-0000-0138"/>
        <s v="ANON-0000-0000-0139"/>
        <s v="ANON-0000-0000-0140"/>
        <s v="ANON-0000-0000-0141"/>
        <s v="ANON-0000-0000-0142"/>
        <s v="ANON-0000-0000-0143"/>
        <s v="ANON-0000-0000-0144"/>
        <s v="ANON-0000-0000-0145"/>
        <s v="ANON-0000-0000-0146"/>
        <s v="ANON-0000-0000-0147"/>
        <s v="ANON-0000-0000-0148"/>
        <s v="ANON-0000-0000-0149"/>
        <s v="ANON-0000-0000-0150"/>
        <s v="ANON-0000-0000-0151"/>
        <s v="ANON-0000-0000-0152"/>
        <s v="ANON-0000-0000-0153"/>
        <s v="ANON-0000-0000-0154"/>
        <s v="ANON-0000-0000-0155"/>
        <s v="ANON-0000-0000-0156"/>
        <s v="ANON-0000-0000-0157"/>
        <s v="ANON-0000-0000-0158"/>
        <s v="ANON-0000-0000-0159"/>
        <s v="ANON-0000-0000-0160"/>
        <s v="ANON-0000-0000-0161"/>
        <s v="ANON-0000-0000-0162"/>
        <s v="ANON-0000-0000-0163"/>
        <s v="ANON-0000-0000-0164"/>
        <s v="ANON-0000-0000-0165"/>
        <s v="ANON-0000-0000-0166"/>
        <s v="ANON-0000-0000-0167"/>
        <s v="ANON-0000-0000-0168"/>
        <s v="ANON-0000-0000-0169"/>
        <s v="ANON-0000-0000-0170"/>
        <s v="ANON-0000-0000-0171"/>
        <s v="ANON-0000-0000-0172"/>
        <s v="ANON-0000-0000-0173"/>
        <s v="ANON-0000-0000-0174"/>
        <s v="ANON-0000-0000-0175"/>
        <s v="ANON-0000-0000-0176"/>
        <s v="ANON-0000-0000-0177"/>
        <s v="ANON-0000-0000-0178"/>
        <s v="ANON-0000-0000-0179"/>
        <s v="ANON-0000-0000-0180"/>
        <s v="ANON-0000-0000-0181"/>
        <s v="ANON-0000-0000-0182"/>
        <s v="ANON-0000-0000-0183"/>
        <s v="ANON-0000-0000-0184"/>
        <s v="ANON-0000-0000-0185"/>
        <s v="ANON-0000-0000-0186"/>
        <s v="ANON-0000-0000-0187"/>
        <s v="ANON-0000-0000-0188"/>
        <s v="ANON-0000-0000-0189"/>
        <s v="ANON-0000-0000-0190"/>
        <s v="ANON-0000-0000-0191"/>
        <s v="ANON-0000-0000-0192"/>
        <s v="ANON-0000-0000-0193"/>
        <s v="ANON-0000-0000-0194"/>
        <s v="ANON-0000-0000-0195"/>
        <s v="ANON-0000-0000-0196"/>
        <s v="ANON-0000-0000-0197"/>
        <s v="ANON-0000-0000-0198"/>
        <s v="ANON-0000-0000-0199"/>
        <s v="ANON-0000-0000-0200"/>
        <s v="ANON-0000-0000-0201"/>
        <s v="ANON-0000-0000-0202"/>
        <s v="ANON-0000-0000-0203"/>
        <s v="ANON-0000-0000-0204"/>
        <s v="ANON-0000-0000-0205"/>
        <s v="ANON-0000-0000-0206"/>
        <s v="ANON-0000-0000-0207"/>
        <s v="ANON-0000-0000-0208"/>
        <s v="ANON-0000-0000-0209"/>
        <s v="ANON-0000-0000-0210"/>
        <s v="ANON-0000-0000-0211"/>
        <s v="ANON-0000-0000-0212"/>
        <s v="ANON-0000-0000-0213"/>
        <s v="ANON-0000-0000-0214"/>
        <s v="ANON-0000-0000-0215"/>
        <s v="ANON-0000-0000-0216"/>
        <s v="ANON-0000-0000-0217"/>
        <s v="ANON-0000-0000-0218"/>
        <s v="ANON-0000-0000-0219"/>
        <s v="ANON-0000-0000-0220"/>
        <s v="ANON-0000-0000-0221"/>
        <s v="ANON-0000-0000-0222"/>
        <s v="ANON-0000-0000-0223"/>
        <s v="ANON-0000-0000-0224"/>
        <s v="ANON-0000-0000-0225"/>
        <s v="ANON-0000-0000-0226"/>
        <s v="ANON-0000-0000-0227"/>
        <s v="ANON-0000-0000-0228"/>
        <s v="ANON-0000-0000-0229"/>
        <s v="ANON-0000-0000-0230"/>
        <s v="ANON-0000-0000-0231"/>
        <s v="ANON-0000-0000-0232"/>
        <s v="ANON-0000-0000-0233"/>
        <s v="ANON-0000-0000-0234"/>
        <s v="ANON-0000-0000-0235"/>
        <s v="ANON-0000-0000-0236"/>
        <s v="ANON-0000-0000-0237"/>
        <s v="ANON-0000-0000-0238"/>
        <s v="ANON-0000-0000-0239"/>
        <s v="ANON-0000-0000-0240"/>
        <s v="ANON-0000-0000-0241"/>
        <s v="ANON-0000-0000-0242"/>
        <s v="ANON-0000-0000-0243"/>
        <s v="ANON-0000-0000-0244"/>
        <s v="ANON-0000-0000-0245"/>
        <s v="ANON-0000-0000-0246"/>
        <s v="ANON-0000-0000-0247"/>
        <s v="ANON-0000-0000-0248"/>
        <s v="ANON-0000-0000-0249"/>
        <s v="ANON-0000-0000-0250"/>
        <s v="ANON-0000-0000-0251"/>
        <s v="ANON-0000-0000-0252"/>
        <s v="ANON-0000-0000-0253"/>
        <s v="ANON-0000-0000-0254"/>
        <s v="ANON-0000-0000-0255"/>
        <s v="ANON-0000-0000-0256"/>
        <s v="ANON-0000-0000-0257"/>
        <s v="ANON-0000-0000-0258"/>
        <s v="ANON-0000-0000-0259"/>
        <s v="ANON-0000-0000-0260"/>
        <s v="ANON-0000-0000-0261"/>
        <s v="ANON-0000-0000-0262"/>
        <s v="ANON-0000-0000-0263"/>
        <s v="ANON-0000-0000-0264"/>
        <s v="ANON-0000-0000-0265"/>
        <s v="ANON-0000-0000-0266"/>
        <s v="ANON-0000-0000-0267"/>
        <s v="ANON-0000-0000-0268"/>
        <s v="ANON-0000-0000-0269"/>
        <s v="ANON-0000-0000-0270"/>
        <s v="ANON-0000-0000-0271"/>
        <s v="ANON-0000-0000-0272"/>
        <s v="ANON-0000-0000-0273"/>
        <s v="ANON-0000-0000-0274"/>
        <s v="ANON-0000-0000-0275"/>
        <s v="ANON-0000-0000-0276"/>
        <s v="ANON-0000-0000-0277"/>
        <s v="ANON-0000-0000-0278"/>
        <s v="ANON-0000-0000-0279"/>
        <s v="ANON-0000-0000-0280"/>
        <s v="ANON-0000-0000-0281"/>
        <s v="ANON-0000-0000-0282"/>
        <s v="ANON-0000-0000-0283"/>
        <s v="ANON-0000-0000-0284"/>
        <s v="ANON-0000-0000-0285"/>
        <s v="ANON-0000-0000-0286"/>
        <s v="ANON-0000-0000-0287"/>
        <s v="ANON-0000-0000-0288"/>
        <s v="ANON-0000-0000-0289"/>
        <s v="ANON-0000-0000-0290"/>
        <s v="ANON-0000-0000-0291"/>
        <s v="ANON-0000-0000-0292"/>
        <s v="ANON-0000-0000-0293"/>
        <s v="ANON-0000-0000-0294"/>
        <s v="ANON-0000-0000-0295"/>
        <s v="ANON-0000-0000-0296"/>
        <s v="ANON-0000-0000-0297"/>
        <s v="ANON-0000-0000-0298"/>
        <s v="ANON-0000-0000-0299"/>
        <s v="ANON-0000-0000-0300"/>
        <s v="ANON-0000-0000-0301"/>
        <s v="ANON-0000-0000-0302"/>
        <s v="ANON-0000-0000-0303"/>
        <s v="ANON-0000-0000-0304"/>
        <s v="ANON-0000-0000-0305"/>
        <s v="ANON-0000-0000-0306"/>
        <s v="ANON-0000-0000-0307"/>
        <s v="ANON-0000-0000-0308"/>
        <s v="ANON-0000-0000-0309"/>
        <s v="ANON-0000-0000-0310"/>
        <s v="ANON-0000-0000-0311"/>
        <s v="ANON-0000-0000-0312"/>
        <s v="ANON-0000-0000-0313"/>
        <s v="ANON-0000-0000-0314"/>
        <s v="ANON-0000-0000-0315"/>
        <s v="ANON-0000-0000-0316"/>
        <s v="ANON-0000-0000-0317"/>
        <s v="ANON-0000-0000-0318"/>
        <s v="ANON-0000-0000-0319"/>
        <s v="ANON-0000-0000-0320"/>
        <s v="ANON-0000-0000-0321"/>
        <s v="ANON-0000-0000-0322"/>
        <s v="ANON-0000-0000-0323"/>
        <s v="ANON-0000-0000-0324"/>
        <s v="ANON-0000-0000-0325"/>
        <s v="ANON-0000-0000-0326"/>
        <s v="ANON-0000-0000-0327"/>
        <s v="ANON-0000-0000-0328"/>
        <s v="ANON-0000-0000-0329"/>
        <s v="ANON-0000-0000-0330"/>
        <s v="ANON-0000-0000-0331"/>
        <s v="ANON-0000-0000-0332"/>
        <s v="ANON-0000-0000-0333"/>
        <s v="ANON-0000-0000-0334"/>
        <s v="ANON-0000-0000-0335"/>
        <s v="ANON-0000-0000-0336"/>
        <s v="ANON-0000-0000-0337"/>
        <s v="ANON-0000-0000-0338"/>
        <s v="ANON-0000-0000-0339"/>
        <s v="ANON-0000-0000-0340"/>
        <s v="ANON-0000-0000-0341"/>
        <s v="ANON-0000-0000-0342"/>
        <s v="ANON-0000-0000-0343"/>
        <s v="ANON-0000-0000-0344"/>
        <s v="ANON-0000-0000-0345"/>
        <s v="ANON-0000-0000-0346"/>
        <s v="ANON-0000-0000-0347"/>
        <s v="ANON-0000-0000-0348"/>
        <s v="ANON-0000-0000-0349"/>
        <s v="ANON-0000-0000-0350"/>
        <s v="ANON-0000-0000-0351"/>
        <s v="ANON-0000-0000-0352"/>
        <s v="ANON-0000-0000-0353"/>
        <s v="ANON-0000-0000-0354"/>
        <s v="ANON-0000-0000-0355"/>
        <s v="ANON-0000-0000-0356"/>
        <s v="ANON-0000-0000-0357"/>
        <s v="ANON-0000-0000-0358"/>
        <s v="ANON-0000-0000-0359"/>
        <s v="ANON-0000-0000-0360"/>
        <s v="ANON-0000-0000-0361"/>
        <s v="ANON-0000-0000-0362"/>
        <s v="ANON-0000-0000-0363"/>
        <s v="ANON-0000-0000-0364"/>
        <s v="ANON-0000-0000-0365"/>
        <s v="ANON-0000-0000-0366"/>
        <s v="ANON-0000-0000-0367"/>
        <s v="ANON-0000-0000-0368"/>
        <s v="ANON-0000-0000-0369"/>
        <s v="ANON-0000-0000-0370"/>
        <s v="ANON-0000-0000-0371"/>
        <s v="ANON-0000-0000-0372"/>
        <s v="ANON-0000-0000-0373"/>
        <s v="ANON-0000-0000-0374"/>
        <s v="ANON-0000-0000-0375"/>
        <s v="ANON-0000-0000-0376"/>
        <s v="ANON-0000-0000-0377"/>
        <s v="ANON-0000-0000-0378"/>
        <s v="ANON-0000-0000-0379"/>
        <s v="ANON-0000-0000-0380"/>
        <s v="ANON-0000-0000-0381"/>
        <s v="ANON-0000-0000-0382"/>
        <s v="ANON-0000-0000-0383"/>
        <s v="ANON-0000-0000-0384"/>
        <s v="ANON-0000-0000-0385"/>
        <s v="ANON-0000-0000-0386"/>
        <s v="ANON-0000-0000-0387"/>
        <s v="ANON-0000-0000-0388"/>
        <s v="ANON-0000-0000-0389"/>
        <s v="ANON-0000-0000-0390"/>
        <s v="ANON-0000-0000-0391"/>
        <s v="ANON-0000-0000-0392"/>
        <s v="ANON-0000-0000-0393"/>
        <s v="ANON-0000-0000-0394"/>
        <s v="ANON-0000-0000-0395"/>
        <s v="ANON-0000-0000-0396"/>
        <s v="ANON-0000-0000-0397"/>
        <s v="ANON-0000-0000-0398"/>
        <s v="ANON-0000-0000-0399"/>
        <s v="ANON-0000-0000-0400"/>
        <s v="ANON-0000-0000-0401"/>
        <s v="ANON-0000-0000-0402"/>
        <s v="ANON-0000-0000-0403"/>
        <s v="ANON-0000-0000-0404"/>
        <s v="ANON-0000-0000-0405"/>
        <s v="ANON-0000-0000-0406"/>
        <s v="ANON-0000-0000-0407"/>
        <s v="ANON-0000-0000-0408"/>
        <s v="ANON-0000-0000-0409"/>
        <s v="ANON-0000-0000-0410"/>
        <s v="ANON-0000-0000-0411"/>
        <s v="ANON-0000-0000-0412"/>
        <s v="ANON-0000-0000-0413"/>
        <s v="ANON-0000-0000-0414"/>
        <s v="ANON-0000-0000-0415"/>
        <s v="ANON-0000-0000-0416"/>
        <s v="ANON-0000-0000-0417"/>
        <s v="ANON-0000-0000-0418"/>
        <s v="ANON-0000-0000-0419"/>
        <s v="ANON-0000-0000-0420"/>
        <s v="ANON-0000-0000-0421"/>
        <s v="ANON-0000-0000-0422"/>
        <s v="ANON-0000-0000-0423"/>
        <s v="ANON-0000-0000-0424"/>
        <s v="ANON-0000-0000-0425"/>
        <s v="ANON-0000-0000-0426"/>
        <s v="ANON-0000-0000-0427"/>
        <s v="ANON-0000-0000-0428"/>
        <s v="ANON-0000-0000-0429"/>
        <s v="ANON-0000-0000-0430"/>
        <s v="ANON-0000-0000-0431"/>
        <s v="ANON-0000-0000-0432"/>
        <s v="ANON-0000-0000-0433"/>
        <s v="ANON-0000-0000-0434"/>
        <s v="ANON-0000-0000-0435"/>
        <s v="ANON-0000-0000-0436"/>
        <s v="ANON-0000-0000-0437"/>
        <s v="ANON-0000-0000-0438"/>
        <s v="ANON-0000-0000-0439"/>
        <s v="ANON-0000-0000-0440"/>
        <s v="ANON-0000-0000-0441"/>
        <s v="ANON-0000-0000-0442"/>
        <s v="ANON-0000-0000-0443"/>
        <s v="ANON-0000-0000-0444"/>
        <s v="ANON-0000-0000-0445"/>
        <s v="ANON-0000-0000-0446"/>
        <s v="ANON-0000-0000-0447"/>
        <s v="ANON-0000-0000-0448"/>
        <s v="ANON-0000-0000-0449"/>
        <s v="ANON-0000-0000-0450"/>
        <s v="ANON-0000-0000-0451"/>
        <s v="ANON-0000-0000-0452"/>
        <s v="ANON-0000-0000-0453"/>
        <s v="ANON-0000-0000-0454"/>
        <s v="ANON-0000-0000-0455"/>
        <s v="ANON-0000-0000-0456"/>
        <s v="ANON-0000-0000-0457"/>
        <s v="ANON-0000-0000-0458"/>
        <s v="ANON-0000-0000-0459"/>
        <s v="ANON-0000-0000-0460"/>
        <s v="ANON-0000-0000-0461"/>
        <s v="ANON-0000-0000-0462"/>
        <s v="ANON-0000-0000-0463"/>
        <s v="ANON-0000-0000-0464"/>
        <s v="ANON-0000-0000-0465"/>
        <s v="ANON-0000-0000-0466"/>
        <s v="ANON-0000-0000-0467"/>
        <s v="ANON-0000-0000-0468"/>
        <s v="ANON-0000-0000-0469"/>
        <s v="ANON-0000-0000-0470"/>
        <s v="ANON-0000-0000-0471"/>
        <s v="ANON-0000-0000-0472"/>
        <s v="ANON-0000-0000-0473"/>
        <s v="ANON-0000-0000-0474"/>
        <s v="ANON-0000-0000-0475"/>
        <s v="ANON-0000-0000-0476"/>
        <s v="ANON-0000-0000-0477"/>
        <s v="ANON-0000-0000-0478"/>
        <s v="ANON-0000-0000-0479"/>
        <s v="ANON-0000-0000-0480"/>
        <s v="ANON-0000-0000-0481"/>
        <s v="ANON-0000-0000-0482"/>
        <s v="ANON-0000-0000-0483"/>
        <s v="ANON-0000-0000-0484"/>
        <s v="ANON-0000-0000-0485"/>
        <s v="ANON-0000-0000-0486"/>
        <s v="ANON-0000-0000-0487"/>
        <s v="ANON-0000-0000-0488"/>
        <s v="ANON-0000-0000-0489"/>
        <s v="ANON-0000-0000-0490"/>
        <s v="ANON-0000-0000-0491"/>
        <s v="ANON-0000-0000-0492"/>
        <s v="ANON-0000-0000-0493"/>
        <s v="ANON-0000-0000-0494"/>
        <s v="ANON-0000-0000-0495"/>
        <s v="ANON-0000-0000-0496"/>
        <s v="ANON-0000-0000-0497"/>
        <s v="ANON-0000-0000-0498"/>
        <s v="ANON-0000-0000-0499"/>
        <s v="ANON-0000-0000-0500"/>
        <s v="ANON-0000-0000-0501"/>
        <s v="ANON-0000-0000-0502"/>
        <s v="ANON-0000-0000-0503"/>
        <s v="ANON-0000-0000-0504"/>
        <s v="ANON-0000-0000-0505"/>
        <s v="ANON-0000-0000-0506"/>
        <s v="ANON-0000-0000-0507"/>
        <s v="ANON-0000-0000-0508"/>
        <s v="ANON-0000-0000-0509"/>
        <s v="ANON-0000-0000-0510"/>
        <s v="ANON-0000-0000-0511"/>
        <s v="ANON-0000-0000-0512"/>
        <s v="ANON-0000-0000-0513"/>
        <s v="ANON-0000-0000-0514"/>
        <s v="ANON-0000-0000-0515"/>
        <s v="ANON-0000-0000-0516"/>
        <s v="ANON-0000-0000-0517"/>
        <s v="ANON-0000-0000-0518"/>
        <s v="ANON-0000-0000-0519"/>
        <s v="ANON-0000-0000-0520"/>
        <s v="ANON-0000-0000-0521"/>
        <s v="ANON-0000-0000-0522"/>
        <s v="ANON-0000-0000-0523"/>
        <s v="ANON-0000-0000-0524"/>
        <s v="ANON-0000-0000-0525"/>
        <s v="ANON-0000-0000-0526"/>
        <s v="ANON-0000-0000-0527"/>
        <s v="ANON-0000-0000-0528"/>
        <s v="ANON-0000-0000-0529"/>
        <s v="ANON-0000-0000-0530"/>
        <s v="ANON-0000-0000-0531"/>
        <s v="ANON-0000-0000-0532"/>
        <s v="ANON-0000-0000-0533"/>
        <s v="ANON-0000-0000-0534"/>
        <s v="ANON-0000-0000-0535"/>
        <s v="ANON-0000-0000-0536"/>
        <s v="ANON-0000-0000-0537"/>
        <s v="ANON-0000-0000-0538"/>
        <s v="ANON-0000-0000-0539"/>
        <s v="ANON-0000-0000-0540"/>
        <s v="ANON-0000-0000-0541"/>
        <s v="ANON-0000-0000-0542"/>
        <s v="ANON-0000-0000-0543"/>
        <s v="ANON-0000-0000-0544"/>
        <s v="ANON-0000-0000-0545"/>
        <s v="ANON-0000-0000-0546"/>
        <s v="ANON-0000-0000-0547"/>
        <s v="ANON-0000-0000-0548"/>
        <s v="ANON-0000-0000-0549"/>
        <s v="ANON-0000-0000-0550"/>
        <s v="ANON-0000-0000-0551"/>
        <s v="ANON-0000-0000-0552"/>
        <s v="ANON-0000-0000-0553"/>
        <s v="ANON-0000-0000-0554"/>
        <s v="ANON-0000-0000-0555"/>
        <s v="ANON-0000-0000-0556"/>
        <s v="ANON-0000-0000-0557"/>
        <s v="ANON-0000-0000-0558"/>
        <s v="ANON-0000-0000-0559"/>
        <s v="ANON-0000-0000-0560"/>
        <s v="ANON-0000-0000-0561"/>
        <s v="ANON-0000-0000-0562"/>
        <s v="ANON-0000-0000-0563"/>
        <s v="ANON-0000-0000-0564"/>
        <s v="ANON-0000-0000-0565"/>
        <s v="ANON-0000-0000-0566"/>
        <s v="ANON-0000-0000-0567"/>
        <s v="ANON-0000-0000-0568"/>
        <s v="ANON-0000-0000-0569"/>
        <s v="ANON-0000-0000-0570"/>
        <s v="ANON-0000-0000-0571"/>
        <s v="ANON-0000-0000-0572"/>
        <s v="ANON-0000-0000-0573"/>
        <s v="ANON-0000-0000-0574"/>
        <s v="ANON-0000-0000-0575"/>
        <s v="ANON-0000-0000-0576"/>
        <s v="ANON-0000-0000-0577"/>
        <s v="ANON-0000-0000-0578"/>
        <s v="ANON-0000-0000-0579"/>
        <s v="ANON-0000-0000-0580"/>
        <s v="ANON-0000-0000-0581"/>
        <s v="ANON-0000-0000-0582"/>
        <s v="ANON-0000-0000-0583"/>
        <s v="ANON-0000-0000-0584"/>
        <s v="ANON-0000-0000-0585"/>
        <s v="ANON-0000-0000-0586"/>
        <s v="ANON-0000-0000-0587"/>
        <s v="ANON-0000-0000-0588"/>
        <s v="ANON-0000-0000-0589"/>
        <s v="ANON-0000-0000-0590"/>
        <s v="ANON-0000-0000-0591"/>
        <s v="ANON-0000-0000-0592"/>
        <s v="ANON-0000-0000-0593"/>
        <s v="ANON-0000-0000-0594"/>
        <s v="ANON-0000-0000-0595"/>
        <s v="ANON-0000-0000-0596"/>
        <s v="ANON-0000-0000-0597"/>
        <s v="ANON-0000-0000-0598"/>
        <s v="ANON-0000-0000-0599"/>
        <s v="ANON-0000-0000-0600"/>
        <s v="ANON-0000-0000-0601"/>
        <s v="ANON-0000-0000-0602"/>
        <s v="ANON-0000-0000-0603"/>
        <s v="ANON-0000-0000-0604"/>
        <s v="ANON-0000-0000-0605"/>
        <s v="ANON-0000-0000-0606"/>
        <s v="ANON-0000-0000-0607"/>
        <s v="ANON-0000-0000-0608"/>
        <s v="ANON-0000-0000-0609"/>
        <s v="ANON-0000-0000-0610"/>
        <s v="ANON-0000-0000-0611"/>
        <s v="ANON-0000-0000-0612"/>
        <s v="ANON-0000-0000-0613"/>
        <s v="ANON-0000-0000-0614"/>
        <s v="ANON-0000-0000-0615"/>
        <s v="ANON-0000-0000-0616"/>
        <s v="ANON-0000-0000-0617"/>
        <s v="ANON-0000-0000-0618"/>
        <s v="ANON-0000-0000-0619"/>
        <s v="ANON-0000-0000-0620"/>
        <s v="ANON-0000-0000-0621"/>
        <s v="ANON-0000-0000-0622"/>
        <s v="ANON-0000-0000-0623"/>
        <s v="ANON-0000-0000-0624"/>
        <s v="ANON-0000-0000-0625"/>
        <s v="ANON-0000-0000-0626"/>
        <s v="ANON-0000-0000-0627"/>
        <s v="ANON-0000-0000-0628"/>
        <s v="ANON-0000-0000-0629"/>
        <s v="ANON-0000-0000-0630"/>
        <s v="ANON-0000-0000-0631"/>
        <s v="ANON-0000-0000-0632"/>
        <s v="ANON-0000-0000-0633"/>
        <s v="ANON-0000-0000-0634"/>
        <s v="ANON-0000-0000-0635"/>
        <s v="ANON-0000-0000-0636"/>
        <s v="ANON-0000-0000-0637"/>
        <s v="ANON-0000-0000-0638"/>
        <s v="ANON-0000-0000-0639"/>
        <s v="ANON-0000-0000-0640"/>
        <s v="ANON-0000-0000-0641"/>
        <s v="ANON-0000-0000-0642"/>
        <s v="ANON-0000-0000-0643"/>
        <s v="ANON-0000-0000-0644"/>
        <s v="ANON-0000-0000-0645"/>
        <s v="ANON-0000-0000-0646"/>
        <s v="ANON-0000-0000-0647"/>
        <s v="ANON-0000-0000-0648"/>
        <s v="ANON-0000-0000-0649"/>
        <s v="ANON-0000-0000-0650"/>
        <s v="ANON-0000-0000-0651"/>
        <s v="ANON-0000-0000-0652"/>
        <s v="ANON-0000-0000-0653"/>
        <s v="ANON-0000-0000-0654"/>
        <s v="ANON-0000-0000-0655"/>
        <s v="ANON-0000-0000-0656"/>
        <s v="ANON-0000-0000-0657"/>
        <s v="ANON-0000-0000-0658"/>
        <s v="ANON-0000-0000-0659"/>
        <s v="ANON-0000-0000-0660"/>
        <s v="ANON-0000-0000-0661"/>
        <s v="ANON-0000-0000-0662"/>
        <s v="ANON-0000-0000-0663"/>
        <s v="ANON-0000-0000-0664"/>
        <s v="ANON-0000-0000-0665"/>
        <s v="ANON-0000-0000-0666"/>
        <s v="ANON-0000-0000-0667"/>
        <s v="ANON-0000-0000-0668"/>
        <s v="ANON-0000-0000-0669"/>
        <s v="ANON-0000-0000-0670"/>
        <s v="ANON-0000-0000-0671"/>
        <s v="ANON-0000-0000-0672"/>
        <s v="ANON-0000-0000-0673"/>
        <s v="ANON-0000-0000-0674"/>
        <s v="ANON-0000-0000-0675"/>
        <s v="ANON-0000-0000-0676"/>
        <s v="ANON-0000-0000-0677"/>
        <s v="ANON-0000-0000-0678"/>
        <s v="ANON-0000-0000-0679"/>
        <s v="ANON-0000-0000-0680"/>
        <s v="ANON-0000-0000-0681"/>
        <s v="ANON-0000-0000-0682"/>
        <s v="ANON-0000-0000-0683"/>
        <s v="ANON-0000-0000-0684"/>
        <s v="ANON-0000-0000-0685"/>
        <s v="ANON-0000-0000-0686"/>
        <s v="ANON-0000-0000-0687"/>
        <s v="ANON-0000-0000-0688"/>
        <s v="ANON-0000-0000-0689"/>
        <s v="ANON-0000-0000-0690"/>
        <s v="ANON-0000-0000-0691"/>
        <s v="ANON-0000-0000-0692"/>
        <s v="ANON-0000-0000-0693"/>
        <s v="ANON-0000-0000-0694"/>
        <s v="ANON-0000-0000-0695"/>
        <s v="ANON-0000-0000-0696"/>
        <s v="ANON-0000-0000-0697"/>
        <s v="ANON-0000-0000-0698"/>
        <s v="ANON-0000-0000-0699"/>
        <s v="ANON-0000-0000-0700"/>
        <s v="ANON-0000-0000-0701"/>
        <s v="ANON-0000-0000-0702"/>
        <s v="ANON-0000-0000-0703"/>
        <s v="ANON-0000-0000-0704"/>
        <s v="ANON-0000-0000-0705"/>
        <s v="ANON-0000-0000-0706"/>
        <s v="ANON-0000-0000-0707"/>
        <s v="ANON-0000-0000-0708"/>
        <s v="ANON-0000-0000-0709"/>
        <s v="ANON-0000-0000-0710"/>
        <s v="ANON-0000-0000-0711"/>
        <s v="ANON-0000-0000-0712"/>
        <s v="ANON-0000-0000-0713"/>
        <s v="ANON-0000-0000-0714"/>
        <s v="ANON-0000-0000-0715"/>
        <s v="ANON-0000-0000-0716"/>
        <s v="ANON-0000-0000-0717"/>
        <s v="ANON-0000-0000-0718"/>
        <s v="ANON-0000-0000-0719"/>
        <s v="ANON-0000-0000-0720"/>
        <s v="ANON-0000-0000-0721"/>
        <s v="ANON-0000-0000-0722"/>
        <s v="ANON-0000-0000-0723"/>
        <s v="ANON-0000-0000-0724"/>
        <s v="ANON-0000-0000-0725"/>
        <s v="ANON-0000-0000-0726"/>
        <s v="ANON-0000-0000-0727"/>
        <s v="ANON-0000-0000-0728"/>
        <s v="ANON-0000-0000-0729"/>
        <s v="ANON-0000-0000-0730"/>
        <s v="ANON-0000-0000-0731"/>
        <s v="ANON-0000-0000-0732"/>
        <s v="ANON-0000-0000-0733"/>
        <s v="ANON-0000-0000-0734"/>
        <s v="ANON-0000-0000-0735"/>
        <s v="ANON-0000-0000-0736"/>
        <s v="ANON-0000-0000-0737"/>
        <s v="ANON-0000-0000-0738"/>
        <s v="ANON-0000-0000-0739"/>
        <s v="ANON-0000-0000-0740"/>
        <s v="ANON-0000-0000-0741"/>
        <s v="ANON-0000-0000-0742"/>
        <s v="ANON-0000-0000-0743"/>
        <s v="ANON-0000-0000-0744"/>
        <s v="ANON-0000-0000-0745"/>
        <s v="ANON-0000-0000-0746"/>
        <s v="ANON-0000-0000-0747"/>
        <s v="ANON-0000-0000-0748"/>
        <s v="ANON-0000-0000-0749"/>
        <s v="ANON-0000-0000-0750"/>
        <s v="ANON-0000-0000-0751"/>
        <s v="ANON-0000-0000-0752"/>
        <s v="ANON-0000-0000-0753"/>
        <s v="ANON-0000-0000-0754"/>
        <s v="ANON-0000-0000-0755"/>
        <s v="ANON-0000-0000-0756"/>
        <s v="ANON-0000-0000-0757"/>
        <s v="ANON-0000-0000-0758"/>
        <s v="ANON-0000-0000-0759"/>
        <s v="ANON-0000-0000-0760"/>
        <s v="ANON-0000-0000-0761"/>
        <s v="ANON-0000-0000-0762"/>
        <s v="ANON-0000-0000-0763"/>
        <s v="ANON-0000-0000-0764"/>
        <s v="ANON-0000-0000-0765"/>
        <s v="ANON-0000-0000-0766"/>
        <s v="ANON-0000-0000-0767"/>
        <s v="ANON-0000-0000-0768"/>
        <s v="ANON-0000-0000-0769"/>
        <s v="ANON-0000-0000-0770"/>
        <s v="ANON-0000-0000-0771"/>
        <s v="ANON-0000-0000-0772"/>
        <s v="ANON-0000-0000-0773"/>
        <s v="ANON-0000-0000-0774"/>
        <s v="ANON-0000-0000-0775"/>
        <s v="ANON-0000-0000-0776"/>
        <s v="ANON-0000-0000-0777"/>
        <s v="ANON-0000-0000-0778"/>
        <s v="ANON-0000-0000-0779"/>
        <s v="ANON-0000-0000-0780"/>
        <s v="ANON-0000-0000-0781"/>
        <s v="ANON-0000-0000-0782"/>
        <s v="ANON-0000-0000-0783"/>
        <s v="ANON-0000-0000-0784"/>
        <s v="ANON-0000-0000-0785"/>
        <s v="ANON-0000-0000-0786"/>
        <s v="ANON-0000-0000-0787"/>
        <s v="ANON-0000-0000-0788"/>
        <s v="ANON-0000-0000-0789"/>
        <s v="ANON-0000-0000-0790"/>
        <s v="ANON-0000-0000-0791"/>
        <s v="ANON-0000-0000-0792"/>
        <s v="ANON-0000-0000-0793"/>
        <s v="ANON-0000-0000-0794"/>
        <s v="ANON-0000-0000-0795"/>
        <s v="ANON-0000-0000-0796"/>
        <s v="ANON-0000-0000-0797"/>
        <s v="ANON-0000-0000-0798"/>
        <s v="ANON-0000-0000-0799"/>
        <s v="ANON-0000-0000-0800"/>
        <s v="ANON-0000-0000-0801"/>
        <s v="ANON-0000-0000-0802"/>
        <s v="ANON-0000-0000-0803"/>
        <s v="ANON-0000-0000-0804"/>
        <s v="ANON-0000-0000-0805"/>
        <s v="ANON-0000-0000-0806"/>
        <s v="ANON-0000-0000-0807"/>
        <s v="ANON-0000-0000-0808"/>
        <s v="ANON-0000-0000-0809"/>
        <s v="ANON-0000-0000-0810"/>
        <s v="ANON-0000-0000-0811"/>
        <s v="ANON-0000-0000-0812"/>
        <s v="ANON-0000-0000-0813"/>
        <s v="ANON-0000-0000-0814"/>
        <s v="ANON-0000-0000-0815"/>
        <s v="ANON-0000-0000-0816"/>
        <s v="ANON-0000-0000-0817"/>
        <s v="ANON-0000-0000-0818"/>
        <s v="ANON-0000-0000-0819"/>
        <s v="ANON-0000-0000-0820"/>
        <s v="ANON-0000-0000-0821"/>
        <s v="ANON-0000-0000-0822"/>
        <s v="ANON-0000-0000-0823"/>
        <s v="ANON-0000-0000-0824"/>
        <s v="ANON-0000-0000-0825"/>
        <s v="ANON-0000-0000-0826"/>
        <s v="ANON-0000-0000-0827"/>
        <s v="ANON-0000-0000-0828"/>
        <s v="ANON-0000-0000-0829"/>
        <s v="ANON-0000-0000-0830"/>
        <s v="ANON-0000-0000-0831"/>
        <s v="ANON-0000-0000-0832"/>
        <s v="ANON-0000-0000-0833"/>
        <s v="ANON-0000-0000-0834"/>
        <s v="ANON-0000-0000-0835"/>
        <s v="ANON-0000-0000-0836"/>
        <s v="ANON-0000-0000-0837"/>
        <s v="ANON-0000-0000-0838"/>
        <s v="ANON-0000-0000-0839"/>
        <s v="ANON-0000-0000-0840"/>
        <s v="ANON-0000-0000-0841"/>
        <s v="ANON-0000-0000-0842"/>
        <s v="ANON-0000-0000-0843"/>
        <s v="ANON-0000-0000-0844"/>
        <s v="ANON-0000-0000-0845"/>
        <s v="ANON-0000-0000-0846"/>
        <s v="ANON-0000-0000-0847"/>
        <s v="ANON-0000-0000-0848"/>
        <s v="ANON-0000-0000-0849"/>
        <s v="ANON-0000-0000-0850"/>
        <s v="ANON-0000-0000-0851"/>
        <s v="ANON-0000-0000-0852"/>
        <s v="ANON-0000-0000-0853"/>
        <s v="ANON-0000-0000-0854"/>
        <s v="ANON-0000-0000-0855"/>
        <s v="ANON-0000-0000-0856"/>
        <s v="ANON-0000-0000-0857"/>
        <s v="ANON-0000-0000-0858"/>
        <s v="ANON-0000-0000-0859"/>
        <s v="ANON-0000-0000-0860"/>
        <s v="ANON-0000-0000-0861"/>
        <s v="ANON-0000-0000-0862"/>
        <s v="ANON-0000-0000-0863"/>
        <s v="ANON-0000-0000-0864"/>
        <s v="ANON-0000-0000-0865"/>
        <s v="ANON-0000-0000-0866"/>
        <s v="ANON-0000-0000-0867"/>
        <s v="ANON-0000-0000-0868"/>
        <s v="ANON-0000-0000-0869"/>
        <s v="ANON-0000-0000-0870"/>
        <s v="ANON-0000-0000-0871"/>
        <s v="ANON-0000-0000-0872"/>
        <s v="ANON-0000-0000-0873"/>
        <s v="ANON-0000-0000-0874"/>
        <s v="ANON-0000-0000-0875"/>
        <s v="ANON-0000-0000-0876"/>
        <s v="ANON-0000-0000-0877"/>
        <s v="ANON-0000-0000-0878"/>
        <s v="ANON-0000-0000-0879"/>
        <s v="ANON-0000-0000-0880"/>
        <s v="ANON-0000-0000-0881"/>
        <s v="ANON-0000-0000-0882"/>
        <s v="ANON-0000-0000-0883"/>
        <s v="ANON-0000-0000-0884"/>
        <s v="ANON-0000-0000-0885"/>
        <s v="ANON-0000-0000-0886"/>
        <s v="ANON-0000-0000-0887"/>
        <s v="ANON-0000-0000-0888"/>
        <s v="ANON-0000-0000-0889"/>
        <s v="ANON-0000-0000-0890"/>
        <s v="ANON-0000-0000-0891"/>
        <s v="ANON-0000-0000-0892"/>
        <s v="ANON-0000-0000-0893"/>
        <s v="ANON-0000-0000-0894"/>
        <s v="ANON-0000-0000-0895"/>
        <s v="ANON-0000-0000-0896"/>
        <s v="ANON-0000-0000-0897"/>
        <s v="ANON-0000-0000-0898"/>
        <s v="ANON-0000-0000-0899"/>
        <s v="ANON-0000-0000-0900"/>
        <s v="ANON-0000-0000-0901"/>
        <s v="ANON-0000-0000-0902"/>
        <s v="ANON-0000-0000-0903"/>
        <s v="ANON-0000-0000-0904"/>
        <s v="ANON-0000-0000-0905"/>
        <s v="ANON-0000-0000-0906"/>
        <s v="ANON-0000-0000-0907"/>
        <s v="ANON-0000-0000-0908"/>
        <s v="ANON-0000-0000-0909"/>
        <s v="ANON-0000-0000-0910"/>
        <s v="ANON-0000-0000-0911"/>
        <s v="ANON-0000-0000-0912"/>
        <s v="ANON-0000-0000-0913"/>
        <s v="ANON-0000-0000-0914"/>
        <s v="ANON-0000-0000-0915"/>
        <s v="ANON-0000-0000-0916"/>
        <s v="ANON-0000-0000-0917"/>
        <s v="ANON-0000-0000-0918"/>
        <s v="ANON-0000-0000-0919"/>
        <s v="ANON-0000-0000-0920"/>
        <s v="ANON-0000-0000-0921"/>
        <s v="ANON-0000-0000-0922"/>
        <s v="ANON-0000-0000-0923"/>
        <s v="ANON-0000-0000-0924"/>
        <s v="ANON-0000-0000-0925"/>
        <s v="ANON-0000-0000-0926"/>
        <s v="ANON-0000-0000-0927"/>
        <s v="ANON-0000-0000-0928"/>
        <s v="ANON-0000-0000-0929"/>
        <s v="ANON-0000-0000-0930"/>
        <s v="ANON-0000-0000-0931"/>
        <s v="ANON-0000-0000-0932"/>
        <s v="ANON-0000-0000-0933"/>
        <s v="ANON-0000-0000-0934"/>
        <s v="ANON-0000-0000-0935"/>
        <s v="ANON-0000-0000-0936"/>
        <s v="ANON-0000-0000-0937"/>
        <s v="ANON-0000-0000-0938"/>
        <s v="ANON-0000-0000-0939"/>
        <s v="ANON-0000-0000-0940"/>
        <s v="ANON-0000-0000-0941"/>
        <s v="ANON-0000-0000-0942"/>
        <s v="ANON-0000-0000-0943"/>
        <s v="ANON-0000-0000-0944"/>
        <s v="ANON-0000-0000-0945"/>
        <s v="ANON-0000-0000-0946"/>
        <s v="ANON-0000-0000-0947"/>
        <s v="ANON-0000-0000-0948"/>
        <s v="ANON-0000-0000-0949"/>
        <s v="ANON-0000-0000-0950"/>
        <s v="ANON-0000-0000-0951"/>
        <s v="ANON-0000-0000-0952"/>
        <s v="ANON-0000-0000-0953"/>
        <s v="ANON-0000-0000-0954"/>
        <s v="ANON-0000-0000-0955"/>
        <s v="ANON-0000-0000-0956"/>
        <s v="ANON-0000-0000-0957"/>
        <s v="ANON-0000-0000-0958"/>
        <s v="ANON-0000-0000-0959"/>
        <s v="ANON-0000-0000-0960"/>
        <s v="ANON-0000-0000-0961"/>
        <s v="ANON-0000-0000-0962"/>
        <s v="ANON-0000-0000-0963"/>
        <s v="ANON-0000-0000-0964"/>
        <s v="ANON-0000-0000-0965"/>
        <s v="ANON-0000-0000-0966"/>
        <s v="ANON-0000-0000-0967"/>
        <s v="ANON-0000-0000-0968"/>
        <s v="ANON-0000-0000-0969"/>
        <s v="ANON-0000-0000-0970"/>
        <s v="ANON-0000-0000-0971"/>
        <s v="ANON-0000-0000-0972"/>
        <s v="ANON-0000-0000-0973"/>
        <s v="ANON-0000-0000-0974"/>
        <s v="ANON-0000-0000-0975"/>
        <s v="ANON-0000-0000-0976"/>
        <s v="ANON-0000-0000-0977"/>
        <s v="ANON-0000-0000-0978"/>
        <s v="ANON-0000-0000-0979"/>
        <s v="ANON-0000-0000-0980"/>
        <s v="ANON-0000-0000-0981"/>
        <s v="ANON-0000-0000-0982"/>
        <s v="ANON-0000-0000-0983"/>
        <s v="ANON-0000-0000-0984"/>
        <s v="ANON-0000-0000-0985"/>
        <s v="ANON-0000-0000-0986"/>
        <s v="ANON-0000-0000-0987"/>
        <s v="ANON-0000-0000-0988"/>
        <s v="ANON-0000-0000-0989"/>
        <s v="ANON-0000-0000-0990"/>
        <s v="ANON-0000-0000-0991"/>
        <s v="ANON-0000-0000-0992"/>
        <s v="ANON-0000-0000-0993"/>
        <s v="ANON-0000-0000-0994"/>
        <s v="ANON-0000-0000-0995"/>
        <s v="ANON-0000-0000-0996"/>
        <s v="ANON-0000-0000-0997"/>
        <s v="ANON-0000-0000-0998"/>
        <s v="ANON-0000-0000-0999"/>
        <s v="ANON-0000-0000-1000"/>
        <s v="ANON-0000-0000-1001"/>
        <s v="ANON-0000-0000-1002"/>
        <s v="ANON-0000-0000-1003"/>
        <s v="ANON-0000-0000-1004"/>
        <s v="ANON-0000-0000-1005"/>
        <s v="ANON-0000-0000-1006"/>
        <s v="ANON-0000-0000-1007"/>
        <s v="ANON-0000-0000-1008"/>
        <s v="ANON-0000-0000-1009"/>
        <s v="ANON-0000-0000-1010"/>
        <s v="ANON-0000-0000-1011"/>
        <s v="ANON-0000-0000-1012"/>
        <s v="ANON-0000-0000-1013"/>
        <s v="ANON-0000-0000-1014"/>
        <s v="ANON-0000-0000-1015"/>
        <s v="ANON-0000-0000-1016"/>
        <s v="ANON-0000-0000-1017"/>
        <s v="ANON-0000-0000-1018"/>
        <s v="ANON-0000-0000-1019"/>
        <s v="ANON-0000-0000-1020"/>
        <s v="ANON-0000-0000-1021"/>
        <s v="ANON-0000-0000-1022"/>
        <s v="ANON-0000-0000-1023"/>
        <s v="ANON-0000-0000-1024"/>
        <s v="ANON-0000-0000-1025"/>
        <s v="ANON-0000-0000-1026"/>
        <s v="ANON-0000-0000-1027"/>
        <s v="ANON-0000-0000-1028"/>
        <s v="ANON-0000-0000-1029"/>
        <s v="ANON-0000-0000-1030"/>
        <s v="ANON-0000-0000-1031"/>
        <s v="ANON-0000-0000-1032"/>
        <s v="ANON-0000-0000-1033"/>
        <s v="ANON-0000-0000-1034"/>
        <s v="ANON-0000-0000-1035"/>
        <s v="ANON-0000-0000-1036"/>
        <s v="ANON-0000-0000-1037"/>
        <s v="ANON-0000-0000-1038"/>
        <s v="ANON-0000-0000-1039"/>
        <s v="ANON-0000-0000-1040"/>
        <s v="ANON-0000-0000-1041"/>
        <s v="ANON-0000-0000-1042"/>
        <s v="ANON-0000-0000-1043"/>
        <s v="ANON-0000-0000-1044"/>
        <s v="ANON-0000-0000-1045"/>
        <s v="ANON-0000-0000-1046"/>
        <s v="ANON-0000-0000-1047"/>
        <s v="ANON-0000-0000-1048"/>
        <s v="ANON-0000-0000-1049"/>
        <s v="ANON-0000-0000-1050"/>
        <s v="ANON-0000-0000-1051"/>
        <s v="ANON-0000-0000-1052"/>
        <s v="ANON-0000-0000-1053"/>
        <s v="ANON-0000-0000-1054"/>
        <s v="ANON-0000-0000-1055"/>
        <s v="ANON-0000-0000-1056"/>
        <s v="ANON-0000-0000-1057"/>
        <s v="ANON-0000-0000-1058"/>
        <s v="ANON-0000-0000-1059"/>
        <s v="ANON-0000-0000-1060"/>
        <s v="ANON-0000-0000-1061"/>
        <s v="ANON-0000-0000-1062"/>
        <s v="ANON-0000-0000-1063"/>
        <s v="ANON-0000-0000-1064"/>
        <s v="ANON-0000-0000-1065"/>
        <s v="ANON-0000-0000-1066"/>
        <s v="ANON-0000-0000-1067"/>
        <s v="ANON-0000-0000-1068"/>
        <s v="ANON-0000-0000-1069"/>
        <s v="ANON-0000-0000-1070"/>
        <s v="ANON-0000-0000-1071"/>
        <s v="ANON-0000-0000-1072"/>
        <s v="ANON-0000-0000-1073"/>
        <s v="ANON-0000-0000-1074"/>
        <s v="ANON-0000-0000-1075"/>
        <s v="ANON-0000-0000-1076"/>
        <s v="ANON-0000-0000-1077"/>
        <s v="ANON-0000-0000-1078"/>
        <s v="ANON-0000-0000-1079"/>
        <s v="ANON-0000-0000-1080"/>
        <s v="ANON-0000-0000-1081"/>
        <s v="ANON-0000-0000-1082"/>
        <s v="ANON-0000-0000-1083"/>
        <s v="ANON-0000-0000-1084"/>
        <s v="ANON-0000-0000-1085"/>
        <s v="ANON-0000-0000-1086"/>
        <s v="ANON-0000-0000-1087"/>
        <s v="ANON-0000-0000-1088"/>
        <s v="ANON-0000-0000-1089"/>
        <s v="ANON-0000-0000-1090"/>
        <s v="ANON-0000-0000-1091"/>
        <s v="ANON-0000-0000-1092"/>
        <s v="ANON-0000-0000-1093"/>
        <s v="ANON-0000-0000-1094"/>
        <s v="ANON-0000-0000-1095"/>
        <s v="ANON-0000-0000-1096"/>
        <s v="ANON-0000-0000-1097"/>
        <s v="ANON-0000-0000-1098"/>
        <s v="ANON-0000-0000-1099"/>
        <s v="ANON-0000-0000-1100"/>
        <s v="ANON-0000-0000-1101"/>
        <s v="ANON-0000-0000-1102"/>
        <s v="ANON-0000-0000-1103"/>
        <s v="ANON-0000-0000-1104"/>
        <s v="ANON-0000-0000-1105"/>
        <s v="ANON-0000-0000-1106"/>
        <s v="ANON-0000-0000-1107"/>
        <s v="ANON-0000-0000-1108"/>
        <s v="ANON-0000-0000-1109"/>
        <s v="ANON-0000-0000-1110"/>
        <s v="ANON-0000-0000-1111"/>
        <s v="ANON-0000-0000-1112"/>
        <s v="ANON-0000-0000-1113"/>
        <s v="ANON-0000-0000-1114"/>
        <s v="ANON-0000-0000-1115"/>
        <s v="ANON-0000-0000-1116"/>
        <s v="ANON-0000-0000-1117"/>
        <s v="ANON-0000-0000-1118"/>
        <s v="ANON-0000-0000-1119"/>
        <s v="ANON-0000-0000-1120"/>
        <s v="ANON-0000-0000-1121"/>
        <s v="ANON-0000-0000-1122"/>
        <s v="ANON-0000-0000-1123"/>
        <s v="ANON-0000-0000-1124"/>
        <s v="ANON-0000-0000-1125"/>
        <s v="ANON-0000-0000-1126"/>
        <s v="ANON-0000-0000-1127"/>
        <s v="ANON-0000-0000-1128"/>
        <s v="ANON-0000-0000-1129"/>
        <s v="ANON-0000-0000-1130"/>
        <s v="ANON-0000-0000-1131"/>
        <s v="ANON-0000-0000-1132"/>
        <s v="ANON-0000-0000-1133"/>
        <s v="ANON-0000-0000-1134"/>
        <s v="ANON-0000-0000-1135"/>
        <s v="ANON-0000-0000-1136"/>
        <s v="ANON-0000-0000-1137"/>
        <s v="ANON-0000-0000-1138"/>
        <s v="ANON-0000-0000-1139"/>
        <s v="ANON-0000-0000-1140"/>
        <s v="ANON-0000-0000-1141"/>
        <s v="ANON-0000-0000-1142"/>
        <s v="ANON-0000-0000-1143"/>
        <s v="ANON-0000-0000-1144"/>
        <s v="ANON-0000-0000-1145"/>
        <s v="ANON-0000-0000-1146"/>
        <s v="ANON-0000-0000-1147"/>
        <s v="ANON-0000-0000-1148"/>
        <s v="ANON-0000-0000-1149"/>
        <s v="ANON-0000-0000-1150"/>
        <s v="ANON-0000-0000-1151"/>
        <s v="ANON-0000-0000-1152"/>
        <s v="ANON-0000-0000-1153"/>
        <s v="ANON-0000-0000-1154"/>
        <s v="ANON-0000-0000-1155"/>
        <s v="ANON-0000-0000-1156"/>
        <s v="ANON-0000-0000-1157"/>
        <s v="ANON-0000-0000-1158"/>
        <s v="ANON-0000-0000-1159"/>
        <s v="ANON-0000-0000-1160"/>
        <s v="ANON-0000-0000-1161"/>
        <s v="ANON-0000-0000-1162"/>
        <s v="ANON-0000-0000-1163"/>
        <s v="ANON-0000-0000-1164"/>
        <s v="ANON-0000-0000-1165"/>
        <s v="ANON-0000-0000-1166"/>
        <s v="ANON-0000-0000-1167"/>
        <s v="ANON-0000-0000-1168"/>
        <s v="ANON-0000-0000-1169"/>
        <s v="ANON-0000-0000-1170"/>
        <s v="ANON-0000-0000-1171"/>
        <s v="ANON-0000-0000-1172"/>
        <s v="ANON-0000-0000-1173"/>
        <s v="ANON-0000-0000-1174"/>
        <s v="ANON-0000-0000-1175"/>
        <s v="ANON-0000-0000-1176"/>
        <s v="ANON-0000-0000-1177"/>
        <s v="ANON-0000-0000-1178"/>
        <s v="ANON-0000-0000-1179"/>
        <s v="ANON-0000-0000-1180"/>
        <s v="ANON-0000-0000-1181"/>
        <s v="ANON-0000-0000-1182"/>
        <s v="ANON-0000-0000-1183"/>
        <s v="ANON-0000-0000-1184"/>
        <s v="ANON-0000-0000-1185"/>
        <s v="ANON-0000-0000-1186"/>
        <s v="ANON-0000-0000-1187"/>
        <s v="ANON-0000-0000-1188"/>
        <s v="ANON-0000-0000-1189"/>
        <s v="ANON-0000-0000-1190"/>
        <s v="ANON-0000-0000-1191"/>
        <s v="ANON-0000-0000-1192"/>
        <s v="ANON-0000-0000-1193"/>
        <s v="ANON-0000-0000-1194"/>
        <s v="ANON-0000-0000-1195"/>
        <s v="ANON-0000-0000-1196"/>
        <s v="ANON-0000-0000-1197"/>
        <s v="ANON-0000-0000-1198"/>
        <s v="ANON-0000-0000-1199"/>
        <s v="ANON-0000-0000-1200"/>
        <s v="ANON-0000-0000-1201"/>
        <s v="ANON-0000-0000-1202"/>
        <s v="ANON-0000-0000-1203"/>
        <s v="ANON-0000-0000-1204"/>
        <s v="ANON-0000-0000-1205"/>
        <s v="ANON-0000-0000-1206"/>
        <s v="ANON-0000-0000-1207"/>
        <s v="ANON-0000-0000-1208"/>
        <s v="ANON-0000-0000-1209"/>
        <s v="ANON-0000-0000-1210"/>
        <s v="ANON-0000-0000-1211"/>
        <s v="ANON-0000-0000-1212"/>
        <s v="ANON-0000-0000-1213"/>
        <s v="ANON-0000-0000-1214"/>
        <s v="ANON-0000-0000-1215"/>
        <s v="ANON-0000-0000-1216"/>
        <s v="ANON-0000-0000-1217"/>
        <s v="ANON-0000-0000-1218"/>
        <s v="ANON-0000-0000-1219"/>
        <s v="ANON-0000-0000-1220"/>
        <s v="ANON-0000-0000-1221"/>
        <s v="ANON-0000-0000-1222"/>
        <s v="ANON-0000-0000-1223"/>
        <s v="ANON-0000-0000-1224"/>
        <s v="ANON-0000-0000-1225"/>
        <s v="ANON-0000-0000-1226"/>
        <s v="ANON-0000-0000-1227"/>
        <s v="ANON-0000-0000-1228"/>
        <s v="ANON-0000-0000-1229"/>
        <s v="ANON-0000-0000-1230"/>
        <s v="ANON-0000-0000-1231"/>
        <s v="ANON-0000-0000-1232"/>
        <s v="ANON-0000-0000-1233"/>
        <s v="ANON-0000-0000-1234"/>
        <s v="ANON-0000-0000-1235"/>
        <s v="ANON-0000-0000-1236"/>
        <s v="ANON-0000-0000-1237"/>
        <s v="ANON-0000-0000-1238"/>
        <s v="ANON-0000-0000-1239"/>
        <s v="ANON-0000-0000-1240"/>
        <s v="ANON-0000-0000-1241"/>
        <s v="ANON-0000-0000-1242"/>
        <s v="ANON-0000-0000-1243"/>
        <s v="ANON-0000-0000-1244"/>
        <s v="ANON-0000-0000-1245"/>
        <s v="ANON-0000-0000-1246"/>
        <s v="ANON-0000-0000-1247"/>
        <s v="ANON-0000-0000-1248"/>
        <s v="ANON-0000-0000-1249"/>
        <s v="ANON-0000-0000-1250"/>
        <s v="ANON-0000-0000-1251"/>
        <s v="ANON-0000-0000-1252"/>
        <s v="ANON-0000-0000-1253"/>
        <s v="ANON-0000-0000-1254"/>
        <s v="ANON-0000-0000-1255"/>
        <s v="ANON-0000-0000-1256"/>
        <s v="ANON-0000-0000-1257"/>
        <s v="ANON-0000-0000-1258"/>
        <s v="ANON-0000-0000-1259"/>
        <s v="ANON-0000-0000-1260"/>
        <s v="ANON-0000-0000-1261"/>
        <s v="ANON-0000-0000-1262"/>
        <s v="ANON-0000-0000-1263"/>
        <s v="ANON-0000-0000-1264"/>
        <s v="ANON-0000-0000-1265"/>
        <s v="ANON-0000-0000-1266"/>
        <s v="ANON-0000-0000-1267"/>
        <s v="ANON-0000-0000-1268"/>
        <s v="ANON-0000-0000-1269"/>
        <s v="ANON-0000-0000-1270"/>
        <s v="ANON-0000-0000-1271"/>
        <s v="ANON-0000-0000-1272"/>
        <s v="ANON-0000-0000-1273"/>
        <s v="ANON-0000-0000-1274"/>
        <s v="ANON-0000-0000-1275"/>
        <s v="ANON-0000-0000-1276"/>
        <s v="ANON-0000-0000-1277"/>
        <s v="ANON-0000-0000-1278"/>
        <s v="ANON-0000-0000-1279"/>
        <s v="ANON-0000-0000-1280"/>
        <s v="ANON-0000-0000-1281"/>
        <s v="ANON-0000-0000-1282"/>
        <s v="ANON-0000-0000-1283"/>
        <s v="ANON-0000-0000-1284"/>
        <s v="ANON-0000-0000-1285"/>
        <s v="ANON-0000-0000-1286"/>
        <s v="ANON-0000-0000-1287"/>
        <s v="ANON-0000-0000-1288"/>
        <s v="ANON-0000-0000-1289"/>
        <s v="ANON-0000-0000-1290"/>
        <s v="ANON-0000-0000-1291"/>
        <s v="ANON-0000-0000-1292"/>
        <s v="ANON-0000-0000-1293"/>
        <s v="ANON-0000-0000-1294"/>
        <s v="ANON-0000-0000-1295"/>
        <s v="ANON-0000-0000-1296"/>
        <s v="ANON-0000-0000-1297"/>
        <s v="ANON-0000-0000-1298"/>
        <s v="ANON-0000-0000-1299"/>
        <s v="ANON-0000-0000-1300"/>
        <s v="ANON-0000-0000-1301"/>
        <s v="ANON-0000-0000-1302"/>
        <s v="ANON-0000-0000-1303"/>
        <s v="ANON-0000-0000-1304"/>
        <s v="ANON-0000-0000-1305"/>
        <s v="ANON-0000-0000-1306"/>
        <s v="ANON-0000-0000-1307"/>
        <s v="ANON-0000-0000-1308"/>
        <s v="ANON-0000-0000-1309"/>
        <s v="ANON-0000-0000-1310"/>
        <s v="ANON-0000-0000-1311"/>
        <s v="ANON-0000-0000-1312"/>
        <s v="ANON-0000-0000-1313"/>
        <s v="ANON-0000-0000-1314"/>
        <s v="ANON-0000-0000-1315"/>
        <s v="ANON-0000-0000-1316"/>
      </sharedItems>
    </cacheField>
    <cacheField name="money" numFmtId="4">
      <sharedItems containsSemiMixedTypes="0" containsString="0" containsNumber="1" minValue="18.12" maxValue="40"/>
    </cacheField>
    <cacheField name="coffee_name" numFmtId="0">
      <sharedItems count="8">
        <s v="Latte"/>
        <s v="Hot Chocolate"/>
        <s v="Americano"/>
        <s v="Americano with Milk"/>
        <s v="Cocoa"/>
        <s v="Cortado"/>
        <s v="Espresso"/>
        <s v="Cappuccino"/>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cqmann" refreshedDate="45774.455510069442" createdVersion="5" refreshedVersion="5" minRefreshableVersion="3" recordCount="388" xr:uid="{00000000-000A-0000-FFFF-FFFF08000000}">
  <cacheSource type="worksheet">
    <worksheetSource ref="G1:K389" sheet="index_1" r:id="rId2"/>
  </cacheSource>
  <cacheFields count="5">
    <cacheField name="Date" numFmtId="14">
      <sharedItems containsSemiMixedTypes="0" containsNonDate="0" containsDate="1" containsString="0" minDate="2024-03-01T00:00:00" maxDate="2025-03-24T00:00:00" count="388">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cacheField>
    <cacheField name="Total sales per Day" numFmtId="4">
      <sharedItems containsSemiMixedTypes="0" containsString="0" containsNumber="1" minValue="0" maxValue="836.65999999999985"/>
    </cacheField>
    <cacheField name="Day of the Week" numFmtId="0">
      <sharedItems count="7">
        <s v="Friday"/>
        <s v="Saturday"/>
        <s v="Sunday"/>
        <s v="Monday"/>
        <s v="Tuesday"/>
        <s v="Wednesday"/>
        <s v="Thursday"/>
      </sharedItems>
    </cacheField>
    <cacheField name="Month " numFmtId="0">
      <sharedItems count="12">
        <s v="March"/>
        <s v="April"/>
        <s v="May"/>
        <s v="June"/>
        <s v="July"/>
        <s v="August"/>
        <s v="September"/>
        <s v="October"/>
        <s v="November"/>
        <s v="December"/>
        <s v="January"/>
        <s v="February"/>
      </sharedItems>
    </cacheField>
    <cacheField name="Year" numFmtId="0">
      <sharedItems count="2">
        <s v="2024"/>
        <s v="2025"/>
      </sharedItems>
    </cacheField>
  </cacheFields>
  <extLst>
    <ext xmlns:x14="http://schemas.microsoft.com/office/spreadsheetml/2009/9/main" uri="{725AE2AE-9491-48be-B2B4-4EB974FC3084}">
      <x14:pivotCacheDefinition pivotCacheId="4"/>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cqmann" refreshedDate="45778.700407523145" createdVersion="5" refreshedVersion="5" minRefreshableVersion="3" recordCount="3230" xr:uid="{00000000-000A-0000-FFFF-FFFF09000000}">
  <cacheSource type="worksheet">
    <worksheetSource name="Table1"/>
  </cacheSource>
  <cacheFields count="14">
    <cacheField name="date" numFmtId="14">
      <sharedItems containsSemiMixedTypes="0" containsNonDate="0" containsDate="1" containsString="0" minDate="2024-03-01T00:00:00" maxDate="2025-03-24T00:00:00"/>
    </cacheField>
    <cacheField name="Day" numFmtId="14">
      <sharedItems count="7">
        <s v="Friday"/>
        <s v="Saturday"/>
        <s v="Sunday"/>
        <s v="Monday"/>
        <s v="Tuesday"/>
        <s v="Wednesday"/>
        <s v="Thursday"/>
      </sharedItems>
    </cacheField>
    <cacheField name="Cash_type" numFmtId="0">
      <sharedItems count="2">
        <s v="Card"/>
        <s v="Cash"/>
      </sharedItems>
    </cacheField>
    <cacheField name="card" numFmtId="0">
      <sharedItems containsBlank="1" count="1317">
        <s v="ANON-0000-0000-0001"/>
        <s v="ANON-0000-0000-0002"/>
        <s v="ANON-0000-0000-0003"/>
        <s v="ANON-0000-0000-0004"/>
        <s v="ANON-0000-0000-0005"/>
        <s v="ANON-0000-0000-0006"/>
        <s v="ANON-0000-0000-0007"/>
        <s v="ANON-0000-0000-0008"/>
        <s v="ANON-0000-0000-0009"/>
        <s v="ANON-0000-0000-0010"/>
        <m/>
        <s v="ANON-0000-0000-0011"/>
        <s v="ANON-0000-0000-0012"/>
        <s v="ANON-0000-0000-0013"/>
        <s v="ANON-0000-0000-0014"/>
        <s v="ANON-0000-0000-0015"/>
        <s v="ANON-0000-0000-0016"/>
        <s v="ANON-0000-0000-0017"/>
        <s v="ANON-0000-0000-0018"/>
        <s v="ANON-0000-0000-0019"/>
        <s v="ANON-0000-0000-0020"/>
        <s v="ANON-0000-0000-0021"/>
        <s v="ANON-0000-0000-0022"/>
        <s v="ANON-0000-0000-0023"/>
        <s v="ANON-0000-0000-0024"/>
        <s v="ANON-0000-0000-0025"/>
        <s v="ANON-0000-0000-0026"/>
        <s v="ANON-0000-0000-0027"/>
        <s v="ANON-0000-0000-0028"/>
        <s v="ANON-0000-0000-0029"/>
        <s v="ANON-0000-0000-0030"/>
        <s v="ANON-0000-0000-0031"/>
        <s v="ANON-0000-0000-0032"/>
        <s v="ANON-0000-0000-0033"/>
        <s v="ANON-0000-0000-0034"/>
        <s v="ANON-0000-0000-0035"/>
        <s v="ANON-0000-0000-0036"/>
        <s v="ANON-0000-0000-0037"/>
        <s v="ANON-0000-0000-0038"/>
        <s v="ANON-0000-0000-0039"/>
        <s v="ANON-0000-0000-0040"/>
        <s v="ANON-0000-0000-0041"/>
        <s v="ANON-0000-0000-0042"/>
        <s v="ANON-0000-0000-0043"/>
        <s v="ANON-0000-0000-0044"/>
        <s v="ANON-0000-0000-0045"/>
        <s v="ANON-0000-0000-0046"/>
        <s v="ANON-0000-0000-0047"/>
        <s v="ANON-0000-0000-0048"/>
        <s v="ANON-0000-0000-0049"/>
        <s v="ANON-0000-0000-0050"/>
        <s v="ANON-0000-0000-0051"/>
        <s v="ANON-0000-0000-0052"/>
        <s v="ANON-0000-0000-0053"/>
        <s v="ANON-0000-0000-0054"/>
        <s v="ANON-0000-0000-0055"/>
        <s v="ANON-0000-0000-0056"/>
        <s v="ANON-0000-0000-0057"/>
        <s v="ANON-0000-0000-0058"/>
        <s v="ANON-0000-0000-0059"/>
        <s v="ANON-0000-0000-0060"/>
        <s v="ANON-0000-0000-0061"/>
        <s v="ANON-0000-0000-0062"/>
        <s v="ANON-0000-0000-0063"/>
        <s v="ANON-0000-0000-0064"/>
        <s v="ANON-0000-0000-0065"/>
        <s v="ANON-0000-0000-0066"/>
        <s v="ANON-0000-0000-0067"/>
        <s v="ANON-0000-0000-0068"/>
        <s v="ANON-0000-0000-0069"/>
        <s v="ANON-0000-0000-0070"/>
        <s v="ANON-0000-0000-0071"/>
        <s v="ANON-0000-0000-0072"/>
        <s v="ANON-0000-0000-0073"/>
        <s v="ANON-0000-0000-0074"/>
        <s v="ANON-0000-0000-0075"/>
        <s v="ANON-0000-0000-0076"/>
        <s v="ANON-0000-0000-0077"/>
        <s v="ANON-0000-0000-0078"/>
        <s v="ANON-0000-0000-0079"/>
        <s v="ANON-0000-0000-0080"/>
        <s v="ANON-0000-0000-0081"/>
        <s v="ANON-0000-0000-0082"/>
        <s v="ANON-0000-0000-0083"/>
        <s v="ANON-0000-0000-0084"/>
        <s v="ANON-0000-0000-0085"/>
        <s v="ANON-0000-0000-0086"/>
        <s v="ANON-0000-0000-0087"/>
        <s v="ANON-0000-0000-0088"/>
        <s v="ANON-0000-0000-0089"/>
        <s v="ANON-0000-0000-0090"/>
        <s v="ANON-0000-0000-0091"/>
        <s v="ANON-0000-0000-0092"/>
        <s v="ANON-0000-0000-0093"/>
        <s v="ANON-0000-0000-0094"/>
        <s v="ANON-0000-0000-0095"/>
        <s v="ANON-0000-0000-0096"/>
        <s v="ANON-0000-0000-0097"/>
        <s v="ANON-0000-0000-0098"/>
        <s v="ANON-0000-0000-0099"/>
        <s v="ANON-0000-0000-0100"/>
        <s v="ANON-0000-0000-0101"/>
        <s v="ANON-0000-0000-0102"/>
        <s v="ANON-0000-0000-0103"/>
        <s v="ANON-0000-0000-0104"/>
        <s v="ANON-0000-0000-0105"/>
        <s v="ANON-0000-0000-0106"/>
        <s v="ANON-0000-0000-0107"/>
        <s v="ANON-0000-0000-0108"/>
        <s v="ANON-0000-0000-0109"/>
        <s v="ANON-0000-0000-0110"/>
        <s v="ANON-0000-0000-0111"/>
        <s v="ANON-0000-0000-0112"/>
        <s v="ANON-0000-0000-0113"/>
        <s v="ANON-0000-0000-0114"/>
        <s v="ANON-0000-0000-0115"/>
        <s v="ANON-0000-0000-0116"/>
        <s v="ANON-0000-0000-0117"/>
        <s v="ANON-0000-0000-0118"/>
        <s v="ANON-0000-0000-0119"/>
        <s v="ANON-0000-0000-0120"/>
        <s v="ANON-0000-0000-0121"/>
        <s v="ANON-0000-0000-0122"/>
        <s v="ANON-0000-0000-0123"/>
        <s v="ANON-0000-0000-0124"/>
        <s v="ANON-0000-0000-0125"/>
        <s v="ANON-0000-0000-0126"/>
        <s v="ANON-0000-0000-0127"/>
        <s v="ANON-0000-0000-0128"/>
        <s v="ANON-0000-0000-0129"/>
        <s v="ANON-0000-0000-0130"/>
        <s v="ANON-0000-0000-0131"/>
        <s v="ANON-0000-0000-0132"/>
        <s v="ANON-0000-0000-0133"/>
        <s v="ANON-0000-0000-0134"/>
        <s v="ANON-0000-0000-0135"/>
        <s v="ANON-0000-0000-0136"/>
        <s v="ANON-0000-0000-0137"/>
        <s v="ANON-0000-0000-0138"/>
        <s v="ANON-0000-0000-0139"/>
        <s v="ANON-0000-0000-0140"/>
        <s v="ANON-0000-0000-0141"/>
        <s v="ANON-0000-0000-0142"/>
        <s v="ANON-0000-0000-0143"/>
        <s v="ANON-0000-0000-0144"/>
        <s v="ANON-0000-0000-0145"/>
        <s v="ANON-0000-0000-0146"/>
        <s v="ANON-0000-0000-0147"/>
        <s v="ANON-0000-0000-0148"/>
        <s v="ANON-0000-0000-0149"/>
        <s v="ANON-0000-0000-0150"/>
        <s v="ANON-0000-0000-0151"/>
        <s v="ANON-0000-0000-0152"/>
        <s v="ANON-0000-0000-0153"/>
        <s v="ANON-0000-0000-0154"/>
        <s v="ANON-0000-0000-0155"/>
        <s v="ANON-0000-0000-0156"/>
        <s v="ANON-0000-0000-0157"/>
        <s v="ANON-0000-0000-0158"/>
        <s v="ANON-0000-0000-0159"/>
        <s v="ANON-0000-0000-0160"/>
        <s v="ANON-0000-0000-0161"/>
        <s v="ANON-0000-0000-0162"/>
        <s v="ANON-0000-0000-0163"/>
        <s v="ANON-0000-0000-0164"/>
        <s v="ANON-0000-0000-0165"/>
        <s v="ANON-0000-0000-0166"/>
        <s v="ANON-0000-0000-0167"/>
        <s v="ANON-0000-0000-0168"/>
        <s v="ANON-0000-0000-0169"/>
        <s v="ANON-0000-0000-0170"/>
        <s v="ANON-0000-0000-0171"/>
        <s v="ANON-0000-0000-0172"/>
        <s v="ANON-0000-0000-0173"/>
        <s v="ANON-0000-0000-0174"/>
        <s v="ANON-0000-0000-0175"/>
        <s v="ANON-0000-0000-0176"/>
        <s v="ANON-0000-0000-0177"/>
        <s v="ANON-0000-0000-0178"/>
        <s v="ANON-0000-0000-0179"/>
        <s v="ANON-0000-0000-0180"/>
        <s v="ANON-0000-0000-0181"/>
        <s v="ANON-0000-0000-0182"/>
        <s v="ANON-0000-0000-0183"/>
        <s v="ANON-0000-0000-0184"/>
        <s v="ANON-0000-0000-0185"/>
        <s v="ANON-0000-0000-0186"/>
        <s v="ANON-0000-0000-0187"/>
        <s v="ANON-0000-0000-0188"/>
        <s v="ANON-0000-0000-0189"/>
        <s v="ANON-0000-0000-0190"/>
        <s v="ANON-0000-0000-0191"/>
        <s v="ANON-0000-0000-0192"/>
        <s v="ANON-0000-0000-0193"/>
        <s v="ANON-0000-0000-0194"/>
        <s v="ANON-0000-0000-0195"/>
        <s v="ANON-0000-0000-0196"/>
        <s v="ANON-0000-0000-0197"/>
        <s v="ANON-0000-0000-0198"/>
        <s v="ANON-0000-0000-0199"/>
        <s v="ANON-0000-0000-0200"/>
        <s v="ANON-0000-0000-0201"/>
        <s v="ANON-0000-0000-0202"/>
        <s v="ANON-0000-0000-0203"/>
        <s v="ANON-0000-0000-0204"/>
        <s v="ANON-0000-0000-0205"/>
        <s v="ANON-0000-0000-0206"/>
        <s v="ANON-0000-0000-0207"/>
        <s v="ANON-0000-0000-0208"/>
        <s v="ANON-0000-0000-0209"/>
        <s v="ANON-0000-0000-0210"/>
        <s v="ANON-0000-0000-0211"/>
        <s v="ANON-0000-0000-0212"/>
        <s v="ANON-0000-0000-0213"/>
        <s v="ANON-0000-0000-0214"/>
        <s v="ANON-0000-0000-0215"/>
        <s v="ANON-0000-0000-0216"/>
        <s v="ANON-0000-0000-0217"/>
        <s v="ANON-0000-0000-0218"/>
        <s v="ANON-0000-0000-0219"/>
        <s v="ANON-0000-0000-0220"/>
        <s v="ANON-0000-0000-0221"/>
        <s v="ANON-0000-0000-0222"/>
        <s v="ANON-0000-0000-0223"/>
        <s v="ANON-0000-0000-0224"/>
        <s v="ANON-0000-0000-0225"/>
        <s v="ANON-0000-0000-0226"/>
        <s v="ANON-0000-0000-0227"/>
        <s v="ANON-0000-0000-0228"/>
        <s v="ANON-0000-0000-0229"/>
        <s v="ANON-0000-0000-0230"/>
        <s v="ANON-0000-0000-0231"/>
        <s v="ANON-0000-0000-0232"/>
        <s v="ANON-0000-0000-0233"/>
        <s v="ANON-0000-0000-0234"/>
        <s v="ANON-0000-0000-0235"/>
        <s v="ANON-0000-0000-0236"/>
        <s v="ANON-0000-0000-0237"/>
        <s v="ANON-0000-0000-0238"/>
        <s v="ANON-0000-0000-0239"/>
        <s v="ANON-0000-0000-0240"/>
        <s v="ANON-0000-0000-0241"/>
        <s v="ANON-0000-0000-0242"/>
        <s v="ANON-0000-0000-0243"/>
        <s v="ANON-0000-0000-0244"/>
        <s v="ANON-0000-0000-0245"/>
        <s v="ANON-0000-0000-0246"/>
        <s v="ANON-0000-0000-0247"/>
        <s v="ANON-0000-0000-0248"/>
        <s v="ANON-0000-0000-0249"/>
        <s v="ANON-0000-0000-0250"/>
        <s v="ANON-0000-0000-0251"/>
        <s v="ANON-0000-0000-0252"/>
        <s v="ANON-0000-0000-0253"/>
        <s v="ANON-0000-0000-0254"/>
        <s v="ANON-0000-0000-0255"/>
        <s v="ANON-0000-0000-0256"/>
        <s v="ANON-0000-0000-0257"/>
        <s v="ANON-0000-0000-0258"/>
        <s v="ANON-0000-0000-0259"/>
        <s v="ANON-0000-0000-0260"/>
        <s v="ANON-0000-0000-0261"/>
        <s v="ANON-0000-0000-0262"/>
        <s v="ANON-0000-0000-0263"/>
        <s v="ANON-0000-0000-0264"/>
        <s v="ANON-0000-0000-0265"/>
        <s v="ANON-0000-0000-0266"/>
        <s v="ANON-0000-0000-0267"/>
        <s v="ANON-0000-0000-0268"/>
        <s v="ANON-0000-0000-0269"/>
        <s v="ANON-0000-0000-0270"/>
        <s v="ANON-0000-0000-0271"/>
        <s v="ANON-0000-0000-0272"/>
        <s v="ANON-0000-0000-0273"/>
        <s v="ANON-0000-0000-0274"/>
        <s v="ANON-0000-0000-0275"/>
        <s v="ANON-0000-0000-0276"/>
        <s v="ANON-0000-0000-0277"/>
        <s v="ANON-0000-0000-0278"/>
        <s v="ANON-0000-0000-0279"/>
        <s v="ANON-0000-0000-0280"/>
        <s v="ANON-0000-0000-0281"/>
        <s v="ANON-0000-0000-0282"/>
        <s v="ANON-0000-0000-0283"/>
        <s v="ANON-0000-0000-0284"/>
        <s v="ANON-0000-0000-0285"/>
        <s v="ANON-0000-0000-0286"/>
        <s v="ANON-0000-0000-0287"/>
        <s v="ANON-0000-0000-0288"/>
        <s v="ANON-0000-0000-0289"/>
        <s v="ANON-0000-0000-0290"/>
        <s v="ANON-0000-0000-0291"/>
        <s v="ANON-0000-0000-0292"/>
        <s v="ANON-0000-0000-0293"/>
        <s v="ANON-0000-0000-0294"/>
        <s v="ANON-0000-0000-0295"/>
        <s v="ANON-0000-0000-0296"/>
        <s v="ANON-0000-0000-0297"/>
        <s v="ANON-0000-0000-0298"/>
        <s v="ANON-0000-0000-0299"/>
        <s v="ANON-0000-0000-0300"/>
        <s v="ANON-0000-0000-0301"/>
        <s v="ANON-0000-0000-0302"/>
        <s v="ANON-0000-0000-0303"/>
        <s v="ANON-0000-0000-0304"/>
        <s v="ANON-0000-0000-0305"/>
        <s v="ANON-0000-0000-0306"/>
        <s v="ANON-0000-0000-0307"/>
        <s v="ANON-0000-0000-0308"/>
        <s v="ANON-0000-0000-0309"/>
        <s v="ANON-0000-0000-0310"/>
        <s v="ANON-0000-0000-0311"/>
        <s v="ANON-0000-0000-0312"/>
        <s v="ANON-0000-0000-0313"/>
        <s v="ANON-0000-0000-0314"/>
        <s v="ANON-0000-0000-0315"/>
        <s v="ANON-0000-0000-0316"/>
        <s v="ANON-0000-0000-0317"/>
        <s v="ANON-0000-0000-0318"/>
        <s v="ANON-0000-0000-0319"/>
        <s v="ANON-0000-0000-0320"/>
        <s v="ANON-0000-0000-0321"/>
        <s v="ANON-0000-0000-0322"/>
        <s v="ANON-0000-0000-0323"/>
        <s v="ANON-0000-0000-0324"/>
        <s v="ANON-0000-0000-0325"/>
        <s v="ANON-0000-0000-0326"/>
        <s v="ANON-0000-0000-0327"/>
        <s v="ANON-0000-0000-0328"/>
        <s v="ANON-0000-0000-0329"/>
        <s v="ANON-0000-0000-0330"/>
        <s v="ANON-0000-0000-0331"/>
        <s v="ANON-0000-0000-0332"/>
        <s v="ANON-0000-0000-0333"/>
        <s v="ANON-0000-0000-0334"/>
        <s v="ANON-0000-0000-0335"/>
        <s v="ANON-0000-0000-0336"/>
        <s v="ANON-0000-0000-0337"/>
        <s v="ANON-0000-0000-0338"/>
        <s v="ANON-0000-0000-0339"/>
        <s v="ANON-0000-0000-0340"/>
        <s v="ANON-0000-0000-0341"/>
        <s v="ANON-0000-0000-0342"/>
        <s v="ANON-0000-0000-0343"/>
        <s v="ANON-0000-0000-0344"/>
        <s v="ANON-0000-0000-0345"/>
        <s v="ANON-0000-0000-0346"/>
        <s v="ANON-0000-0000-0347"/>
        <s v="ANON-0000-0000-0348"/>
        <s v="ANON-0000-0000-0349"/>
        <s v="ANON-0000-0000-0350"/>
        <s v="ANON-0000-0000-0351"/>
        <s v="ANON-0000-0000-0352"/>
        <s v="ANON-0000-0000-0353"/>
        <s v="ANON-0000-0000-0354"/>
        <s v="ANON-0000-0000-0355"/>
        <s v="ANON-0000-0000-0356"/>
        <s v="ANON-0000-0000-0357"/>
        <s v="ANON-0000-0000-0358"/>
        <s v="ANON-0000-0000-0359"/>
        <s v="ANON-0000-0000-0360"/>
        <s v="ANON-0000-0000-0361"/>
        <s v="ANON-0000-0000-0362"/>
        <s v="ANON-0000-0000-0363"/>
        <s v="ANON-0000-0000-0364"/>
        <s v="ANON-0000-0000-0365"/>
        <s v="ANON-0000-0000-0366"/>
        <s v="ANON-0000-0000-0367"/>
        <s v="ANON-0000-0000-0368"/>
        <s v="ANON-0000-0000-0369"/>
        <s v="ANON-0000-0000-0370"/>
        <s v="ANON-0000-0000-0371"/>
        <s v="ANON-0000-0000-0372"/>
        <s v="ANON-0000-0000-0373"/>
        <s v="ANON-0000-0000-0374"/>
        <s v="ANON-0000-0000-0375"/>
        <s v="ANON-0000-0000-0376"/>
        <s v="ANON-0000-0000-0377"/>
        <s v="ANON-0000-0000-0378"/>
        <s v="ANON-0000-0000-0379"/>
        <s v="ANON-0000-0000-0380"/>
        <s v="ANON-0000-0000-0381"/>
        <s v="ANON-0000-0000-0382"/>
        <s v="ANON-0000-0000-0383"/>
        <s v="ANON-0000-0000-0384"/>
        <s v="ANON-0000-0000-0385"/>
        <s v="ANON-0000-0000-0386"/>
        <s v="ANON-0000-0000-0387"/>
        <s v="ANON-0000-0000-0388"/>
        <s v="ANON-0000-0000-0389"/>
        <s v="ANON-0000-0000-0390"/>
        <s v="ANON-0000-0000-0391"/>
        <s v="ANON-0000-0000-0392"/>
        <s v="ANON-0000-0000-0393"/>
        <s v="ANON-0000-0000-0394"/>
        <s v="ANON-0000-0000-0395"/>
        <s v="ANON-0000-0000-0396"/>
        <s v="ANON-0000-0000-0397"/>
        <s v="ANON-0000-0000-0398"/>
        <s v="ANON-0000-0000-0399"/>
        <s v="ANON-0000-0000-0400"/>
        <s v="ANON-0000-0000-0401"/>
        <s v="ANON-0000-0000-0402"/>
        <s v="ANON-0000-0000-0403"/>
        <s v="ANON-0000-0000-0404"/>
        <s v="ANON-0000-0000-0405"/>
        <s v="ANON-0000-0000-0406"/>
        <s v="ANON-0000-0000-0407"/>
        <s v="ANON-0000-0000-0408"/>
        <s v="ANON-0000-0000-0409"/>
        <s v="ANON-0000-0000-0410"/>
        <s v="ANON-0000-0000-0411"/>
        <s v="ANON-0000-0000-0412"/>
        <s v="ANON-0000-0000-0413"/>
        <s v="ANON-0000-0000-0414"/>
        <s v="ANON-0000-0000-0415"/>
        <s v="ANON-0000-0000-0416"/>
        <s v="ANON-0000-0000-0417"/>
        <s v="ANON-0000-0000-0418"/>
        <s v="ANON-0000-0000-0419"/>
        <s v="ANON-0000-0000-0420"/>
        <s v="ANON-0000-0000-0421"/>
        <s v="ANON-0000-0000-0422"/>
        <s v="ANON-0000-0000-0423"/>
        <s v="ANON-0000-0000-0424"/>
        <s v="ANON-0000-0000-0425"/>
        <s v="ANON-0000-0000-0426"/>
        <s v="ANON-0000-0000-0427"/>
        <s v="ANON-0000-0000-0428"/>
        <s v="ANON-0000-0000-0429"/>
        <s v="ANON-0000-0000-0430"/>
        <s v="ANON-0000-0000-0431"/>
        <s v="ANON-0000-0000-0432"/>
        <s v="ANON-0000-0000-0433"/>
        <s v="ANON-0000-0000-0434"/>
        <s v="ANON-0000-0000-0435"/>
        <s v="ANON-0000-0000-0436"/>
        <s v="ANON-0000-0000-0437"/>
        <s v="ANON-0000-0000-0438"/>
        <s v="ANON-0000-0000-0439"/>
        <s v="ANON-0000-0000-0440"/>
        <s v="ANON-0000-0000-0441"/>
        <s v="ANON-0000-0000-0442"/>
        <s v="ANON-0000-0000-0443"/>
        <s v="ANON-0000-0000-0444"/>
        <s v="ANON-0000-0000-0445"/>
        <s v="ANON-0000-0000-0446"/>
        <s v="ANON-0000-0000-0447"/>
        <s v="ANON-0000-0000-0448"/>
        <s v="ANON-0000-0000-0449"/>
        <s v="ANON-0000-0000-0450"/>
        <s v="ANON-0000-0000-0451"/>
        <s v="ANON-0000-0000-0452"/>
        <s v="ANON-0000-0000-0453"/>
        <s v="ANON-0000-0000-0454"/>
        <s v="ANON-0000-0000-0455"/>
        <s v="ANON-0000-0000-0456"/>
        <s v="ANON-0000-0000-0457"/>
        <s v="ANON-0000-0000-0458"/>
        <s v="ANON-0000-0000-0459"/>
        <s v="ANON-0000-0000-0460"/>
        <s v="ANON-0000-0000-0461"/>
        <s v="ANON-0000-0000-0462"/>
        <s v="ANON-0000-0000-0463"/>
        <s v="ANON-0000-0000-0464"/>
        <s v="ANON-0000-0000-0465"/>
        <s v="ANON-0000-0000-0466"/>
        <s v="ANON-0000-0000-0467"/>
        <s v="ANON-0000-0000-0468"/>
        <s v="ANON-0000-0000-0469"/>
        <s v="ANON-0000-0000-0470"/>
        <s v="ANON-0000-0000-0471"/>
        <s v="ANON-0000-0000-0472"/>
        <s v="ANON-0000-0000-0473"/>
        <s v="ANON-0000-0000-0474"/>
        <s v="ANON-0000-0000-0475"/>
        <s v="ANON-0000-0000-0476"/>
        <s v="ANON-0000-0000-0477"/>
        <s v="ANON-0000-0000-0478"/>
        <s v="ANON-0000-0000-0479"/>
        <s v="ANON-0000-0000-0480"/>
        <s v="ANON-0000-0000-0481"/>
        <s v="ANON-0000-0000-0482"/>
        <s v="ANON-0000-0000-0483"/>
        <s v="ANON-0000-0000-0484"/>
        <s v="ANON-0000-0000-0485"/>
        <s v="ANON-0000-0000-0486"/>
        <s v="ANON-0000-0000-0487"/>
        <s v="ANON-0000-0000-0488"/>
        <s v="ANON-0000-0000-0489"/>
        <s v="ANON-0000-0000-0490"/>
        <s v="ANON-0000-0000-0491"/>
        <s v="ANON-0000-0000-0492"/>
        <s v="ANON-0000-0000-0493"/>
        <s v="ANON-0000-0000-0494"/>
        <s v="ANON-0000-0000-0495"/>
        <s v="ANON-0000-0000-0496"/>
        <s v="ANON-0000-0000-0497"/>
        <s v="ANON-0000-0000-0498"/>
        <s v="ANON-0000-0000-0499"/>
        <s v="ANON-0000-0000-0500"/>
        <s v="ANON-0000-0000-0501"/>
        <s v="ANON-0000-0000-0502"/>
        <s v="ANON-0000-0000-0503"/>
        <s v="ANON-0000-0000-0504"/>
        <s v="ANON-0000-0000-0505"/>
        <s v="ANON-0000-0000-0506"/>
        <s v="ANON-0000-0000-0507"/>
        <s v="ANON-0000-0000-0508"/>
        <s v="ANON-0000-0000-0509"/>
        <s v="ANON-0000-0000-0510"/>
        <s v="ANON-0000-0000-0511"/>
        <s v="ANON-0000-0000-0512"/>
        <s v="ANON-0000-0000-0513"/>
        <s v="ANON-0000-0000-0514"/>
        <s v="ANON-0000-0000-0515"/>
        <s v="ANON-0000-0000-0516"/>
        <s v="ANON-0000-0000-0517"/>
        <s v="ANON-0000-0000-0518"/>
        <s v="ANON-0000-0000-0519"/>
        <s v="ANON-0000-0000-0520"/>
        <s v="ANON-0000-0000-0521"/>
        <s v="ANON-0000-0000-0522"/>
        <s v="ANON-0000-0000-0523"/>
        <s v="ANON-0000-0000-0524"/>
        <s v="ANON-0000-0000-0525"/>
        <s v="ANON-0000-0000-0526"/>
        <s v="ANON-0000-0000-0527"/>
        <s v="ANON-0000-0000-0528"/>
        <s v="ANON-0000-0000-0529"/>
        <s v="ANON-0000-0000-0530"/>
        <s v="ANON-0000-0000-0531"/>
        <s v="ANON-0000-0000-0532"/>
        <s v="ANON-0000-0000-0533"/>
        <s v="ANON-0000-0000-0534"/>
        <s v="ANON-0000-0000-0535"/>
        <s v="ANON-0000-0000-0536"/>
        <s v="ANON-0000-0000-0537"/>
        <s v="ANON-0000-0000-0538"/>
        <s v="ANON-0000-0000-0539"/>
        <s v="ANON-0000-0000-0540"/>
        <s v="ANON-0000-0000-0541"/>
        <s v="ANON-0000-0000-0542"/>
        <s v="ANON-0000-0000-0543"/>
        <s v="ANON-0000-0000-0544"/>
        <s v="ANON-0000-0000-0545"/>
        <s v="ANON-0000-0000-0546"/>
        <s v="ANON-0000-0000-0547"/>
        <s v="ANON-0000-0000-0548"/>
        <s v="ANON-0000-0000-0549"/>
        <s v="ANON-0000-0000-0550"/>
        <s v="ANON-0000-0000-0551"/>
        <s v="ANON-0000-0000-0552"/>
        <s v="ANON-0000-0000-0553"/>
        <s v="ANON-0000-0000-0554"/>
        <s v="ANON-0000-0000-0555"/>
        <s v="ANON-0000-0000-0556"/>
        <s v="ANON-0000-0000-0557"/>
        <s v="ANON-0000-0000-0558"/>
        <s v="ANON-0000-0000-0559"/>
        <s v="ANON-0000-0000-0560"/>
        <s v="ANON-0000-0000-0561"/>
        <s v="ANON-0000-0000-0562"/>
        <s v="ANON-0000-0000-0563"/>
        <s v="ANON-0000-0000-0564"/>
        <s v="ANON-0000-0000-0565"/>
        <s v="ANON-0000-0000-0566"/>
        <s v="ANON-0000-0000-0567"/>
        <s v="ANON-0000-0000-0568"/>
        <s v="ANON-0000-0000-0569"/>
        <s v="ANON-0000-0000-0570"/>
        <s v="ANON-0000-0000-0571"/>
        <s v="ANON-0000-0000-0572"/>
        <s v="ANON-0000-0000-0573"/>
        <s v="ANON-0000-0000-0574"/>
        <s v="ANON-0000-0000-0575"/>
        <s v="ANON-0000-0000-0576"/>
        <s v="ANON-0000-0000-0577"/>
        <s v="ANON-0000-0000-0578"/>
        <s v="ANON-0000-0000-0579"/>
        <s v="ANON-0000-0000-0580"/>
        <s v="ANON-0000-0000-0581"/>
        <s v="ANON-0000-0000-0582"/>
        <s v="ANON-0000-0000-0583"/>
        <s v="ANON-0000-0000-0584"/>
        <s v="ANON-0000-0000-0585"/>
        <s v="ANON-0000-0000-0586"/>
        <s v="ANON-0000-0000-0587"/>
        <s v="ANON-0000-0000-0588"/>
        <s v="ANON-0000-0000-0589"/>
        <s v="ANON-0000-0000-0590"/>
        <s v="ANON-0000-0000-0591"/>
        <s v="ANON-0000-0000-0592"/>
        <s v="ANON-0000-0000-0593"/>
        <s v="ANON-0000-0000-0594"/>
        <s v="ANON-0000-0000-0595"/>
        <s v="ANON-0000-0000-0596"/>
        <s v="ANON-0000-0000-0597"/>
        <s v="ANON-0000-0000-0598"/>
        <s v="ANON-0000-0000-0599"/>
        <s v="ANON-0000-0000-0600"/>
        <s v="ANON-0000-0000-0601"/>
        <s v="ANON-0000-0000-0602"/>
        <s v="ANON-0000-0000-0603"/>
        <s v="ANON-0000-0000-0604"/>
        <s v="ANON-0000-0000-0605"/>
        <s v="ANON-0000-0000-0606"/>
        <s v="ANON-0000-0000-0607"/>
        <s v="ANON-0000-0000-0608"/>
        <s v="ANON-0000-0000-0609"/>
        <s v="ANON-0000-0000-0610"/>
        <s v="ANON-0000-0000-0611"/>
        <s v="ANON-0000-0000-0612"/>
        <s v="ANON-0000-0000-0613"/>
        <s v="ANON-0000-0000-0614"/>
        <s v="ANON-0000-0000-0615"/>
        <s v="ANON-0000-0000-0616"/>
        <s v="ANON-0000-0000-0617"/>
        <s v="ANON-0000-0000-0618"/>
        <s v="ANON-0000-0000-0619"/>
        <s v="ANON-0000-0000-0620"/>
        <s v="ANON-0000-0000-0621"/>
        <s v="ANON-0000-0000-0622"/>
        <s v="ANON-0000-0000-0623"/>
        <s v="ANON-0000-0000-0624"/>
        <s v="ANON-0000-0000-0625"/>
        <s v="ANON-0000-0000-0626"/>
        <s v="ANON-0000-0000-0627"/>
        <s v="ANON-0000-0000-0628"/>
        <s v="ANON-0000-0000-0629"/>
        <s v="ANON-0000-0000-0630"/>
        <s v="ANON-0000-0000-0631"/>
        <s v="ANON-0000-0000-0632"/>
        <s v="ANON-0000-0000-0633"/>
        <s v="ANON-0000-0000-0634"/>
        <s v="ANON-0000-0000-0635"/>
        <s v="ANON-0000-0000-0636"/>
        <s v="ANON-0000-0000-0637"/>
        <s v="ANON-0000-0000-0638"/>
        <s v="ANON-0000-0000-0639"/>
        <s v="ANON-0000-0000-0640"/>
        <s v="ANON-0000-0000-0641"/>
        <s v="ANON-0000-0000-0642"/>
        <s v="ANON-0000-0000-0643"/>
        <s v="ANON-0000-0000-0644"/>
        <s v="ANON-0000-0000-0645"/>
        <s v="ANON-0000-0000-0646"/>
        <s v="ANON-0000-0000-0647"/>
        <s v="ANON-0000-0000-0648"/>
        <s v="ANON-0000-0000-0649"/>
        <s v="ANON-0000-0000-0650"/>
        <s v="ANON-0000-0000-0651"/>
        <s v="ANON-0000-0000-0652"/>
        <s v="ANON-0000-0000-0653"/>
        <s v="ANON-0000-0000-0654"/>
        <s v="ANON-0000-0000-0655"/>
        <s v="ANON-0000-0000-0656"/>
        <s v="ANON-0000-0000-0657"/>
        <s v="ANON-0000-0000-0658"/>
        <s v="ANON-0000-0000-0659"/>
        <s v="ANON-0000-0000-0660"/>
        <s v="ANON-0000-0000-0661"/>
        <s v="ANON-0000-0000-0662"/>
        <s v="ANON-0000-0000-0663"/>
        <s v="ANON-0000-0000-0664"/>
        <s v="ANON-0000-0000-0665"/>
        <s v="ANON-0000-0000-0666"/>
        <s v="ANON-0000-0000-0667"/>
        <s v="ANON-0000-0000-0668"/>
        <s v="ANON-0000-0000-0669"/>
        <s v="ANON-0000-0000-0670"/>
        <s v="ANON-0000-0000-0671"/>
        <s v="ANON-0000-0000-0672"/>
        <s v="ANON-0000-0000-0673"/>
        <s v="ANON-0000-0000-0674"/>
        <s v="ANON-0000-0000-0675"/>
        <s v="ANON-0000-0000-0676"/>
        <s v="ANON-0000-0000-0677"/>
        <s v="ANON-0000-0000-0678"/>
        <s v="ANON-0000-0000-0679"/>
        <s v="ANON-0000-0000-0680"/>
        <s v="ANON-0000-0000-0681"/>
        <s v="ANON-0000-0000-0682"/>
        <s v="ANON-0000-0000-0683"/>
        <s v="ANON-0000-0000-0684"/>
        <s v="ANON-0000-0000-0685"/>
        <s v="ANON-0000-0000-0686"/>
        <s v="ANON-0000-0000-0687"/>
        <s v="ANON-0000-0000-0688"/>
        <s v="ANON-0000-0000-0689"/>
        <s v="ANON-0000-0000-0690"/>
        <s v="ANON-0000-0000-0691"/>
        <s v="ANON-0000-0000-0692"/>
        <s v="ANON-0000-0000-0693"/>
        <s v="ANON-0000-0000-0694"/>
        <s v="ANON-0000-0000-0695"/>
        <s v="ANON-0000-0000-0696"/>
        <s v="ANON-0000-0000-0697"/>
        <s v="ANON-0000-0000-0698"/>
        <s v="ANON-0000-0000-0699"/>
        <s v="ANON-0000-0000-0700"/>
        <s v="ANON-0000-0000-0701"/>
        <s v="ANON-0000-0000-0702"/>
        <s v="ANON-0000-0000-0703"/>
        <s v="ANON-0000-0000-0704"/>
        <s v="ANON-0000-0000-0705"/>
        <s v="ANON-0000-0000-0706"/>
        <s v="ANON-0000-0000-0707"/>
        <s v="ANON-0000-0000-0708"/>
        <s v="ANON-0000-0000-0709"/>
        <s v="ANON-0000-0000-0710"/>
        <s v="ANON-0000-0000-0711"/>
        <s v="ANON-0000-0000-0712"/>
        <s v="ANON-0000-0000-0713"/>
        <s v="ANON-0000-0000-0714"/>
        <s v="ANON-0000-0000-0715"/>
        <s v="ANON-0000-0000-0716"/>
        <s v="ANON-0000-0000-0717"/>
        <s v="ANON-0000-0000-0718"/>
        <s v="ANON-0000-0000-0719"/>
        <s v="ANON-0000-0000-0720"/>
        <s v="ANON-0000-0000-0721"/>
        <s v="ANON-0000-0000-0722"/>
        <s v="ANON-0000-0000-0723"/>
        <s v="ANON-0000-0000-0724"/>
        <s v="ANON-0000-0000-0725"/>
        <s v="ANON-0000-0000-0726"/>
        <s v="ANON-0000-0000-0727"/>
        <s v="ANON-0000-0000-0728"/>
        <s v="ANON-0000-0000-0729"/>
        <s v="ANON-0000-0000-0730"/>
        <s v="ANON-0000-0000-0731"/>
        <s v="ANON-0000-0000-0732"/>
        <s v="ANON-0000-0000-0733"/>
        <s v="ANON-0000-0000-0734"/>
        <s v="ANON-0000-0000-0735"/>
        <s v="ANON-0000-0000-0736"/>
        <s v="ANON-0000-0000-0737"/>
        <s v="ANON-0000-0000-0738"/>
        <s v="ANON-0000-0000-0739"/>
        <s v="ANON-0000-0000-0740"/>
        <s v="ANON-0000-0000-0741"/>
        <s v="ANON-0000-0000-0742"/>
        <s v="ANON-0000-0000-0743"/>
        <s v="ANON-0000-0000-0744"/>
        <s v="ANON-0000-0000-0745"/>
        <s v="ANON-0000-0000-0746"/>
        <s v="ANON-0000-0000-0747"/>
        <s v="ANON-0000-0000-0748"/>
        <s v="ANON-0000-0000-0749"/>
        <s v="ANON-0000-0000-0750"/>
        <s v="ANON-0000-0000-0751"/>
        <s v="ANON-0000-0000-0752"/>
        <s v="ANON-0000-0000-0753"/>
        <s v="ANON-0000-0000-0754"/>
        <s v="ANON-0000-0000-0755"/>
        <s v="ANON-0000-0000-0756"/>
        <s v="ANON-0000-0000-0757"/>
        <s v="ANON-0000-0000-0758"/>
        <s v="ANON-0000-0000-0759"/>
        <s v="ANON-0000-0000-0760"/>
        <s v="ANON-0000-0000-0761"/>
        <s v="ANON-0000-0000-0762"/>
        <s v="ANON-0000-0000-0763"/>
        <s v="ANON-0000-0000-0764"/>
        <s v="ANON-0000-0000-0765"/>
        <s v="ANON-0000-0000-0766"/>
        <s v="ANON-0000-0000-0767"/>
        <s v="ANON-0000-0000-0768"/>
        <s v="ANON-0000-0000-0769"/>
        <s v="ANON-0000-0000-0770"/>
        <s v="ANON-0000-0000-0771"/>
        <s v="ANON-0000-0000-0772"/>
        <s v="ANON-0000-0000-0773"/>
        <s v="ANON-0000-0000-0774"/>
        <s v="ANON-0000-0000-0775"/>
        <s v="ANON-0000-0000-0776"/>
        <s v="ANON-0000-0000-0777"/>
        <s v="ANON-0000-0000-0778"/>
        <s v="ANON-0000-0000-0779"/>
        <s v="ANON-0000-0000-0780"/>
        <s v="ANON-0000-0000-0781"/>
        <s v="ANON-0000-0000-0782"/>
        <s v="ANON-0000-0000-0783"/>
        <s v="ANON-0000-0000-0784"/>
        <s v="ANON-0000-0000-0785"/>
        <s v="ANON-0000-0000-0786"/>
        <s v="ANON-0000-0000-0787"/>
        <s v="ANON-0000-0000-0788"/>
        <s v="ANON-0000-0000-0789"/>
        <s v="ANON-0000-0000-0790"/>
        <s v="ANON-0000-0000-0791"/>
        <s v="ANON-0000-0000-0792"/>
        <s v="ANON-0000-0000-0793"/>
        <s v="ANON-0000-0000-0794"/>
        <s v="ANON-0000-0000-0795"/>
        <s v="ANON-0000-0000-0796"/>
        <s v="ANON-0000-0000-0797"/>
        <s v="ANON-0000-0000-0798"/>
        <s v="ANON-0000-0000-0799"/>
        <s v="ANON-0000-0000-0800"/>
        <s v="ANON-0000-0000-0801"/>
        <s v="ANON-0000-0000-0802"/>
        <s v="ANON-0000-0000-0803"/>
        <s v="ANON-0000-0000-0804"/>
        <s v="ANON-0000-0000-0805"/>
        <s v="ANON-0000-0000-0806"/>
        <s v="ANON-0000-0000-0807"/>
        <s v="ANON-0000-0000-0808"/>
        <s v="ANON-0000-0000-0809"/>
        <s v="ANON-0000-0000-0810"/>
        <s v="ANON-0000-0000-0811"/>
        <s v="ANON-0000-0000-0812"/>
        <s v="ANON-0000-0000-0813"/>
        <s v="ANON-0000-0000-0814"/>
        <s v="ANON-0000-0000-0815"/>
        <s v="ANON-0000-0000-0816"/>
        <s v="ANON-0000-0000-0817"/>
        <s v="ANON-0000-0000-0818"/>
        <s v="ANON-0000-0000-0819"/>
        <s v="ANON-0000-0000-0820"/>
        <s v="ANON-0000-0000-0821"/>
        <s v="ANON-0000-0000-0822"/>
        <s v="ANON-0000-0000-0823"/>
        <s v="ANON-0000-0000-0824"/>
        <s v="ANON-0000-0000-0825"/>
        <s v="ANON-0000-0000-0826"/>
        <s v="ANON-0000-0000-0827"/>
        <s v="ANON-0000-0000-0828"/>
        <s v="ANON-0000-0000-0829"/>
        <s v="ANON-0000-0000-0830"/>
        <s v="ANON-0000-0000-0831"/>
        <s v="ANON-0000-0000-0832"/>
        <s v="ANON-0000-0000-0833"/>
        <s v="ANON-0000-0000-0834"/>
        <s v="ANON-0000-0000-0835"/>
        <s v="ANON-0000-0000-0836"/>
        <s v="ANON-0000-0000-0837"/>
        <s v="ANON-0000-0000-0838"/>
        <s v="ANON-0000-0000-0839"/>
        <s v="ANON-0000-0000-0840"/>
        <s v="ANON-0000-0000-0841"/>
        <s v="ANON-0000-0000-0842"/>
        <s v="ANON-0000-0000-0843"/>
        <s v="ANON-0000-0000-0844"/>
        <s v="ANON-0000-0000-0845"/>
        <s v="ANON-0000-0000-0846"/>
        <s v="ANON-0000-0000-0847"/>
        <s v="ANON-0000-0000-0848"/>
        <s v="ANON-0000-0000-0849"/>
        <s v="ANON-0000-0000-0850"/>
        <s v="ANON-0000-0000-0851"/>
        <s v="ANON-0000-0000-0852"/>
        <s v="ANON-0000-0000-0853"/>
        <s v="ANON-0000-0000-0854"/>
        <s v="ANON-0000-0000-0855"/>
        <s v="ANON-0000-0000-0856"/>
        <s v="ANON-0000-0000-0857"/>
        <s v="ANON-0000-0000-0858"/>
        <s v="ANON-0000-0000-0859"/>
        <s v="ANON-0000-0000-0860"/>
        <s v="ANON-0000-0000-0861"/>
        <s v="ANON-0000-0000-0862"/>
        <s v="ANON-0000-0000-0863"/>
        <s v="ANON-0000-0000-0864"/>
        <s v="ANON-0000-0000-0865"/>
        <s v="ANON-0000-0000-0866"/>
        <s v="ANON-0000-0000-0867"/>
        <s v="ANON-0000-0000-0868"/>
        <s v="ANON-0000-0000-0869"/>
        <s v="ANON-0000-0000-0870"/>
        <s v="ANON-0000-0000-0871"/>
        <s v="ANON-0000-0000-0872"/>
        <s v="ANON-0000-0000-0873"/>
        <s v="ANON-0000-0000-0874"/>
        <s v="ANON-0000-0000-0875"/>
        <s v="ANON-0000-0000-0876"/>
        <s v="ANON-0000-0000-0877"/>
        <s v="ANON-0000-0000-0878"/>
        <s v="ANON-0000-0000-0879"/>
        <s v="ANON-0000-0000-0880"/>
        <s v="ANON-0000-0000-0881"/>
        <s v="ANON-0000-0000-0882"/>
        <s v="ANON-0000-0000-0883"/>
        <s v="ANON-0000-0000-0884"/>
        <s v="ANON-0000-0000-0885"/>
        <s v="ANON-0000-0000-0886"/>
        <s v="ANON-0000-0000-0887"/>
        <s v="ANON-0000-0000-0888"/>
        <s v="ANON-0000-0000-0889"/>
        <s v="ANON-0000-0000-0890"/>
        <s v="ANON-0000-0000-0891"/>
        <s v="ANON-0000-0000-0892"/>
        <s v="ANON-0000-0000-0893"/>
        <s v="ANON-0000-0000-0894"/>
        <s v="ANON-0000-0000-0895"/>
        <s v="ANON-0000-0000-0896"/>
        <s v="ANON-0000-0000-0897"/>
        <s v="ANON-0000-0000-0898"/>
        <s v="ANON-0000-0000-0899"/>
        <s v="ANON-0000-0000-0900"/>
        <s v="ANON-0000-0000-0901"/>
        <s v="ANON-0000-0000-0902"/>
        <s v="ANON-0000-0000-0903"/>
        <s v="ANON-0000-0000-0904"/>
        <s v="ANON-0000-0000-0905"/>
        <s v="ANON-0000-0000-0906"/>
        <s v="ANON-0000-0000-0907"/>
        <s v="ANON-0000-0000-0908"/>
        <s v="ANON-0000-0000-0909"/>
        <s v="ANON-0000-0000-0910"/>
        <s v="ANON-0000-0000-0911"/>
        <s v="ANON-0000-0000-0912"/>
        <s v="ANON-0000-0000-0913"/>
        <s v="ANON-0000-0000-0914"/>
        <s v="ANON-0000-0000-0915"/>
        <s v="ANON-0000-0000-0916"/>
        <s v="ANON-0000-0000-0917"/>
        <s v="ANON-0000-0000-0918"/>
        <s v="ANON-0000-0000-0919"/>
        <s v="ANON-0000-0000-0920"/>
        <s v="ANON-0000-0000-0921"/>
        <s v="ANON-0000-0000-0922"/>
        <s v="ANON-0000-0000-0923"/>
        <s v="ANON-0000-0000-0924"/>
        <s v="ANON-0000-0000-0925"/>
        <s v="ANON-0000-0000-0926"/>
        <s v="ANON-0000-0000-0927"/>
        <s v="ANON-0000-0000-0928"/>
        <s v="ANON-0000-0000-0929"/>
        <s v="ANON-0000-0000-0930"/>
        <s v="ANON-0000-0000-0931"/>
        <s v="ANON-0000-0000-0932"/>
        <s v="ANON-0000-0000-0933"/>
        <s v="ANON-0000-0000-0934"/>
        <s v="ANON-0000-0000-0935"/>
        <s v="ANON-0000-0000-0936"/>
        <s v="ANON-0000-0000-0937"/>
        <s v="ANON-0000-0000-0938"/>
        <s v="ANON-0000-0000-0939"/>
        <s v="ANON-0000-0000-0940"/>
        <s v="ANON-0000-0000-0941"/>
        <s v="ANON-0000-0000-0942"/>
        <s v="ANON-0000-0000-0943"/>
        <s v="ANON-0000-0000-0944"/>
        <s v="ANON-0000-0000-0945"/>
        <s v="ANON-0000-0000-0946"/>
        <s v="ANON-0000-0000-0947"/>
        <s v="ANON-0000-0000-0948"/>
        <s v="ANON-0000-0000-0949"/>
        <s v="ANON-0000-0000-0950"/>
        <s v="ANON-0000-0000-0951"/>
        <s v="ANON-0000-0000-0952"/>
        <s v="ANON-0000-0000-0953"/>
        <s v="ANON-0000-0000-0954"/>
        <s v="ANON-0000-0000-0955"/>
        <s v="ANON-0000-0000-0956"/>
        <s v="ANON-0000-0000-0957"/>
        <s v="ANON-0000-0000-0958"/>
        <s v="ANON-0000-0000-0959"/>
        <s v="ANON-0000-0000-0960"/>
        <s v="ANON-0000-0000-0961"/>
        <s v="ANON-0000-0000-0962"/>
        <s v="ANON-0000-0000-0963"/>
        <s v="ANON-0000-0000-0964"/>
        <s v="ANON-0000-0000-0965"/>
        <s v="ANON-0000-0000-0966"/>
        <s v="ANON-0000-0000-0967"/>
        <s v="ANON-0000-0000-0968"/>
        <s v="ANON-0000-0000-0969"/>
        <s v="ANON-0000-0000-0970"/>
        <s v="ANON-0000-0000-0971"/>
        <s v="ANON-0000-0000-0972"/>
        <s v="ANON-0000-0000-0973"/>
        <s v="ANON-0000-0000-0974"/>
        <s v="ANON-0000-0000-0975"/>
        <s v="ANON-0000-0000-0976"/>
        <s v="ANON-0000-0000-0977"/>
        <s v="ANON-0000-0000-0978"/>
        <s v="ANON-0000-0000-0979"/>
        <s v="ANON-0000-0000-0980"/>
        <s v="ANON-0000-0000-0981"/>
        <s v="ANON-0000-0000-0982"/>
        <s v="ANON-0000-0000-0983"/>
        <s v="ANON-0000-0000-0984"/>
        <s v="ANON-0000-0000-0985"/>
        <s v="ANON-0000-0000-0986"/>
        <s v="ANON-0000-0000-0987"/>
        <s v="ANON-0000-0000-0988"/>
        <s v="ANON-0000-0000-0989"/>
        <s v="ANON-0000-0000-0990"/>
        <s v="ANON-0000-0000-0991"/>
        <s v="ANON-0000-0000-0992"/>
        <s v="ANON-0000-0000-0993"/>
        <s v="ANON-0000-0000-0994"/>
        <s v="ANON-0000-0000-0995"/>
        <s v="ANON-0000-0000-0996"/>
        <s v="ANON-0000-0000-0997"/>
        <s v="ANON-0000-0000-0998"/>
        <s v="ANON-0000-0000-0999"/>
        <s v="ANON-0000-0000-1000"/>
        <s v="ANON-0000-0000-1001"/>
        <s v="ANON-0000-0000-1002"/>
        <s v="ANON-0000-0000-1003"/>
        <s v="ANON-0000-0000-1004"/>
        <s v="ANON-0000-0000-1005"/>
        <s v="ANON-0000-0000-1006"/>
        <s v="ANON-0000-0000-1007"/>
        <s v="ANON-0000-0000-1008"/>
        <s v="ANON-0000-0000-1009"/>
        <s v="ANON-0000-0000-1010"/>
        <s v="ANON-0000-0000-1011"/>
        <s v="ANON-0000-0000-1012"/>
        <s v="ANON-0000-0000-1013"/>
        <s v="ANON-0000-0000-1014"/>
        <s v="ANON-0000-0000-1015"/>
        <s v="ANON-0000-0000-1016"/>
        <s v="ANON-0000-0000-1017"/>
        <s v="ANON-0000-0000-1018"/>
        <s v="ANON-0000-0000-1019"/>
        <s v="ANON-0000-0000-1020"/>
        <s v="ANON-0000-0000-1021"/>
        <s v="ANON-0000-0000-1022"/>
        <s v="ANON-0000-0000-1023"/>
        <s v="ANON-0000-0000-1024"/>
        <s v="ANON-0000-0000-1025"/>
        <s v="ANON-0000-0000-1026"/>
        <s v="ANON-0000-0000-1027"/>
        <s v="ANON-0000-0000-1028"/>
        <s v="ANON-0000-0000-1029"/>
        <s v="ANON-0000-0000-1030"/>
        <s v="ANON-0000-0000-1031"/>
        <s v="ANON-0000-0000-1032"/>
        <s v="ANON-0000-0000-1033"/>
        <s v="ANON-0000-0000-1034"/>
        <s v="ANON-0000-0000-1035"/>
        <s v="ANON-0000-0000-1036"/>
        <s v="ANON-0000-0000-1037"/>
        <s v="ANON-0000-0000-1038"/>
        <s v="ANON-0000-0000-1039"/>
        <s v="ANON-0000-0000-1040"/>
        <s v="ANON-0000-0000-1041"/>
        <s v="ANON-0000-0000-1042"/>
        <s v="ANON-0000-0000-1043"/>
        <s v="ANON-0000-0000-1044"/>
        <s v="ANON-0000-0000-1045"/>
        <s v="ANON-0000-0000-1046"/>
        <s v="ANON-0000-0000-1047"/>
        <s v="ANON-0000-0000-1048"/>
        <s v="ANON-0000-0000-1049"/>
        <s v="ANON-0000-0000-1050"/>
        <s v="ANON-0000-0000-1051"/>
        <s v="ANON-0000-0000-1052"/>
        <s v="ANON-0000-0000-1053"/>
        <s v="ANON-0000-0000-1054"/>
        <s v="ANON-0000-0000-1055"/>
        <s v="ANON-0000-0000-1056"/>
        <s v="ANON-0000-0000-1057"/>
        <s v="ANON-0000-0000-1058"/>
        <s v="ANON-0000-0000-1059"/>
        <s v="ANON-0000-0000-1060"/>
        <s v="ANON-0000-0000-1061"/>
        <s v="ANON-0000-0000-1062"/>
        <s v="ANON-0000-0000-1063"/>
        <s v="ANON-0000-0000-1064"/>
        <s v="ANON-0000-0000-1065"/>
        <s v="ANON-0000-0000-1066"/>
        <s v="ANON-0000-0000-1067"/>
        <s v="ANON-0000-0000-1068"/>
        <s v="ANON-0000-0000-1069"/>
        <s v="ANON-0000-0000-1070"/>
        <s v="ANON-0000-0000-1071"/>
        <s v="ANON-0000-0000-1072"/>
        <s v="ANON-0000-0000-1073"/>
        <s v="ANON-0000-0000-1074"/>
        <s v="ANON-0000-0000-1075"/>
        <s v="ANON-0000-0000-1076"/>
        <s v="ANON-0000-0000-1077"/>
        <s v="ANON-0000-0000-1078"/>
        <s v="ANON-0000-0000-1079"/>
        <s v="ANON-0000-0000-1080"/>
        <s v="ANON-0000-0000-1081"/>
        <s v="ANON-0000-0000-1082"/>
        <s v="ANON-0000-0000-1083"/>
        <s v="ANON-0000-0000-1084"/>
        <s v="ANON-0000-0000-1085"/>
        <s v="ANON-0000-0000-1086"/>
        <s v="ANON-0000-0000-1087"/>
        <s v="ANON-0000-0000-1088"/>
        <s v="ANON-0000-0000-1089"/>
        <s v="ANON-0000-0000-1090"/>
        <s v="ANON-0000-0000-1091"/>
        <s v="ANON-0000-0000-1092"/>
        <s v="ANON-0000-0000-1093"/>
        <s v="ANON-0000-0000-1094"/>
        <s v="ANON-0000-0000-1095"/>
        <s v="ANON-0000-0000-1096"/>
        <s v="ANON-0000-0000-1097"/>
        <s v="ANON-0000-0000-1098"/>
        <s v="ANON-0000-0000-1099"/>
        <s v="ANON-0000-0000-1100"/>
        <s v="ANON-0000-0000-1101"/>
        <s v="ANON-0000-0000-1102"/>
        <s v="ANON-0000-0000-1103"/>
        <s v="ANON-0000-0000-1104"/>
        <s v="ANON-0000-0000-1105"/>
        <s v="ANON-0000-0000-1106"/>
        <s v="ANON-0000-0000-1107"/>
        <s v="ANON-0000-0000-1108"/>
        <s v="ANON-0000-0000-1109"/>
        <s v="ANON-0000-0000-1110"/>
        <s v="ANON-0000-0000-1111"/>
        <s v="ANON-0000-0000-1112"/>
        <s v="ANON-0000-0000-1113"/>
        <s v="ANON-0000-0000-1114"/>
        <s v="ANON-0000-0000-1115"/>
        <s v="ANON-0000-0000-1116"/>
        <s v="ANON-0000-0000-1117"/>
        <s v="ANON-0000-0000-1118"/>
        <s v="ANON-0000-0000-1119"/>
        <s v="ANON-0000-0000-1120"/>
        <s v="ANON-0000-0000-1121"/>
        <s v="ANON-0000-0000-1122"/>
        <s v="ANON-0000-0000-1123"/>
        <s v="ANON-0000-0000-1124"/>
        <s v="ANON-0000-0000-1125"/>
        <s v="ANON-0000-0000-1126"/>
        <s v="ANON-0000-0000-1127"/>
        <s v="ANON-0000-0000-1128"/>
        <s v="ANON-0000-0000-1129"/>
        <s v="ANON-0000-0000-1130"/>
        <s v="ANON-0000-0000-1131"/>
        <s v="ANON-0000-0000-1132"/>
        <s v="ANON-0000-0000-1133"/>
        <s v="ANON-0000-0000-1134"/>
        <s v="ANON-0000-0000-1135"/>
        <s v="ANON-0000-0000-1136"/>
        <s v="ANON-0000-0000-1137"/>
        <s v="ANON-0000-0000-1138"/>
        <s v="ANON-0000-0000-1139"/>
        <s v="ANON-0000-0000-1140"/>
        <s v="ANON-0000-0000-1141"/>
        <s v="ANON-0000-0000-1142"/>
        <s v="ANON-0000-0000-1143"/>
        <s v="ANON-0000-0000-1144"/>
        <s v="ANON-0000-0000-1145"/>
        <s v="ANON-0000-0000-1146"/>
        <s v="ANON-0000-0000-1147"/>
        <s v="ANON-0000-0000-1148"/>
        <s v="ANON-0000-0000-1149"/>
        <s v="ANON-0000-0000-1150"/>
        <s v="ANON-0000-0000-1151"/>
        <s v="ANON-0000-0000-1152"/>
        <s v="ANON-0000-0000-1153"/>
        <s v="ANON-0000-0000-1154"/>
        <s v="ANON-0000-0000-1155"/>
        <s v="ANON-0000-0000-1156"/>
        <s v="ANON-0000-0000-1157"/>
        <s v="ANON-0000-0000-1158"/>
        <s v="ANON-0000-0000-1159"/>
        <s v="ANON-0000-0000-1160"/>
        <s v="ANON-0000-0000-1161"/>
        <s v="ANON-0000-0000-1162"/>
        <s v="ANON-0000-0000-1163"/>
        <s v="ANON-0000-0000-1164"/>
        <s v="ANON-0000-0000-1165"/>
        <s v="ANON-0000-0000-1166"/>
        <s v="ANON-0000-0000-1167"/>
        <s v="ANON-0000-0000-1168"/>
        <s v="ANON-0000-0000-1169"/>
        <s v="ANON-0000-0000-1170"/>
        <s v="ANON-0000-0000-1171"/>
        <s v="ANON-0000-0000-1172"/>
        <s v="ANON-0000-0000-1173"/>
        <s v="ANON-0000-0000-1174"/>
        <s v="ANON-0000-0000-1175"/>
        <s v="ANON-0000-0000-1176"/>
        <s v="ANON-0000-0000-1177"/>
        <s v="ANON-0000-0000-1178"/>
        <s v="ANON-0000-0000-1179"/>
        <s v="ANON-0000-0000-1180"/>
        <s v="ANON-0000-0000-1181"/>
        <s v="ANON-0000-0000-1182"/>
        <s v="ANON-0000-0000-1183"/>
        <s v="ANON-0000-0000-1184"/>
        <s v="ANON-0000-0000-1185"/>
        <s v="ANON-0000-0000-1186"/>
        <s v="ANON-0000-0000-1187"/>
        <s v="ANON-0000-0000-1188"/>
        <s v="ANON-0000-0000-1189"/>
        <s v="ANON-0000-0000-1190"/>
        <s v="ANON-0000-0000-1191"/>
        <s v="ANON-0000-0000-1192"/>
        <s v="ANON-0000-0000-1193"/>
        <s v="ANON-0000-0000-1194"/>
        <s v="ANON-0000-0000-1195"/>
        <s v="ANON-0000-0000-1196"/>
        <s v="ANON-0000-0000-1197"/>
        <s v="ANON-0000-0000-1198"/>
        <s v="ANON-0000-0000-1199"/>
        <s v="ANON-0000-0000-1200"/>
        <s v="ANON-0000-0000-1201"/>
        <s v="ANON-0000-0000-1202"/>
        <s v="ANON-0000-0000-1203"/>
        <s v="ANON-0000-0000-1204"/>
        <s v="ANON-0000-0000-1205"/>
        <s v="ANON-0000-0000-1206"/>
        <s v="ANON-0000-0000-1207"/>
        <s v="ANON-0000-0000-1208"/>
        <s v="ANON-0000-0000-1209"/>
        <s v="ANON-0000-0000-1210"/>
        <s v="ANON-0000-0000-1211"/>
        <s v="ANON-0000-0000-1212"/>
        <s v="ANON-0000-0000-1213"/>
        <s v="ANON-0000-0000-1214"/>
        <s v="ANON-0000-0000-1215"/>
        <s v="ANON-0000-0000-1216"/>
        <s v="ANON-0000-0000-1217"/>
        <s v="ANON-0000-0000-1218"/>
        <s v="ANON-0000-0000-1219"/>
        <s v="ANON-0000-0000-1220"/>
        <s v="ANON-0000-0000-1221"/>
        <s v="ANON-0000-0000-1222"/>
        <s v="ANON-0000-0000-1223"/>
        <s v="ANON-0000-0000-1224"/>
        <s v="ANON-0000-0000-1225"/>
        <s v="ANON-0000-0000-1226"/>
        <s v="ANON-0000-0000-1227"/>
        <s v="ANON-0000-0000-1228"/>
        <s v="ANON-0000-0000-1229"/>
        <s v="ANON-0000-0000-1230"/>
        <s v="ANON-0000-0000-1231"/>
        <s v="ANON-0000-0000-1232"/>
        <s v="ANON-0000-0000-1233"/>
        <s v="ANON-0000-0000-1234"/>
        <s v="ANON-0000-0000-1235"/>
        <s v="ANON-0000-0000-1236"/>
        <s v="ANON-0000-0000-1237"/>
        <s v="ANON-0000-0000-1238"/>
        <s v="ANON-0000-0000-1239"/>
        <s v="ANON-0000-0000-1240"/>
        <s v="ANON-0000-0000-1241"/>
        <s v="ANON-0000-0000-1242"/>
        <s v="ANON-0000-0000-1243"/>
        <s v="ANON-0000-0000-1244"/>
        <s v="ANON-0000-0000-1245"/>
        <s v="ANON-0000-0000-1246"/>
        <s v="ANON-0000-0000-1247"/>
        <s v="ANON-0000-0000-1248"/>
        <s v="ANON-0000-0000-1249"/>
        <s v="ANON-0000-0000-1250"/>
        <s v="ANON-0000-0000-1251"/>
        <s v="ANON-0000-0000-1252"/>
        <s v="ANON-0000-0000-1253"/>
        <s v="ANON-0000-0000-1254"/>
        <s v="ANON-0000-0000-1255"/>
        <s v="ANON-0000-0000-1256"/>
        <s v="ANON-0000-0000-1257"/>
        <s v="ANON-0000-0000-1258"/>
        <s v="ANON-0000-0000-1259"/>
        <s v="ANON-0000-0000-1260"/>
        <s v="ANON-0000-0000-1261"/>
        <s v="ANON-0000-0000-1262"/>
        <s v="ANON-0000-0000-1263"/>
        <s v="ANON-0000-0000-1264"/>
        <s v="ANON-0000-0000-1265"/>
        <s v="ANON-0000-0000-1266"/>
        <s v="ANON-0000-0000-1267"/>
        <s v="ANON-0000-0000-1268"/>
        <s v="ANON-0000-0000-1269"/>
        <s v="ANON-0000-0000-1270"/>
        <s v="ANON-0000-0000-1271"/>
        <s v="ANON-0000-0000-1272"/>
        <s v="ANON-0000-0000-1273"/>
        <s v="ANON-0000-0000-1274"/>
        <s v="ANON-0000-0000-1275"/>
        <s v="ANON-0000-0000-1276"/>
        <s v="ANON-0000-0000-1277"/>
        <s v="ANON-0000-0000-1278"/>
        <s v="ANON-0000-0000-1279"/>
        <s v="ANON-0000-0000-1280"/>
        <s v="ANON-0000-0000-1281"/>
        <s v="ANON-0000-0000-1282"/>
        <s v="ANON-0000-0000-1283"/>
        <s v="ANON-0000-0000-1284"/>
        <s v="ANON-0000-0000-1285"/>
        <s v="ANON-0000-0000-1286"/>
        <s v="ANON-0000-0000-1287"/>
        <s v="ANON-0000-0000-1288"/>
        <s v="ANON-0000-0000-1289"/>
        <s v="ANON-0000-0000-1290"/>
        <s v="ANON-0000-0000-1291"/>
        <s v="ANON-0000-0000-1292"/>
        <s v="ANON-0000-0000-1293"/>
        <s v="ANON-0000-0000-1294"/>
        <s v="ANON-0000-0000-1295"/>
        <s v="ANON-0000-0000-1296"/>
        <s v="ANON-0000-0000-1297"/>
        <s v="ANON-0000-0000-1298"/>
        <s v="ANON-0000-0000-1299"/>
        <s v="ANON-0000-0000-1300"/>
        <s v="ANON-0000-0000-1301"/>
        <s v="ANON-0000-0000-1302"/>
        <s v="ANON-0000-0000-1303"/>
        <s v="ANON-0000-0000-1304"/>
        <s v="ANON-0000-0000-1305"/>
        <s v="ANON-0000-0000-1306"/>
        <s v="ANON-0000-0000-1307"/>
        <s v="ANON-0000-0000-1308"/>
        <s v="ANON-0000-0000-1309"/>
        <s v="ANON-0000-0000-1310"/>
        <s v="ANON-0000-0000-1311"/>
        <s v="ANON-0000-0000-1312"/>
        <s v="ANON-0000-0000-1313"/>
        <s v="ANON-0000-0000-1314"/>
        <s v="ANON-0000-0000-1315"/>
        <s v="ANON-0000-0000-1316"/>
      </sharedItems>
    </cacheField>
    <cacheField name="money" numFmtId="4">
      <sharedItems containsSemiMixedTypes="0" containsString="0" containsNumber="1" minValue="18.12" maxValue="40" count="20">
        <n v="38.700000000000003"/>
        <n v="28.9"/>
        <n v="33.799999999999997"/>
        <n v="40"/>
        <n v="24"/>
        <n v="35"/>
        <n v="30"/>
        <n v="25"/>
        <n v="32.82"/>
        <n v="39"/>
        <n v="37.72"/>
        <n v="27.92"/>
        <n v="29"/>
        <n v="34"/>
        <n v="23.02"/>
        <n v="18.12"/>
        <n v="35.76"/>
        <n v="30.86"/>
        <n v="25.96"/>
        <n v="21.06"/>
      </sharedItems>
    </cacheField>
    <cacheField name="coffee_name" numFmtId="0">
      <sharedItems count="8">
        <s v="Latte"/>
        <s v="Hot Chocolate"/>
        <s v="Americano"/>
        <s v="Americano with Milk"/>
        <s v="Cocoa"/>
        <s v="Cortado"/>
        <s v="Espresso"/>
        <s v="Cappuccino"/>
      </sharedItems>
    </cacheField>
    <cacheField name="Date2" numFmtId="14">
      <sharedItems containsSemiMixedTypes="0" containsNonDate="0" containsDate="1" containsString="0" minDate="2024-03-01T00:00:00" maxDate="2025-03-24T00:00:00"/>
    </cacheField>
    <cacheField name="Total sales per Day" numFmtId="4">
      <sharedItems containsSemiMixedTypes="0" containsString="0" containsNumber="1" minValue="23.02" maxValue="765.13999999999987" count="308">
        <n v="396.3"/>
        <n v="228.1"/>
        <n v="349.09999999999997"/>
        <n v="135.19999999999999"/>
        <n v="338.49999999999994"/>
        <n v="170.2"/>
        <n v="220.10000000000002"/>
        <n v="265.5"/>
        <n v="479.4"/>
        <n v="231.6"/>
        <n v="275.2"/>
        <n v="228.10000000000002"/>
        <n v="256.2"/>
        <n v="397.09999999999997"/>
        <n v="107.6"/>
        <n v="183.2"/>
        <n v="68.900000000000006"/>
        <n v="115.6"/>
        <n v="219.90000000000003"/>
        <n v="213.89999999999998"/>
        <n v="205.20000000000005"/>
        <n v="189.4"/>
        <n v="285.09999999999997"/>
        <n v="78.7"/>
        <n v="223.60000000000002"/>
        <n v="376.7"/>
        <n v="271.7"/>
        <n v="125.39999999999999"/>
        <n v="156.10000000000002"/>
        <n v="189.90000000000003"/>
        <n v="68.7"/>
        <n v="242.8"/>
        <n v="136.5"/>
        <n v="126.5"/>
        <n v="185"/>
        <n v="362.1"/>
        <n v="140.10000000000002"/>
        <n v="241.5"/>
        <n v="340.2"/>
        <n v="186.10000000000002"/>
        <n v="166.4"/>
        <n v="169"/>
        <n v="67.599999999999994"/>
        <n v="302.39999999999998"/>
        <n v="434.2999999999999"/>
        <n v="150.39999999999998"/>
        <n v="276.5"/>
        <n v="199.20000000000002"/>
        <n v="352.69999999999993"/>
        <n v="261.10000000000002"/>
        <n v="494.30000000000007"/>
        <n v="104.64"/>
        <n v="176.46"/>
        <n v="173.89999999999998"/>
        <n v="272.35999999999996"/>
        <n v="121.48"/>
        <n v="300.28000000000009"/>
        <n v="37.72"/>
        <n v="219.94"/>
        <n v="136.18"/>
        <n v="245.72"/>
        <n v="114.44"/>
        <n v="248.94000000000003"/>
        <n v="268.64"/>
        <n v="192.01999999999998"/>
        <n v="110.72"/>
        <n v="293.24"/>
        <n v="61.82"/>
        <n v="347.79999999999995"/>
        <n v="294.98"/>
        <n v="327.34000000000003"/>
        <n v="306.36"/>
        <n v="245.71999999999997"/>
        <n v="389.92000000000007"/>
        <n v="470.36"/>
        <n v="314.89999999999998"/>
        <n v="305.17999999999995"/>
        <n v="537.68000000000006"/>
        <n v="154.30000000000001"/>
        <n v="193.09999999999997"/>
        <n v="488.88000000000011"/>
        <n v="338"/>
        <n v="372.1"/>
        <n v="396.6"/>
        <n v="370.82"/>
        <n v="462.24"/>
        <n v="316.26"/>
        <n v="212.79999999999998"/>
        <n v="217.7"/>
        <n v="408.54"/>
        <n v="272.36"/>
        <n v="277.26"/>
        <n v="98.460000000000008"/>
        <n v="398.74"/>
        <n v="150.88"/>
        <n v="141.07999999999998"/>
        <n v="221.42"/>
        <n v="346.32"/>
        <n v="126.38"/>
        <n v="229.74"/>
        <n v="257.66000000000003"/>
        <n v="164.1"/>
        <n v="380.61999999999995"/>
        <n v="183.7"/>
        <n v="295.38"/>
        <n v="145.97999999999999"/>
        <n v="196.92"/>
        <n v="131.28"/>
        <n v="159.19999999999999"/>
        <n v="216.51999999999998"/>
        <n v="98.46"/>
        <n v="192.02"/>
        <n v="310.08000000000004"/>
        <n v="60.74"/>
        <n v="275.78000000000003"/>
        <n v="131.27999999999997"/>
        <n v="285.58"/>
        <n v="139.6"/>
        <n v="144.5"/>
        <n v="83.759999999999991"/>
        <n v="116.58"/>
        <n v="154.29999999999998"/>
        <n v="32.82"/>
        <n v="172.42"/>
        <n v="27.92"/>
        <n v="289"/>
        <n v="177.32"/>
        <n v="121.47999999999999"/>
        <n v="106.78"/>
        <n v="316.92"/>
        <n v="297.31999999999994"/>
        <n v="269.40000000000003"/>
        <n v="372.76"/>
        <n v="316.91999999999996"/>
        <n v="78.860000000000014"/>
        <n v="288.99999999999994"/>
        <n v="594.6400000000001"/>
        <n v="559.88"/>
        <n v="307.12"/>
        <n v="246.38"/>
        <n v="326.71999999999997"/>
        <n v="247.85999999999996"/>
        <n v="256.18"/>
        <n v="162.62"/>
        <n v="185.64000000000001"/>
        <n v="410.47999999999996"/>
        <n v="354.63999999999993"/>
        <n v="348.26"/>
        <n v="446.72"/>
        <n v="101.88000000000001"/>
        <n v="228.26000000000002"/>
        <n v="93.56"/>
        <n v="325.24"/>
        <n v="167.51999999999998"/>
        <n v="200.34"/>
        <n v="87.179999999999993"/>
        <n v="251.28000000000003"/>
        <n v="111.68"/>
        <n v="23.02"/>
        <n v="120"/>
        <n v="293.89999999999998"/>
        <n v="210.14000000000001"/>
        <n v="425.18"/>
        <n v="298.8"/>
        <n v="344.84"/>
        <n v="274.3"/>
        <n v="404.09999999999997"/>
        <n v="92.08"/>
        <n v="518.74"/>
        <n v="233.16"/>
        <n v="264.5"/>
        <n v="187.12"/>
        <n v="124.9"/>
        <n v="303.7"/>
        <n v="573.10000000000014"/>
        <n v="157.72"/>
        <n v="167.52000000000004"/>
        <n v="540.28"/>
        <n v="251.27999999999997"/>
        <n v="331.62"/>
        <n v="223.36"/>
        <n v="261.08"/>
        <n v="387.46"/>
        <n v="362.9799999999999"/>
        <n v="297.33999999999997"/>
        <n v="401.18"/>
        <n v="420.77999999999992"/>
        <n v="337.99999999999994"/>
        <n v="235.61999999999998"/>
        <n v="216.01999999999998"/>
        <n v="123.44"/>
        <n v="620.64"/>
        <n v="492.29999999999995"/>
        <n v="365.41999999999996"/>
        <n v="425.67999999999995"/>
        <n v="748.9799999999999"/>
        <n v="211.11999999999998"/>
        <n v="466.33999999999992"/>
        <n v="508.45999999999987"/>
        <n v="380.12000000000006"/>
        <n v="583.41999999999996"/>
        <n v="378.65999999999997"/>
        <n v="316.93999999999994"/>
        <n v="476.13999999999993"/>
        <n v="589.78"/>
        <n v="272.84000000000003"/>
        <n v="385.02"/>
        <n v="399.71999999999991"/>
        <n v="410.9799999999999"/>
        <n v="425.68"/>
        <n v="497.2"/>
        <n v="532.96"/>
        <n v="420.78"/>
        <n v="190.06"/>
        <n v="287.53999999999996"/>
        <n v="313.49999999999994"/>
        <n v="194.95999999999998"/>
        <n v="481.03999999999996"/>
        <n v="225.81999999999996"/>
        <n v="230.71999999999997"/>
        <n v="168.99999999999997"/>
        <n v="307.14"/>
        <n v="286.08"/>
        <n v="128.34"/>
        <n v="435.4799999999999"/>
        <n v="328.2"/>
        <n v="349.26"/>
        <n v="225.82"/>
        <n v="204.75999999999996"/>
        <n v="333.09999999999997"/>
        <n v="138.13999999999999"/>
        <n v="214.55999999999997"/>
        <n v="35.76"/>
        <n v="373.75999999999993"/>
        <n v="204.76"/>
        <n v="368.86"/>
        <n v="363.96"/>
        <n v="287.54000000000002"/>
        <n v="251.77999999999997"/>
        <n v="143.04"/>
        <n v="185.16"/>
        <n v="308.60000000000002"/>
        <n v="61.72"/>
        <n v="282.64"/>
        <n v="107.28"/>
        <n v="276.27999999999997"/>
        <n v="241.98"/>
        <n v="425.67999999999989"/>
        <n v="323.3"/>
        <n v="56.819999999999993"/>
        <n v="237.07999999999998"/>
        <n v="261.58"/>
        <n v="191.51999999999998"/>
        <n v="477.59999999999997"/>
        <n v="220.92000000000002"/>
        <n v="211.12"/>
        <n v="277.74"/>
        <n v="97.48"/>
        <n v="25.96"/>
        <n v="71.52"/>
        <n v="272.83999999999997"/>
        <n v="133.23999999999998"/>
        <n v="354.15999999999997"/>
        <n v="292.43999999999994"/>
        <n v="102.38"/>
        <n v="97.47999999999999"/>
        <n v="47.019999999999996"/>
        <n v="256.68"/>
        <n v="103.84"/>
        <n v="323.29999999999995"/>
        <n v="209.65999999999997"/>
        <n v="765.13999999999987"/>
        <n v="584.88"/>
        <n v="359.05999999999995"/>
        <n v="508.45999999999992"/>
        <n v="186.62000000000003"/>
        <n v="601.04"/>
        <n v="401.17999999999995"/>
        <n v="370.32"/>
        <n v="457.99999999999994"/>
        <n v="292.44"/>
        <n v="313.5"/>
        <n v="540.78"/>
        <n v="462.9"/>
        <n v="610.83999999999992"/>
        <n v="477.59999999999991"/>
        <n v="555.48"/>
        <n v="139.60000000000002"/>
        <n v="630.43999999999994"/>
        <n v="503.55999999999995"/>
        <n v="523.16"/>
        <n v="360.52"/>
        <n v="206.22"/>
        <n v="185.16000000000003"/>
        <n v="640.2399999999999"/>
        <n v="344.35999999999996"/>
        <n v="461.43999999999994"/>
        <n v="241.98000000000002"/>
        <n v="492.3"/>
        <n v="368.85999999999996"/>
        <n v="492.2999999999999"/>
        <n v="365.42"/>
        <n v="483.95999999999987"/>
        <n v="441.83999999999992"/>
        <n v="535.87999999999988"/>
        <n v="561.83999999999992"/>
        <n v="528.05999999999995"/>
        <n v="334.56"/>
      </sharedItems>
    </cacheField>
    <cacheField name="Day of the Week" numFmtId="0">
      <sharedItems count="7">
        <s v="Friday"/>
        <s v="Saturday"/>
        <s v="Sunday"/>
        <s v="Monday"/>
        <s v="Tuesday"/>
        <s v="Wednesday"/>
        <s v="Thursday"/>
      </sharedItems>
    </cacheField>
    <cacheField name="Month " numFmtId="0">
      <sharedItems count="12">
        <s v="March"/>
        <s v="April"/>
        <s v="May"/>
        <s v="June"/>
        <s v="July"/>
        <s v="August"/>
        <s v="September"/>
        <s v="October"/>
        <s v="November"/>
        <s v="December"/>
        <s v="January"/>
        <s v="February"/>
      </sharedItems>
    </cacheField>
    <cacheField name="Year" numFmtId="0">
      <sharedItems count="2">
        <s v="2024"/>
        <s v="2025"/>
      </sharedItems>
    </cacheField>
    <cacheField name="Total Sales " numFmtId="0">
      <sharedItems containsString="0" containsBlank="1" containsNumber="1" minValue="102955.9199999986" maxValue="102955.9199999986" count="2">
        <n v="102955.9199999986"/>
        <m/>
      </sharedItems>
    </cacheField>
    <cacheField name="Average Sales " numFmtId="0">
      <sharedItems containsString="0" containsBlank="1" containsNumber="1" minValue="31.874897832816906" maxValue="31.874897832816906" count="2">
        <n v="31.874897832816906"/>
        <m/>
      </sharedItems>
    </cacheField>
    <cacheField name="Footfall" numFmtId="0">
      <sharedItems containsString="0" containsBlank="1" containsNumber="1" containsInteger="1" minValue="3230" maxValue="3230" count="2">
        <n v="3230"/>
        <m/>
      </sharedItems>
    </cacheField>
  </cacheFields>
  <extLst>
    <ext xmlns:x14="http://schemas.microsoft.com/office/spreadsheetml/2009/9/main" uri="{725AE2AE-9491-48be-B2B4-4EB974FC3084}">
      <x14:pivotCacheDefinition pivotCacheId="5"/>
    </ext>
  </extLst>
</pivotCacheDefinition>
</file>

<file path=xl/pivotCache/pivotCacheRecords1.xml><?xml version="1.0" encoding="utf-8"?>
<pivotCacheRecords xmlns="http://schemas.openxmlformats.org/spreadsheetml/2006/main" xmlns:r="http://schemas.openxmlformats.org/officeDocument/2006/relationships" count="7">
  <r>
    <x v="0"/>
    <n v="17257.66"/>
  </r>
  <r>
    <x v="1"/>
    <n v="15182.519999999999"/>
  </r>
  <r>
    <x v="2"/>
    <n v="13858.06"/>
  </r>
  <r>
    <x v="3"/>
    <n v="17925.099999999999"/>
  </r>
  <r>
    <x v="4"/>
    <n v="18637.379999999997"/>
  </r>
  <r>
    <x v="5"/>
    <n v="16093.459999999995"/>
  </r>
  <r>
    <x v="6"/>
    <n v="16477.400000000001"/>
  </r>
</pivotCacheRecords>
</file>

<file path=xl/pivotCache/pivotCacheRecords2.xml><?xml version="1.0" encoding="utf-8"?>
<pivotCacheRecords xmlns="http://schemas.openxmlformats.org/spreadsheetml/2006/main" xmlns:r="http://schemas.openxmlformats.org/officeDocument/2006/relationships" count="4">
  <r>
    <x v="0"/>
    <n v="28132.659999999996"/>
  </r>
  <r>
    <x v="1"/>
    <n v="23542.74"/>
  </r>
  <r>
    <x v="2"/>
    <n v="24518.420000000002"/>
  </r>
  <r>
    <x v="3"/>
    <n v="30719.440000000002"/>
  </r>
</pivotCacheRecords>
</file>

<file path=xl/pivotCache/pivotCacheRecords3.xml><?xml version="1.0" encoding="utf-8"?>
<pivotCacheRecords xmlns="http://schemas.openxmlformats.org/spreadsheetml/2006/main" xmlns:r="http://schemas.openxmlformats.org/officeDocument/2006/relationships" count="12">
  <r>
    <x v="0"/>
    <n v="6398.86"/>
  </r>
  <r>
    <x v="1"/>
    <n v="13215.480000000001"/>
  </r>
  <r>
    <x v="2"/>
    <n v="17036.639999999996"/>
  </r>
  <r>
    <x v="3"/>
    <n v="6720.5599999999986"/>
  </r>
  <r>
    <x v="4"/>
    <n v="9063.4200000000019"/>
  </r>
  <r>
    <x v="5"/>
    <n v="7758.7600000000011"/>
  </r>
  <r>
    <x v="6"/>
    <n v="6915.9400000000005"/>
  </r>
  <r>
    <x v="7"/>
    <n v="7613.84"/>
  </r>
  <r>
    <x v="8"/>
    <n v="9988.6400000000012"/>
  </r>
  <r>
    <x v="9"/>
    <n v="13891.160000000002"/>
  </r>
  <r>
    <x v="10"/>
    <n v="8590.5400000000009"/>
  </r>
  <r>
    <x v="11"/>
    <n v="8237.739999999998"/>
  </r>
</pivotCacheRecords>
</file>

<file path=xl/pivotCache/pivotCacheRecords4.xml><?xml version="1.0" encoding="utf-8"?>
<pivotCacheRecords xmlns="http://schemas.openxmlformats.org/spreadsheetml/2006/main" xmlns:r="http://schemas.openxmlformats.org/officeDocument/2006/relationships" count="8">
  <r>
    <x v="0"/>
    <n v="27866.299999999457"/>
  </r>
  <r>
    <x v="1"/>
    <n v="10172.460000000045"/>
  </r>
  <r>
    <x v="2"/>
    <n v="15062.259999999818"/>
  </r>
  <r>
    <x v="3"/>
    <n v="8678.1600000000381"/>
  </r>
  <r>
    <x v="4"/>
    <n v="25269.120000000225"/>
  </r>
  <r>
    <x v="5"/>
    <n v="7534.8600000000133"/>
  </r>
  <r>
    <x v="6"/>
    <n v="2814.2799999999934"/>
  </r>
  <r>
    <x v="7"/>
    <n v="18034.139999999945"/>
  </r>
</pivotCacheRecords>
</file>

<file path=xl/pivotCache/pivotCacheRecords5.xml><?xml version="1.0" encoding="utf-8"?>
<pivotCacheRecords xmlns="http://schemas.openxmlformats.org/spreadsheetml/2006/main" xmlns:r="http://schemas.openxmlformats.org/officeDocument/2006/relationships" count="8">
  <r>
    <x v="0"/>
    <x v="0"/>
    <x v="0"/>
  </r>
  <r>
    <x v="1"/>
    <x v="0"/>
    <x v="1"/>
  </r>
  <r>
    <x v="2"/>
    <x v="1"/>
    <x v="2"/>
  </r>
  <r>
    <x v="3"/>
    <x v="0"/>
    <x v="3"/>
  </r>
  <r>
    <x v="4"/>
    <x v="2"/>
    <x v="4"/>
  </r>
  <r>
    <x v="5"/>
    <x v="1"/>
    <x v="5"/>
  </r>
  <r>
    <x v="6"/>
    <x v="3"/>
    <x v="6"/>
  </r>
  <r>
    <x v="7"/>
    <x v="0"/>
    <x v="7"/>
  </r>
</pivotCacheRecords>
</file>

<file path=xl/pivotCache/pivotCacheRecords6.xml><?xml version="1.0" encoding="utf-8"?>
<pivotCacheRecords xmlns="http://schemas.openxmlformats.org/spreadsheetml/2006/main" xmlns:r="http://schemas.openxmlformats.org/officeDocument/2006/relationships" count="8">
  <r>
    <x v="0"/>
    <n v="782"/>
    <n v="0.21507150715071507"/>
  </r>
  <r>
    <x v="1"/>
    <n v="282"/>
    <n v="7.7557755775577553E-2"/>
  </r>
  <r>
    <x v="2"/>
    <n v="578"/>
    <n v="0.15896589658965896"/>
  </r>
  <r>
    <x v="3"/>
    <n v="243"/>
    <n v="6.6831683168316836E-2"/>
  </r>
  <r>
    <x v="4"/>
    <n v="824"/>
    <n v="0.22662266226622663"/>
  </r>
  <r>
    <x v="5"/>
    <n v="292"/>
    <n v="8.0308030803080313E-2"/>
  </r>
  <r>
    <x v="6"/>
    <n v="134"/>
    <n v="3.6853685368536851E-2"/>
  </r>
  <r>
    <x v="7"/>
    <n v="501"/>
    <n v="0.13778877887788779"/>
  </r>
</pivotCacheRecords>
</file>

<file path=xl/pivotCache/pivotCacheRecords7.xml><?xml version="1.0" encoding="utf-8"?>
<pivotCacheRecords xmlns="http://schemas.openxmlformats.org/spreadsheetml/2006/main" xmlns:r="http://schemas.openxmlformats.org/officeDocument/2006/relationships" count="2">
  <r>
    <x v="0"/>
    <x v="0"/>
  </r>
  <r>
    <x v="1"/>
    <x v="1"/>
  </r>
</pivotCacheRecords>
</file>

<file path=xl/pivotCache/pivotCacheRecords8.xml><?xml version="1.0" encoding="utf-8"?>
<pivotCacheRecords xmlns="http://schemas.openxmlformats.org/spreadsheetml/2006/main" xmlns:r="http://schemas.openxmlformats.org/officeDocument/2006/relationships" count="3636">
  <r>
    <x v="0"/>
    <x v="0"/>
    <x v="0"/>
    <x v="0"/>
    <x v="0"/>
    <n v="38.700000000000003"/>
    <x v="0"/>
  </r>
  <r>
    <x v="0"/>
    <x v="0"/>
    <x v="1"/>
    <x v="0"/>
    <x v="1"/>
    <n v="38.700000000000003"/>
    <x v="1"/>
  </r>
  <r>
    <x v="0"/>
    <x v="0"/>
    <x v="2"/>
    <x v="0"/>
    <x v="1"/>
    <n v="38.700000000000003"/>
    <x v="1"/>
  </r>
  <r>
    <x v="0"/>
    <x v="0"/>
    <x v="3"/>
    <x v="0"/>
    <x v="2"/>
    <n v="28.9"/>
    <x v="2"/>
  </r>
  <r>
    <x v="0"/>
    <x v="0"/>
    <x v="4"/>
    <x v="0"/>
    <x v="3"/>
    <n v="38.700000000000003"/>
    <x v="0"/>
  </r>
  <r>
    <x v="0"/>
    <x v="0"/>
    <x v="5"/>
    <x v="0"/>
    <x v="4"/>
    <n v="33.799999999999997"/>
    <x v="3"/>
  </r>
  <r>
    <x v="0"/>
    <x v="0"/>
    <x v="6"/>
    <x v="0"/>
    <x v="5"/>
    <n v="38.700000000000003"/>
    <x v="1"/>
  </r>
  <r>
    <x v="0"/>
    <x v="0"/>
    <x v="7"/>
    <x v="0"/>
    <x v="6"/>
    <n v="33.799999999999997"/>
    <x v="3"/>
  </r>
  <r>
    <x v="0"/>
    <x v="0"/>
    <x v="8"/>
    <x v="0"/>
    <x v="7"/>
    <n v="38.700000000000003"/>
    <x v="4"/>
  </r>
  <r>
    <x v="0"/>
    <x v="0"/>
    <x v="9"/>
    <x v="0"/>
    <x v="7"/>
    <n v="33.799999999999997"/>
    <x v="3"/>
  </r>
  <r>
    <x v="0"/>
    <x v="0"/>
    <x v="10"/>
    <x v="0"/>
    <x v="8"/>
    <n v="33.799999999999997"/>
    <x v="3"/>
  </r>
  <r>
    <x v="1"/>
    <x v="1"/>
    <x v="11"/>
    <x v="0"/>
    <x v="9"/>
    <n v="28.9"/>
    <x v="2"/>
  </r>
  <r>
    <x v="1"/>
    <x v="1"/>
    <x v="12"/>
    <x v="1"/>
    <x v="10"/>
    <n v="40"/>
    <x v="0"/>
  </r>
  <r>
    <x v="1"/>
    <x v="1"/>
    <x v="13"/>
    <x v="0"/>
    <x v="11"/>
    <n v="33.799999999999997"/>
    <x v="3"/>
  </r>
  <r>
    <x v="1"/>
    <x v="1"/>
    <x v="14"/>
    <x v="0"/>
    <x v="12"/>
    <n v="33.799999999999997"/>
    <x v="3"/>
  </r>
  <r>
    <x v="1"/>
    <x v="1"/>
    <x v="15"/>
    <x v="0"/>
    <x v="13"/>
    <n v="28.9"/>
    <x v="2"/>
  </r>
  <r>
    <x v="1"/>
    <x v="1"/>
    <x v="16"/>
    <x v="0"/>
    <x v="14"/>
    <n v="33.799999999999997"/>
    <x v="3"/>
  </r>
  <r>
    <x v="1"/>
    <x v="1"/>
    <x v="17"/>
    <x v="0"/>
    <x v="3"/>
    <n v="28.9"/>
    <x v="2"/>
  </r>
  <r>
    <x v="2"/>
    <x v="2"/>
    <x v="18"/>
    <x v="1"/>
    <x v="10"/>
    <n v="40"/>
    <x v="0"/>
  </r>
  <r>
    <x v="2"/>
    <x v="2"/>
    <x v="19"/>
    <x v="0"/>
    <x v="15"/>
    <n v="38.700000000000003"/>
    <x v="0"/>
  </r>
  <r>
    <x v="2"/>
    <x v="2"/>
    <x v="20"/>
    <x v="0"/>
    <x v="16"/>
    <n v="28.9"/>
    <x v="5"/>
  </r>
  <r>
    <x v="2"/>
    <x v="2"/>
    <x v="21"/>
    <x v="0"/>
    <x v="12"/>
    <n v="28.9"/>
    <x v="2"/>
  </r>
  <r>
    <x v="2"/>
    <x v="2"/>
    <x v="22"/>
    <x v="0"/>
    <x v="17"/>
    <n v="38.700000000000003"/>
    <x v="1"/>
  </r>
  <r>
    <x v="2"/>
    <x v="2"/>
    <x v="23"/>
    <x v="0"/>
    <x v="18"/>
    <n v="38.700000000000003"/>
    <x v="4"/>
  </r>
  <r>
    <x v="2"/>
    <x v="2"/>
    <x v="24"/>
    <x v="0"/>
    <x v="19"/>
    <n v="28.9"/>
    <x v="5"/>
  </r>
  <r>
    <x v="2"/>
    <x v="2"/>
    <x v="25"/>
    <x v="0"/>
    <x v="20"/>
    <n v="33.799999999999997"/>
    <x v="3"/>
  </r>
  <r>
    <x v="2"/>
    <x v="2"/>
    <x v="26"/>
    <x v="0"/>
    <x v="20"/>
    <n v="33.799999999999997"/>
    <x v="3"/>
  </r>
  <r>
    <x v="2"/>
    <x v="2"/>
    <x v="27"/>
    <x v="0"/>
    <x v="20"/>
    <n v="38.700000000000003"/>
    <x v="1"/>
  </r>
  <r>
    <x v="3"/>
    <x v="3"/>
    <x v="28"/>
    <x v="0"/>
    <x v="0"/>
    <n v="38.700000000000003"/>
    <x v="0"/>
  </r>
  <r>
    <x v="3"/>
    <x v="3"/>
    <x v="29"/>
    <x v="0"/>
    <x v="21"/>
    <n v="38.700000000000003"/>
    <x v="0"/>
  </r>
  <r>
    <x v="3"/>
    <x v="3"/>
    <x v="30"/>
    <x v="0"/>
    <x v="12"/>
    <n v="33.799999999999997"/>
    <x v="3"/>
  </r>
  <r>
    <x v="3"/>
    <x v="3"/>
    <x v="31"/>
    <x v="0"/>
    <x v="22"/>
    <n v="24"/>
    <x v="6"/>
  </r>
  <r>
    <x v="4"/>
    <x v="4"/>
    <x v="32"/>
    <x v="0"/>
    <x v="0"/>
    <n v="38.700000000000003"/>
    <x v="0"/>
  </r>
  <r>
    <x v="4"/>
    <x v="4"/>
    <x v="33"/>
    <x v="0"/>
    <x v="23"/>
    <n v="38.700000000000003"/>
    <x v="0"/>
  </r>
  <r>
    <x v="4"/>
    <x v="4"/>
    <x v="34"/>
    <x v="0"/>
    <x v="24"/>
    <n v="38.700000000000003"/>
    <x v="0"/>
  </r>
  <r>
    <x v="4"/>
    <x v="4"/>
    <x v="35"/>
    <x v="0"/>
    <x v="25"/>
    <n v="38.700000000000003"/>
    <x v="1"/>
  </r>
  <r>
    <x v="4"/>
    <x v="4"/>
    <x v="36"/>
    <x v="0"/>
    <x v="26"/>
    <n v="38.700000000000003"/>
    <x v="4"/>
  </r>
  <r>
    <x v="4"/>
    <x v="4"/>
    <x v="37"/>
    <x v="0"/>
    <x v="27"/>
    <n v="38.700000000000003"/>
    <x v="1"/>
  </r>
  <r>
    <x v="4"/>
    <x v="4"/>
    <x v="38"/>
    <x v="0"/>
    <x v="8"/>
    <n v="38.700000000000003"/>
    <x v="1"/>
  </r>
  <r>
    <x v="4"/>
    <x v="4"/>
    <x v="39"/>
    <x v="0"/>
    <x v="28"/>
    <n v="28.9"/>
    <x v="5"/>
  </r>
  <r>
    <x v="4"/>
    <x v="4"/>
    <x v="40"/>
    <x v="0"/>
    <x v="28"/>
    <n v="38.700000000000003"/>
    <x v="1"/>
  </r>
  <r>
    <x v="5"/>
    <x v="5"/>
    <x v="41"/>
    <x v="1"/>
    <x v="10"/>
    <n v="35"/>
    <x v="3"/>
  </r>
  <r>
    <x v="5"/>
    <x v="5"/>
    <x v="42"/>
    <x v="0"/>
    <x v="12"/>
    <n v="28.9"/>
    <x v="2"/>
  </r>
  <r>
    <x v="5"/>
    <x v="5"/>
    <x v="43"/>
    <x v="0"/>
    <x v="12"/>
    <n v="28.9"/>
    <x v="5"/>
  </r>
  <r>
    <x v="5"/>
    <x v="5"/>
    <x v="44"/>
    <x v="0"/>
    <x v="29"/>
    <n v="38.700000000000003"/>
    <x v="7"/>
  </r>
  <r>
    <x v="5"/>
    <x v="5"/>
    <x v="45"/>
    <x v="0"/>
    <x v="29"/>
    <n v="38.700000000000003"/>
    <x v="7"/>
  </r>
  <r>
    <x v="6"/>
    <x v="6"/>
    <x v="46"/>
    <x v="1"/>
    <x v="10"/>
    <n v="40"/>
    <x v="0"/>
  </r>
  <r>
    <x v="6"/>
    <x v="6"/>
    <x v="47"/>
    <x v="0"/>
    <x v="30"/>
    <n v="38.700000000000003"/>
    <x v="1"/>
  </r>
  <r>
    <x v="6"/>
    <x v="6"/>
    <x v="48"/>
    <x v="0"/>
    <x v="31"/>
    <n v="38.700000000000003"/>
    <x v="0"/>
  </r>
  <r>
    <x v="6"/>
    <x v="6"/>
    <x v="49"/>
    <x v="1"/>
    <x v="10"/>
    <n v="40"/>
    <x v="0"/>
  </r>
  <r>
    <x v="6"/>
    <x v="6"/>
    <x v="50"/>
    <x v="0"/>
    <x v="32"/>
    <n v="28.9"/>
    <x v="2"/>
  </r>
  <r>
    <x v="6"/>
    <x v="6"/>
    <x v="51"/>
    <x v="0"/>
    <x v="33"/>
    <n v="33.799999999999997"/>
    <x v="3"/>
  </r>
  <r>
    <x v="7"/>
    <x v="0"/>
    <x v="52"/>
    <x v="0"/>
    <x v="12"/>
    <n v="28.9"/>
    <x v="5"/>
  </r>
  <r>
    <x v="7"/>
    <x v="0"/>
    <x v="53"/>
    <x v="0"/>
    <x v="34"/>
    <n v="38.700000000000003"/>
    <x v="7"/>
  </r>
  <r>
    <x v="7"/>
    <x v="0"/>
    <x v="54"/>
    <x v="0"/>
    <x v="35"/>
    <n v="28.9"/>
    <x v="2"/>
  </r>
  <r>
    <x v="7"/>
    <x v="0"/>
    <x v="55"/>
    <x v="0"/>
    <x v="12"/>
    <n v="28.9"/>
    <x v="2"/>
  </r>
  <r>
    <x v="7"/>
    <x v="0"/>
    <x v="56"/>
    <x v="0"/>
    <x v="33"/>
    <n v="28.9"/>
    <x v="2"/>
  </r>
  <r>
    <x v="7"/>
    <x v="0"/>
    <x v="57"/>
    <x v="0"/>
    <x v="12"/>
    <n v="33.799999999999997"/>
    <x v="3"/>
  </r>
  <r>
    <x v="7"/>
    <x v="0"/>
    <x v="58"/>
    <x v="0"/>
    <x v="36"/>
    <n v="38.700000000000003"/>
    <x v="0"/>
  </r>
  <r>
    <x v="7"/>
    <x v="0"/>
    <x v="59"/>
    <x v="0"/>
    <x v="37"/>
    <n v="38.700000000000003"/>
    <x v="0"/>
  </r>
  <r>
    <x v="8"/>
    <x v="1"/>
    <x v="60"/>
    <x v="1"/>
    <x v="10"/>
    <n v="40"/>
    <x v="1"/>
  </r>
  <r>
    <x v="8"/>
    <x v="1"/>
    <x v="61"/>
    <x v="0"/>
    <x v="38"/>
    <n v="24"/>
    <x v="6"/>
  </r>
  <r>
    <x v="8"/>
    <x v="1"/>
    <x v="62"/>
    <x v="0"/>
    <x v="39"/>
    <n v="28.9"/>
    <x v="2"/>
  </r>
  <r>
    <x v="8"/>
    <x v="1"/>
    <x v="63"/>
    <x v="0"/>
    <x v="12"/>
    <n v="38.700000000000003"/>
    <x v="7"/>
  </r>
  <r>
    <x v="8"/>
    <x v="1"/>
    <x v="64"/>
    <x v="0"/>
    <x v="40"/>
    <n v="28.9"/>
    <x v="2"/>
  </r>
  <r>
    <x v="8"/>
    <x v="1"/>
    <x v="65"/>
    <x v="0"/>
    <x v="40"/>
    <n v="28.9"/>
    <x v="2"/>
  </r>
  <r>
    <x v="8"/>
    <x v="1"/>
    <x v="66"/>
    <x v="0"/>
    <x v="41"/>
    <n v="38.700000000000003"/>
    <x v="0"/>
  </r>
  <r>
    <x v="8"/>
    <x v="1"/>
    <x v="67"/>
    <x v="0"/>
    <x v="42"/>
    <n v="33.799999999999997"/>
    <x v="3"/>
  </r>
  <r>
    <x v="8"/>
    <x v="1"/>
    <x v="68"/>
    <x v="0"/>
    <x v="43"/>
    <n v="28.9"/>
    <x v="5"/>
  </r>
  <r>
    <x v="8"/>
    <x v="1"/>
    <x v="69"/>
    <x v="0"/>
    <x v="43"/>
    <n v="38.700000000000003"/>
    <x v="7"/>
  </r>
  <r>
    <x v="8"/>
    <x v="1"/>
    <x v="70"/>
    <x v="0"/>
    <x v="8"/>
    <n v="33.799999999999997"/>
    <x v="3"/>
  </r>
  <r>
    <x v="8"/>
    <x v="1"/>
    <x v="71"/>
    <x v="0"/>
    <x v="44"/>
    <n v="38.700000000000003"/>
    <x v="1"/>
  </r>
  <r>
    <x v="8"/>
    <x v="1"/>
    <x v="72"/>
    <x v="0"/>
    <x v="8"/>
    <n v="38.700000000000003"/>
    <x v="7"/>
  </r>
  <r>
    <x v="8"/>
    <x v="1"/>
    <x v="73"/>
    <x v="0"/>
    <x v="8"/>
    <n v="38.700000000000003"/>
    <x v="1"/>
  </r>
  <r>
    <x v="9"/>
    <x v="2"/>
    <x v="74"/>
    <x v="1"/>
    <x v="10"/>
    <n v="30"/>
    <x v="2"/>
  </r>
  <r>
    <x v="9"/>
    <x v="2"/>
    <x v="75"/>
    <x v="1"/>
    <x v="10"/>
    <n v="35"/>
    <x v="3"/>
  </r>
  <r>
    <x v="9"/>
    <x v="2"/>
    <x v="76"/>
    <x v="1"/>
    <x v="10"/>
    <n v="40"/>
    <x v="0"/>
  </r>
  <r>
    <x v="9"/>
    <x v="2"/>
    <x v="77"/>
    <x v="0"/>
    <x v="45"/>
    <n v="24"/>
    <x v="6"/>
  </r>
  <r>
    <x v="9"/>
    <x v="2"/>
    <x v="78"/>
    <x v="1"/>
    <x v="10"/>
    <n v="35"/>
    <x v="3"/>
  </r>
  <r>
    <x v="9"/>
    <x v="2"/>
    <x v="79"/>
    <x v="0"/>
    <x v="46"/>
    <n v="38.700000000000003"/>
    <x v="0"/>
  </r>
  <r>
    <x v="9"/>
    <x v="2"/>
    <x v="80"/>
    <x v="0"/>
    <x v="46"/>
    <n v="28.9"/>
    <x v="5"/>
  </r>
  <r>
    <x v="10"/>
    <x v="3"/>
    <x v="81"/>
    <x v="1"/>
    <x v="10"/>
    <n v="40"/>
    <x v="0"/>
  </r>
  <r>
    <x v="10"/>
    <x v="3"/>
    <x v="82"/>
    <x v="1"/>
    <x v="10"/>
    <n v="40"/>
    <x v="7"/>
  </r>
  <r>
    <x v="10"/>
    <x v="3"/>
    <x v="83"/>
    <x v="1"/>
    <x v="10"/>
    <n v="30"/>
    <x v="5"/>
  </r>
  <r>
    <x v="10"/>
    <x v="3"/>
    <x v="84"/>
    <x v="1"/>
    <x v="10"/>
    <n v="30"/>
    <x v="2"/>
  </r>
  <r>
    <x v="10"/>
    <x v="3"/>
    <x v="85"/>
    <x v="0"/>
    <x v="35"/>
    <n v="38.700000000000003"/>
    <x v="7"/>
  </r>
  <r>
    <x v="10"/>
    <x v="3"/>
    <x v="86"/>
    <x v="0"/>
    <x v="47"/>
    <n v="28.9"/>
    <x v="2"/>
  </r>
  <r>
    <x v="10"/>
    <x v="3"/>
    <x v="87"/>
    <x v="0"/>
    <x v="47"/>
    <n v="38.700000000000003"/>
    <x v="0"/>
  </r>
  <r>
    <x v="10"/>
    <x v="3"/>
    <x v="88"/>
    <x v="0"/>
    <x v="48"/>
    <n v="28.9"/>
    <x v="5"/>
  </r>
  <r>
    <x v="11"/>
    <x v="4"/>
    <x v="89"/>
    <x v="1"/>
    <x v="10"/>
    <n v="40"/>
    <x v="0"/>
  </r>
  <r>
    <x v="11"/>
    <x v="4"/>
    <x v="90"/>
    <x v="0"/>
    <x v="33"/>
    <n v="28.9"/>
    <x v="2"/>
  </r>
  <r>
    <x v="11"/>
    <x v="4"/>
    <x v="91"/>
    <x v="0"/>
    <x v="33"/>
    <n v="28.9"/>
    <x v="5"/>
  </r>
  <r>
    <x v="11"/>
    <x v="4"/>
    <x v="92"/>
    <x v="0"/>
    <x v="49"/>
    <n v="38.700000000000003"/>
    <x v="1"/>
  </r>
  <r>
    <x v="11"/>
    <x v="4"/>
    <x v="93"/>
    <x v="0"/>
    <x v="3"/>
    <n v="33.799999999999997"/>
    <x v="3"/>
  </r>
  <r>
    <x v="11"/>
    <x v="4"/>
    <x v="94"/>
    <x v="0"/>
    <x v="3"/>
    <n v="28.9"/>
    <x v="2"/>
  </r>
  <r>
    <x v="11"/>
    <x v="4"/>
    <x v="95"/>
    <x v="0"/>
    <x v="50"/>
    <n v="28.9"/>
    <x v="2"/>
  </r>
  <r>
    <x v="12"/>
    <x v="5"/>
    <x v="96"/>
    <x v="0"/>
    <x v="48"/>
    <n v="38.700000000000003"/>
    <x v="1"/>
  </r>
  <r>
    <x v="12"/>
    <x v="5"/>
    <x v="97"/>
    <x v="0"/>
    <x v="3"/>
    <n v="28.9"/>
    <x v="2"/>
  </r>
  <r>
    <x v="12"/>
    <x v="5"/>
    <x v="98"/>
    <x v="0"/>
    <x v="51"/>
    <n v="28.9"/>
    <x v="2"/>
  </r>
  <r>
    <x v="12"/>
    <x v="5"/>
    <x v="99"/>
    <x v="0"/>
    <x v="51"/>
    <n v="28.9"/>
    <x v="2"/>
  </r>
  <r>
    <x v="12"/>
    <x v="5"/>
    <x v="100"/>
    <x v="1"/>
    <x v="10"/>
    <n v="25"/>
    <x v="6"/>
  </r>
  <r>
    <x v="12"/>
    <x v="5"/>
    <x v="101"/>
    <x v="0"/>
    <x v="52"/>
    <n v="33.799999999999997"/>
    <x v="3"/>
  </r>
  <r>
    <x v="12"/>
    <x v="5"/>
    <x v="102"/>
    <x v="0"/>
    <x v="53"/>
    <n v="24"/>
    <x v="6"/>
  </r>
  <r>
    <x v="12"/>
    <x v="5"/>
    <x v="103"/>
    <x v="0"/>
    <x v="53"/>
    <n v="24"/>
    <x v="6"/>
  </r>
  <r>
    <x v="12"/>
    <x v="5"/>
    <x v="104"/>
    <x v="0"/>
    <x v="54"/>
    <n v="24"/>
    <x v="6"/>
  </r>
  <r>
    <x v="13"/>
    <x v="6"/>
    <x v="105"/>
    <x v="1"/>
    <x v="10"/>
    <n v="40"/>
    <x v="0"/>
  </r>
  <r>
    <x v="13"/>
    <x v="6"/>
    <x v="106"/>
    <x v="0"/>
    <x v="55"/>
    <n v="38.700000000000003"/>
    <x v="0"/>
  </r>
  <r>
    <x v="13"/>
    <x v="6"/>
    <x v="107"/>
    <x v="0"/>
    <x v="55"/>
    <n v="38.700000000000003"/>
    <x v="1"/>
  </r>
  <r>
    <x v="13"/>
    <x v="6"/>
    <x v="108"/>
    <x v="0"/>
    <x v="12"/>
    <n v="28.9"/>
    <x v="5"/>
  </r>
  <r>
    <x v="13"/>
    <x v="6"/>
    <x v="109"/>
    <x v="0"/>
    <x v="12"/>
    <n v="28.9"/>
    <x v="2"/>
  </r>
  <r>
    <x v="13"/>
    <x v="6"/>
    <x v="110"/>
    <x v="0"/>
    <x v="56"/>
    <n v="33.799999999999997"/>
    <x v="3"/>
  </r>
  <r>
    <x v="13"/>
    <x v="6"/>
    <x v="111"/>
    <x v="0"/>
    <x v="57"/>
    <n v="24"/>
    <x v="6"/>
  </r>
  <r>
    <x v="13"/>
    <x v="6"/>
    <x v="112"/>
    <x v="0"/>
    <x v="58"/>
    <n v="38.700000000000003"/>
    <x v="0"/>
  </r>
  <r>
    <x v="13"/>
    <x v="6"/>
    <x v="113"/>
    <x v="0"/>
    <x v="59"/>
    <n v="33.799999999999997"/>
    <x v="3"/>
  </r>
  <r>
    <x v="13"/>
    <x v="6"/>
    <x v="114"/>
    <x v="0"/>
    <x v="50"/>
    <n v="24"/>
    <x v="6"/>
  </r>
  <r>
    <x v="13"/>
    <x v="6"/>
    <x v="115"/>
    <x v="0"/>
    <x v="19"/>
    <n v="38.700000000000003"/>
    <x v="1"/>
  </r>
  <r>
    <x v="13"/>
    <x v="6"/>
    <x v="116"/>
    <x v="0"/>
    <x v="12"/>
    <n v="28.9"/>
    <x v="5"/>
  </r>
  <r>
    <x v="14"/>
    <x v="0"/>
    <x v="117"/>
    <x v="1"/>
    <x v="10"/>
    <n v="40"/>
    <x v="0"/>
  </r>
  <r>
    <x v="14"/>
    <x v="0"/>
    <x v="118"/>
    <x v="0"/>
    <x v="60"/>
    <n v="38.700000000000003"/>
    <x v="1"/>
  </r>
  <r>
    <x v="14"/>
    <x v="0"/>
    <x v="119"/>
    <x v="0"/>
    <x v="12"/>
    <n v="28.9"/>
    <x v="2"/>
  </r>
  <r>
    <x v="15"/>
    <x v="1"/>
    <x v="120"/>
    <x v="0"/>
    <x v="61"/>
    <n v="33.799999999999997"/>
    <x v="3"/>
  </r>
  <r>
    <x v="15"/>
    <x v="1"/>
    <x v="121"/>
    <x v="0"/>
    <x v="61"/>
    <n v="28.9"/>
    <x v="2"/>
  </r>
  <r>
    <x v="15"/>
    <x v="1"/>
    <x v="122"/>
    <x v="0"/>
    <x v="8"/>
    <n v="28.9"/>
    <x v="5"/>
  </r>
  <r>
    <x v="15"/>
    <x v="1"/>
    <x v="123"/>
    <x v="0"/>
    <x v="8"/>
    <n v="28.9"/>
    <x v="5"/>
  </r>
  <r>
    <x v="15"/>
    <x v="1"/>
    <x v="124"/>
    <x v="0"/>
    <x v="12"/>
    <n v="28.9"/>
    <x v="5"/>
  </r>
  <r>
    <x v="15"/>
    <x v="1"/>
    <x v="125"/>
    <x v="0"/>
    <x v="62"/>
    <n v="33.799999999999997"/>
    <x v="3"/>
  </r>
  <r>
    <x v="16"/>
    <x v="2"/>
    <x v="126"/>
    <x v="1"/>
    <x v="10"/>
    <n v="40"/>
    <x v="0"/>
  </r>
  <r>
    <x v="16"/>
    <x v="2"/>
    <x v="127"/>
    <x v="0"/>
    <x v="63"/>
    <n v="28.9"/>
    <x v="5"/>
  </r>
  <r>
    <x v="17"/>
    <x v="3"/>
    <x v="128"/>
    <x v="0"/>
    <x v="64"/>
    <n v="28.9"/>
    <x v="5"/>
  </r>
  <r>
    <x v="17"/>
    <x v="3"/>
    <x v="129"/>
    <x v="0"/>
    <x v="2"/>
    <n v="28.9"/>
    <x v="2"/>
  </r>
  <r>
    <x v="17"/>
    <x v="3"/>
    <x v="130"/>
    <x v="0"/>
    <x v="2"/>
    <n v="28.9"/>
    <x v="2"/>
  </r>
  <r>
    <x v="17"/>
    <x v="3"/>
    <x v="131"/>
    <x v="0"/>
    <x v="2"/>
    <n v="28.9"/>
    <x v="2"/>
  </r>
  <r>
    <x v="18"/>
    <x v="4"/>
    <x v="132"/>
    <x v="1"/>
    <x v="10"/>
    <n v="30"/>
    <x v="5"/>
  </r>
  <r>
    <x v="18"/>
    <x v="4"/>
    <x v="133"/>
    <x v="0"/>
    <x v="65"/>
    <n v="38.700000000000003"/>
    <x v="0"/>
  </r>
  <r>
    <x v="18"/>
    <x v="4"/>
    <x v="134"/>
    <x v="0"/>
    <x v="65"/>
    <n v="38.700000000000003"/>
    <x v="0"/>
  </r>
  <r>
    <x v="18"/>
    <x v="4"/>
    <x v="135"/>
    <x v="0"/>
    <x v="49"/>
    <n v="38.700000000000003"/>
    <x v="1"/>
  </r>
  <r>
    <x v="18"/>
    <x v="4"/>
    <x v="136"/>
    <x v="0"/>
    <x v="66"/>
    <n v="33.799999999999997"/>
    <x v="3"/>
  </r>
  <r>
    <x v="18"/>
    <x v="4"/>
    <x v="137"/>
    <x v="1"/>
    <x v="10"/>
    <n v="40"/>
    <x v="1"/>
  </r>
  <r>
    <x v="19"/>
    <x v="5"/>
    <x v="138"/>
    <x v="0"/>
    <x v="12"/>
    <n v="28.9"/>
    <x v="5"/>
  </r>
  <r>
    <x v="19"/>
    <x v="5"/>
    <x v="139"/>
    <x v="1"/>
    <x v="10"/>
    <n v="40"/>
    <x v="0"/>
  </r>
  <r>
    <x v="19"/>
    <x v="5"/>
    <x v="140"/>
    <x v="0"/>
    <x v="49"/>
    <n v="28.9"/>
    <x v="5"/>
  </r>
  <r>
    <x v="19"/>
    <x v="5"/>
    <x v="141"/>
    <x v="0"/>
    <x v="67"/>
    <n v="38.700000000000003"/>
    <x v="7"/>
  </r>
  <r>
    <x v="19"/>
    <x v="5"/>
    <x v="142"/>
    <x v="0"/>
    <x v="50"/>
    <n v="38.700000000000003"/>
    <x v="4"/>
  </r>
  <r>
    <x v="19"/>
    <x v="5"/>
    <x v="143"/>
    <x v="0"/>
    <x v="68"/>
    <n v="38.700000000000003"/>
    <x v="0"/>
  </r>
  <r>
    <x v="20"/>
    <x v="6"/>
    <x v="144"/>
    <x v="1"/>
    <x v="10"/>
    <n v="40"/>
    <x v="7"/>
  </r>
  <r>
    <x v="20"/>
    <x v="6"/>
    <x v="145"/>
    <x v="0"/>
    <x v="12"/>
    <n v="28.9"/>
    <x v="5"/>
  </r>
  <r>
    <x v="20"/>
    <x v="6"/>
    <x v="146"/>
    <x v="0"/>
    <x v="12"/>
    <n v="38.700000000000003"/>
    <x v="7"/>
  </r>
  <r>
    <x v="20"/>
    <x v="6"/>
    <x v="147"/>
    <x v="1"/>
    <x v="10"/>
    <n v="30"/>
    <x v="2"/>
  </r>
  <r>
    <x v="20"/>
    <x v="6"/>
    <x v="148"/>
    <x v="0"/>
    <x v="12"/>
    <n v="28.9"/>
    <x v="5"/>
  </r>
  <r>
    <x v="20"/>
    <x v="6"/>
    <x v="149"/>
    <x v="0"/>
    <x v="69"/>
    <n v="38.700000000000003"/>
    <x v="0"/>
  </r>
  <r>
    <x v="21"/>
    <x v="0"/>
    <x v="150"/>
    <x v="0"/>
    <x v="70"/>
    <n v="33.799999999999997"/>
    <x v="3"/>
  </r>
  <r>
    <x v="21"/>
    <x v="0"/>
    <x v="151"/>
    <x v="0"/>
    <x v="71"/>
    <n v="33.799999999999997"/>
    <x v="3"/>
  </r>
  <r>
    <x v="21"/>
    <x v="0"/>
    <x v="152"/>
    <x v="1"/>
    <x v="10"/>
    <n v="40"/>
    <x v="7"/>
  </r>
  <r>
    <x v="21"/>
    <x v="0"/>
    <x v="153"/>
    <x v="0"/>
    <x v="12"/>
    <n v="28.9"/>
    <x v="2"/>
  </r>
  <r>
    <x v="21"/>
    <x v="0"/>
    <x v="154"/>
    <x v="0"/>
    <x v="12"/>
    <n v="24"/>
    <x v="6"/>
  </r>
  <r>
    <x v="21"/>
    <x v="0"/>
    <x v="155"/>
    <x v="0"/>
    <x v="50"/>
    <n v="28.9"/>
    <x v="2"/>
  </r>
  <r>
    <x v="22"/>
    <x v="1"/>
    <x v="156"/>
    <x v="0"/>
    <x v="72"/>
    <n v="38.700000000000003"/>
    <x v="0"/>
  </r>
  <r>
    <x v="22"/>
    <x v="1"/>
    <x v="157"/>
    <x v="0"/>
    <x v="73"/>
    <n v="33.799999999999997"/>
    <x v="3"/>
  </r>
  <r>
    <x v="22"/>
    <x v="1"/>
    <x v="158"/>
    <x v="0"/>
    <x v="74"/>
    <n v="38.700000000000003"/>
    <x v="7"/>
  </r>
  <r>
    <x v="22"/>
    <x v="1"/>
    <x v="159"/>
    <x v="0"/>
    <x v="74"/>
    <n v="38.700000000000003"/>
    <x v="4"/>
  </r>
  <r>
    <x v="22"/>
    <x v="1"/>
    <x v="160"/>
    <x v="0"/>
    <x v="75"/>
    <n v="33.799999999999997"/>
    <x v="3"/>
  </r>
  <r>
    <x v="22"/>
    <x v="1"/>
    <x v="161"/>
    <x v="0"/>
    <x v="76"/>
    <n v="38.700000000000003"/>
    <x v="0"/>
  </r>
  <r>
    <x v="22"/>
    <x v="1"/>
    <x v="162"/>
    <x v="0"/>
    <x v="76"/>
    <n v="33.799999999999997"/>
    <x v="3"/>
  </r>
  <r>
    <x v="22"/>
    <x v="1"/>
    <x v="163"/>
    <x v="0"/>
    <x v="8"/>
    <n v="28.9"/>
    <x v="5"/>
  </r>
  <r>
    <x v="23"/>
    <x v="2"/>
    <x v="164"/>
    <x v="1"/>
    <x v="10"/>
    <n v="40"/>
    <x v="0"/>
  </r>
  <r>
    <x v="23"/>
    <x v="2"/>
    <x v="165"/>
    <x v="0"/>
    <x v="77"/>
    <n v="38.700000000000003"/>
    <x v="0"/>
  </r>
  <r>
    <x v="24"/>
    <x v="3"/>
    <x v="166"/>
    <x v="0"/>
    <x v="8"/>
    <n v="38.700000000000003"/>
    <x v="0"/>
  </r>
  <r>
    <x v="24"/>
    <x v="3"/>
    <x v="167"/>
    <x v="1"/>
    <x v="10"/>
    <n v="35"/>
    <x v="3"/>
  </r>
  <r>
    <x v="24"/>
    <x v="3"/>
    <x v="168"/>
    <x v="0"/>
    <x v="78"/>
    <n v="38.700000000000003"/>
    <x v="0"/>
  </r>
  <r>
    <x v="24"/>
    <x v="3"/>
    <x v="169"/>
    <x v="0"/>
    <x v="17"/>
    <n v="38.700000000000003"/>
    <x v="0"/>
  </r>
  <r>
    <x v="24"/>
    <x v="3"/>
    <x v="170"/>
    <x v="0"/>
    <x v="24"/>
    <n v="33.799999999999997"/>
    <x v="3"/>
  </r>
  <r>
    <x v="24"/>
    <x v="3"/>
    <x v="171"/>
    <x v="0"/>
    <x v="79"/>
    <n v="38.700000000000003"/>
    <x v="7"/>
  </r>
  <r>
    <x v="25"/>
    <x v="4"/>
    <x v="172"/>
    <x v="0"/>
    <x v="55"/>
    <n v="38.700000000000003"/>
    <x v="4"/>
  </r>
  <r>
    <x v="25"/>
    <x v="4"/>
    <x v="173"/>
    <x v="0"/>
    <x v="55"/>
    <n v="38.700000000000003"/>
    <x v="0"/>
  </r>
  <r>
    <x v="25"/>
    <x v="4"/>
    <x v="174"/>
    <x v="0"/>
    <x v="80"/>
    <n v="38.700000000000003"/>
    <x v="0"/>
  </r>
  <r>
    <x v="25"/>
    <x v="4"/>
    <x v="175"/>
    <x v="0"/>
    <x v="8"/>
    <n v="28.9"/>
    <x v="5"/>
  </r>
  <r>
    <x v="25"/>
    <x v="4"/>
    <x v="176"/>
    <x v="0"/>
    <x v="2"/>
    <n v="28.9"/>
    <x v="2"/>
  </r>
  <r>
    <x v="25"/>
    <x v="4"/>
    <x v="177"/>
    <x v="0"/>
    <x v="32"/>
    <n v="28.9"/>
    <x v="5"/>
  </r>
  <r>
    <x v="25"/>
    <x v="4"/>
    <x v="178"/>
    <x v="0"/>
    <x v="59"/>
    <n v="28.9"/>
    <x v="5"/>
  </r>
  <r>
    <x v="25"/>
    <x v="4"/>
    <x v="179"/>
    <x v="0"/>
    <x v="50"/>
    <n v="28.9"/>
    <x v="2"/>
  </r>
  <r>
    <x v="25"/>
    <x v="4"/>
    <x v="180"/>
    <x v="0"/>
    <x v="81"/>
    <n v="38.700000000000003"/>
    <x v="0"/>
  </r>
  <r>
    <x v="25"/>
    <x v="4"/>
    <x v="181"/>
    <x v="0"/>
    <x v="24"/>
    <n v="38.700000000000003"/>
    <x v="0"/>
  </r>
  <r>
    <x v="25"/>
    <x v="4"/>
    <x v="182"/>
    <x v="0"/>
    <x v="8"/>
    <n v="38.700000000000003"/>
    <x v="1"/>
  </r>
  <r>
    <x v="26"/>
    <x v="5"/>
    <x v="183"/>
    <x v="0"/>
    <x v="2"/>
    <n v="28.9"/>
    <x v="5"/>
  </r>
  <r>
    <x v="26"/>
    <x v="5"/>
    <x v="184"/>
    <x v="0"/>
    <x v="2"/>
    <n v="33.799999999999997"/>
    <x v="3"/>
  </r>
  <r>
    <x v="26"/>
    <x v="5"/>
    <x v="185"/>
    <x v="0"/>
    <x v="82"/>
    <n v="33.799999999999997"/>
    <x v="3"/>
  </r>
  <r>
    <x v="26"/>
    <x v="5"/>
    <x v="186"/>
    <x v="0"/>
    <x v="83"/>
    <n v="38.700000000000003"/>
    <x v="1"/>
  </r>
  <r>
    <x v="26"/>
    <x v="5"/>
    <x v="187"/>
    <x v="0"/>
    <x v="12"/>
    <n v="38.700000000000003"/>
    <x v="7"/>
  </r>
  <r>
    <x v="26"/>
    <x v="5"/>
    <x v="188"/>
    <x v="0"/>
    <x v="12"/>
    <n v="28.9"/>
    <x v="2"/>
  </r>
  <r>
    <x v="26"/>
    <x v="5"/>
    <x v="189"/>
    <x v="0"/>
    <x v="84"/>
    <n v="28.9"/>
    <x v="5"/>
  </r>
  <r>
    <x v="26"/>
    <x v="5"/>
    <x v="190"/>
    <x v="1"/>
    <x v="10"/>
    <n v="40"/>
    <x v="0"/>
  </r>
  <r>
    <x v="27"/>
    <x v="6"/>
    <x v="191"/>
    <x v="0"/>
    <x v="85"/>
    <n v="28.9"/>
    <x v="5"/>
  </r>
  <r>
    <x v="27"/>
    <x v="6"/>
    <x v="192"/>
    <x v="0"/>
    <x v="12"/>
    <n v="28.9"/>
    <x v="5"/>
  </r>
  <r>
    <x v="27"/>
    <x v="6"/>
    <x v="193"/>
    <x v="0"/>
    <x v="12"/>
    <n v="28.9"/>
    <x v="2"/>
  </r>
  <r>
    <x v="27"/>
    <x v="6"/>
    <x v="194"/>
    <x v="0"/>
    <x v="86"/>
    <n v="38.700000000000003"/>
    <x v="0"/>
  </r>
  <r>
    <x v="28"/>
    <x v="0"/>
    <x v="195"/>
    <x v="0"/>
    <x v="87"/>
    <n v="38.700000000000003"/>
    <x v="0"/>
  </r>
  <r>
    <x v="28"/>
    <x v="0"/>
    <x v="196"/>
    <x v="0"/>
    <x v="88"/>
    <n v="38.700000000000003"/>
    <x v="7"/>
  </r>
  <r>
    <x v="28"/>
    <x v="0"/>
    <x v="197"/>
    <x v="0"/>
    <x v="88"/>
    <n v="38.700000000000003"/>
    <x v="7"/>
  </r>
  <r>
    <x v="28"/>
    <x v="0"/>
    <x v="198"/>
    <x v="1"/>
    <x v="10"/>
    <n v="40"/>
    <x v="7"/>
  </r>
  <r>
    <x v="29"/>
    <x v="1"/>
    <x v="199"/>
    <x v="0"/>
    <x v="69"/>
    <n v="38.700000000000003"/>
    <x v="0"/>
  </r>
  <r>
    <x v="29"/>
    <x v="1"/>
    <x v="200"/>
    <x v="1"/>
    <x v="10"/>
    <n v="40"/>
    <x v="7"/>
  </r>
  <r>
    <x v="29"/>
    <x v="1"/>
    <x v="201"/>
    <x v="0"/>
    <x v="17"/>
    <n v="38.700000000000003"/>
    <x v="0"/>
  </r>
  <r>
    <x v="29"/>
    <x v="1"/>
    <x v="202"/>
    <x v="0"/>
    <x v="8"/>
    <n v="38.700000000000003"/>
    <x v="0"/>
  </r>
  <r>
    <x v="29"/>
    <x v="1"/>
    <x v="203"/>
    <x v="0"/>
    <x v="8"/>
    <n v="33.799999999999997"/>
    <x v="3"/>
  </r>
  <r>
    <x v="30"/>
    <x v="2"/>
    <x v="204"/>
    <x v="0"/>
    <x v="89"/>
    <n v="38.700000000000003"/>
    <x v="7"/>
  </r>
  <r>
    <x v="30"/>
    <x v="2"/>
    <x v="205"/>
    <x v="1"/>
    <x v="10"/>
    <n v="30"/>
    <x v="2"/>
  </r>
  <r>
    <x v="31"/>
    <x v="3"/>
    <x v="206"/>
    <x v="0"/>
    <x v="3"/>
    <n v="28.9"/>
    <x v="2"/>
  </r>
  <r>
    <x v="31"/>
    <x v="3"/>
    <x v="207"/>
    <x v="0"/>
    <x v="3"/>
    <n v="33.799999999999997"/>
    <x v="3"/>
  </r>
  <r>
    <x v="31"/>
    <x v="3"/>
    <x v="208"/>
    <x v="0"/>
    <x v="3"/>
    <n v="33.799999999999997"/>
    <x v="3"/>
  </r>
  <r>
    <x v="31"/>
    <x v="3"/>
    <x v="209"/>
    <x v="0"/>
    <x v="8"/>
    <n v="33.799999999999997"/>
    <x v="3"/>
  </r>
  <r>
    <x v="31"/>
    <x v="3"/>
    <x v="210"/>
    <x v="1"/>
    <x v="10"/>
    <n v="40"/>
    <x v="7"/>
  </r>
  <r>
    <x v="31"/>
    <x v="3"/>
    <x v="211"/>
    <x v="0"/>
    <x v="24"/>
    <n v="33.799999999999997"/>
    <x v="3"/>
  </r>
  <r>
    <x v="31"/>
    <x v="3"/>
    <x v="212"/>
    <x v="0"/>
    <x v="90"/>
    <n v="38.700000000000003"/>
    <x v="1"/>
  </r>
  <r>
    <x v="32"/>
    <x v="4"/>
    <x v="213"/>
    <x v="0"/>
    <x v="0"/>
    <n v="38.700000000000003"/>
    <x v="0"/>
  </r>
  <r>
    <x v="32"/>
    <x v="4"/>
    <x v="214"/>
    <x v="0"/>
    <x v="2"/>
    <n v="28.9"/>
    <x v="2"/>
  </r>
  <r>
    <x v="32"/>
    <x v="4"/>
    <x v="215"/>
    <x v="0"/>
    <x v="2"/>
    <n v="28.9"/>
    <x v="5"/>
  </r>
  <r>
    <x v="32"/>
    <x v="4"/>
    <x v="216"/>
    <x v="1"/>
    <x v="10"/>
    <n v="40"/>
    <x v="7"/>
  </r>
  <r>
    <x v="33"/>
    <x v="5"/>
    <x v="217"/>
    <x v="0"/>
    <x v="2"/>
    <n v="28.9"/>
    <x v="5"/>
  </r>
  <r>
    <x v="33"/>
    <x v="5"/>
    <x v="218"/>
    <x v="0"/>
    <x v="2"/>
    <n v="28.9"/>
    <x v="2"/>
  </r>
  <r>
    <x v="33"/>
    <x v="5"/>
    <x v="219"/>
    <x v="0"/>
    <x v="12"/>
    <n v="38.700000000000003"/>
    <x v="7"/>
  </r>
  <r>
    <x v="33"/>
    <x v="5"/>
    <x v="220"/>
    <x v="1"/>
    <x v="10"/>
    <n v="30"/>
    <x v="5"/>
  </r>
  <r>
    <x v="34"/>
    <x v="6"/>
    <x v="221"/>
    <x v="0"/>
    <x v="91"/>
    <n v="38.700000000000003"/>
    <x v="0"/>
  </r>
  <r>
    <x v="34"/>
    <x v="6"/>
    <x v="222"/>
    <x v="0"/>
    <x v="92"/>
    <n v="38.700000000000003"/>
    <x v="0"/>
  </r>
  <r>
    <x v="34"/>
    <x v="6"/>
    <x v="223"/>
    <x v="0"/>
    <x v="93"/>
    <n v="38.700000000000003"/>
    <x v="7"/>
  </r>
  <r>
    <x v="34"/>
    <x v="6"/>
    <x v="224"/>
    <x v="0"/>
    <x v="94"/>
    <n v="28.9"/>
    <x v="5"/>
  </r>
  <r>
    <x v="34"/>
    <x v="6"/>
    <x v="225"/>
    <x v="1"/>
    <x v="10"/>
    <n v="40"/>
    <x v="0"/>
  </r>
  <r>
    <x v="35"/>
    <x v="0"/>
    <x v="226"/>
    <x v="0"/>
    <x v="95"/>
    <n v="28.9"/>
    <x v="2"/>
  </r>
  <r>
    <x v="35"/>
    <x v="0"/>
    <x v="227"/>
    <x v="0"/>
    <x v="12"/>
    <n v="28.9"/>
    <x v="2"/>
  </r>
  <r>
    <x v="35"/>
    <x v="0"/>
    <x v="228"/>
    <x v="0"/>
    <x v="96"/>
    <n v="28.9"/>
    <x v="5"/>
  </r>
  <r>
    <x v="35"/>
    <x v="0"/>
    <x v="229"/>
    <x v="0"/>
    <x v="97"/>
    <n v="33.799999999999997"/>
    <x v="3"/>
  </r>
  <r>
    <x v="35"/>
    <x v="0"/>
    <x v="230"/>
    <x v="0"/>
    <x v="98"/>
    <n v="38.700000000000003"/>
    <x v="0"/>
  </r>
  <r>
    <x v="35"/>
    <x v="0"/>
    <x v="231"/>
    <x v="0"/>
    <x v="98"/>
    <n v="28.9"/>
    <x v="5"/>
  </r>
  <r>
    <x v="35"/>
    <x v="0"/>
    <x v="232"/>
    <x v="1"/>
    <x v="10"/>
    <n v="40"/>
    <x v="0"/>
  </r>
  <r>
    <x v="35"/>
    <x v="0"/>
    <x v="233"/>
    <x v="1"/>
    <x v="10"/>
    <n v="40"/>
    <x v="7"/>
  </r>
  <r>
    <x v="35"/>
    <x v="0"/>
    <x v="234"/>
    <x v="1"/>
    <x v="10"/>
    <n v="30"/>
    <x v="2"/>
  </r>
  <r>
    <x v="35"/>
    <x v="0"/>
    <x v="235"/>
    <x v="1"/>
    <x v="10"/>
    <n v="40"/>
    <x v="4"/>
  </r>
  <r>
    <x v="35"/>
    <x v="0"/>
    <x v="236"/>
    <x v="0"/>
    <x v="2"/>
    <n v="24"/>
    <x v="6"/>
  </r>
  <r>
    <x v="36"/>
    <x v="1"/>
    <x v="237"/>
    <x v="0"/>
    <x v="99"/>
    <n v="33.799999999999997"/>
    <x v="3"/>
  </r>
  <r>
    <x v="36"/>
    <x v="1"/>
    <x v="238"/>
    <x v="0"/>
    <x v="40"/>
    <n v="38.700000000000003"/>
    <x v="7"/>
  </r>
  <r>
    <x v="36"/>
    <x v="1"/>
    <x v="239"/>
    <x v="0"/>
    <x v="40"/>
    <n v="28.9"/>
    <x v="2"/>
  </r>
  <r>
    <x v="36"/>
    <x v="1"/>
    <x v="240"/>
    <x v="0"/>
    <x v="8"/>
    <n v="38.700000000000003"/>
    <x v="0"/>
  </r>
  <r>
    <x v="37"/>
    <x v="2"/>
    <x v="241"/>
    <x v="0"/>
    <x v="91"/>
    <n v="38.700000000000003"/>
    <x v="0"/>
  </r>
  <r>
    <x v="37"/>
    <x v="2"/>
    <x v="242"/>
    <x v="0"/>
    <x v="40"/>
    <n v="38.700000000000003"/>
    <x v="7"/>
  </r>
  <r>
    <x v="37"/>
    <x v="2"/>
    <x v="243"/>
    <x v="0"/>
    <x v="40"/>
    <n v="38.700000000000003"/>
    <x v="7"/>
  </r>
  <r>
    <x v="37"/>
    <x v="2"/>
    <x v="244"/>
    <x v="0"/>
    <x v="100"/>
    <n v="28.9"/>
    <x v="5"/>
  </r>
  <r>
    <x v="37"/>
    <x v="2"/>
    <x v="245"/>
    <x v="0"/>
    <x v="100"/>
    <n v="24"/>
    <x v="6"/>
  </r>
  <r>
    <x v="37"/>
    <x v="2"/>
    <x v="246"/>
    <x v="0"/>
    <x v="101"/>
    <n v="38.700000000000003"/>
    <x v="1"/>
  </r>
  <r>
    <x v="37"/>
    <x v="2"/>
    <x v="247"/>
    <x v="0"/>
    <x v="101"/>
    <n v="33.799999999999997"/>
    <x v="3"/>
  </r>
  <r>
    <x v="38"/>
    <x v="3"/>
    <x v="248"/>
    <x v="0"/>
    <x v="102"/>
    <n v="33.799999999999997"/>
    <x v="3"/>
  </r>
  <r>
    <x v="38"/>
    <x v="3"/>
    <x v="249"/>
    <x v="0"/>
    <x v="103"/>
    <n v="38.700000000000003"/>
    <x v="7"/>
  </r>
  <r>
    <x v="38"/>
    <x v="3"/>
    <x v="250"/>
    <x v="0"/>
    <x v="12"/>
    <n v="28.9"/>
    <x v="2"/>
  </r>
  <r>
    <x v="38"/>
    <x v="3"/>
    <x v="251"/>
    <x v="0"/>
    <x v="104"/>
    <n v="38.700000000000003"/>
    <x v="7"/>
  </r>
  <r>
    <x v="38"/>
    <x v="3"/>
    <x v="252"/>
    <x v="1"/>
    <x v="10"/>
    <n v="25"/>
    <x v="6"/>
  </r>
  <r>
    <x v="38"/>
    <x v="3"/>
    <x v="253"/>
    <x v="1"/>
    <x v="10"/>
    <n v="35"/>
    <x v="3"/>
  </r>
  <r>
    <x v="38"/>
    <x v="3"/>
    <x v="254"/>
    <x v="0"/>
    <x v="17"/>
    <n v="38.700000000000003"/>
    <x v="0"/>
  </r>
  <r>
    <x v="38"/>
    <x v="3"/>
    <x v="255"/>
    <x v="0"/>
    <x v="105"/>
    <n v="28.9"/>
    <x v="2"/>
  </r>
  <r>
    <x v="38"/>
    <x v="3"/>
    <x v="256"/>
    <x v="0"/>
    <x v="24"/>
    <n v="33.799999999999997"/>
    <x v="3"/>
  </r>
  <r>
    <x v="38"/>
    <x v="3"/>
    <x v="257"/>
    <x v="0"/>
    <x v="106"/>
    <n v="38.700000000000003"/>
    <x v="7"/>
  </r>
  <r>
    <x v="39"/>
    <x v="4"/>
    <x v="258"/>
    <x v="1"/>
    <x v="10"/>
    <n v="40"/>
    <x v="7"/>
  </r>
  <r>
    <x v="39"/>
    <x v="4"/>
    <x v="259"/>
    <x v="1"/>
    <x v="10"/>
    <n v="30"/>
    <x v="2"/>
  </r>
  <r>
    <x v="39"/>
    <x v="4"/>
    <x v="260"/>
    <x v="0"/>
    <x v="91"/>
    <n v="38.700000000000003"/>
    <x v="0"/>
  </r>
  <r>
    <x v="39"/>
    <x v="4"/>
    <x v="261"/>
    <x v="0"/>
    <x v="107"/>
    <n v="38.700000000000003"/>
    <x v="1"/>
  </r>
  <r>
    <x v="39"/>
    <x v="4"/>
    <x v="262"/>
    <x v="0"/>
    <x v="49"/>
    <n v="38.700000000000003"/>
    <x v="1"/>
  </r>
  <r>
    <x v="40"/>
    <x v="5"/>
    <x v="263"/>
    <x v="1"/>
    <x v="10"/>
    <n v="25"/>
    <x v="6"/>
  </r>
  <r>
    <x v="40"/>
    <x v="5"/>
    <x v="264"/>
    <x v="1"/>
    <x v="10"/>
    <n v="40"/>
    <x v="1"/>
  </r>
  <r>
    <x v="40"/>
    <x v="5"/>
    <x v="265"/>
    <x v="0"/>
    <x v="108"/>
    <n v="24"/>
    <x v="6"/>
  </r>
  <r>
    <x v="40"/>
    <x v="5"/>
    <x v="266"/>
    <x v="0"/>
    <x v="8"/>
    <n v="38.700000000000003"/>
    <x v="7"/>
  </r>
  <r>
    <x v="40"/>
    <x v="5"/>
    <x v="267"/>
    <x v="0"/>
    <x v="109"/>
    <n v="38.700000000000003"/>
    <x v="0"/>
  </r>
  <r>
    <x v="41"/>
    <x v="6"/>
    <x v="268"/>
    <x v="0"/>
    <x v="110"/>
    <n v="28.9"/>
    <x v="2"/>
  </r>
  <r>
    <x v="41"/>
    <x v="6"/>
    <x v="269"/>
    <x v="0"/>
    <x v="110"/>
    <n v="28.9"/>
    <x v="2"/>
  </r>
  <r>
    <x v="41"/>
    <x v="6"/>
    <x v="270"/>
    <x v="0"/>
    <x v="17"/>
    <n v="38.700000000000003"/>
    <x v="0"/>
  </r>
  <r>
    <x v="41"/>
    <x v="6"/>
    <x v="271"/>
    <x v="0"/>
    <x v="106"/>
    <n v="38.700000000000003"/>
    <x v="7"/>
  </r>
  <r>
    <x v="41"/>
    <x v="6"/>
    <x v="272"/>
    <x v="0"/>
    <x v="24"/>
    <n v="33.799999999999997"/>
    <x v="3"/>
  </r>
  <r>
    <x v="42"/>
    <x v="0"/>
    <x v="273"/>
    <x v="0"/>
    <x v="19"/>
    <n v="38.700000000000003"/>
    <x v="1"/>
  </r>
  <r>
    <x v="42"/>
    <x v="0"/>
    <x v="274"/>
    <x v="0"/>
    <x v="8"/>
    <n v="28.9"/>
    <x v="5"/>
  </r>
  <r>
    <x v="43"/>
    <x v="1"/>
    <x v="275"/>
    <x v="0"/>
    <x v="8"/>
    <n v="38.700000000000003"/>
    <x v="0"/>
  </r>
  <r>
    <x v="43"/>
    <x v="1"/>
    <x v="276"/>
    <x v="0"/>
    <x v="12"/>
    <n v="28.9"/>
    <x v="2"/>
  </r>
  <r>
    <x v="43"/>
    <x v="1"/>
    <x v="277"/>
    <x v="1"/>
    <x v="10"/>
    <n v="40"/>
    <x v="1"/>
  </r>
  <r>
    <x v="43"/>
    <x v="1"/>
    <x v="278"/>
    <x v="1"/>
    <x v="10"/>
    <n v="40"/>
    <x v="1"/>
  </r>
  <r>
    <x v="43"/>
    <x v="1"/>
    <x v="279"/>
    <x v="0"/>
    <x v="111"/>
    <n v="38.700000000000003"/>
    <x v="7"/>
  </r>
  <r>
    <x v="43"/>
    <x v="1"/>
    <x v="280"/>
    <x v="0"/>
    <x v="111"/>
    <n v="38.700000000000003"/>
    <x v="0"/>
  </r>
  <r>
    <x v="43"/>
    <x v="1"/>
    <x v="281"/>
    <x v="0"/>
    <x v="112"/>
    <n v="38.700000000000003"/>
    <x v="7"/>
  </r>
  <r>
    <x v="43"/>
    <x v="1"/>
    <x v="282"/>
    <x v="0"/>
    <x v="12"/>
    <n v="38.700000000000003"/>
    <x v="7"/>
  </r>
  <r>
    <x v="44"/>
    <x v="2"/>
    <x v="283"/>
    <x v="1"/>
    <x v="10"/>
    <n v="40"/>
    <x v="0"/>
  </r>
  <r>
    <x v="44"/>
    <x v="2"/>
    <x v="284"/>
    <x v="0"/>
    <x v="113"/>
    <n v="38.700000000000003"/>
    <x v="7"/>
  </r>
  <r>
    <x v="44"/>
    <x v="2"/>
    <x v="285"/>
    <x v="1"/>
    <x v="10"/>
    <n v="30"/>
    <x v="5"/>
  </r>
  <r>
    <x v="44"/>
    <x v="2"/>
    <x v="286"/>
    <x v="1"/>
    <x v="10"/>
    <n v="30"/>
    <x v="5"/>
  </r>
  <r>
    <x v="44"/>
    <x v="2"/>
    <x v="287"/>
    <x v="1"/>
    <x v="10"/>
    <n v="35"/>
    <x v="3"/>
  </r>
  <r>
    <x v="44"/>
    <x v="2"/>
    <x v="288"/>
    <x v="0"/>
    <x v="114"/>
    <n v="28.9"/>
    <x v="5"/>
  </r>
  <r>
    <x v="44"/>
    <x v="2"/>
    <x v="289"/>
    <x v="0"/>
    <x v="12"/>
    <n v="28.9"/>
    <x v="2"/>
  </r>
  <r>
    <x v="44"/>
    <x v="2"/>
    <x v="290"/>
    <x v="0"/>
    <x v="12"/>
    <n v="28.9"/>
    <x v="2"/>
  </r>
  <r>
    <x v="44"/>
    <x v="2"/>
    <x v="291"/>
    <x v="0"/>
    <x v="12"/>
    <n v="28.9"/>
    <x v="2"/>
  </r>
  <r>
    <x v="44"/>
    <x v="2"/>
    <x v="292"/>
    <x v="0"/>
    <x v="17"/>
    <n v="38.700000000000003"/>
    <x v="7"/>
  </r>
  <r>
    <x v="44"/>
    <x v="2"/>
    <x v="293"/>
    <x v="0"/>
    <x v="12"/>
    <n v="28.9"/>
    <x v="5"/>
  </r>
  <r>
    <x v="44"/>
    <x v="2"/>
    <x v="294"/>
    <x v="0"/>
    <x v="19"/>
    <n v="38.700000000000003"/>
    <x v="0"/>
  </r>
  <r>
    <x v="44"/>
    <x v="2"/>
    <x v="295"/>
    <x v="0"/>
    <x v="115"/>
    <n v="38.700000000000003"/>
    <x v="7"/>
  </r>
  <r>
    <x v="45"/>
    <x v="3"/>
    <x v="296"/>
    <x v="0"/>
    <x v="64"/>
    <n v="28.9"/>
    <x v="2"/>
  </r>
  <r>
    <x v="45"/>
    <x v="3"/>
    <x v="297"/>
    <x v="0"/>
    <x v="2"/>
    <n v="28.9"/>
    <x v="2"/>
  </r>
  <r>
    <x v="45"/>
    <x v="3"/>
    <x v="298"/>
    <x v="0"/>
    <x v="3"/>
    <n v="33.799999999999997"/>
    <x v="3"/>
  </r>
  <r>
    <x v="45"/>
    <x v="3"/>
    <x v="299"/>
    <x v="0"/>
    <x v="8"/>
    <n v="33.799999999999997"/>
    <x v="3"/>
  </r>
  <r>
    <x v="45"/>
    <x v="3"/>
    <x v="300"/>
    <x v="1"/>
    <x v="10"/>
    <n v="25"/>
    <x v="6"/>
  </r>
  <r>
    <x v="46"/>
    <x v="4"/>
    <x v="301"/>
    <x v="1"/>
    <x v="10"/>
    <n v="35"/>
    <x v="3"/>
  </r>
  <r>
    <x v="46"/>
    <x v="4"/>
    <x v="302"/>
    <x v="0"/>
    <x v="116"/>
    <n v="33.799999999999997"/>
    <x v="3"/>
  </r>
  <r>
    <x v="46"/>
    <x v="4"/>
    <x v="303"/>
    <x v="0"/>
    <x v="117"/>
    <n v="38.700000000000003"/>
    <x v="4"/>
  </r>
  <r>
    <x v="46"/>
    <x v="4"/>
    <x v="304"/>
    <x v="0"/>
    <x v="64"/>
    <n v="28.9"/>
    <x v="5"/>
  </r>
  <r>
    <x v="46"/>
    <x v="4"/>
    <x v="305"/>
    <x v="0"/>
    <x v="118"/>
    <n v="28.9"/>
    <x v="2"/>
  </r>
  <r>
    <x v="46"/>
    <x v="4"/>
    <x v="306"/>
    <x v="0"/>
    <x v="24"/>
    <n v="33.799999999999997"/>
    <x v="3"/>
  </r>
  <r>
    <x v="46"/>
    <x v="4"/>
    <x v="307"/>
    <x v="0"/>
    <x v="8"/>
    <n v="38.700000000000003"/>
    <x v="7"/>
  </r>
  <r>
    <x v="46"/>
    <x v="4"/>
    <x v="308"/>
    <x v="0"/>
    <x v="50"/>
    <n v="38.700000000000003"/>
    <x v="4"/>
  </r>
  <r>
    <x v="47"/>
    <x v="5"/>
    <x v="309"/>
    <x v="0"/>
    <x v="12"/>
    <n v="28.9"/>
    <x v="2"/>
  </r>
  <r>
    <x v="47"/>
    <x v="5"/>
    <x v="310"/>
    <x v="0"/>
    <x v="119"/>
    <n v="24"/>
    <x v="6"/>
  </r>
  <r>
    <x v="47"/>
    <x v="5"/>
    <x v="311"/>
    <x v="1"/>
    <x v="10"/>
    <n v="40"/>
    <x v="7"/>
  </r>
  <r>
    <x v="47"/>
    <x v="5"/>
    <x v="312"/>
    <x v="0"/>
    <x v="120"/>
    <n v="38.700000000000003"/>
    <x v="7"/>
  </r>
  <r>
    <x v="47"/>
    <x v="5"/>
    <x v="313"/>
    <x v="0"/>
    <x v="120"/>
    <n v="38.700000000000003"/>
    <x v="7"/>
  </r>
  <r>
    <x v="47"/>
    <x v="5"/>
    <x v="314"/>
    <x v="0"/>
    <x v="121"/>
    <n v="28.9"/>
    <x v="5"/>
  </r>
  <r>
    <x v="48"/>
    <x v="6"/>
    <x v="315"/>
    <x v="0"/>
    <x v="2"/>
    <n v="28.9"/>
    <x v="2"/>
  </r>
  <r>
    <x v="48"/>
    <x v="6"/>
    <x v="316"/>
    <x v="0"/>
    <x v="2"/>
    <n v="28.9"/>
    <x v="2"/>
  </r>
  <r>
    <x v="48"/>
    <x v="6"/>
    <x v="317"/>
    <x v="0"/>
    <x v="122"/>
    <n v="33.799999999999997"/>
    <x v="3"/>
  </r>
  <r>
    <x v="48"/>
    <x v="6"/>
    <x v="318"/>
    <x v="0"/>
    <x v="122"/>
    <n v="28.9"/>
    <x v="5"/>
  </r>
  <r>
    <x v="48"/>
    <x v="6"/>
    <x v="319"/>
    <x v="0"/>
    <x v="123"/>
    <n v="38.700000000000003"/>
    <x v="7"/>
  </r>
  <r>
    <x v="48"/>
    <x v="6"/>
    <x v="320"/>
    <x v="0"/>
    <x v="123"/>
    <n v="38.700000000000003"/>
    <x v="0"/>
  </r>
  <r>
    <x v="48"/>
    <x v="6"/>
    <x v="321"/>
    <x v="0"/>
    <x v="69"/>
    <n v="38.700000000000003"/>
    <x v="0"/>
  </r>
  <r>
    <x v="48"/>
    <x v="6"/>
    <x v="322"/>
    <x v="0"/>
    <x v="85"/>
    <n v="38.700000000000003"/>
    <x v="7"/>
  </r>
  <r>
    <x v="48"/>
    <x v="6"/>
    <x v="323"/>
    <x v="0"/>
    <x v="24"/>
    <n v="38.700000000000003"/>
    <x v="1"/>
  </r>
  <r>
    <x v="48"/>
    <x v="6"/>
    <x v="324"/>
    <x v="0"/>
    <x v="8"/>
    <n v="38.700000000000003"/>
    <x v="1"/>
  </r>
  <r>
    <x v="49"/>
    <x v="0"/>
    <x v="325"/>
    <x v="0"/>
    <x v="0"/>
    <n v="38.700000000000003"/>
    <x v="0"/>
  </r>
  <r>
    <x v="49"/>
    <x v="0"/>
    <x v="326"/>
    <x v="0"/>
    <x v="40"/>
    <n v="33.799999999999997"/>
    <x v="3"/>
  </r>
  <r>
    <x v="49"/>
    <x v="0"/>
    <x v="327"/>
    <x v="0"/>
    <x v="40"/>
    <n v="38.700000000000003"/>
    <x v="7"/>
  </r>
  <r>
    <x v="49"/>
    <x v="0"/>
    <x v="328"/>
    <x v="0"/>
    <x v="124"/>
    <n v="38.700000000000003"/>
    <x v="1"/>
  </r>
  <r>
    <x v="49"/>
    <x v="0"/>
    <x v="329"/>
    <x v="0"/>
    <x v="124"/>
    <n v="38.700000000000003"/>
    <x v="7"/>
  </r>
  <r>
    <x v="49"/>
    <x v="0"/>
    <x v="330"/>
    <x v="0"/>
    <x v="24"/>
    <n v="38.700000000000003"/>
    <x v="4"/>
  </r>
  <r>
    <x v="49"/>
    <x v="0"/>
    <x v="331"/>
    <x v="0"/>
    <x v="8"/>
    <n v="33.799999999999997"/>
    <x v="3"/>
  </r>
  <r>
    <x v="50"/>
    <x v="1"/>
    <x v="332"/>
    <x v="1"/>
    <x v="10"/>
    <n v="35"/>
    <x v="3"/>
  </r>
  <r>
    <x v="50"/>
    <x v="1"/>
    <x v="333"/>
    <x v="0"/>
    <x v="125"/>
    <n v="33.799999999999997"/>
    <x v="3"/>
  </r>
  <r>
    <x v="50"/>
    <x v="1"/>
    <x v="334"/>
    <x v="0"/>
    <x v="125"/>
    <n v="33.799999999999997"/>
    <x v="3"/>
  </r>
  <r>
    <x v="50"/>
    <x v="1"/>
    <x v="335"/>
    <x v="0"/>
    <x v="118"/>
    <n v="28.9"/>
    <x v="2"/>
  </r>
  <r>
    <x v="50"/>
    <x v="1"/>
    <x v="336"/>
    <x v="0"/>
    <x v="118"/>
    <n v="33.799999999999997"/>
    <x v="3"/>
  </r>
  <r>
    <x v="50"/>
    <x v="1"/>
    <x v="337"/>
    <x v="0"/>
    <x v="118"/>
    <n v="38.700000000000003"/>
    <x v="1"/>
  </r>
  <r>
    <x v="50"/>
    <x v="1"/>
    <x v="338"/>
    <x v="0"/>
    <x v="40"/>
    <n v="38.700000000000003"/>
    <x v="7"/>
  </r>
  <r>
    <x v="50"/>
    <x v="1"/>
    <x v="339"/>
    <x v="0"/>
    <x v="8"/>
    <n v="33.799999999999997"/>
    <x v="3"/>
  </r>
  <r>
    <x v="50"/>
    <x v="1"/>
    <x v="340"/>
    <x v="0"/>
    <x v="12"/>
    <n v="32.82"/>
    <x v="3"/>
  </r>
  <r>
    <x v="50"/>
    <x v="1"/>
    <x v="341"/>
    <x v="0"/>
    <x v="126"/>
    <n v="32.82"/>
    <x v="3"/>
  </r>
  <r>
    <x v="50"/>
    <x v="1"/>
    <x v="342"/>
    <x v="1"/>
    <x v="10"/>
    <n v="39"/>
    <x v="4"/>
  </r>
  <r>
    <x v="50"/>
    <x v="1"/>
    <x v="343"/>
    <x v="0"/>
    <x v="127"/>
    <n v="37.72"/>
    <x v="7"/>
  </r>
  <r>
    <x v="50"/>
    <x v="1"/>
    <x v="344"/>
    <x v="0"/>
    <x v="127"/>
    <n v="37.72"/>
    <x v="7"/>
  </r>
  <r>
    <x v="50"/>
    <x v="1"/>
    <x v="345"/>
    <x v="0"/>
    <x v="128"/>
    <n v="37.72"/>
    <x v="0"/>
  </r>
  <r>
    <x v="51"/>
    <x v="2"/>
    <x v="346"/>
    <x v="0"/>
    <x v="0"/>
    <n v="37.72"/>
    <x v="0"/>
  </r>
  <r>
    <x v="51"/>
    <x v="2"/>
    <x v="347"/>
    <x v="0"/>
    <x v="99"/>
    <n v="27.92"/>
    <x v="2"/>
  </r>
  <r>
    <x v="51"/>
    <x v="2"/>
    <x v="348"/>
    <x v="1"/>
    <x v="10"/>
    <n v="39"/>
    <x v="7"/>
  </r>
  <r>
    <x v="52"/>
    <x v="3"/>
    <x v="349"/>
    <x v="0"/>
    <x v="12"/>
    <n v="27.92"/>
    <x v="2"/>
  </r>
  <r>
    <x v="52"/>
    <x v="3"/>
    <x v="350"/>
    <x v="0"/>
    <x v="129"/>
    <n v="32.82"/>
    <x v="3"/>
  </r>
  <r>
    <x v="52"/>
    <x v="3"/>
    <x v="351"/>
    <x v="1"/>
    <x v="10"/>
    <n v="39"/>
    <x v="0"/>
  </r>
  <r>
    <x v="52"/>
    <x v="3"/>
    <x v="352"/>
    <x v="0"/>
    <x v="8"/>
    <n v="37.72"/>
    <x v="0"/>
  </r>
  <r>
    <x v="52"/>
    <x v="3"/>
    <x v="353"/>
    <x v="1"/>
    <x v="10"/>
    <n v="39"/>
    <x v="7"/>
  </r>
  <r>
    <x v="53"/>
    <x v="4"/>
    <x v="354"/>
    <x v="0"/>
    <x v="25"/>
    <n v="37.72"/>
    <x v="7"/>
  </r>
  <r>
    <x v="53"/>
    <x v="4"/>
    <x v="355"/>
    <x v="0"/>
    <x v="24"/>
    <n v="32.82"/>
    <x v="3"/>
  </r>
  <r>
    <x v="53"/>
    <x v="4"/>
    <x v="356"/>
    <x v="0"/>
    <x v="8"/>
    <n v="37.72"/>
    <x v="7"/>
  </r>
  <r>
    <x v="53"/>
    <x v="4"/>
    <x v="357"/>
    <x v="0"/>
    <x v="130"/>
    <n v="32.82"/>
    <x v="3"/>
  </r>
  <r>
    <x v="53"/>
    <x v="4"/>
    <x v="358"/>
    <x v="0"/>
    <x v="130"/>
    <n v="32.82"/>
    <x v="3"/>
  </r>
  <r>
    <x v="54"/>
    <x v="5"/>
    <x v="359"/>
    <x v="0"/>
    <x v="0"/>
    <n v="37.72"/>
    <x v="0"/>
  </r>
  <r>
    <x v="54"/>
    <x v="5"/>
    <x v="360"/>
    <x v="0"/>
    <x v="131"/>
    <n v="32.82"/>
    <x v="3"/>
  </r>
  <r>
    <x v="54"/>
    <x v="5"/>
    <x v="361"/>
    <x v="0"/>
    <x v="132"/>
    <n v="32.82"/>
    <x v="3"/>
  </r>
  <r>
    <x v="54"/>
    <x v="5"/>
    <x v="362"/>
    <x v="0"/>
    <x v="133"/>
    <n v="32.82"/>
    <x v="3"/>
  </r>
  <r>
    <x v="54"/>
    <x v="5"/>
    <x v="363"/>
    <x v="0"/>
    <x v="59"/>
    <n v="32.82"/>
    <x v="3"/>
  </r>
  <r>
    <x v="54"/>
    <x v="5"/>
    <x v="364"/>
    <x v="0"/>
    <x v="8"/>
    <n v="32.82"/>
    <x v="3"/>
  </r>
  <r>
    <x v="54"/>
    <x v="5"/>
    <x v="365"/>
    <x v="0"/>
    <x v="134"/>
    <n v="32.82"/>
    <x v="3"/>
  </r>
  <r>
    <x v="54"/>
    <x v="5"/>
    <x v="366"/>
    <x v="0"/>
    <x v="134"/>
    <n v="37.72"/>
    <x v="7"/>
  </r>
  <r>
    <x v="55"/>
    <x v="6"/>
    <x v="367"/>
    <x v="0"/>
    <x v="135"/>
    <n v="27.92"/>
    <x v="2"/>
  </r>
  <r>
    <x v="55"/>
    <x v="6"/>
    <x v="368"/>
    <x v="0"/>
    <x v="8"/>
    <n v="37.72"/>
    <x v="0"/>
  </r>
  <r>
    <x v="55"/>
    <x v="6"/>
    <x v="369"/>
    <x v="0"/>
    <x v="12"/>
    <n v="27.92"/>
    <x v="2"/>
  </r>
  <r>
    <x v="55"/>
    <x v="6"/>
    <x v="370"/>
    <x v="0"/>
    <x v="12"/>
    <n v="27.92"/>
    <x v="2"/>
  </r>
  <r>
    <x v="56"/>
    <x v="0"/>
    <x v="371"/>
    <x v="0"/>
    <x v="0"/>
    <n v="37.72"/>
    <x v="0"/>
  </r>
  <r>
    <x v="56"/>
    <x v="0"/>
    <x v="372"/>
    <x v="0"/>
    <x v="136"/>
    <n v="37.72"/>
    <x v="0"/>
  </r>
  <r>
    <x v="56"/>
    <x v="0"/>
    <x v="373"/>
    <x v="0"/>
    <x v="137"/>
    <n v="37.72"/>
    <x v="7"/>
  </r>
  <r>
    <x v="56"/>
    <x v="0"/>
    <x v="374"/>
    <x v="0"/>
    <x v="12"/>
    <n v="27.92"/>
    <x v="2"/>
  </r>
  <r>
    <x v="56"/>
    <x v="0"/>
    <x v="375"/>
    <x v="0"/>
    <x v="12"/>
    <n v="27.92"/>
    <x v="2"/>
  </r>
  <r>
    <x v="56"/>
    <x v="0"/>
    <x v="376"/>
    <x v="0"/>
    <x v="138"/>
    <n v="27.92"/>
    <x v="5"/>
  </r>
  <r>
    <x v="56"/>
    <x v="0"/>
    <x v="377"/>
    <x v="0"/>
    <x v="139"/>
    <n v="27.92"/>
    <x v="2"/>
  </r>
  <r>
    <x v="56"/>
    <x v="0"/>
    <x v="378"/>
    <x v="0"/>
    <x v="8"/>
    <n v="37.72"/>
    <x v="1"/>
  </r>
  <r>
    <x v="56"/>
    <x v="0"/>
    <x v="379"/>
    <x v="0"/>
    <x v="8"/>
    <n v="37.72"/>
    <x v="4"/>
  </r>
  <r>
    <x v="57"/>
    <x v="1"/>
    <x v="380"/>
    <x v="0"/>
    <x v="8"/>
    <n v="37.72"/>
    <x v="7"/>
  </r>
  <r>
    <x v="58"/>
    <x v="2"/>
    <x v="381"/>
    <x v="0"/>
    <x v="0"/>
    <n v="37.72"/>
    <x v="0"/>
  </r>
  <r>
    <x v="58"/>
    <x v="2"/>
    <x v="382"/>
    <x v="0"/>
    <x v="140"/>
    <n v="37.72"/>
    <x v="7"/>
  </r>
  <r>
    <x v="58"/>
    <x v="2"/>
    <x v="383"/>
    <x v="0"/>
    <x v="12"/>
    <n v="27.92"/>
    <x v="2"/>
  </r>
  <r>
    <x v="58"/>
    <x v="2"/>
    <x v="384"/>
    <x v="0"/>
    <x v="12"/>
    <n v="27.92"/>
    <x v="2"/>
  </r>
  <r>
    <x v="58"/>
    <x v="2"/>
    <x v="385"/>
    <x v="0"/>
    <x v="19"/>
    <n v="37.72"/>
    <x v="0"/>
  </r>
  <r>
    <x v="59"/>
    <x v="3"/>
    <x v="386"/>
    <x v="0"/>
    <x v="141"/>
    <n v="27.92"/>
    <x v="5"/>
  </r>
  <r>
    <x v="59"/>
    <x v="3"/>
    <x v="387"/>
    <x v="0"/>
    <x v="2"/>
    <n v="27.92"/>
    <x v="2"/>
  </r>
  <r>
    <x v="59"/>
    <x v="3"/>
    <x v="388"/>
    <x v="0"/>
    <x v="2"/>
    <n v="27.92"/>
    <x v="5"/>
  </r>
  <r>
    <x v="59"/>
    <x v="3"/>
    <x v="389"/>
    <x v="0"/>
    <x v="141"/>
    <n v="27.92"/>
    <x v="5"/>
  </r>
  <r>
    <x v="59"/>
    <x v="3"/>
    <x v="390"/>
    <x v="0"/>
    <x v="141"/>
    <n v="32.82"/>
    <x v="3"/>
  </r>
  <r>
    <x v="59"/>
    <x v="3"/>
    <x v="391"/>
    <x v="0"/>
    <x v="140"/>
    <n v="37.72"/>
    <x v="7"/>
  </r>
  <r>
    <x v="59"/>
    <x v="3"/>
    <x v="392"/>
    <x v="0"/>
    <x v="134"/>
    <n v="37.72"/>
    <x v="7"/>
  </r>
  <r>
    <x v="59"/>
    <x v="3"/>
    <x v="393"/>
    <x v="0"/>
    <x v="134"/>
    <n v="37.72"/>
    <x v="7"/>
  </r>
  <r>
    <x v="60"/>
    <x v="4"/>
    <x v="394"/>
    <x v="0"/>
    <x v="142"/>
    <n v="37.72"/>
    <x v="0"/>
  </r>
  <r>
    <x v="60"/>
    <x v="4"/>
    <x v="395"/>
    <x v="0"/>
    <x v="142"/>
    <n v="32.82"/>
    <x v="3"/>
  </r>
  <r>
    <x v="60"/>
    <x v="4"/>
    <x v="396"/>
    <x v="0"/>
    <x v="142"/>
    <n v="32.82"/>
    <x v="3"/>
  </r>
  <r>
    <x v="60"/>
    <x v="4"/>
    <x v="397"/>
    <x v="0"/>
    <x v="142"/>
    <n v="27.92"/>
    <x v="2"/>
  </r>
  <r>
    <x v="60"/>
    <x v="4"/>
    <x v="398"/>
    <x v="0"/>
    <x v="142"/>
    <n v="32.82"/>
    <x v="3"/>
  </r>
  <r>
    <x v="60"/>
    <x v="4"/>
    <x v="399"/>
    <x v="0"/>
    <x v="142"/>
    <n v="37.72"/>
    <x v="7"/>
  </r>
  <r>
    <x v="60"/>
    <x v="4"/>
    <x v="400"/>
    <x v="0"/>
    <x v="142"/>
    <n v="32.82"/>
    <x v="3"/>
  </r>
  <r>
    <x v="60"/>
    <x v="4"/>
    <x v="401"/>
    <x v="0"/>
    <x v="142"/>
    <n v="37.72"/>
    <x v="0"/>
  </r>
  <r>
    <x v="61"/>
    <x v="6"/>
    <x v="402"/>
    <x v="0"/>
    <x v="143"/>
    <n v="27.92"/>
    <x v="2"/>
  </r>
  <r>
    <x v="61"/>
    <x v="6"/>
    <x v="403"/>
    <x v="1"/>
    <x v="10"/>
    <n v="39"/>
    <x v="0"/>
  </r>
  <r>
    <x v="61"/>
    <x v="6"/>
    <x v="404"/>
    <x v="0"/>
    <x v="133"/>
    <n v="32.82"/>
    <x v="3"/>
  </r>
  <r>
    <x v="61"/>
    <x v="6"/>
    <x v="405"/>
    <x v="0"/>
    <x v="144"/>
    <n v="37.72"/>
    <x v="7"/>
  </r>
  <r>
    <x v="61"/>
    <x v="6"/>
    <x v="406"/>
    <x v="0"/>
    <x v="24"/>
    <n v="32.82"/>
    <x v="3"/>
  </r>
  <r>
    <x v="61"/>
    <x v="6"/>
    <x v="407"/>
    <x v="0"/>
    <x v="145"/>
    <n v="37.72"/>
    <x v="0"/>
  </r>
  <r>
    <x v="61"/>
    <x v="6"/>
    <x v="408"/>
    <x v="0"/>
    <x v="145"/>
    <n v="37.72"/>
    <x v="7"/>
  </r>
  <r>
    <x v="62"/>
    <x v="0"/>
    <x v="409"/>
    <x v="1"/>
    <x v="10"/>
    <n v="39"/>
    <x v="0"/>
  </r>
  <r>
    <x v="62"/>
    <x v="0"/>
    <x v="410"/>
    <x v="0"/>
    <x v="146"/>
    <n v="37.72"/>
    <x v="0"/>
  </r>
  <r>
    <x v="62"/>
    <x v="0"/>
    <x v="411"/>
    <x v="0"/>
    <x v="147"/>
    <n v="37.72"/>
    <x v="0"/>
  </r>
  <r>
    <x v="63"/>
    <x v="3"/>
    <x v="412"/>
    <x v="0"/>
    <x v="148"/>
    <n v="27.92"/>
    <x v="2"/>
  </r>
  <r>
    <x v="63"/>
    <x v="3"/>
    <x v="413"/>
    <x v="0"/>
    <x v="149"/>
    <n v="37.72"/>
    <x v="7"/>
  </r>
  <r>
    <x v="63"/>
    <x v="3"/>
    <x v="414"/>
    <x v="0"/>
    <x v="149"/>
    <n v="32.82"/>
    <x v="3"/>
  </r>
  <r>
    <x v="63"/>
    <x v="3"/>
    <x v="415"/>
    <x v="0"/>
    <x v="150"/>
    <n v="27.92"/>
    <x v="2"/>
  </r>
  <r>
    <x v="63"/>
    <x v="3"/>
    <x v="416"/>
    <x v="0"/>
    <x v="141"/>
    <n v="27.92"/>
    <x v="5"/>
  </r>
  <r>
    <x v="63"/>
    <x v="3"/>
    <x v="417"/>
    <x v="1"/>
    <x v="10"/>
    <n v="29"/>
    <x v="2"/>
  </r>
  <r>
    <x v="63"/>
    <x v="3"/>
    <x v="418"/>
    <x v="0"/>
    <x v="148"/>
    <n v="27.92"/>
    <x v="5"/>
  </r>
  <r>
    <x v="63"/>
    <x v="3"/>
    <x v="419"/>
    <x v="0"/>
    <x v="148"/>
    <n v="27.92"/>
    <x v="2"/>
  </r>
  <r>
    <x v="63"/>
    <x v="3"/>
    <x v="420"/>
    <x v="0"/>
    <x v="151"/>
    <n v="37.72"/>
    <x v="7"/>
  </r>
  <r>
    <x v="63"/>
    <x v="3"/>
    <x v="421"/>
    <x v="0"/>
    <x v="151"/>
    <n v="37.72"/>
    <x v="7"/>
  </r>
  <r>
    <x v="64"/>
    <x v="4"/>
    <x v="422"/>
    <x v="0"/>
    <x v="148"/>
    <n v="37.72"/>
    <x v="4"/>
  </r>
  <r>
    <x v="64"/>
    <x v="4"/>
    <x v="423"/>
    <x v="0"/>
    <x v="141"/>
    <n v="27.92"/>
    <x v="5"/>
  </r>
  <r>
    <x v="64"/>
    <x v="4"/>
    <x v="424"/>
    <x v="0"/>
    <x v="77"/>
    <n v="27.92"/>
    <x v="5"/>
  </r>
  <r>
    <x v="64"/>
    <x v="4"/>
    <x v="425"/>
    <x v="0"/>
    <x v="148"/>
    <n v="37.72"/>
    <x v="4"/>
  </r>
  <r>
    <x v="64"/>
    <x v="4"/>
    <x v="426"/>
    <x v="0"/>
    <x v="152"/>
    <n v="27.92"/>
    <x v="2"/>
  </r>
  <r>
    <x v="64"/>
    <x v="4"/>
    <x v="427"/>
    <x v="0"/>
    <x v="153"/>
    <n v="37.72"/>
    <x v="7"/>
  </r>
  <r>
    <x v="64"/>
    <x v="4"/>
    <x v="428"/>
    <x v="0"/>
    <x v="153"/>
    <n v="37.72"/>
    <x v="0"/>
  </r>
  <r>
    <x v="64"/>
    <x v="4"/>
    <x v="429"/>
    <x v="1"/>
    <x v="10"/>
    <n v="34"/>
    <x v="3"/>
  </r>
  <r>
    <x v="64"/>
    <x v="4"/>
    <x v="430"/>
    <x v="0"/>
    <x v="154"/>
    <n v="37.72"/>
    <x v="7"/>
  </r>
  <r>
    <x v="64"/>
    <x v="4"/>
    <x v="431"/>
    <x v="0"/>
    <x v="154"/>
    <n v="37.72"/>
    <x v="7"/>
  </r>
  <r>
    <x v="65"/>
    <x v="5"/>
    <x v="432"/>
    <x v="0"/>
    <x v="0"/>
    <n v="37.72"/>
    <x v="0"/>
  </r>
  <r>
    <x v="66"/>
    <x v="6"/>
    <x v="433"/>
    <x v="0"/>
    <x v="155"/>
    <n v="37.72"/>
    <x v="7"/>
  </r>
  <r>
    <x v="66"/>
    <x v="6"/>
    <x v="434"/>
    <x v="0"/>
    <x v="156"/>
    <n v="27.92"/>
    <x v="2"/>
  </r>
  <r>
    <x v="66"/>
    <x v="6"/>
    <x v="435"/>
    <x v="0"/>
    <x v="156"/>
    <n v="37.72"/>
    <x v="0"/>
  </r>
  <r>
    <x v="66"/>
    <x v="6"/>
    <x v="436"/>
    <x v="0"/>
    <x v="156"/>
    <n v="37.72"/>
    <x v="0"/>
  </r>
  <r>
    <x v="66"/>
    <x v="6"/>
    <x v="437"/>
    <x v="0"/>
    <x v="156"/>
    <n v="37.72"/>
    <x v="0"/>
  </r>
  <r>
    <x v="66"/>
    <x v="6"/>
    <x v="438"/>
    <x v="0"/>
    <x v="118"/>
    <n v="27.92"/>
    <x v="2"/>
  </r>
  <r>
    <x v="66"/>
    <x v="6"/>
    <x v="439"/>
    <x v="0"/>
    <x v="118"/>
    <n v="27.92"/>
    <x v="2"/>
  </r>
  <r>
    <x v="66"/>
    <x v="6"/>
    <x v="440"/>
    <x v="0"/>
    <x v="157"/>
    <n v="27.92"/>
    <x v="2"/>
  </r>
  <r>
    <x v="66"/>
    <x v="6"/>
    <x v="441"/>
    <x v="0"/>
    <x v="143"/>
    <n v="32.82"/>
    <x v="3"/>
  </r>
  <r>
    <x v="67"/>
    <x v="0"/>
    <x v="442"/>
    <x v="1"/>
    <x v="10"/>
    <n v="39"/>
    <x v="0"/>
  </r>
  <r>
    <x v="67"/>
    <x v="0"/>
    <x v="443"/>
    <x v="0"/>
    <x v="158"/>
    <n v="37.72"/>
    <x v="0"/>
  </r>
  <r>
    <x v="67"/>
    <x v="0"/>
    <x v="444"/>
    <x v="0"/>
    <x v="158"/>
    <n v="37.72"/>
    <x v="0"/>
  </r>
  <r>
    <x v="67"/>
    <x v="0"/>
    <x v="445"/>
    <x v="1"/>
    <x v="10"/>
    <n v="34"/>
    <x v="3"/>
  </r>
  <r>
    <x v="68"/>
    <x v="1"/>
    <x v="446"/>
    <x v="0"/>
    <x v="69"/>
    <n v="37.72"/>
    <x v="0"/>
  </r>
  <r>
    <x v="68"/>
    <x v="1"/>
    <x v="447"/>
    <x v="1"/>
    <x v="10"/>
    <n v="39"/>
    <x v="0"/>
  </r>
  <r>
    <x v="68"/>
    <x v="1"/>
    <x v="448"/>
    <x v="0"/>
    <x v="8"/>
    <n v="32.82"/>
    <x v="3"/>
  </r>
  <r>
    <x v="68"/>
    <x v="1"/>
    <x v="449"/>
    <x v="0"/>
    <x v="26"/>
    <n v="37.72"/>
    <x v="4"/>
  </r>
  <r>
    <x v="68"/>
    <x v="1"/>
    <x v="450"/>
    <x v="0"/>
    <x v="40"/>
    <n v="37.72"/>
    <x v="7"/>
  </r>
  <r>
    <x v="68"/>
    <x v="1"/>
    <x v="451"/>
    <x v="0"/>
    <x v="12"/>
    <n v="32.82"/>
    <x v="3"/>
  </r>
  <r>
    <x v="68"/>
    <x v="1"/>
    <x v="452"/>
    <x v="0"/>
    <x v="115"/>
    <n v="37.72"/>
    <x v="7"/>
  </r>
  <r>
    <x v="68"/>
    <x v="1"/>
    <x v="453"/>
    <x v="0"/>
    <x v="159"/>
    <n v="37.72"/>
    <x v="0"/>
  </r>
  <r>
    <x v="69"/>
    <x v="2"/>
    <x v="454"/>
    <x v="0"/>
    <x v="0"/>
    <n v="37.72"/>
    <x v="0"/>
  </r>
  <r>
    <x v="69"/>
    <x v="2"/>
    <x v="455"/>
    <x v="0"/>
    <x v="160"/>
    <n v="37.72"/>
    <x v="0"/>
  </r>
  <r>
    <x v="69"/>
    <x v="2"/>
    <x v="456"/>
    <x v="0"/>
    <x v="161"/>
    <n v="27.92"/>
    <x v="2"/>
  </r>
  <r>
    <x v="69"/>
    <x v="2"/>
    <x v="457"/>
    <x v="0"/>
    <x v="77"/>
    <n v="37.72"/>
    <x v="0"/>
  </r>
  <r>
    <x v="69"/>
    <x v="2"/>
    <x v="458"/>
    <x v="0"/>
    <x v="162"/>
    <n v="32.82"/>
    <x v="3"/>
  </r>
  <r>
    <x v="69"/>
    <x v="2"/>
    <x v="459"/>
    <x v="0"/>
    <x v="163"/>
    <n v="32.82"/>
    <x v="3"/>
  </r>
  <r>
    <x v="69"/>
    <x v="2"/>
    <x v="460"/>
    <x v="0"/>
    <x v="12"/>
    <n v="32.82"/>
    <x v="3"/>
  </r>
  <r>
    <x v="69"/>
    <x v="2"/>
    <x v="461"/>
    <x v="0"/>
    <x v="8"/>
    <n v="32.82"/>
    <x v="3"/>
  </r>
  <r>
    <x v="70"/>
    <x v="3"/>
    <x v="462"/>
    <x v="0"/>
    <x v="164"/>
    <n v="32.82"/>
    <x v="3"/>
  </r>
  <r>
    <x v="70"/>
    <x v="3"/>
    <x v="463"/>
    <x v="1"/>
    <x v="10"/>
    <n v="29"/>
    <x v="2"/>
  </r>
  <r>
    <x v="70"/>
    <x v="3"/>
    <x v="464"/>
    <x v="1"/>
    <x v="10"/>
    <n v="29"/>
    <x v="2"/>
  </r>
  <r>
    <x v="71"/>
    <x v="4"/>
    <x v="465"/>
    <x v="0"/>
    <x v="12"/>
    <n v="27.92"/>
    <x v="2"/>
  </r>
  <r>
    <x v="71"/>
    <x v="4"/>
    <x v="466"/>
    <x v="0"/>
    <x v="12"/>
    <n v="27.92"/>
    <x v="2"/>
  </r>
  <r>
    <x v="71"/>
    <x v="4"/>
    <x v="467"/>
    <x v="0"/>
    <x v="12"/>
    <n v="27.92"/>
    <x v="2"/>
  </r>
  <r>
    <x v="71"/>
    <x v="4"/>
    <x v="468"/>
    <x v="0"/>
    <x v="12"/>
    <n v="37.72"/>
    <x v="7"/>
  </r>
  <r>
    <x v="71"/>
    <x v="4"/>
    <x v="469"/>
    <x v="0"/>
    <x v="165"/>
    <n v="37.72"/>
    <x v="0"/>
  </r>
  <r>
    <x v="71"/>
    <x v="4"/>
    <x v="470"/>
    <x v="0"/>
    <x v="165"/>
    <n v="37.72"/>
    <x v="7"/>
  </r>
  <r>
    <x v="71"/>
    <x v="4"/>
    <x v="471"/>
    <x v="0"/>
    <x v="25"/>
    <n v="37.72"/>
    <x v="7"/>
  </r>
  <r>
    <x v="71"/>
    <x v="4"/>
    <x v="472"/>
    <x v="0"/>
    <x v="8"/>
    <n v="32.82"/>
    <x v="3"/>
  </r>
  <r>
    <x v="71"/>
    <x v="4"/>
    <x v="473"/>
    <x v="0"/>
    <x v="40"/>
    <n v="27.92"/>
    <x v="2"/>
  </r>
  <r>
    <x v="71"/>
    <x v="4"/>
    <x v="474"/>
    <x v="0"/>
    <x v="166"/>
    <n v="32.82"/>
    <x v="3"/>
  </r>
  <r>
    <x v="71"/>
    <x v="4"/>
    <x v="475"/>
    <x v="0"/>
    <x v="166"/>
    <n v="37.72"/>
    <x v="7"/>
  </r>
  <r>
    <x v="71"/>
    <x v="4"/>
    <x v="476"/>
    <x v="0"/>
    <x v="167"/>
    <n v="37.72"/>
    <x v="1"/>
  </r>
  <r>
    <x v="72"/>
    <x v="5"/>
    <x v="477"/>
    <x v="0"/>
    <x v="168"/>
    <n v="37.72"/>
    <x v="0"/>
  </r>
  <r>
    <x v="72"/>
    <x v="5"/>
    <x v="478"/>
    <x v="0"/>
    <x v="12"/>
    <n v="23.02"/>
    <x v="6"/>
  </r>
  <r>
    <x v="72"/>
    <x v="5"/>
    <x v="479"/>
    <x v="0"/>
    <x v="12"/>
    <n v="27.92"/>
    <x v="2"/>
  </r>
  <r>
    <x v="72"/>
    <x v="5"/>
    <x v="480"/>
    <x v="0"/>
    <x v="2"/>
    <n v="27.92"/>
    <x v="2"/>
  </r>
  <r>
    <x v="72"/>
    <x v="5"/>
    <x v="481"/>
    <x v="0"/>
    <x v="2"/>
    <n v="27.92"/>
    <x v="2"/>
  </r>
  <r>
    <x v="72"/>
    <x v="5"/>
    <x v="482"/>
    <x v="0"/>
    <x v="2"/>
    <n v="27.92"/>
    <x v="2"/>
  </r>
  <r>
    <x v="72"/>
    <x v="5"/>
    <x v="483"/>
    <x v="0"/>
    <x v="164"/>
    <n v="32.82"/>
    <x v="3"/>
  </r>
  <r>
    <x v="72"/>
    <x v="5"/>
    <x v="484"/>
    <x v="1"/>
    <x v="10"/>
    <n v="29"/>
    <x v="2"/>
  </r>
  <r>
    <x v="72"/>
    <x v="5"/>
    <x v="485"/>
    <x v="0"/>
    <x v="169"/>
    <n v="27.92"/>
    <x v="5"/>
  </r>
  <r>
    <x v="72"/>
    <x v="5"/>
    <x v="486"/>
    <x v="0"/>
    <x v="12"/>
    <n v="27.92"/>
    <x v="5"/>
  </r>
  <r>
    <x v="72"/>
    <x v="5"/>
    <x v="487"/>
    <x v="0"/>
    <x v="170"/>
    <n v="23.02"/>
    <x v="6"/>
  </r>
  <r>
    <x v="72"/>
    <x v="5"/>
    <x v="488"/>
    <x v="0"/>
    <x v="171"/>
    <n v="37.72"/>
    <x v="7"/>
  </r>
  <r>
    <x v="73"/>
    <x v="6"/>
    <x v="489"/>
    <x v="0"/>
    <x v="97"/>
    <n v="32.82"/>
    <x v="3"/>
  </r>
  <r>
    <x v="73"/>
    <x v="6"/>
    <x v="490"/>
    <x v="0"/>
    <x v="172"/>
    <n v="32.82"/>
    <x v="3"/>
  </r>
  <r>
    <x v="73"/>
    <x v="6"/>
    <x v="491"/>
    <x v="1"/>
    <x v="10"/>
    <n v="39"/>
    <x v="0"/>
  </r>
  <r>
    <x v="73"/>
    <x v="6"/>
    <x v="492"/>
    <x v="1"/>
    <x v="10"/>
    <n v="39"/>
    <x v="7"/>
  </r>
  <r>
    <x v="73"/>
    <x v="6"/>
    <x v="493"/>
    <x v="0"/>
    <x v="173"/>
    <n v="32.82"/>
    <x v="3"/>
  </r>
  <r>
    <x v="73"/>
    <x v="6"/>
    <x v="494"/>
    <x v="0"/>
    <x v="174"/>
    <n v="37.72"/>
    <x v="1"/>
  </r>
  <r>
    <x v="73"/>
    <x v="6"/>
    <x v="495"/>
    <x v="0"/>
    <x v="69"/>
    <n v="37.72"/>
    <x v="0"/>
  </r>
  <r>
    <x v="73"/>
    <x v="6"/>
    <x v="496"/>
    <x v="0"/>
    <x v="175"/>
    <n v="37.72"/>
    <x v="1"/>
  </r>
  <r>
    <x v="73"/>
    <x v="6"/>
    <x v="497"/>
    <x v="0"/>
    <x v="175"/>
    <n v="37.72"/>
    <x v="0"/>
  </r>
  <r>
    <x v="74"/>
    <x v="0"/>
    <x v="498"/>
    <x v="0"/>
    <x v="33"/>
    <n v="27.92"/>
    <x v="2"/>
  </r>
  <r>
    <x v="74"/>
    <x v="0"/>
    <x v="499"/>
    <x v="0"/>
    <x v="164"/>
    <n v="32.82"/>
    <x v="3"/>
  </r>
  <r>
    <x v="74"/>
    <x v="0"/>
    <x v="500"/>
    <x v="1"/>
    <x v="10"/>
    <n v="34"/>
    <x v="3"/>
  </r>
  <r>
    <x v="74"/>
    <x v="0"/>
    <x v="501"/>
    <x v="0"/>
    <x v="12"/>
    <n v="32.82"/>
    <x v="3"/>
  </r>
  <r>
    <x v="74"/>
    <x v="0"/>
    <x v="502"/>
    <x v="0"/>
    <x v="8"/>
    <n v="37.72"/>
    <x v="7"/>
  </r>
  <r>
    <x v="74"/>
    <x v="0"/>
    <x v="503"/>
    <x v="0"/>
    <x v="176"/>
    <n v="37.72"/>
    <x v="7"/>
  </r>
  <r>
    <x v="74"/>
    <x v="0"/>
    <x v="504"/>
    <x v="0"/>
    <x v="177"/>
    <n v="27.92"/>
    <x v="2"/>
  </r>
  <r>
    <x v="74"/>
    <x v="0"/>
    <x v="505"/>
    <x v="0"/>
    <x v="178"/>
    <n v="37.72"/>
    <x v="0"/>
  </r>
  <r>
    <x v="74"/>
    <x v="0"/>
    <x v="506"/>
    <x v="0"/>
    <x v="179"/>
    <n v="37.72"/>
    <x v="0"/>
  </r>
  <r>
    <x v="75"/>
    <x v="1"/>
    <x v="507"/>
    <x v="0"/>
    <x v="180"/>
    <n v="37.72"/>
    <x v="7"/>
  </r>
  <r>
    <x v="75"/>
    <x v="1"/>
    <x v="508"/>
    <x v="0"/>
    <x v="180"/>
    <n v="37.72"/>
    <x v="7"/>
  </r>
  <r>
    <x v="75"/>
    <x v="1"/>
    <x v="509"/>
    <x v="0"/>
    <x v="181"/>
    <n v="32.82"/>
    <x v="3"/>
  </r>
  <r>
    <x v="75"/>
    <x v="1"/>
    <x v="510"/>
    <x v="0"/>
    <x v="172"/>
    <n v="32.82"/>
    <x v="3"/>
  </r>
  <r>
    <x v="75"/>
    <x v="1"/>
    <x v="511"/>
    <x v="0"/>
    <x v="97"/>
    <n v="32.82"/>
    <x v="3"/>
  </r>
  <r>
    <x v="75"/>
    <x v="1"/>
    <x v="512"/>
    <x v="0"/>
    <x v="40"/>
    <n v="32.82"/>
    <x v="3"/>
  </r>
  <r>
    <x v="75"/>
    <x v="1"/>
    <x v="513"/>
    <x v="0"/>
    <x v="8"/>
    <n v="37.72"/>
    <x v="0"/>
  </r>
  <r>
    <x v="75"/>
    <x v="1"/>
    <x v="514"/>
    <x v="1"/>
    <x v="10"/>
    <n v="39"/>
    <x v="7"/>
  </r>
  <r>
    <x v="76"/>
    <x v="2"/>
    <x v="515"/>
    <x v="0"/>
    <x v="182"/>
    <n v="27.92"/>
    <x v="2"/>
  </r>
  <r>
    <x v="76"/>
    <x v="2"/>
    <x v="516"/>
    <x v="0"/>
    <x v="182"/>
    <n v="27.92"/>
    <x v="2"/>
  </r>
  <r>
    <x v="76"/>
    <x v="2"/>
    <x v="517"/>
    <x v="0"/>
    <x v="183"/>
    <n v="37.72"/>
    <x v="7"/>
  </r>
  <r>
    <x v="76"/>
    <x v="2"/>
    <x v="518"/>
    <x v="1"/>
    <x v="10"/>
    <n v="24"/>
    <x v="6"/>
  </r>
  <r>
    <x v="76"/>
    <x v="2"/>
    <x v="519"/>
    <x v="0"/>
    <x v="184"/>
    <n v="32.82"/>
    <x v="3"/>
  </r>
  <r>
    <x v="76"/>
    <x v="2"/>
    <x v="520"/>
    <x v="0"/>
    <x v="12"/>
    <n v="27.92"/>
    <x v="2"/>
  </r>
  <r>
    <x v="76"/>
    <x v="2"/>
    <x v="521"/>
    <x v="0"/>
    <x v="185"/>
    <n v="32.82"/>
    <x v="3"/>
  </r>
  <r>
    <x v="76"/>
    <x v="2"/>
    <x v="522"/>
    <x v="0"/>
    <x v="186"/>
    <n v="32.82"/>
    <x v="3"/>
  </r>
  <r>
    <x v="76"/>
    <x v="2"/>
    <x v="523"/>
    <x v="0"/>
    <x v="186"/>
    <n v="23.02"/>
    <x v="6"/>
  </r>
  <r>
    <x v="76"/>
    <x v="2"/>
    <x v="524"/>
    <x v="0"/>
    <x v="186"/>
    <n v="37.72"/>
    <x v="1"/>
  </r>
  <r>
    <x v="76"/>
    <x v="2"/>
    <x v="525"/>
    <x v="0"/>
    <x v="187"/>
    <n v="37.72"/>
    <x v="7"/>
  </r>
  <r>
    <x v="76"/>
    <x v="2"/>
    <x v="526"/>
    <x v="0"/>
    <x v="188"/>
    <n v="37.72"/>
    <x v="7"/>
  </r>
  <r>
    <x v="76"/>
    <x v="2"/>
    <x v="527"/>
    <x v="0"/>
    <x v="189"/>
    <n v="37.72"/>
    <x v="7"/>
  </r>
  <r>
    <x v="77"/>
    <x v="3"/>
    <x v="528"/>
    <x v="0"/>
    <x v="190"/>
    <n v="32.82"/>
    <x v="3"/>
  </r>
  <r>
    <x v="77"/>
    <x v="3"/>
    <x v="529"/>
    <x v="0"/>
    <x v="191"/>
    <n v="37.72"/>
    <x v="0"/>
  </r>
  <r>
    <x v="77"/>
    <x v="3"/>
    <x v="530"/>
    <x v="0"/>
    <x v="0"/>
    <n v="37.72"/>
    <x v="0"/>
  </r>
  <r>
    <x v="77"/>
    <x v="3"/>
    <x v="531"/>
    <x v="0"/>
    <x v="143"/>
    <n v="27.92"/>
    <x v="2"/>
  </r>
  <r>
    <x v="77"/>
    <x v="3"/>
    <x v="532"/>
    <x v="0"/>
    <x v="143"/>
    <n v="27.92"/>
    <x v="2"/>
  </r>
  <r>
    <x v="77"/>
    <x v="3"/>
    <x v="533"/>
    <x v="0"/>
    <x v="2"/>
    <n v="27.92"/>
    <x v="2"/>
  </r>
  <r>
    <x v="77"/>
    <x v="3"/>
    <x v="534"/>
    <x v="0"/>
    <x v="2"/>
    <n v="27.92"/>
    <x v="2"/>
  </r>
  <r>
    <x v="77"/>
    <x v="3"/>
    <x v="535"/>
    <x v="0"/>
    <x v="192"/>
    <n v="32.82"/>
    <x v="3"/>
  </r>
  <r>
    <x v="77"/>
    <x v="3"/>
    <x v="536"/>
    <x v="0"/>
    <x v="192"/>
    <n v="37.72"/>
    <x v="7"/>
  </r>
  <r>
    <x v="77"/>
    <x v="3"/>
    <x v="537"/>
    <x v="1"/>
    <x v="10"/>
    <n v="29"/>
    <x v="2"/>
  </r>
  <r>
    <x v="77"/>
    <x v="3"/>
    <x v="538"/>
    <x v="0"/>
    <x v="120"/>
    <n v="37.72"/>
    <x v="0"/>
  </r>
  <r>
    <x v="77"/>
    <x v="3"/>
    <x v="539"/>
    <x v="0"/>
    <x v="193"/>
    <n v="37.72"/>
    <x v="0"/>
  </r>
  <r>
    <x v="77"/>
    <x v="3"/>
    <x v="540"/>
    <x v="0"/>
    <x v="194"/>
    <n v="32.82"/>
    <x v="3"/>
  </r>
  <r>
    <x v="77"/>
    <x v="3"/>
    <x v="541"/>
    <x v="0"/>
    <x v="194"/>
    <n v="37.72"/>
    <x v="4"/>
  </r>
  <r>
    <x v="77"/>
    <x v="3"/>
    <x v="542"/>
    <x v="0"/>
    <x v="195"/>
    <n v="27.92"/>
    <x v="5"/>
  </r>
  <r>
    <x v="77"/>
    <x v="3"/>
    <x v="543"/>
    <x v="0"/>
    <x v="12"/>
    <n v="32.82"/>
    <x v="3"/>
  </r>
  <r>
    <x v="77"/>
    <x v="3"/>
    <x v="544"/>
    <x v="0"/>
    <x v="12"/>
    <n v="32.82"/>
    <x v="3"/>
  </r>
  <r>
    <x v="78"/>
    <x v="4"/>
    <x v="545"/>
    <x v="0"/>
    <x v="196"/>
    <n v="37.72"/>
    <x v="0"/>
  </r>
  <r>
    <x v="78"/>
    <x v="4"/>
    <x v="546"/>
    <x v="1"/>
    <x v="10"/>
    <n v="29"/>
    <x v="2"/>
  </r>
  <r>
    <x v="78"/>
    <x v="4"/>
    <x v="547"/>
    <x v="1"/>
    <x v="10"/>
    <n v="34"/>
    <x v="3"/>
  </r>
  <r>
    <x v="78"/>
    <x v="4"/>
    <x v="548"/>
    <x v="1"/>
    <x v="10"/>
    <n v="39"/>
    <x v="4"/>
  </r>
  <r>
    <x v="78"/>
    <x v="4"/>
    <x v="549"/>
    <x v="1"/>
    <x v="10"/>
    <n v="39"/>
    <x v="0"/>
  </r>
  <r>
    <x v="78"/>
    <x v="4"/>
    <x v="550"/>
    <x v="0"/>
    <x v="197"/>
    <n v="37.72"/>
    <x v="0"/>
  </r>
  <r>
    <x v="78"/>
    <x v="4"/>
    <x v="551"/>
    <x v="0"/>
    <x v="12"/>
    <n v="23.02"/>
    <x v="6"/>
  </r>
  <r>
    <x v="78"/>
    <x v="4"/>
    <x v="552"/>
    <x v="0"/>
    <x v="198"/>
    <n v="37.72"/>
    <x v="7"/>
  </r>
  <r>
    <x v="78"/>
    <x v="4"/>
    <x v="553"/>
    <x v="0"/>
    <x v="199"/>
    <n v="37.72"/>
    <x v="7"/>
  </r>
  <r>
    <x v="79"/>
    <x v="5"/>
    <x v="554"/>
    <x v="0"/>
    <x v="200"/>
    <n v="37.72"/>
    <x v="7"/>
  </r>
  <r>
    <x v="79"/>
    <x v="5"/>
    <x v="555"/>
    <x v="0"/>
    <x v="191"/>
    <n v="32.82"/>
    <x v="3"/>
  </r>
  <r>
    <x v="79"/>
    <x v="5"/>
    <x v="556"/>
    <x v="0"/>
    <x v="141"/>
    <n v="27.92"/>
    <x v="5"/>
  </r>
  <r>
    <x v="79"/>
    <x v="5"/>
    <x v="557"/>
    <x v="0"/>
    <x v="97"/>
    <n v="32.82"/>
    <x v="3"/>
  </r>
  <r>
    <x v="79"/>
    <x v="5"/>
    <x v="558"/>
    <x v="0"/>
    <x v="12"/>
    <n v="27.92"/>
    <x v="2"/>
  </r>
  <r>
    <x v="79"/>
    <x v="5"/>
    <x v="559"/>
    <x v="0"/>
    <x v="12"/>
    <n v="27.92"/>
    <x v="2"/>
  </r>
  <r>
    <x v="79"/>
    <x v="5"/>
    <x v="560"/>
    <x v="0"/>
    <x v="8"/>
    <n v="32.82"/>
    <x v="3"/>
  </r>
  <r>
    <x v="79"/>
    <x v="5"/>
    <x v="561"/>
    <x v="0"/>
    <x v="134"/>
    <n v="37.72"/>
    <x v="7"/>
  </r>
  <r>
    <x v="79"/>
    <x v="5"/>
    <x v="562"/>
    <x v="0"/>
    <x v="134"/>
    <n v="37.72"/>
    <x v="7"/>
  </r>
  <r>
    <x v="79"/>
    <x v="5"/>
    <x v="563"/>
    <x v="0"/>
    <x v="180"/>
    <n v="37.72"/>
    <x v="1"/>
  </r>
  <r>
    <x v="79"/>
    <x v="5"/>
    <x v="564"/>
    <x v="0"/>
    <x v="180"/>
    <n v="37.72"/>
    <x v="7"/>
  </r>
  <r>
    <x v="80"/>
    <x v="6"/>
    <x v="565"/>
    <x v="0"/>
    <x v="201"/>
    <n v="37.72"/>
    <x v="7"/>
  </r>
  <r>
    <x v="80"/>
    <x v="6"/>
    <x v="566"/>
    <x v="0"/>
    <x v="202"/>
    <n v="23.02"/>
    <x v="6"/>
  </r>
  <r>
    <x v="80"/>
    <x v="6"/>
    <x v="567"/>
    <x v="0"/>
    <x v="180"/>
    <n v="37.72"/>
    <x v="7"/>
  </r>
  <r>
    <x v="80"/>
    <x v="6"/>
    <x v="568"/>
    <x v="0"/>
    <x v="203"/>
    <n v="37.72"/>
    <x v="7"/>
  </r>
  <r>
    <x v="80"/>
    <x v="6"/>
    <x v="569"/>
    <x v="0"/>
    <x v="180"/>
    <n v="37.72"/>
    <x v="7"/>
  </r>
  <r>
    <x v="80"/>
    <x v="6"/>
    <x v="570"/>
    <x v="0"/>
    <x v="77"/>
    <n v="37.72"/>
    <x v="0"/>
  </r>
  <r>
    <x v="80"/>
    <x v="6"/>
    <x v="571"/>
    <x v="0"/>
    <x v="153"/>
    <n v="37.72"/>
    <x v="7"/>
  </r>
  <r>
    <x v="80"/>
    <x v="6"/>
    <x v="572"/>
    <x v="0"/>
    <x v="153"/>
    <n v="37.72"/>
    <x v="0"/>
  </r>
  <r>
    <x v="80"/>
    <x v="6"/>
    <x v="573"/>
    <x v="0"/>
    <x v="204"/>
    <n v="27.92"/>
    <x v="5"/>
  </r>
  <r>
    <x v="80"/>
    <x v="6"/>
    <x v="574"/>
    <x v="0"/>
    <x v="134"/>
    <n v="37.72"/>
    <x v="7"/>
  </r>
  <r>
    <x v="80"/>
    <x v="6"/>
    <x v="575"/>
    <x v="0"/>
    <x v="205"/>
    <n v="37.72"/>
    <x v="7"/>
  </r>
  <r>
    <x v="80"/>
    <x v="6"/>
    <x v="576"/>
    <x v="0"/>
    <x v="206"/>
    <n v="37.72"/>
    <x v="7"/>
  </r>
  <r>
    <x v="80"/>
    <x v="6"/>
    <x v="577"/>
    <x v="0"/>
    <x v="207"/>
    <n v="37.72"/>
    <x v="7"/>
  </r>
  <r>
    <x v="80"/>
    <x v="6"/>
    <x v="578"/>
    <x v="0"/>
    <x v="207"/>
    <n v="37.72"/>
    <x v="0"/>
  </r>
  <r>
    <x v="80"/>
    <x v="6"/>
    <x v="579"/>
    <x v="0"/>
    <x v="208"/>
    <n v="32.82"/>
    <x v="3"/>
  </r>
  <r>
    <x v="80"/>
    <x v="6"/>
    <x v="580"/>
    <x v="1"/>
    <x v="10"/>
    <n v="39"/>
    <x v="1"/>
  </r>
  <r>
    <x v="81"/>
    <x v="0"/>
    <x v="581"/>
    <x v="0"/>
    <x v="141"/>
    <n v="27.92"/>
    <x v="5"/>
  </r>
  <r>
    <x v="81"/>
    <x v="0"/>
    <x v="582"/>
    <x v="0"/>
    <x v="12"/>
    <n v="27.92"/>
    <x v="2"/>
  </r>
  <r>
    <x v="81"/>
    <x v="0"/>
    <x v="583"/>
    <x v="0"/>
    <x v="12"/>
    <n v="27.92"/>
    <x v="2"/>
  </r>
  <r>
    <x v="81"/>
    <x v="0"/>
    <x v="584"/>
    <x v="0"/>
    <x v="81"/>
    <n v="37.72"/>
    <x v="1"/>
  </r>
  <r>
    <x v="81"/>
    <x v="0"/>
    <x v="585"/>
    <x v="0"/>
    <x v="209"/>
    <n v="27.92"/>
    <x v="5"/>
  </r>
  <r>
    <x v="81"/>
    <x v="0"/>
    <x v="586"/>
    <x v="0"/>
    <x v="209"/>
    <n v="27.92"/>
    <x v="5"/>
  </r>
  <r>
    <x v="81"/>
    <x v="0"/>
    <x v="587"/>
    <x v="0"/>
    <x v="210"/>
    <n v="32.82"/>
    <x v="3"/>
  </r>
  <r>
    <x v="82"/>
    <x v="1"/>
    <x v="588"/>
    <x v="1"/>
    <x v="10"/>
    <n v="29"/>
    <x v="2"/>
  </r>
  <r>
    <x v="82"/>
    <x v="1"/>
    <x v="589"/>
    <x v="0"/>
    <x v="211"/>
    <n v="37.72"/>
    <x v="0"/>
  </r>
  <r>
    <x v="82"/>
    <x v="1"/>
    <x v="590"/>
    <x v="1"/>
    <x v="10"/>
    <n v="29"/>
    <x v="2"/>
  </r>
  <r>
    <x v="82"/>
    <x v="1"/>
    <x v="591"/>
    <x v="0"/>
    <x v="212"/>
    <n v="32.82"/>
    <x v="3"/>
  </r>
  <r>
    <x v="82"/>
    <x v="1"/>
    <x v="592"/>
    <x v="0"/>
    <x v="212"/>
    <n v="32.82"/>
    <x v="3"/>
  </r>
  <r>
    <x v="82"/>
    <x v="1"/>
    <x v="593"/>
    <x v="0"/>
    <x v="213"/>
    <n v="32.82"/>
    <x v="3"/>
  </r>
  <r>
    <x v="82"/>
    <x v="1"/>
    <x v="594"/>
    <x v="0"/>
    <x v="40"/>
    <n v="32.82"/>
    <x v="3"/>
  </r>
  <r>
    <x v="82"/>
    <x v="1"/>
    <x v="595"/>
    <x v="0"/>
    <x v="40"/>
    <n v="27.92"/>
    <x v="2"/>
  </r>
  <r>
    <x v="83"/>
    <x v="2"/>
    <x v="596"/>
    <x v="0"/>
    <x v="0"/>
    <n v="37.72"/>
    <x v="0"/>
  </r>
  <r>
    <x v="83"/>
    <x v="2"/>
    <x v="597"/>
    <x v="0"/>
    <x v="214"/>
    <n v="32.82"/>
    <x v="3"/>
  </r>
  <r>
    <x v="83"/>
    <x v="2"/>
    <x v="598"/>
    <x v="0"/>
    <x v="215"/>
    <n v="27.92"/>
    <x v="5"/>
  </r>
  <r>
    <x v="83"/>
    <x v="2"/>
    <x v="599"/>
    <x v="0"/>
    <x v="216"/>
    <n v="32.82"/>
    <x v="3"/>
  </r>
  <r>
    <x v="83"/>
    <x v="2"/>
    <x v="600"/>
    <x v="0"/>
    <x v="217"/>
    <n v="37.72"/>
    <x v="7"/>
  </r>
  <r>
    <x v="83"/>
    <x v="2"/>
    <x v="601"/>
    <x v="0"/>
    <x v="218"/>
    <n v="37.72"/>
    <x v="1"/>
  </r>
  <r>
    <x v="83"/>
    <x v="2"/>
    <x v="602"/>
    <x v="0"/>
    <x v="218"/>
    <n v="37.72"/>
    <x v="1"/>
  </r>
  <r>
    <x v="83"/>
    <x v="2"/>
    <x v="603"/>
    <x v="0"/>
    <x v="218"/>
    <n v="27.92"/>
    <x v="2"/>
  </r>
  <r>
    <x v="83"/>
    <x v="2"/>
    <x v="604"/>
    <x v="0"/>
    <x v="219"/>
    <n v="37.72"/>
    <x v="0"/>
  </r>
  <r>
    <x v="83"/>
    <x v="2"/>
    <x v="605"/>
    <x v="0"/>
    <x v="220"/>
    <n v="37.72"/>
    <x v="1"/>
  </r>
  <r>
    <x v="83"/>
    <x v="2"/>
    <x v="606"/>
    <x v="0"/>
    <x v="220"/>
    <n v="37.72"/>
    <x v="7"/>
  </r>
  <r>
    <x v="83"/>
    <x v="2"/>
    <x v="607"/>
    <x v="0"/>
    <x v="221"/>
    <n v="27.92"/>
    <x v="5"/>
  </r>
  <r>
    <x v="83"/>
    <x v="2"/>
    <x v="608"/>
    <x v="0"/>
    <x v="222"/>
    <n v="37.72"/>
    <x v="7"/>
  </r>
  <r>
    <x v="83"/>
    <x v="2"/>
    <x v="609"/>
    <x v="0"/>
    <x v="221"/>
    <n v="37.72"/>
    <x v="0"/>
  </r>
  <r>
    <x v="83"/>
    <x v="2"/>
    <x v="610"/>
    <x v="0"/>
    <x v="223"/>
    <n v="37.72"/>
    <x v="7"/>
  </r>
  <r>
    <x v="84"/>
    <x v="3"/>
    <x v="611"/>
    <x v="0"/>
    <x v="12"/>
    <n v="27.92"/>
    <x v="2"/>
  </r>
  <r>
    <x v="84"/>
    <x v="3"/>
    <x v="612"/>
    <x v="0"/>
    <x v="224"/>
    <n v="32.82"/>
    <x v="3"/>
  </r>
  <r>
    <x v="84"/>
    <x v="3"/>
    <x v="613"/>
    <x v="0"/>
    <x v="224"/>
    <n v="37.72"/>
    <x v="4"/>
  </r>
  <r>
    <x v="84"/>
    <x v="3"/>
    <x v="614"/>
    <x v="0"/>
    <x v="225"/>
    <n v="27.92"/>
    <x v="2"/>
  </r>
  <r>
    <x v="84"/>
    <x v="3"/>
    <x v="615"/>
    <x v="0"/>
    <x v="225"/>
    <n v="27.92"/>
    <x v="2"/>
  </r>
  <r>
    <x v="84"/>
    <x v="3"/>
    <x v="616"/>
    <x v="0"/>
    <x v="203"/>
    <n v="37.72"/>
    <x v="0"/>
  </r>
  <r>
    <x v="84"/>
    <x v="3"/>
    <x v="617"/>
    <x v="0"/>
    <x v="226"/>
    <n v="27.92"/>
    <x v="2"/>
  </r>
  <r>
    <x v="84"/>
    <x v="3"/>
    <x v="618"/>
    <x v="0"/>
    <x v="227"/>
    <n v="37.72"/>
    <x v="0"/>
  </r>
  <r>
    <x v="84"/>
    <x v="3"/>
    <x v="619"/>
    <x v="0"/>
    <x v="228"/>
    <n v="37.72"/>
    <x v="0"/>
  </r>
  <r>
    <x v="84"/>
    <x v="3"/>
    <x v="620"/>
    <x v="0"/>
    <x v="192"/>
    <n v="32.82"/>
    <x v="3"/>
  </r>
  <r>
    <x v="84"/>
    <x v="3"/>
    <x v="621"/>
    <x v="0"/>
    <x v="206"/>
    <n v="37.72"/>
    <x v="7"/>
  </r>
  <r>
    <x v="85"/>
    <x v="4"/>
    <x v="622"/>
    <x v="0"/>
    <x v="12"/>
    <n v="32.82"/>
    <x v="3"/>
  </r>
  <r>
    <x v="85"/>
    <x v="4"/>
    <x v="623"/>
    <x v="0"/>
    <x v="97"/>
    <n v="32.82"/>
    <x v="3"/>
  </r>
  <r>
    <x v="85"/>
    <x v="4"/>
    <x v="624"/>
    <x v="0"/>
    <x v="229"/>
    <n v="37.72"/>
    <x v="7"/>
  </r>
  <r>
    <x v="85"/>
    <x v="4"/>
    <x v="625"/>
    <x v="0"/>
    <x v="230"/>
    <n v="37.72"/>
    <x v="7"/>
  </r>
  <r>
    <x v="85"/>
    <x v="4"/>
    <x v="626"/>
    <x v="0"/>
    <x v="194"/>
    <n v="37.72"/>
    <x v="4"/>
  </r>
  <r>
    <x v="85"/>
    <x v="4"/>
    <x v="627"/>
    <x v="0"/>
    <x v="141"/>
    <n v="27.92"/>
    <x v="5"/>
  </r>
  <r>
    <x v="85"/>
    <x v="4"/>
    <x v="628"/>
    <x v="1"/>
    <x v="10"/>
    <n v="39"/>
    <x v="7"/>
  </r>
  <r>
    <x v="85"/>
    <x v="4"/>
    <x v="629"/>
    <x v="0"/>
    <x v="231"/>
    <n v="27.92"/>
    <x v="2"/>
  </r>
  <r>
    <x v="85"/>
    <x v="4"/>
    <x v="630"/>
    <x v="0"/>
    <x v="231"/>
    <n v="37.72"/>
    <x v="0"/>
  </r>
  <r>
    <x v="85"/>
    <x v="4"/>
    <x v="631"/>
    <x v="0"/>
    <x v="8"/>
    <n v="32.82"/>
    <x v="3"/>
  </r>
  <r>
    <x v="85"/>
    <x v="4"/>
    <x v="632"/>
    <x v="0"/>
    <x v="12"/>
    <n v="27.92"/>
    <x v="2"/>
  </r>
  <r>
    <x v="86"/>
    <x v="5"/>
    <x v="633"/>
    <x v="0"/>
    <x v="232"/>
    <n v="37.72"/>
    <x v="0"/>
  </r>
  <r>
    <x v="86"/>
    <x v="5"/>
    <x v="634"/>
    <x v="1"/>
    <x v="10"/>
    <n v="39"/>
    <x v="0"/>
  </r>
  <r>
    <x v="86"/>
    <x v="5"/>
    <x v="635"/>
    <x v="0"/>
    <x v="233"/>
    <n v="37.72"/>
    <x v="1"/>
  </r>
  <r>
    <x v="86"/>
    <x v="5"/>
    <x v="636"/>
    <x v="0"/>
    <x v="234"/>
    <n v="27.92"/>
    <x v="2"/>
  </r>
  <r>
    <x v="86"/>
    <x v="5"/>
    <x v="637"/>
    <x v="0"/>
    <x v="235"/>
    <n v="37.72"/>
    <x v="0"/>
  </r>
  <r>
    <x v="86"/>
    <x v="5"/>
    <x v="638"/>
    <x v="0"/>
    <x v="236"/>
    <n v="37.72"/>
    <x v="7"/>
  </r>
  <r>
    <x v="86"/>
    <x v="5"/>
    <x v="639"/>
    <x v="0"/>
    <x v="237"/>
    <n v="37.72"/>
    <x v="0"/>
  </r>
  <r>
    <x v="86"/>
    <x v="5"/>
    <x v="640"/>
    <x v="0"/>
    <x v="238"/>
    <n v="27.92"/>
    <x v="5"/>
  </r>
  <r>
    <x v="86"/>
    <x v="5"/>
    <x v="641"/>
    <x v="0"/>
    <x v="238"/>
    <n v="37.72"/>
    <x v="0"/>
  </r>
  <r>
    <x v="86"/>
    <x v="5"/>
    <x v="642"/>
    <x v="0"/>
    <x v="239"/>
    <n v="37.72"/>
    <x v="1"/>
  </r>
  <r>
    <x v="86"/>
    <x v="5"/>
    <x v="643"/>
    <x v="0"/>
    <x v="240"/>
    <n v="37.72"/>
    <x v="4"/>
  </r>
  <r>
    <x v="87"/>
    <x v="6"/>
    <x v="644"/>
    <x v="0"/>
    <x v="241"/>
    <n v="37.72"/>
    <x v="7"/>
  </r>
  <r>
    <x v="87"/>
    <x v="6"/>
    <x v="645"/>
    <x v="0"/>
    <x v="241"/>
    <n v="37.72"/>
    <x v="0"/>
  </r>
  <r>
    <x v="87"/>
    <x v="6"/>
    <x v="646"/>
    <x v="0"/>
    <x v="242"/>
    <n v="32.82"/>
    <x v="3"/>
  </r>
  <r>
    <x v="87"/>
    <x v="6"/>
    <x v="647"/>
    <x v="0"/>
    <x v="0"/>
    <n v="37.72"/>
    <x v="0"/>
  </r>
  <r>
    <x v="87"/>
    <x v="6"/>
    <x v="648"/>
    <x v="0"/>
    <x v="97"/>
    <n v="32.82"/>
    <x v="3"/>
  </r>
  <r>
    <x v="87"/>
    <x v="6"/>
    <x v="649"/>
    <x v="0"/>
    <x v="243"/>
    <n v="23.02"/>
    <x v="6"/>
  </r>
  <r>
    <x v="87"/>
    <x v="6"/>
    <x v="650"/>
    <x v="0"/>
    <x v="12"/>
    <n v="23.02"/>
    <x v="6"/>
  </r>
  <r>
    <x v="87"/>
    <x v="6"/>
    <x v="651"/>
    <x v="0"/>
    <x v="206"/>
    <n v="37.72"/>
    <x v="7"/>
  </r>
  <r>
    <x v="87"/>
    <x v="6"/>
    <x v="652"/>
    <x v="0"/>
    <x v="244"/>
    <n v="37.72"/>
    <x v="0"/>
  </r>
  <r>
    <x v="87"/>
    <x v="6"/>
    <x v="653"/>
    <x v="0"/>
    <x v="8"/>
    <n v="37.72"/>
    <x v="1"/>
  </r>
  <r>
    <x v="87"/>
    <x v="6"/>
    <x v="654"/>
    <x v="0"/>
    <x v="8"/>
    <n v="32.82"/>
    <x v="3"/>
  </r>
  <r>
    <x v="88"/>
    <x v="0"/>
    <x v="655"/>
    <x v="0"/>
    <x v="245"/>
    <n v="32.82"/>
    <x v="3"/>
  </r>
  <r>
    <x v="88"/>
    <x v="0"/>
    <x v="656"/>
    <x v="0"/>
    <x v="246"/>
    <n v="37.72"/>
    <x v="0"/>
  </r>
  <r>
    <x v="88"/>
    <x v="0"/>
    <x v="657"/>
    <x v="1"/>
    <x v="10"/>
    <n v="39"/>
    <x v="0"/>
  </r>
  <r>
    <x v="88"/>
    <x v="0"/>
    <x v="658"/>
    <x v="0"/>
    <x v="247"/>
    <n v="37.72"/>
    <x v="1"/>
  </r>
  <r>
    <x v="88"/>
    <x v="0"/>
    <x v="659"/>
    <x v="0"/>
    <x v="248"/>
    <n v="37.72"/>
    <x v="4"/>
  </r>
  <r>
    <x v="88"/>
    <x v="0"/>
    <x v="660"/>
    <x v="0"/>
    <x v="249"/>
    <n v="32.82"/>
    <x v="3"/>
  </r>
  <r>
    <x v="88"/>
    <x v="0"/>
    <x v="661"/>
    <x v="0"/>
    <x v="250"/>
    <n v="37.72"/>
    <x v="0"/>
  </r>
  <r>
    <x v="88"/>
    <x v="0"/>
    <x v="662"/>
    <x v="0"/>
    <x v="250"/>
    <n v="37.72"/>
    <x v="0"/>
  </r>
  <r>
    <x v="88"/>
    <x v="0"/>
    <x v="663"/>
    <x v="0"/>
    <x v="180"/>
    <n v="37.72"/>
    <x v="7"/>
  </r>
  <r>
    <x v="88"/>
    <x v="0"/>
    <x v="664"/>
    <x v="0"/>
    <x v="134"/>
    <n v="32.82"/>
    <x v="3"/>
  </r>
  <r>
    <x v="88"/>
    <x v="0"/>
    <x v="665"/>
    <x v="0"/>
    <x v="134"/>
    <n v="37.72"/>
    <x v="0"/>
  </r>
  <r>
    <x v="88"/>
    <x v="0"/>
    <x v="666"/>
    <x v="0"/>
    <x v="206"/>
    <n v="37.72"/>
    <x v="7"/>
  </r>
  <r>
    <x v="88"/>
    <x v="0"/>
    <x v="667"/>
    <x v="0"/>
    <x v="206"/>
    <n v="32.82"/>
    <x v="3"/>
  </r>
  <r>
    <x v="88"/>
    <x v="0"/>
    <x v="668"/>
    <x v="0"/>
    <x v="206"/>
    <n v="27.92"/>
    <x v="5"/>
  </r>
  <r>
    <x v="89"/>
    <x v="1"/>
    <x v="669"/>
    <x v="0"/>
    <x v="141"/>
    <n v="27.92"/>
    <x v="5"/>
  </r>
  <r>
    <x v="89"/>
    <x v="1"/>
    <x v="670"/>
    <x v="0"/>
    <x v="232"/>
    <n v="37.72"/>
    <x v="0"/>
  </r>
  <r>
    <x v="89"/>
    <x v="1"/>
    <x v="671"/>
    <x v="0"/>
    <x v="250"/>
    <n v="37.72"/>
    <x v="0"/>
  </r>
  <r>
    <x v="89"/>
    <x v="1"/>
    <x v="672"/>
    <x v="0"/>
    <x v="97"/>
    <n v="32.82"/>
    <x v="3"/>
  </r>
  <r>
    <x v="89"/>
    <x v="1"/>
    <x v="673"/>
    <x v="0"/>
    <x v="251"/>
    <n v="32.82"/>
    <x v="3"/>
  </r>
  <r>
    <x v="89"/>
    <x v="1"/>
    <x v="674"/>
    <x v="0"/>
    <x v="251"/>
    <n v="32.82"/>
    <x v="3"/>
  </r>
  <r>
    <x v="89"/>
    <x v="1"/>
    <x v="675"/>
    <x v="0"/>
    <x v="154"/>
    <n v="37.72"/>
    <x v="7"/>
  </r>
  <r>
    <x v="89"/>
    <x v="1"/>
    <x v="676"/>
    <x v="0"/>
    <x v="154"/>
    <n v="37.72"/>
    <x v="7"/>
  </r>
  <r>
    <x v="89"/>
    <x v="1"/>
    <x v="677"/>
    <x v="1"/>
    <x v="10"/>
    <n v="39"/>
    <x v="4"/>
  </r>
  <r>
    <x v="89"/>
    <x v="1"/>
    <x v="678"/>
    <x v="0"/>
    <x v="252"/>
    <n v="37.72"/>
    <x v="4"/>
  </r>
  <r>
    <x v="89"/>
    <x v="1"/>
    <x v="679"/>
    <x v="0"/>
    <x v="8"/>
    <n v="32.82"/>
    <x v="3"/>
  </r>
  <r>
    <x v="90"/>
    <x v="2"/>
    <x v="680"/>
    <x v="0"/>
    <x v="8"/>
    <n v="37.72"/>
    <x v="0"/>
  </r>
  <r>
    <x v="90"/>
    <x v="2"/>
    <x v="681"/>
    <x v="0"/>
    <x v="40"/>
    <n v="32.82"/>
    <x v="3"/>
  </r>
  <r>
    <x v="90"/>
    <x v="2"/>
    <x v="682"/>
    <x v="0"/>
    <x v="40"/>
    <n v="37.72"/>
    <x v="7"/>
  </r>
  <r>
    <x v="90"/>
    <x v="2"/>
    <x v="683"/>
    <x v="0"/>
    <x v="97"/>
    <n v="32.82"/>
    <x v="3"/>
  </r>
  <r>
    <x v="90"/>
    <x v="2"/>
    <x v="684"/>
    <x v="0"/>
    <x v="253"/>
    <n v="37.72"/>
    <x v="0"/>
  </r>
  <r>
    <x v="90"/>
    <x v="2"/>
    <x v="685"/>
    <x v="1"/>
    <x v="10"/>
    <n v="34"/>
    <x v="3"/>
  </r>
  <r>
    <x v="91"/>
    <x v="3"/>
    <x v="686"/>
    <x v="0"/>
    <x v="0"/>
    <n v="37.72"/>
    <x v="0"/>
  </r>
  <r>
    <x v="91"/>
    <x v="3"/>
    <x v="687"/>
    <x v="0"/>
    <x v="191"/>
    <n v="37.72"/>
    <x v="0"/>
  </r>
  <r>
    <x v="91"/>
    <x v="3"/>
    <x v="688"/>
    <x v="0"/>
    <x v="25"/>
    <n v="37.72"/>
    <x v="7"/>
  </r>
  <r>
    <x v="91"/>
    <x v="3"/>
    <x v="689"/>
    <x v="0"/>
    <x v="24"/>
    <n v="32.82"/>
    <x v="3"/>
  </r>
  <r>
    <x v="91"/>
    <x v="3"/>
    <x v="690"/>
    <x v="0"/>
    <x v="8"/>
    <n v="37.72"/>
    <x v="0"/>
  </r>
  <r>
    <x v="91"/>
    <x v="3"/>
    <x v="691"/>
    <x v="1"/>
    <x v="10"/>
    <n v="34"/>
    <x v="3"/>
  </r>
  <r>
    <x v="91"/>
    <x v="3"/>
    <x v="692"/>
    <x v="1"/>
    <x v="10"/>
    <n v="34"/>
    <x v="3"/>
  </r>
  <r>
    <x v="92"/>
    <x v="4"/>
    <x v="693"/>
    <x v="0"/>
    <x v="141"/>
    <n v="27.92"/>
    <x v="5"/>
  </r>
  <r>
    <x v="92"/>
    <x v="4"/>
    <x v="694"/>
    <x v="0"/>
    <x v="97"/>
    <n v="32.82"/>
    <x v="3"/>
  </r>
  <r>
    <x v="92"/>
    <x v="4"/>
    <x v="695"/>
    <x v="0"/>
    <x v="254"/>
    <n v="37.72"/>
    <x v="0"/>
  </r>
  <r>
    <x v="92"/>
    <x v="4"/>
    <x v="696"/>
    <x v="0"/>
    <x v="254"/>
    <n v="37.72"/>
    <x v="1"/>
  </r>
  <r>
    <x v="92"/>
    <x v="4"/>
    <x v="697"/>
    <x v="0"/>
    <x v="255"/>
    <n v="37.72"/>
    <x v="0"/>
  </r>
  <r>
    <x v="92"/>
    <x v="4"/>
    <x v="698"/>
    <x v="0"/>
    <x v="192"/>
    <n v="27.92"/>
    <x v="5"/>
  </r>
  <r>
    <x v="92"/>
    <x v="4"/>
    <x v="699"/>
    <x v="0"/>
    <x v="192"/>
    <n v="37.72"/>
    <x v="7"/>
  </r>
  <r>
    <x v="92"/>
    <x v="4"/>
    <x v="700"/>
    <x v="0"/>
    <x v="256"/>
    <n v="37.72"/>
    <x v="1"/>
  </r>
  <r>
    <x v="92"/>
    <x v="4"/>
    <x v="701"/>
    <x v="0"/>
    <x v="257"/>
    <n v="37.72"/>
    <x v="7"/>
  </r>
  <r>
    <x v="92"/>
    <x v="4"/>
    <x v="702"/>
    <x v="0"/>
    <x v="258"/>
    <n v="27.92"/>
    <x v="5"/>
  </r>
  <r>
    <x v="92"/>
    <x v="4"/>
    <x v="703"/>
    <x v="0"/>
    <x v="259"/>
    <n v="32.82"/>
    <x v="3"/>
  </r>
  <r>
    <x v="92"/>
    <x v="4"/>
    <x v="704"/>
    <x v="0"/>
    <x v="260"/>
    <n v="32.82"/>
    <x v="3"/>
  </r>
  <r>
    <x v="92"/>
    <x v="4"/>
    <x v="705"/>
    <x v="0"/>
    <x v="260"/>
    <n v="32.82"/>
    <x v="3"/>
  </r>
  <r>
    <x v="92"/>
    <x v="4"/>
    <x v="706"/>
    <x v="0"/>
    <x v="260"/>
    <n v="32.82"/>
    <x v="3"/>
  </r>
  <r>
    <x v="93"/>
    <x v="5"/>
    <x v="707"/>
    <x v="0"/>
    <x v="261"/>
    <n v="37.72"/>
    <x v="7"/>
  </r>
  <r>
    <x v="93"/>
    <x v="5"/>
    <x v="708"/>
    <x v="0"/>
    <x v="261"/>
    <n v="37.72"/>
    <x v="7"/>
  </r>
  <r>
    <x v="93"/>
    <x v="5"/>
    <x v="709"/>
    <x v="0"/>
    <x v="262"/>
    <n v="27.92"/>
    <x v="2"/>
  </r>
  <r>
    <x v="93"/>
    <x v="5"/>
    <x v="710"/>
    <x v="0"/>
    <x v="0"/>
    <n v="37.72"/>
    <x v="0"/>
  </r>
  <r>
    <x v="93"/>
    <x v="5"/>
    <x v="711"/>
    <x v="0"/>
    <x v="97"/>
    <n v="32.82"/>
    <x v="3"/>
  </r>
  <r>
    <x v="93"/>
    <x v="5"/>
    <x v="712"/>
    <x v="0"/>
    <x v="263"/>
    <n v="32.82"/>
    <x v="3"/>
  </r>
  <r>
    <x v="93"/>
    <x v="5"/>
    <x v="713"/>
    <x v="0"/>
    <x v="264"/>
    <n v="37.72"/>
    <x v="0"/>
  </r>
  <r>
    <x v="93"/>
    <x v="5"/>
    <x v="714"/>
    <x v="0"/>
    <x v="220"/>
    <n v="37.72"/>
    <x v="4"/>
  </r>
  <r>
    <x v="93"/>
    <x v="5"/>
    <x v="715"/>
    <x v="0"/>
    <x v="220"/>
    <n v="27.92"/>
    <x v="5"/>
  </r>
  <r>
    <x v="94"/>
    <x v="6"/>
    <x v="716"/>
    <x v="0"/>
    <x v="97"/>
    <n v="32.82"/>
    <x v="3"/>
  </r>
  <r>
    <x v="94"/>
    <x v="6"/>
    <x v="717"/>
    <x v="0"/>
    <x v="97"/>
    <n v="32.82"/>
    <x v="3"/>
  </r>
  <r>
    <x v="94"/>
    <x v="6"/>
    <x v="718"/>
    <x v="0"/>
    <x v="0"/>
    <n v="37.72"/>
    <x v="0"/>
  </r>
  <r>
    <x v="94"/>
    <x v="6"/>
    <x v="719"/>
    <x v="0"/>
    <x v="265"/>
    <n v="27.92"/>
    <x v="2"/>
  </r>
  <r>
    <x v="94"/>
    <x v="6"/>
    <x v="720"/>
    <x v="0"/>
    <x v="224"/>
    <n v="32.82"/>
    <x v="3"/>
  </r>
  <r>
    <x v="94"/>
    <x v="6"/>
    <x v="721"/>
    <x v="0"/>
    <x v="266"/>
    <n v="37.72"/>
    <x v="7"/>
  </r>
  <r>
    <x v="94"/>
    <x v="6"/>
    <x v="722"/>
    <x v="0"/>
    <x v="267"/>
    <n v="37.72"/>
    <x v="0"/>
  </r>
  <r>
    <x v="94"/>
    <x v="6"/>
    <x v="723"/>
    <x v="0"/>
    <x v="267"/>
    <n v="37.72"/>
    <x v="0"/>
  </r>
  <r>
    <x v="94"/>
    <x v="6"/>
    <x v="724"/>
    <x v="0"/>
    <x v="206"/>
    <n v="37.72"/>
    <x v="7"/>
  </r>
  <r>
    <x v="94"/>
    <x v="6"/>
    <x v="725"/>
    <x v="0"/>
    <x v="206"/>
    <n v="32.82"/>
    <x v="3"/>
  </r>
  <r>
    <x v="94"/>
    <x v="6"/>
    <x v="726"/>
    <x v="0"/>
    <x v="267"/>
    <n v="37.72"/>
    <x v="0"/>
  </r>
  <r>
    <x v="95"/>
    <x v="0"/>
    <x v="727"/>
    <x v="0"/>
    <x v="268"/>
    <n v="37.72"/>
    <x v="7"/>
  </r>
  <r>
    <x v="95"/>
    <x v="0"/>
    <x v="728"/>
    <x v="0"/>
    <x v="269"/>
    <n v="23.02"/>
    <x v="6"/>
  </r>
  <r>
    <x v="95"/>
    <x v="0"/>
    <x v="729"/>
    <x v="0"/>
    <x v="164"/>
    <n v="32.82"/>
    <x v="3"/>
  </r>
  <r>
    <x v="95"/>
    <x v="0"/>
    <x v="730"/>
    <x v="0"/>
    <x v="270"/>
    <n v="27.92"/>
    <x v="5"/>
  </r>
  <r>
    <x v="95"/>
    <x v="0"/>
    <x v="731"/>
    <x v="0"/>
    <x v="270"/>
    <n v="27.92"/>
    <x v="5"/>
  </r>
  <r>
    <x v="96"/>
    <x v="1"/>
    <x v="732"/>
    <x v="0"/>
    <x v="271"/>
    <n v="27.92"/>
    <x v="5"/>
  </r>
  <r>
    <x v="96"/>
    <x v="1"/>
    <x v="733"/>
    <x v="0"/>
    <x v="97"/>
    <n v="32.82"/>
    <x v="3"/>
  </r>
  <r>
    <x v="96"/>
    <x v="1"/>
    <x v="734"/>
    <x v="0"/>
    <x v="134"/>
    <n v="37.72"/>
    <x v="7"/>
  </r>
  <r>
    <x v="96"/>
    <x v="1"/>
    <x v="735"/>
    <x v="0"/>
    <x v="134"/>
    <n v="37.72"/>
    <x v="7"/>
  </r>
  <r>
    <x v="97"/>
    <x v="2"/>
    <x v="736"/>
    <x v="0"/>
    <x v="97"/>
    <n v="37.72"/>
    <x v="0"/>
  </r>
  <r>
    <x v="97"/>
    <x v="2"/>
    <x v="737"/>
    <x v="0"/>
    <x v="272"/>
    <n v="37.72"/>
    <x v="0"/>
  </r>
  <r>
    <x v="97"/>
    <x v="2"/>
    <x v="738"/>
    <x v="0"/>
    <x v="273"/>
    <n v="37.72"/>
    <x v="7"/>
  </r>
  <r>
    <x v="97"/>
    <x v="2"/>
    <x v="739"/>
    <x v="0"/>
    <x v="141"/>
    <n v="27.92"/>
    <x v="5"/>
  </r>
  <r>
    <x v="97"/>
    <x v="2"/>
    <x v="740"/>
    <x v="0"/>
    <x v="274"/>
    <n v="23.02"/>
    <x v="6"/>
  </r>
  <r>
    <x v="97"/>
    <x v="2"/>
    <x v="741"/>
    <x v="0"/>
    <x v="275"/>
    <n v="37.72"/>
    <x v="7"/>
  </r>
  <r>
    <x v="97"/>
    <x v="2"/>
    <x v="742"/>
    <x v="0"/>
    <x v="276"/>
    <n v="32.82"/>
    <x v="3"/>
  </r>
  <r>
    <x v="97"/>
    <x v="2"/>
    <x v="743"/>
    <x v="0"/>
    <x v="276"/>
    <n v="37.72"/>
    <x v="0"/>
  </r>
  <r>
    <x v="97"/>
    <x v="2"/>
    <x v="744"/>
    <x v="0"/>
    <x v="276"/>
    <n v="37.72"/>
    <x v="0"/>
  </r>
  <r>
    <x v="97"/>
    <x v="2"/>
    <x v="745"/>
    <x v="0"/>
    <x v="277"/>
    <n v="27.92"/>
    <x v="5"/>
  </r>
  <r>
    <x v="97"/>
    <x v="2"/>
    <x v="746"/>
    <x v="0"/>
    <x v="278"/>
    <n v="37.72"/>
    <x v="7"/>
  </r>
  <r>
    <x v="97"/>
    <x v="2"/>
    <x v="747"/>
    <x v="0"/>
    <x v="279"/>
    <n v="32.82"/>
    <x v="3"/>
  </r>
  <r>
    <x v="97"/>
    <x v="2"/>
    <x v="748"/>
    <x v="0"/>
    <x v="280"/>
    <n v="27.92"/>
    <x v="2"/>
  </r>
  <r>
    <x v="98"/>
    <x v="3"/>
    <x v="749"/>
    <x v="0"/>
    <x v="281"/>
    <n v="37.72"/>
    <x v="7"/>
  </r>
  <r>
    <x v="98"/>
    <x v="3"/>
    <x v="750"/>
    <x v="0"/>
    <x v="97"/>
    <n v="37.72"/>
    <x v="0"/>
  </r>
  <r>
    <x v="98"/>
    <x v="3"/>
    <x v="751"/>
    <x v="0"/>
    <x v="282"/>
    <n v="37.72"/>
    <x v="1"/>
  </r>
  <r>
    <x v="98"/>
    <x v="3"/>
    <x v="752"/>
    <x v="0"/>
    <x v="282"/>
    <n v="37.72"/>
    <x v="1"/>
  </r>
  <r>
    <x v="98"/>
    <x v="3"/>
    <x v="753"/>
    <x v="0"/>
    <x v="283"/>
    <n v="37.72"/>
    <x v="0"/>
  </r>
  <r>
    <x v="98"/>
    <x v="3"/>
    <x v="754"/>
    <x v="0"/>
    <x v="283"/>
    <n v="37.72"/>
    <x v="0"/>
  </r>
  <r>
    <x v="99"/>
    <x v="4"/>
    <x v="755"/>
    <x v="0"/>
    <x v="284"/>
    <n v="32.82"/>
    <x v="3"/>
  </r>
  <r>
    <x v="99"/>
    <x v="4"/>
    <x v="756"/>
    <x v="0"/>
    <x v="285"/>
    <n v="37.72"/>
    <x v="0"/>
  </r>
  <r>
    <x v="99"/>
    <x v="4"/>
    <x v="757"/>
    <x v="0"/>
    <x v="285"/>
    <n v="37.72"/>
    <x v="0"/>
  </r>
  <r>
    <x v="99"/>
    <x v="4"/>
    <x v="758"/>
    <x v="0"/>
    <x v="286"/>
    <n v="37.72"/>
    <x v="1"/>
  </r>
  <r>
    <x v="99"/>
    <x v="4"/>
    <x v="759"/>
    <x v="0"/>
    <x v="287"/>
    <n v="32.82"/>
    <x v="3"/>
  </r>
  <r>
    <x v="99"/>
    <x v="4"/>
    <x v="760"/>
    <x v="0"/>
    <x v="287"/>
    <n v="32.82"/>
    <x v="3"/>
  </r>
  <r>
    <x v="100"/>
    <x v="5"/>
    <x v="761"/>
    <x v="0"/>
    <x v="288"/>
    <n v="37.72"/>
    <x v="1"/>
  </r>
  <r>
    <x v="100"/>
    <x v="5"/>
    <x v="762"/>
    <x v="0"/>
    <x v="289"/>
    <n v="37.72"/>
    <x v="7"/>
  </r>
  <r>
    <x v="100"/>
    <x v="5"/>
    <x v="763"/>
    <x v="0"/>
    <x v="283"/>
    <n v="37.72"/>
    <x v="0"/>
  </r>
  <r>
    <x v="100"/>
    <x v="5"/>
    <x v="764"/>
    <x v="0"/>
    <x v="290"/>
    <n v="37.72"/>
    <x v="0"/>
  </r>
  <r>
    <x v="100"/>
    <x v="5"/>
    <x v="765"/>
    <x v="0"/>
    <x v="256"/>
    <n v="37.72"/>
    <x v="1"/>
  </r>
  <r>
    <x v="100"/>
    <x v="5"/>
    <x v="766"/>
    <x v="0"/>
    <x v="291"/>
    <n v="32.82"/>
    <x v="3"/>
  </r>
  <r>
    <x v="101"/>
    <x v="6"/>
    <x v="767"/>
    <x v="0"/>
    <x v="292"/>
    <n v="27.92"/>
    <x v="2"/>
  </r>
  <r>
    <x v="101"/>
    <x v="6"/>
    <x v="768"/>
    <x v="0"/>
    <x v="97"/>
    <n v="37.72"/>
    <x v="0"/>
  </r>
  <r>
    <x v="101"/>
    <x v="6"/>
    <x v="769"/>
    <x v="0"/>
    <x v="293"/>
    <n v="32.82"/>
    <x v="3"/>
  </r>
  <r>
    <x v="101"/>
    <x v="6"/>
    <x v="770"/>
    <x v="0"/>
    <x v="141"/>
    <n v="27.92"/>
    <x v="5"/>
  </r>
  <r>
    <x v="101"/>
    <x v="6"/>
    <x v="771"/>
    <x v="0"/>
    <x v="294"/>
    <n v="32.82"/>
    <x v="3"/>
  </r>
  <r>
    <x v="101"/>
    <x v="6"/>
    <x v="772"/>
    <x v="0"/>
    <x v="295"/>
    <n v="37.72"/>
    <x v="1"/>
  </r>
  <r>
    <x v="101"/>
    <x v="6"/>
    <x v="773"/>
    <x v="0"/>
    <x v="296"/>
    <n v="37.72"/>
    <x v="0"/>
  </r>
  <r>
    <x v="101"/>
    <x v="6"/>
    <x v="774"/>
    <x v="0"/>
    <x v="12"/>
    <n v="32.82"/>
    <x v="3"/>
  </r>
  <r>
    <x v="101"/>
    <x v="6"/>
    <x v="775"/>
    <x v="0"/>
    <x v="12"/>
    <n v="23.02"/>
    <x v="6"/>
  </r>
  <r>
    <x v="101"/>
    <x v="6"/>
    <x v="776"/>
    <x v="0"/>
    <x v="295"/>
    <n v="23.02"/>
    <x v="6"/>
  </r>
  <r>
    <x v="101"/>
    <x v="6"/>
    <x v="777"/>
    <x v="0"/>
    <x v="8"/>
    <n v="32.82"/>
    <x v="3"/>
  </r>
  <r>
    <x v="101"/>
    <x v="6"/>
    <x v="778"/>
    <x v="0"/>
    <x v="8"/>
    <n v="32.82"/>
    <x v="3"/>
  </r>
  <r>
    <x v="102"/>
    <x v="0"/>
    <x v="779"/>
    <x v="0"/>
    <x v="141"/>
    <n v="27.92"/>
    <x v="5"/>
  </r>
  <r>
    <x v="102"/>
    <x v="0"/>
    <x v="780"/>
    <x v="0"/>
    <x v="297"/>
    <n v="27.92"/>
    <x v="2"/>
  </r>
  <r>
    <x v="102"/>
    <x v="0"/>
    <x v="781"/>
    <x v="0"/>
    <x v="97"/>
    <n v="37.72"/>
    <x v="0"/>
  </r>
  <r>
    <x v="102"/>
    <x v="0"/>
    <x v="782"/>
    <x v="0"/>
    <x v="298"/>
    <n v="32.82"/>
    <x v="3"/>
  </r>
  <r>
    <x v="103"/>
    <x v="1"/>
    <x v="783"/>
    <x v="0"/>
    <x v="299"/>
    <n v="37.72"/>
    <x v="7"/>
  </r>
  <r>
    <x v="103"/>
    <x v="1"/>
    <x v="784"/>
    <x v="0"/>
    <x v="300"/>
    <n v="37.72"/>
    <x v="0"/>
  </r>
  <r>
    <x v="103"/>
    <x v="1"/>
    <x v="785"/>
    <x v="0"/>
    <x v="300"/>
    <n v="32.82"/>
    <x v="3"/>
  </r>
  <r>
    <x v="103"/>
    <x v="1"/>
    <x v="786"/>
    <x v="0"/>
    <x v="300"/>
    <n v="23.02"/>
    <x v="6"/>
  </r>
  <r>
    <x v="103"/>
    <x v="1"/>
    <x v="787"/>
    <x v="0"/>
    <x v="300"/>
    <n v="37.72"/>
    <x v="4"/>
  </r>
  <r>
    <x v="103"/>
    <x v="1"/>
    <x v="788"/>
    <x v="0"/>
    <x v="300"/>
    <n v="32.82"/>
    <x v="3"/>
  </r>
  <r>
    <x v="103"/>
    <x v="1"/>
    <x v="789"/>
    <x v="0"/>
    <x v="301"/>
    <n v="32.82"/>
    <x v="3"/>
  </r>
  <r>
    <x v="103"/>
    <x v="1"/>
    <x v="790"/>
    <x v="0"/>
    <x v="302"/>
    <n v="27.92"/>
    <x v="2"/>
  </r>
  <r>
    <x v="104"/>
    <x v="2"/>
    <x v="791"/>
    <x v="0"/>
    <x v="59"/>
    <n v="32.82"/>
    <x v="3"/>
  </r>
  <r>
    <x v="104"/>
    <x v="2"/>
    <x v="792"/>
    <x v="0"/>
    <x v="303"/>
    <n v="37.72"/>
    <x v="0"/>
  </r>
  <r>
    <x v="104"/>
    <x v="2"/>
    <x v="793"/>
    <x v="0"/>
    <x v="303"/>
    <n v="37.72"/>
    <x v="1"/>
  </r>
  <r>
    <x v="104"/>
    <x v="2"/>
    <x v="794"/>
    <x v="0"/>
    <x v="303"/>
    <n v="37.72"/>
    <x v="1"/>
  </r>
  <r>
    <x v="104"/>
    <x v="2"/>
    <x v="795"/>
    <x v="0"/>
    <x v="276"/>
    <n v="32.82"/>
    <x v="3"/>
  </r>
  <r>
    <x v="104"/>
    <x v="2"/>
    <x v="796"/>
    <x v="0"/>
    <x v="274"/>
    <n v="23.02"/>
    <x v="6"/>
  </r>
  <r>
    <x v="104"/>
    <x v="2"/>
    <x v="797"/>
    <x v="0"/>
    <x v="304"/>
    <n v="32.82"/>
    <x v="3"/>
  </r>
  <r>
    <x v="104"/>
    <x v="2"/>
    <x v="798"/>
    <x v="0"/>
    <x v="304"/>
    <n v="32.82"/>
    <x v="3"/>
  </r>
  <r>
    <x v="104"/>
    <x v="2"/>
    <x v="799"/>
    <x v="0"/>
    <x v="305"/>
    <n v="37.72"/>
    <x v="1"/>
  </r>
  <r>
    <x v="104"/>
    <x v="2"/>
    <x v="800"/>
    <x v="0"/>
    <x v="306"/>
    <n v="37.72"/>
    <x v="1"/>
  </r>
  <r>
    <x v="104"/>
    <x v="2"/>
    <x v="801"/>
    <x v="0"/>
    <x v="59"/>
    <n v="32.82"/>
    <x v="3"/>
  </r>
  <r>
    <x v="104"/>
    <x v="2"/>
    <x v="802"/>
    <x v="0"/>
    <x v="59"/>
    <n v="32.82"/>
    <x v="3"/>
  </r>
  <r>
    <x v="105"/>
    <x v="3"/>
    <x v="803"/>
    <x v="0"/>
    <x v="307"/>
    <n v="27.92"/>
    <x v="2"/>
  </r>
  <r>
    <x v="105"/>
    <x v="3"/>
    <x v="804"/>
    <x v="0"/>
    <x v="308"/>
    <n v="27.92"/>
    <x v="5"/>
  </r>
  <r>
    <x v="105"/>
    <x v="3"/>
    <x v="805"/>
    <x v="0"/>
    <x v="308"/>
    <n v="27.92"/>
    <x v="5"/>
  </r>
  <r>
    <x v="105"/>
    <x v="3"/>
    <x v="806"/>
    <x v="0"/>
    <x v="42"/>
    <n v="37.72"/>
    <x v="7"/>
  </r>
  <r>
    <x v="105"/>
    <x v="3"/>
    <x v="807"/>
    <x v="0"/>
    <x v="164"/>
    <n v="37.72"/>
    <x v="7"/>
  </r>
  <r>
    <x v="105"/>
    <x v="3"/>
    <x v="808"/>
    <x v="0"/>
    <x v="12"/>
    <n v="37.72"/>
    <x v="7"/>
  </r>
  <r>
    <x v="105"/>
    <x v="3"/>
    <x v="809"/>
    <x v="0"/>
    <x v="12"/>
    <n v="37.72"/>
    <x v="7"/>
  </r>
  <r>
    <x v="105"/>
    <x v="3"/>
    <x v="810"/>
    <x v="0"/>
    <x v="12"/>
    <n v="27.92"/>
    <x v="2"/>
  </r>
  <r>
    <x v="105"/>
    <x v="3"/>
    <x v="811"/>
    <x v="0"/>
    <x v="309"/>
    <n v="27.92"/>
    <x v="2"/>
  </r>
  <r>
    <x v="105"/>
    <x v="3"/>
    <x v="812"/>
    <x v="0"/>
    <x v="8"/>
    <n v="32.82"/>
    <x v="3"/>
  </r>
  <r>
    <x v="106"/>
    <x v="4"/>
    <x v="813"/>
    <x v="0"/>
    <x v="299"/>
    <n v="27.92"/>
    <x v="2"/>
  </r>
  <r>
    <x v="106"/>
    <x v="4"/>
    <x v="814"/>
    <x v="0"/>
    <x v="299"/>
    <n v="37.72"/>
    <x v="7"/>
  </r>
  <r>
    <x v="106"/>
    <x v="4"/>
    <x v="815"/>
    <x v="0"/>
    <x v="154"/>
    <n v="37.72"/>
    <x v="7"/>
  </r>
  <r>
    <x v="106"/>
    <x v="4"/>
    <x v="816"/>
    <x v="0"/>
    <x v="154"/>
    <n v="37.72"/>
    <x v="7"/>
  </r>
  <r>
    <x v="106"/>
    <x v="4"/>
    <x v="817"/>
    <x v="0"/>
    <x v="310"/>
    <n v="27.92"/>
    <x v="5"/>
  </r>
  <r>
    <x v="106"/>
    <x v="4"/>
    <x v="818"/>
    <x v="0"/>
    <x v="12"/>
    <n v="32.82"/>
    <x v="3"/>
  </r>
  <r>
    <x v="106"/>
    <x v="4"/>
    <x v="819"/>
    <x v="0"/>
    <x v="12"/>
    <n v="32.82"/>
    <x v="3"/>
  </r>
  <r>
    <x v="107"/>
    <x v="5"/>
    <x v="820"/>
    <x v="0"/>
    <x v="311"/>
    <n v="37.72"/>
    <x v="0"/>
  </r>
  <r>
    <x v="107"/>
    <x v="5"/>
    <x v="821"/>
    <x v="0"/>
    <x v="141"/>
    <n v="27.92"/>
    <x v="5"/>
  </r>
  <r>
    <x v="107"/>
    <x v="5"/>
    <x v="822"/>
    <x v="0"/>
    <x v="312"/>
    <n v="27.92"/>
    <x v="2"/>
  </r>
  <r>
    <x v="107"/>
    <x v="5"/>
    <x v="823"/>
    <x v="0"/>
    <x v="313"/>
    <n v="37.72"/>
    <x v="0"/>
  </r>
  <r>
    <x v="107"/>
    <x v="5"/>
    <x v="824"/>
    <x v="0"/>
    <x v="313"/>
    <n v="37.72"/>
    <x v="4"/>
  </r>
  <r>
    <x v="107"/>
    <x v="5"/>
    <x v="825"/>
    <x v="0"/>
    <x v="164"/>
    <n v="32.82"/>
    <x v="3"/>
  </r>
  <r>
    <x v="107"/>
    <x v="5"/>
    <x v="826"/>
    <x v="0"/>
    <x v="153"/>
    <n v="37.72"/>
    <x v="7"/>
  </r>
  <r>
    <x v="107"/>
    <x v="5"/>
    <x v="827"/>
    <x v="0"/>
    <x v="153"/>
    <n v="37.72"/>
    <x v="0"/>
  </r>
  <r>
    <x v="107"/>
    <x v="5"/>
    <x v="828"/>
    <x v="0"/>
    <x v="8"/>
    <n v="32.82"/>
    <x v="3"/>
  </r>
  <r>
    <x v="107"/>
    <x v="5"/>
    <x v="829"/>
    <x v="0"/>
    <x v="192"/>
    <n v="37.72"/>
    <x v="7"/>
  </r>
  <r>
    <x v="107"/>
    <x v="5"/>
    <x v="830"/>
    <x v="0"/>
    <x v="192"/>
    <n v="32.82"/>
    <x v="3"/>
  </r>
  <r>
    <x v="108"/>
    <x v="6"/>
    <x v="831"/>
    <x v="0"/>
    <x v="97"/>
    <n v="37.72"/>
    <x v="0"/>
  </r>
  <r>
    <x v="108"/>
    <x v="6"/>
    <x v="832"/>
    <x v="0"/>
    <x v="314"/>
    <n v="37.72"/>
    <x v="0"/>
  </r>
  <r>
    <x v="108"/>
    <x v="6"/>
    <x v="833"/>
    <x v="0"/>
    <x v="314"/>
    <n v="37.72"/>
    <x v="0"/>
  </r>
  <r>
    <x v="108"/>
    <x v="6"/>
    <x v="834"/>
    <x v="0"/>
    <x v="257"/>
    <n v="37.72"/>
    <x v="0"/>
  </r>
  <r>
    <x v="108"/>
    <x v="6"/>
    <x v="835"/>
    <x v="0"/>
    <x v="8"/>
    <n v="37.72"/>
    <x v="0"/>
  </r>
  <r>
    <x v="108"/>
    <x v="6"/>
    <x v="836"/>
    <x v="0"/>
    <x v="8"/>
    <n v="32.82"/>
    <x v="3"/>
  </r>
  <r>
    <x v="109"/>
    <x v="0"/>
    <x v="837"/>
    <x v="0"/>
    <x v="311"/>
    <n v="37.72"/>
    <x v="0"/>
  </r>
  <r>
    <x v="109"/>
    <x v="0"/>
    <x v="838"/>
    <x v="0"/>
    <x v="315"/>
    <n v="27.92"/>
    <x v="2"/>
  </r>
  <r>
    <x v="109"/>
    <x v="0"/>
    <x v="839"/>
    <x v="0"/>
    <x v="12"/>
    <n v="32.82"/>
    <x v="3"/>
  </r>
  <r>
    <x v="109"/>
    <x v="0"/>
    <x v="840"/>
    <x v="0"/>
    <x v="12"/>
    <n v="32.82"/>
    <x v="3"/>
  </r>
  <r>
    <x v="109"/>
    <x v="0"/>
    <x v="841"/>
    <x v="0"/>
    <x v="316"/>
    <n v="23.02"/>
    <x v="6"/>
  </r>
  <r>
    <x v="109"/>
    <x v="0"/>
    <x v="842"/>
    <x v="0"/>
    <x v="8"/>
    <n v="37.72"/>
    <x v="0"/>
  </r>
  <r>
    <x v="109"/>
    <x v="0"/>
    <x v="843"/>
    <x v="0"/>
    <x v="154"/>
    <n v="37.72"/>
    <x v="7"/>
  </r>
  <r>
    <x v="109"/>
    <x v="0"/>
    <x v="844"/>
    <x v="0"/>
    <x v="154"/>
    <n v="37.72"/>
    <x v="7"/>
  </r>
  <r>
    <x v="109"/>
    <x v="0"/>
    <x v="845"/>
    <x v="0"/>
    <x v="180"/>
    <n v="37.72"/>
    <x v="7"/>
  </r>
  <r>
    <x v="109"/>
    <x v="0"/>
    <x v="846"/>
    <x v="0"/>
    <x v="180"/>
    <n v="37.72"/>
    <x v="7"/>
  </r>
  <r>
    <x v="109"/>
    <x v="0"/>
    <x v="847"/>
    <x v="0"/>
    <x v="180"/>
    <n v="27.92"/>
    <x v="2"/>
  </r>
  <r>
    <x v="109"/>
    <x v="0"/>
    <x v="848"/>
    <x v="0"/>
    <x v="311"/>
    <n v="32.82"/>
    <x v="3"/>
  </r>
  <r>
    <x v="110"/>
    <x v="1"/>
    <x v="849"/>
    <x v="0"/>
    <x v="141"/>
    <n v="27.92"/>
    <x v="5"/>
  </r>
  <r>
    <x v="110"/>
    <x v="1"/>
    <x v="850"/>
    <x v="0"/>
    <x v="311"/>
    <n v="32.82"/>
    <x v="3"/>
  </r>
  <r>
    <x v="110"/>
    <x v="1"/>
    <x v="851"/>
    <x v="0"/>
    <x v="317"/>
    <n v="32.82"/>
    <x v="3"/>
  </r>
  <r>
    <x v="110"/>
    <x v="1"/>
    <x v="852"/>
    <x v="0"/>
    <x v="8"/>
    <n v="37.72"/>
    <x v="0"/>
  </r>
  <r>
    <x v="110"/>
    <x v="1"/>
    <x v="853"/>
    <x v="0"/>
    <x v="318"/>
    <n v="37.72"/>
    <x v="7"/>
  </r>
  <r>
    <x v="111"/>
    <x v="2"/>
    <x v="854"/>
    <x v="0"/>
    <x v="12"/>
    <n v="32.82"/>
    <x v="3"/>
  </r>
  <r>
    <x v="111"/>
    <x v="2"/>
    <x v="855"/>
    <x v="0"/>
    <x v="12"/>
    <n v="32.82"/>
    <x v="3"/>
  </r>
  <r>
    <x v="111"/>
    <x v="2"/>
    <x v="856"/>
    <x v="0"/>
    <x v="319"/>
    <n v="37.72"/>
    <x v="7"/>
  </r>
  <r>
    <x v="111"/>
    <x v="2"/>
    <x v="857"/>
    <x v="0"/>
    <x v="320"/>
    <n v="37.72"/>
    <x v="0"/>
  </r>
  <r>
    <x v="111"/>
    <x v="2"/>
    <x v="858"/>
    <x v="0"/>
    <x v="320"/>
    <n v="37.72"/>
    <x v="7"/>
  </r>
  <r>
    <x v="112"/>
    <x v="3"/>
    <x v="859"/>
    <x v="0"/>
    <x v="164"/>
    <n v="32.82"/>
    <x v="3"/>
  </r>
  <r>
    <x v="112"/>
    <x v="3"/>
    <x v="860"/>
    <x v="0"/>
    <x v="180"/>
    <n v="37.72"/>
    <x v="7"/>
  </r>
  <r>
    <x v="112"/>
    <x v="3"/>
    <x v="861"/>
    <x v="0"/>
    <x v="180"/>
    <n v="37.72"/>
    <x v="7"/>
  </r>
  <r>
    <x v="112"/>
    <x v="3"/>
    <x v="862"/>
    <x v="0"/>
    <x v="321"/>
    <n v="37.72"/>
    <x v="0"/>
  </r>
  <r>
    <x v="112"/>
    <x v="3"/>
    <x v="863"/>
    <x v="0"/>
    <x v="203"/>
    <n v="37.72"/>
    <x v="7"/>
  </r>
  <r>
    <x v="112"/>
    <x v="3"/>
    <x v="864"/>
    <x v="0"/>
    <x v="203"/>
    <n v="37.72"/>
    <x v="7"/>
  </r>
  <r>
    <x v="113"/>
    <x v="4"/>
    <x v="865"/>
    <x v="0"/>
    <x v="322"/>
    <n v="37.72"/>
    <x v="0"/>
  </r>
  <r>
    <x v="113"/>
    <x v="4"/>
    <x v="866"/>
    <x v="0"/>
    <x v="12"/>
    <n v="32.82"/>
    <x v="3"/>
  </r>
  <r>
    <x v="113"/>
    <x v="4"/>
    <x v="867"/>
    <x v="0"/>
    <x v="40"/>
    <n v="32.82"/>
    <x v="3"/>
  </r>
  <r>
    <x v="113"/>
    <x v="4"/>
    <x v="868"/>
    <x v="0"/>
    <x v="203"/>
    <n v="37.72"/>
    <x v="7"/>
  </r>
  <r>
    <x v="114"/>
    <x v="5"/>
    <x v="869"/>
    <x v="0"/>
    <x v="323"/>
    <n v="37.72"/>
    <x v="0"/>
  </r>
  <r>
    <x v="114"/>
    <x v="5"/>
    <x v="870"/>
    <x v="0"/>
    <x v="324"/>
    <n v="23.02"/>
    <x v="6"/>
  </r>
  <r>
    <x v="114"/>
    <x v="5"/>
    <x v="871"/>
    <x v="0"/>
    <x v="325"/>
    <n v="27.92"/>
    <x v="2"/>
  </r>
  <r>
    <x v="114"/>
    <x v="5"/>
    <x v="872"/>
    <x v="0"/>
    <x v="8"/>
    <n v="37.72"/>
    <x v="0"/>
  </r>
  <r>
    <x v="114"/>
    <x v="5"/>
    <x v="873"/>
    <x v="0"/>
    <x v="8"/>
    <n v="37.72"/>
    <x v="7"/>
  </r>
  <r>
    <x v="114"/>
    <x v="5"/>
    <x v="874"/>
    <x v="0"/>
    <x v="206"/>
    <n v="32.82"/>
    <x v="3"/>
  </r>
  <r>
    <x v="115"/>
    <x v="6"/>
    <x v="875"/>
    <x v="0"/>
    <x v="326"/>
    <n v="32.82"/>
    <x v="3"/>
  </r>
  <r>
    <x v="115"/>
    <x v="6"/>
    <x v="876"/>
    <x v="0"/>
    <x v="327"/>
    <n v="27.92"/>
    <x v="5"/>
  </r>
  <r>
    <x v="115"/>
    <x v="6"/>
    <x v="877"/>
    <x v="0"/>
    <x v="328"/>
    <n v="32.82"/>
    <x v="3"/>
  </r>
  <r>
    <x v="115"/>
    <x v="6"/>
    <x v="878"/>
    <x v="0"/>
    <x v="329"/>
    <n v="37.72"/>
    <x v="7"/>
  </r>
  <r>
    <x v="116"/>
    <x v="0"/>
    <x v="879"/>
    <x v="0"/>
    <x v="141"/>
    <n v="27.92"/>
    <x v="5"/>
  </r>
  <r>
    <x v="116"/>
    <x v="0"/>
    <x v="880"/>
    <x v="0"/>
    <x v="274"/>
    <n v="23.02"/>
    <x v="6"/>
  </r>
  <r>
    <x v="116"/>
    <x v="0"/>
    <x v="881"/>
    <x v="0"/>
    <x v="330"/>
    <n v="32.82"/>
    <x v="3"/>
  </r>
  <r>
    <x v="116"/>
    <x v="0"/>
    <x v="882"/>
    <x v="0"/>
    <x v="331"/>
    <n v="37.72"/>
    <x v="0"/>
  </r>
  <r>
    <x v="116"/>
    <x v="0"/>
    <x v="883"/>
    <x v="0"/>
    <x v="332"/>
    <n v="37.72"/>
    <x v="7"/>
  </r>
  <r>
    <x v="117"/>
    <x v="1"/>
    <x v="884"/>
    <x v="0"/>
    <x v="97"/>
    <n v="32.82"/>
    <x v="3"/>
  </r>
  <r>
    <x v="117"/>
    <x v="1"/>
    <x v="885"/>
    <x v="0"/>
    <x v="333"/>
    <n v="32.82"/>
    <x v="3"/>
  </r>
  <r>
    <x v="117"/>
    <x v="1"/>
    <x v="886"/>
    <x v="0"/>
    <x v="333"/>
    <n v="32.82"/>
    <x v="3"/>
  </r>
  <r>
    <x v="117"/>
    <x v="1"/>
    <x v="887"/>
    <x v="0"/>
    <x v="334"/>
    <n v="37.72"/>
    <x v="7"/>
  </r>
  <r>
    <x v="117"/>
    <x v="1"/>
    <x v="888"/>
    <x v="0"/>
    <x v="334"/>
    <n v="37.72"/>
    <x v="7"/>
  </r>
  <r>
    <x v="117"/>
    <x v="1"/>
    <x v="889"/>
    <x v="0"/>
    <x v="335"/>
    <n v="37.72"/>
    <x v="7"/>
  </r>
  <r>
    <x v="117"/>
    <x v="1"/>
    <x v="890"/>
    <x v="0"/>
    <x v="335"/>
    <n v="37.72"/>
    <x v="1"/>
  </r>
  <r>
    <x v="117"/>
    <x v="1"/>
    <x v="891"/>
    <x v="0"/>
    <x v="8"/>
    <n v="37.72"/>
    <x v="0"/>
  </r>
  <r>
    <x v="118"/>
    <x v="2"/>
    <x v="892"/>
    <x v="0"/>
    <x v="336"/>
    <n v="37.72"/>
    <x v="0"/>
  </r>
  <r>
    <x v="118"/>
    <x v="2"/>
    <x v="893"/>
    <x v="0"/>
    <x v="337"/>
    <n v="23.02"/>
    <x v="6"/>
  </r>
  <r>
    <x v="118"/>
    <x v="2"/>
    <x v="894"/>
    <x v="0"/>
    <x v="8"/>
    <n v="37.72"/>
    <x v="1"/>
  </r>
  <r>
    <x v="118"/>
    <x v="2"/>
    <x v="895"/>
    <x v="0"/>
    <x v="97"/>
    <n v="32.82"/>
    <x v="3"/>
  </r>
  <r>
    <x v="119"/>
    <x v="3"/>
    <x v="896"/>
    <x v="0"/>
    <x v="12"/>
    <n v="23.02"/>
    <x v="6"/>
  </r>
  <r>
    <x v="119"/>
    <x v="3"/>
    <x v="897"/>
    <x v="0"/>
    <x v="338"/>
    <n v="37.72"/>
    <x v="7"/>
  </r>
  <r>
    <x v="119"/>
    <x v="3"/>
    <x v="898"/>
    <x v="0"/>
    <x v="339"/>
    <n v="37.72"/>
    <x v="7"/>
  </r>
  <r>
    <x v="120"/>
    <x v="4"/>
    <x v="899"/>
    <x v="0"/>
    <x v="304"/>
    <n v="32.82"/>
    <x v="3"/>
  </r>
  <r>
    <x v="120"/>
    <x v="4"/>
    <x v="900"/>
    <x v="0"/>
    <x v="304"/>
    <n v="27.92"/>
    <x v="2"/>
  </r>
  <r>
    <x v="120"/>
    <x v="4"/>
    <x v="901"/>
    <x v="0"/>
    <x v="19"/>
    <n v="37.72"/>
    <x v="0"/>
  </r>
  <r>
    <x v="120"/>
    <x v="4"/>
    <x v="902"/>
    <x v="0"/>
    <x v="340"/>
    <n v="27.92"/>
    <x v="2"/>
  </r>
  <r>
    <x v="120"/>
    <x v="4"/>
    <x v="903"/>
    <x v="0"/>
    <x v="341"/>
    <n v="32.82"/>
    <x v="3"/>
  </r>
  <r>
    <x v="120"/>
    <x v="4"/>
    <x v="904"/>
    <x v="0"/>
    <x v="329"/>
    <n v="32.82"/>
    <x v="3"/>
  </r>
  <r>
    <x v="121"/>
    <x v="5"/>
    <x v="905"/>
    <x v="0"/>
    <x v="12"/>
    <n v="32.82"/>
    <x v="3"/>
  </r>
  <r>
    <x v="121"/>
    <x v="5"/>
    <x v="906"/>
    <x v="0"/>
    <x v="342"/>
    <n v="37.72"/>
    <x v="7"/>
  </r>
  <r>
    <x v="121"/>
    <x v="5"/>
    <x v="907"/>
    <x v="0"/>
    <x v="343"/>
    <n v="37.72"/>
    <x v="7"/>
  </r>
  <r>
    <x v="121"/>
    <x v="5"/>
    <x v="908"/>
    <x v="0"/>
    <x v="270"/>
    <n v="32.82"/>
    <x v="3"/>
  </r>
  <r>
    <x v="121"/>
    <x v="5"/>
    <x v="909"/>
    <x v="0"/>
    <x v="344"/>
    <n v="32.82"/>
    <x v="3"/>
  </r>
  <r>
    <x v="121"/>
    <x v="5"/>
    <x v="910"/>
    <x v="0"/>
    <x v="270"/>
    <n v="37.72"/>
    <x v="0"/>
  </r>
  <r>
    <x v="121"/>
    <x v="5"/>
    <x v="911"/>
    <x v="0"/>
    <x v="345"/>
    <n v="23.02"/>
    <x v="6"/>
  </r>
  <r>
    <x v="121"/>
    <x v="5"/>
    <x v="912"/>
    <x v="0"/>
    <x v="346"/>
    <n v="37.72"/>
    <x v="7"/>
  </r>
  <r>
    <x v="121"/>
    <x v="5"/>
    <x v="913"/>
    <x v="0"/>
    <x v="8"/>
    <n v="37.72"/>
    <x v="0"/>
  </r>
  <r>
    <x v="122"/>
    <x v="6"/>
    <x v="914"/>
    <x v="0"/>
    <x v="143"/>
    <n v="32.82"/>
    <x v="3"/>
  </r>
  <r>
    <x v="122"/>
    <x v="6"/>
    <x v="915"/>
    <x v="0"/>
    <x v="12"/>
    <n v="27.92"/>
    <x v="2"/>
  </r>
  <r>
    <x v="123"/>
    <x v="0"/>
    <x v="916"/>
    <x v="0"/>
    <x v="58"/>
    <n v="37.72"/>
    <x v="4"/>
  </r>
  <r>
    <x v="123"/>
    <x v="0"/>
    <x v="917"/>
    <x v="0"/>
    <x v="40"/>
    <n v="32.82"/>
    <x v="3"/>
  </r>
  <r>
    <x v="123"/>
    <x v="0"/>
    <x v="918"/>
    <x v="0"/>
    <x v="347"/>
    <n v="32.82"/>
    <x v="3"/>
  </r>
  <r>
    <x v="123"/>
    <x v="0"/>
    <x v="919"/>
    <x v="0"/>
    <x v="348"/>
    <n v="23.02"/>
    <x v="6"/>
  </r>
  <r>
    <x v="123"/>
    <x v="0"/>
    <x v="920"/>
    <x v="0"/>
    <x v="99"/>
    <n v="27.92"/>
    <x v="2"/>
  </r>
  <r>
    <x v="123"/>
    <x v="0"/>
    <x v="921"/>
    <x v="0"/>
    <x v="349"/>
    <n v="23.02"/>
    <x v="6"/>
  </r>
  <r>
    <x v="123"/>
    <x v="0"/>
    <x v="922"/>
    <x v="0"/>
    <x v="350"/>
    <n v="27.92"/>
    <x v="2"/>
  </r>
  <r>
    <x v="123"/>
    <x v="0"/>
    <x v="923"/>
    <x v="0"/>
    <x v="350"/>
    <n v="27.92"/>
    <x v="2"/>
  </r>
  <r>
    <x v="123"/>
    <x v="0"/>
    <x v="924"/>
    <x v="0"/>
    <x v="351"/>
    <n v="37.72"/>
    <x v="7"/>
  </r>
  <r>
    <x v="123"/>
    <x v="0"/>
    <x v="925"/>
    <x v="0"/>
    <x v="351"/>
    <n v="32.82"/>
    <x v="3"/>
  </r>
  <r>
    <x v="124"/>
    <x v="1"/>
    <x v="926"/>
    <x v="0"/>
    <x v="352"/>
    <n v="37.72"/>
    <x v="0"/>
  </r>
  <r>
    <x v="124"/>
    <x v="1"/>
    <x v="927"/>
    <x v="0"/>
    <x v="8"/>
    <n v="32.82"/>
    <x v="0"/>
  </r>
  <r>
    <x v="124"/>
    <x v="1"/>
    <x v="928"/>
    <x v="0"/>
    <x v="8"/>
    <n v="32.82"/>
    <x v="0"/>
  </r>
  <r>
    <x v="124"/>
    <x v="1"/>
    <x v="929"/>
    <x v="0"/>
    <x v="12"/>
    <n v="32.82"/>
    <x v="0"/>
  </r>
  <r>
    <x v="124"/>
    <x v="1"/>
    <x v="930"/>
    <x v="0"/>
    <x v="12"/>
    <n v="27.92"/>
    <x v="3"/>
  </r>
  <r>
    <x v="125"/>
    <x v="2"/>
    <x v="931"/>
    <x v="0"/>
    <x v="303"/>
    <n v="32.82"/>
    <x v="7"/>
  </r>
  <r>
    <x v="125"/>
    <x v="2"/>
    <x v="932"/>
    <x v="0"/>
    <x v="353"/>
    <n v="27.92"/>
    <x v="3"/>
  </r>
  <r>
    <x v="125"/>
    <x v="2"/>
    <x v="933"/>
    <x v="0"/>
    <x v="353"/>
    <n v="27.92"/>
    <x v="3"/>
  </r>
  <r>
    <x v="125"/>
    <x v="2"/>
    <x v="934"/>
    <x v="0"/>
    <x v="354"/>
    <n v="32.82"/>
    <x v="7"/>
  </r>
  <r>
    <x v="125"/>
    <x v="2"/>
    <x v="935"/>
    <x v="0"/>
    <x v="354"/>
    <n v="32.82"/>
    <x v="7"/>
  </r>
  <r>
    <x v="125"/>
    <x v="2"/>
    <x v="936"/>
    <x v="0"/>
    <x v="355"/>
    <n v="32.82"/>
    <x v="1"/>
  </r>
  <r>
    <x v="125"/>
    <x v="2"/>
    <x v="937"/>
    <x v="0"/>
    <x v="355"/>
    <n v="32.82"/>
    <x v="4"/>
  </r>
  <r>
    <x v="125"/>
    <x v="2"/>
    <x v="938"/>
    <x v="0"/>
    <x v="356"/>
    <n v="32.82"/>
    <x v="0"/>
  </r>
  <r>
    <x v="125"/>
    <x v="2"/>
    <x v="939"/>
    <x v="0"/>
    <x v="357"/>
    <n v="32.82"/>
    <x v="7"/>
  </r>
  <r>
    <x v="125"/>
    <x v="2"/>
    <x v="940"/>
    <x v="0"/>
    <x v="358"/>
    <n v="32.82"/>
    <x v="1"/>
  </r>
  <r>
    <x v="125"/>
    <x v="2"/>
    <x v="941"/>
    <x v="0"/>
    <x v="359"/>
    <n v="27.92"/>
    <x v="3"/>
  </r>
  <r>
    <x v="126"/>
    <x v="3"/>
    <x v="942"/>
    <x v="0"/>
    <x v="360"/>
    <n v="32.82"/>
    <x v="0"/>
  </r>
  <r>
    <x v="126"/>
    <x v="3"/>
    <x v="943"/>
    <x v="0"/>
    <x v="361"/>
    <n v="23.02"/>
    <x v="2"/>
  </r>
  <r>
    <x v="126"/>
    <x v="3"/>
    <x v="944"/>
    <x v="0"/>
    <x v="362"/>
    <n v="23.02"/>
    <x v="2"/>
  </r>
  <r>
    <x v="126"/>
    <x v="3"/>
    <x v="945"/>
    <x v="0"/>
    <x v="363"/>
    <n v="27.92"/>
    <x v="3"/>
  </r>
  <r>
    <x v="126"/>
    <x v="3"/>
    <x v="946"/>
    <x v="0"/>
    <x v="19"/>
    <n v="32.82"/>
    <x v="0"/>
  </r>
  <r>
    <x v="127"/>
    <x v="4"/>
    <x v="947"/>
    <x v="0"/>
    <x v="333"/>
    <n v="27.92"/>
    <x v="3"/>
  </r>
  <r>
    <x v="127"/>
    <x v="4"/>
    <x v="948"/>
    <x v="0"/>
    <x v="276"/>
    <n v="27.92"/>
    <x v="3"/>
  </r>
  <r>
    <x v="127"/>
    <x v="4"/>
    <x v="949"/>
    <x v="0"/>
    <x v="194"/>
    <n v="27.92"/>
    <x v="3"/>
  </r>
  <r>
    <x v="127"/>
    <x v="4"/>
    <x v="950"/>
    <x v="0"/>
    <x v="194"/>
    <n v="32.82"/>
    <x v="7"/>
  </r>
  <r>
    <x v="127"/>
    <x v="4"/>
    <x v="951"/>
    <x v="0"/>
    <x v="364"/>
    <n v="27.92"/>
    <x v="3"/>
  </r>
  <r>
    <x v="128"/>
    <x v="5"/>
    <x v="952"/>
    <x v="0"/>
    <x v="365"/>
    <n v="23.02"/>
    <x v="2"/>
  </r>
  <r>
    <x v="128"/>
    <x v="5"/>
    <x v="953"/>
    <x v="0"/>
    <x v="366"/>
    <n v="27.92"/>
    <x v="3"/>
  </r>
  <r>
    <x v="128"/>
    <x v="5"/>
    <x v="954"/>
    <x v="0"/>
    <x v="328"/>
    <n v="32.82"/>
    <x v="0"/>
  </r>
  <r>
    <x v="129"/>
    <x v="6"/>
    <x v="955"/>
    <x v="0"/>
    <x v="367"/>
    <n v="32.82"/>
    <x v="1"/>
  </r>
  <r>
    <x v="129"/>
    <x v="6"/>
    <x v="956"/>
    <x v="0"/>
    <x v="368"/>
    <n v="27.92"/>
    <x v="3"/>
  </r>
  <r>
    <x v="129"/>
    <x v="6"/>
    <x v="957"/>
    <x v="0"/>
    <x v="369"/>
    <n v="32.82"/>
    <x v="0"/>
  </r>
  <r>
    <x v="129"/>
    <x v="6"/>
    <x v="958"/>
    <x v="0"/>
    <x v="370"/>
    <n v="23.02"/>
    <x v="2"/>
  </r>
  <r>
    <x v="130"/>
    <x v="0"/>
    <x v="959"/>
    <x v="0"/>
    <x v="371"/>
    <n v="23.02"/>
    <x v="5"/>
  </r>
  <r>
    <x v="130"/>
    <x v="0"/>
    <x v="960"/>
    <x v="0"/>
    <x v="372"/>
    <n v="32.82"/>
    <x v="1"/>
  </r>
  <r>
    <x v="130"/>
    <x v="0"/>
    <x v="961"/>
    <x v="0"/>
    <x v="178"/>
    <n v="32.82"/>
    <x v="1"/>
  </r>
  <r>
    <x v="130"/>
    <x v="0"/>
    <x v="962"/>
    <x v="0"/>
    <x v="177"/>
    <n v="32.82"/>
    <x v="1"/>
  </r>
  <r>
    <x v="130"/>
    <x v="0"/>
    <x v="963"/>
    <x v="0"/>
    <x v="179"/>
    <n v="32.82"/>
    <x v="1"/>
  </r>
  <r>
    <x v="131"/>
    <x v="1"/>
    <x v="964"/>
    <x v="0"/>
    <x v="365"/>
    <n v="32.82"/>
    <x v="0"/>
  </r>
  <r>
    <x v="131"/>
    <x v="1"/>
    <x v="965"/>
    <x v="0"/>
    <x v="365"/>
    <n v="32.82"/>
    <x v="0"/>
  </r>
  <r>
    <x v="132"/>
    <x v="2"/>
    <x v="966"/>
    <x v="0"/>
    <x v="373"/>
    <n v="23.02"/>
    <x v="2"/>
  </r>
  <r>
    <x v="132"/>
    <x v="2"/>
    <x v="967"/>
    <x v="0"/>
    <x v="373"/>
    <n v="27.92"/>
    <x v="3"/>
  </r>
  <r>
    <x v="132"/>
    <x v="2"/>
    <x v="968"/>
    <x v="0"/>
    <x v="373"/>
    <n v="32.82"/>
    <x v="7"/>
  </r>
  <r>
    <x v="132"/>
    <x v="2"/>
    <x v="969"/>
    <x v="0"/>
    <x v="374"/>
    <n v="32.82"/>
    <x v="0"/>
  </r>
  <r>
    <x v="132"/>
    <x v="2"/>
    <x v="970"/>
    <x v="0"/>
    <x v="375"/>
    <n v="23.02"/>
    <x v="2"/>
  </r>
  <r>
    <x v="132"/>
    <x v="2"/>
    <x v="971"/>
    <x v="0"/>
    <x v="376"/>
    <n v="32.82"/>
    <x v="0"/>
  </r>
  <r>
    <x v="133"/>
    <x v="3"/>
    <x v="972"/>
    <x v="0"/>
    <x v="377"/>
    <n v="32.82"/>
    <x v="7"/>
  </r>
  <r>
    <x v="134"/>
    <x v="4"/>
    <x v="973"/>
    <x v="0"/>
    <x v="378"/>
    <n v="27.92"/>
    <x v="3"/>
  </r>
  <r>
    <x v="134"/>
    <x v="4"/>
    <x v="974"/>
    <x v="0"/>
    <x v="367"/>
    <n v="32.82"/>
    <x v="1"/>
  </r>
  <r>
    <x v="135"/>
    <x v="5"/>
    <x v="975"/>
    <x v="0"/>
    <x v="379"/>
    <n v="27.92"/>
    <x v="3"/>
  </r>
  <r>
    <x v="136"/>
    <x v="6"/>
    <x v="976"/>
    <x v="0"/>
    <x v="380"/>
    <n v="27.92"/>
    <x v="3"/>
  </r>
  <r>
    <x v="136"/>
    <x v="6"/>
    <x v="977"/>
    <x v="0"/>
    <x v="381"/>
    <n v="18.12"/>
    <x v="6"/>
  </r>
  <r>
    <x v="136"/>
    <x v="6"/>
    <x v="978"/>
    <x v="0"/>
    <x v="59"/>
    <n v="23.02"/>
    <x v="2"/>
  </r>
  <r>
    <x v="136"/>
    <x v="6"/>
    <x v="979"/>
    <x v="0"/>
    <x v="59"/>
    <n v="23.02"/>
    <x v="2"/>
  </r>
  <r>
    <x v="136"/>
    <x v="6"/>
    <x v="980"/>
    <x v="0"/>
    <x v="59"/>
    <n v="23.02"/>
    <x v="5"/>
  </r>
  <r>
    <x v="136"/>
    <x v="6"/>
    <x v="981"/>
    <x v="0"/>
    <x v="375"/>
    <n v="32.82"/>
    <x v="0"/>
  </r>
  <r>
    <x v="136"/>
    <x v="6"/>
    <x v="982"/>
    <x v="0"/>
    <x v="382"/>
    <n v="32.82"/>
    <x v="7"/>
  </r>
  <r>
    <x v="136"/>
    <x v="6"/>
    <x v="983"/>
    <x v="0"/>
    <x v="8"/>
    <n v="32.82"/>
    <x v="0"/>
  </r>
  <r>
    <x v="136"/>
    <x v="6"/>
    <x v="984"/>
    <x v="0"/>
    <x v="383"/>
    <n v="32.82"/>
    <x v="1"/>
  </r>
  <r>
    <x v="136"/>
    <x v="6"/>
    <x v="985"/>
    <x v="0"/>
    <x v="383"/>
    <n v="32.82"/>
    <x v="0"/>
  </r>
  <r>
    <x v="136"/>
    <x v="6"/>
    <x v="986"/>
    <x v="0"/>
    <x v="384"/>
    <n v="32.82"/>
    <x v="0"/>
  </r>
  <r>
    <x v="137"/>
    <x v="0"/>
    <x v="987"/>
    <x v="0"/>
    <x v="375"/>
    <n v="23.02"/>
    <x v="2"/>
  </r>
  <r>
    <x v="137"/>
    <x v="0"/>
    <x v="988"/>
    <x v="0"/>
    <x v="385"/>
    <n v="27.92"/>
    <x v="3"/>
  </r>
  <r>
    <x v="137"/>
    <x v="0"/>
    <x v="989"/>
    <x v="0"/>
    <x v="386"/>
    <n v="32.82"/>
    <x v="0"/>
  </r>
  <r>
    <x v="137"/>
    <x v="0"/>
    <x v="990"/>
    <x v="0"/>
    <x v="386"/>
    <n v="27.92"/>
    <x v="3"/>
  </r>
  <r>
    <x v="137"/>
    <x v="0"/>
    <x v="991"/>
    <x v="0"/>
    <x v="384"/>
    <n v="32.82"/>
    <x v="0"/>
  </r>
  <r>
    <x v="137"/>
    <x v="0"/>
    <x v="992"/>
    <x v="0"/>
    <x v="384"/>
    <n v="32.82"/>
    <x v="4"/>
  </r>
  <r>
    <x v="137"/>
    <x v="0"/>
    <x v="993"/>
    <x v="0"/>
    <x v="384"/>
    <n v="32.82"/>
    <x v="0"/>
  </r>
  <r>
    <x v="137"/>
    <x v="0"/>
    <x v="994"/>
    <x v="0"/>
    <x v="384"/>
    <n v="32.82"/>
    <x v="0"/>
  </r>
  <r>
    <x v="138"/>
    <x v="1"/>
    <x v="995"/>
    <x v="0"/>
    <x v="387"/>
    <n v="23.02"/>
    <x v="2"/>
  </r>
  <r>
    <x v="138"/>
    <x v="1"/>
    <x v="996"/>
    <x v="0"/>
    <x v="387"/>
    <n v="32.82"/>
    <x v="0"/>
  </r>
  <r>
    <x v="138"/>
    <x v="1"/>
    <x v="997"/>
    <x v="0"/>
    <x v="387"/>
    <n v="23.02"/>
    <x v="2"/>
  </r>
  <r>
    <x v="138"/>
    <x v="1"/>
    <x v="998"/>
    <x v="0"/>
    <x v="388"/>
    <n v="32.82"/>
    <x v="0"/>
  </r>
  <r>
    <x v="138"/>
    <x v="1"/>
    <x v="999"/>
    <x v="0"/>
    <x v="389"/>
    <n v="32.82"/>
    <x v="0"/>
  </r>
  <r>
    <x v="138"/>
    <x v="1"/>
    <x v="1000"/>
    <x v="0"/>
    <x v="390"/>
    <n v="23.02"/>
    <x v="2"/>
  </r>
  <r>
    <x v="138"/>
    <x v="1"/>
    <x v="1001"/>
    <x v="0"/>
    <x v="391"/>
    <n v="32.82"/>
    <x v="0"/>
  </r>
  <r>
    <x v="139"/>
    <x v="2"/>
    <x v="1002"/>
    <x v="0"/>
    <x v="367"/>
    <n v="32.82"/>
    <x v="4"/>
  </r>
  <r>
    <x v="139"/>
    <x v="2"/>
    <x v="1003"/>
    <x v="0"/>
    <x v="392"/>
    <n v="32.82"/>
    <x v="7"/>
  </r>
  <r>
    <x v="139"/>
    <x v="2"/>
    <x v="1004"/>
    <x v="0"/>
    <x v="393"/>
    <n v="23.02"/>
    <x v="5"/>
  </r>
  <r>
    <x v="139"/>
    <x v="2"/>
    <x v="1005"/>
    <x v="0"/>
    <x v="394"/>
    <n v="32.82"/>
    <x v="0"/>
  </r>
  <r>
    <x v="140"/>
    <x v="3"/>
    <x v="1006"/>
    <x v="0"/>
    <x v="375"/>
    <n v="23.02"/>
    <x v="2"/>
  </r>
  <r>
    <x v="140"/>
    <x v="3"/>
    <x v="1007"/>
    <x v="0"/>
    <x v="395"/>
    <n v="23.02"/>
    <x v="2"/>
  </r>
  <r>
    <x v="140"/>
    <x v="3"/>
    <x v="1008"/>
    <x v="0"/>
    <x v="385"/>
    <n v="27.92"/>
    <x v="3"/>
  </r>
  <r>
    <x v="140"/>
    <x v="3"/>
    <x v="1009"/>
    <x v="0"/>
    <x v="396"/>
    <n v="32.82"/>
    <x v="0"/>
  </r>
  <r>
    <x v="141"/>
    <x v="4"/>
    <x v="1010"/>
    <x v="0"/>
    <x v="197"/>
    <n v="32.82"/>
    <x v="0"/>
  </r>
  <r>
    <x v="141"/>
    <x v="4"/>
    <x v="1011"/>
    <x v="0"/>
    <x v="395"/>
    <n v="23.02"/>
    <x v="2"/>
  </r>
  <r>
    <x v="141"/>
    <x v="4"/>
    <x v="1012"/>
    <x v="0"/>
    <x v="397"/>
    <n v="27.92"/>
    <x v="3"/>
  </r>
  <r>
    <x v="141"/>
    <x v="4"/>
    <x v="1013"/>
    <x v="0"/>
    <x v="398"/>
    <n v="32.82"/>
    <x v="4"/>
  </r>
  <r>
    <x v="141"/>
    <x v="4"/>
    <x v="1014"/>
    <x v="0"/>
    <x v="399"/>
    <n v="32.82"/>
    <x v="0"/>
  </r>
  <r>
    <x v="141"/>
    <x v="4"/>
    <x v="1015"/>
    <x v="0"/>
    <x v="375"/>
    <n v="23.02"/>
    <x v="2"/>
  </r>
  <r>
    <x v="141"/>
    <x v="4"/>
    <x v="1016"/>
    <x v="0"/>
    <x v="400"/>
    <n v="27.92"/>
    <x v="3"/>
  </r>
  <r>
    <x v="141"/>
    <x v="4"/>
    <x v="1017"/>
    <x v="0"/>
    <x v="401"/>
    <n v="27.92"/>
    <x v="3"/>
  </r>
  <r>
    <x v="141"/>
    <x v="4"/>
    <x v="1018"/>
    <x v="0"/>
    <x v="401"/>
    <n v="32.82"/>
    <x v="0"/>
  </r>
  <r>
    <x v="141"/>
    <x v="4"/>
    <x v="1019"/>
    <x v="0"/>
    <x v="8"/>
    <n v="32.82"/>
    <x v="0"/>
  </r>
  <r>
    <x v="141"/>
    <x v="4"/>
    <x v="1020"/>
    <x v="0"/>
    <x v="12"/>
    <n v="23.02"/>
    <x v="2"/>
  </r>
  <r>
    <x v="141"/>
    <x v="4"/>
    <x v="1021"/>
    <x v="0"/>
    <x v="12"/>
    <n v="23.02"/>
    <x v="2"/>
  </r>
  <r>
    <x v="142"/>
    <x v="5"/>
    <x v="1022"/>
    <x v="0"/>
    <x v="97"/>
    <n v="27.92"/>
    <x v="3"/>
  </r>
  <r>
    <x v="142"/>
    <x v="5"/>
    <x v="1023"/>
    <x v="0"/>
    <x v="385"/>
    <n v="27.92"/>
    <x v="3"/>
  </r>
  <r>
    <x v="142"/>
    <x v="5"/>
    <x v="1024"/>
    <x v="0"/>
    <x v="402"/>
    <n v="18.12"/>
    <x v="6"/>
  </r>
  <r>
    <x v="142"/>
    <x v="5"/>
    <x v="1025"/>
    <x v="0"/>
    <x v="379"/>
    <n v="32.82"/>
    <x v="7"/>
  </r>
  <r>
    <x v="142"/>
    <x v="5"/>
    <x v="1026"/>
    <x v="0"/>
    <x v="399"/>
    <n v="32.82"/>
    <x v="0"/>
  </r>
  <r>
    <x v="142"/>
    <x v="5"/>
    <x v="1027"/>
    <x v="0"/>
    <x v="12"/>
    <n v="18.12"/>
    <x v="6"/>
  </r>
  <r>
    <x v="142"/>
    <x v="5"/>
    <x v="1028"/>
    <x v="0"/>
    <x v="8"/>
    <n v="32.82"/>
    <x v="0"/>
  </r>
  <r>
    <x v="142"/>
    <x v="5"/>
    <x v="1029"/>
    <x v="0"/>
    <x v="205"/>
    <n v="32.82"/>
    <x v="7"/>
  </r>
  <r>
    <x v="142"/>
    <x v="5"/>
    <x v="1030"/>
    <x v="0"/>
    <x v="205"/>
    <n v="32.82"/>
    <x v="7"/>
  </r>
  <r>
    <x v="142"/>
    <x v="5"/>
    <x v="1031"/>
    <x v="0"/>
    <x v="40"/>
    <n v="27.92"/>
    <x v="3"/>
  </r>
  <r>
    <x v="142"/>
    <x v="5"/>
    <x v="1032"/>
    <x v="0"/>
    <x v="40"/>
    <n v="23.02"/>
    <x v="2"/>
  </r>
  <r>
    <x v="142"/>
    <x v="5"/>
    <x v="1033"/>
    <x v="0"/>
    <x v="12"/>
    <n v="23.02"/>
    <x v="2"/>
  </r>
  <r>
    <x v="143"/>
    <x v="6"/>
    <x v="1034"/>
    <x v="0"/>
    <x v="12"/>
    <n v="23.02"/>
    <x v="2"/>
  </r>
  <r>
    <x v="143"/>
    <x v="6"/>
    <x v="1035"/>
    <x v="0"/>
    <x v="399"/>
    <n v="32.82"/>
    <x v="0"/>
  </r>
  <r>
    <x v="143"/>
    <x v="6"/>
    <x v="1036"/>
    <x v="0"/>
    <x v="385"/>
    <n v="27.92"/>
    <x v="3"/>
  </r>
  <r>
    <x v="143"/>
    <x v="6"/>
    <x v="1037"/>
    <x v="0"/>
    <x v="375"/>
    <n v="23.02"/>
    <x v="2"/>
  </r>
  <r>
    <x v="143"/>
    <x v="6"/>
    <x v="1038"/>
    <x v="0"/>
    <x v="403"/>
    <n v="32.82"/>
    <x v="7"/>
  </r>
  <r>
    <x v="143"/>
    <x v="6"/>
    <x v="1039"/>
    <x v="0"/>
    <x v="257"/>
    <n v="32.82"/>
    <x v="7"/>
  </r>
  <r>
    <x v="143"/>
    <x v="6"/>
    <x v="1040"/>
    <x v="0"/>
    <x v="404"/>
    <n v="23.02"/>
    <x v="5"/>
  </r>
  <r>
    <x v="143"/>
    <x v="6"/>
    <x v="1041"/>
    <x v="0"/>
    <x v="404"/>
    <n v="18.12"/>
    <x v="6"/>
  </r>
  <r>
    <x v="143"/>
    <x v="6"/>
    <x v="1042"/>
    <x v="0"/>
    <x v="328"/>
    <n v="23.02"/>
    <x v="5"/>
  </r>
  <r>
    <x v="143"/>
    <x v="6"/>
    <x v="1043"/>
    <x v="0"/>
    <x v="405"/>
    <n v="32.82"/>
    <x v="4"/>
  </r>
  <r>
    <x v="144"/>
    <x v="0"/>
    <x v="1044"/>
    <x v="0"/>
    <x v="406"/>
    <n v="32.82"/>
    <x v="0"/>
  </r>
  <r>
    <x v="144"/>
    <x v="0"/>
    <x v="1045"/>
    <x v="0"/>
    <x v="97"/>
    <n v="27.92"/>
    <x v="3"/>
  </r>
  <r>
    <x v="144"/>
    <x v="0"/>
    <x v="1046"/>
    <x v="0"/>
    <x v="59"/>
    <n v="18.12"/>
    <x v="6"/>
  </r>
  <r>
    <x v="144"/>
    <x v="0"/>
    <x v="1047"/>
    <x v="0"/>
    <x v="407"/>
    <n v="23.02"/>
    <x v="5"/>
  </r>
  <r>
    <x v="144"/>
    <x v="0"/>
    <x v="1048"/>
    <x v="0"/>
    <x v="407"/>
    <n v="23.02"/>
    <x v="5"/>
  </r>
  <r>
    <x v="144"/>
    <x v="0"/>
    <x v="1049"/>
    <x v="0"/>
    <x v="408"/>
    <n v="32.82"/>
    <x v="0"/>
  </r>
  <r>
    <x v="144"/>
    <x v="0"/>
    <x v="1050"/>
    <x v="0"/>
    <x v="408"/>
    <n v="32.82"/>
    <x v="0"/>
  </r>
  <r>
    <x v="144"/>
    <x v="0"/>
    <x v="1051"/>
    <x v="0"/>
    <x v="385"/>
    <n v="27.92"/>
    <x v="3"/>
  </r>
  <r>
    <x v="144"/>
    <x v="0"/>
    <x v="1052"/>
    <x v="0"/>
    <x v="379"/>
    <n v="27.92"/>
    <x v="3"/>
  </r>
  <r>
    <x v="144"/>
    <x v="0"/>
    <x v="1053"/>
    <x v="0"/>
    <x v="339"/>
    <n v="32.82"/>
    <x v="7"/>
  </r>
  <r>
    <x v="144"/>
    <x v="0"/>
    <x v="1054"/>
    <x v="0"/>
    <x v="339"/>
    <n v="32.82"/>
    <x v="7"/>
  </r>
  <r>
    <x v="144"/>
    <x v="0"/>
    <x v="1055"/>
    <x v="0"/>
    <x v="409"/>
    <n v="32.82"/>
    <x v="0"/>
  </r>
  <r>
    <x v="144"/>
    <x v="0"/>
    <x v="1056"/>
    <x v="0"/>
    <x v="410"/>
    <n v="23.02"/>
    <x v="2"/>
  </r>
  <r>
    <x v="144"/>
    <x v="0"/>
    <x v="1057"/>
    <x v="0"/>
    <x v="411"/>
    <n v="32.82"/>
    <x v="7"/>
  </r>
  <r>
    <x v="144"/>
    <x v="0"/>
    <x v="1058"/>
    <x v="0"/>
    <x v="8"/>
    <n v="32.82"/>
    <x v="0"/>
  </r>
  <r>
    <x v="144"/>
    <x v="0"/>
    <x v="1059"/>
    <x v="0"/>
    <x v="412"/>
    <n v="27.92"/>
    <x v="3"/>
  </r>
  <r>
    <x v="145"/>
    <x v="1"/>
    <x v="1060"/>
    <x v="0"/>
    <x v="97"/>
    <n v="32.82"/>
    <x v="7"/>
  </r>
  <r>
    <x v="145"/>
    <x v="1"/>
    <x v="1061"/>
    <x v="0"/>
    <x v="413"/>
    <n v="27.92"/>
    <x v="3"/>
  </r>
  <r>
    <x v="145"/>
    <x v="1"/>
    <x v="1062"/>
    <x v="0"/>
    <x v="59"/>
    <n v="27.92"/>
    <x v="3"/>
  </r>
  <r>
    <x v="145"/>
    <x v="1"/>
    <x v="1063"/>
    <x v="0"/>
    <x v="40"/>
    <n v="18.12"/>
    <x v="6"/>
  </r>
  <r>
    <x v="145"/>
    <x v="1"/>
    <x v="1064"/>
    <x v="0"/>
    <x v="59"/>
    <n v="27.92"/>
    <x v="3"/>
  </r>
  <r>
    <x v="145"/>
    <x v="1"/>
    <x v="1065"/>
    <x v="0"/>
    <x v="225"/>
    <n v="18.12"/>
    <x v="6"/>
  </r>
  <r>
    <x v="145"/>
    <x v="1"/>
    <x v="1066"/>
    <x v="0"/>
    <x v="77"/>
    <n v="32.82"/>
    <x v="0"/>
  </r>
  <r>
    <x v="145"/>
    <x v="1"/>
    <x v="1067"/>
    <x v="0"/>
    <x v="414"/>
    <n v="32.82"/>
    <x v="7"/>
  </r>
  <r>
    <x v="145"/>
    <x v="1"/>
    <x v="1068"/>
    <x v="0"/>
    <x v="415"/>
    <n v="32.82"/>
    <x v="7"/>
  </r>
  <r>
    <x v="145"/>
    <x v="1"/>
    <x v="1069"/>
    <x v="0"/>
    <x v="416"/>
    <n v="27.92"/>
    <x v="3"/>
  </r>
  <r>
    <x v="145"/>
    <x v="1"/>
    <x v="1070"/>
    <x v="0"/>
    <x v="416"/>
    <n v="27.92"/>
    <x v="3"/>
  </r>
  <r>
    <x v="145"/>
    <x v="1"/>
    <x v="1071"/>
    <x v="0"/>
    <x v="8"/>
    <n v="32.82"/>
    <x v="0"/>
  </r>
  <r>
    <x v="145"/>
    <x v="1"/>
    <x v="1072"/>
    <x v="0"/>
    <x v="417"/>
    <n v="32.82"/>
    <x v="7"/>
  </r>
  <r>
    <x v="146"/>
    <x v="2"/>
    <x v="1073"/>
    <x v="0"/>
    <x v="12"/>
    <n v="18.12"/>
    <x v="6"/>
  </r>
  <r>
    <x v="146"/>
    <x v="2"/>
    <x v="1074"/>
    <x v="0"/>
    <x v="276"/>
    <n v="27.92"/>
    <x v="3"/>
  </r>
  <r>
    <x v="146"/>
    <x v="2"/>
    <x v="1075"/>
    <x v="0"/>
    <x v="276"/>
    <n v="32.82"/>
    <x v="0"/>
  </r>
  <r>
    <x v="147"/>
    <x v="3"/>
    <x v="1076"/>
    <x v="0"/>
    <x v="418"/>
    <n v="32.82"/>
    <x v="0"/>
  </r>
  <r>
    <x v="147"/>
    <x v="3"/>
    <x v="1077"/>
    <x v="0"/>
    <x v="12"/>
    <n v="23.02"/>
    <x v="2"/>
  </r>
  <r>
    <x v="147"/>
    <x v="3"/>
    <x v="1078"/>
    <x v="0"/>
    <x v="97"/>
    <n v="27.92"/>
    <x v="3"/>
  </r>
  <r>
    <x v="147"/>
    <x v="3"/>
    <x v="1079"/>
    <x v="0"/>
    <x v="2"/>
    <n v="23.02"/>
    <x v="2"/>
  </r>
  <r>
    <x v="147"/>
    <x v="3"/>
    <x v="1080"/>
    <x v="0"/>
    <x v="419"/>
    <n v="27.92"/>
    <x v="3"/>
  </r>
  <r>
    <x v="147"/>
    <x v="3"/>
    <x v="1081"/>
    <x v="0"/>
    <x v="420"/>
    <n v="32.82"/>
    <x v="7"/>
  </r>
  <r>
    <x v="147"/>
    <x v="3"/>
    <x v="1082"/>
    <x v="0"/>
    <x v="421"/>
    <n v="32.82"/>
    <x v="1"/>
  </r>
  <r>
    <x v="147"/>
    <x v="3"/>
    <x v="1083"/>
    <x v="0"/>
    <x v="421"/>
    <n v="32.82"/>
    <x v="1"/>
  </r>
  <r>
    <x v="147"/>
    <x v="3"/>
    <x v="1084"/>
    <x v="0"/>
    <x v="422"/>
    <n v="32.82"/>
    <x v="7"/>
  </r>
  <r>
    <x v="147"/>
    <x v="3"/>
    <x v="1085"/>
    <x v="0"/>
    <x v="99"/>
    <n v="23.02"/>
    <x v="2"/>
  </r>
  <r>
    <x v="147"/>
    <x v="3"/>
    <x v="1086"/>
    <x v="0"/>
    <x v="328"/>
    <n v="32.82"/>
    <x v="4"/>
  </r>
  <r>
    <x v="148"/>
    <x v="4"/>
    <x v="1087"/>
    <x v="0"/>
    <x v="423"/>
    <n v="27.92"/>
    <x v="3"/>
  </r>
  <r>
    <x v="148"/>
    <x v="4"/>
    <x v="1088"/>
    <x v="0"/>
    <x v="424"/>
    <n v="23.02"/>
    <x v="5"/>
  </r>
  <r>
    <x v="148"/>
    <x v="4"/>
    <x v="1089"/>
    <x v="0"/>
    <x v="425"/>
    <n v="32.82"/>
    <x v="7"/>
  </r>
  <r>
    <x v="148"/>
    <x v="4"/>
    <x v="1090"/>
    <x v="0"/>
    <x v="97"/>
    <n v="27.92"/>
    <x v="3"/>
  </r>
  <r>
    <x v="148"/>
    <x v="4"/>
    <x v="1091"/>
    <x v="0"/>
    <x v="141"/>
    <n v="23.02"/>
    <x v="5"/>
  </r>
  <r>
    <x v="148"/>
    <x v="4"/>
    <x v="1092"/>
    <x v="0"/>
    <x v="276"/>
    <n v="27.92"/>
    <x v="3"/>
  </r>
  <r>
    <x v="148"/>
    <x v="4"/>
    <x v="1093"/>
    <x v="0"/>
    <x v="250"/>
    <n v="32.82"/>
    <x v="0"/>
  </r>
  <r>
    <x v="148"/>
    <x v="4"/>
    <x v="1094"/>
    <x v="0"/>
    <x v="426"/>
    <n v="23.02"/>
    <x v="2"/>
  </r>
  <r>
    <x v="148"/>
    <x v="4"/>
    <x v="1095"/>
    <x v="0"/>
    <x v="426"/>
    <n v="18.12"/>
    <x v="6"/>
  </r>
  <r>
    <x v="148"/>
    <x v="4"/>
    <x v="1096"/>
    <x v="0"/>
    <x v="427"/>
    <n v="27.92"/>
    <x v="3"/>
  </r>
  <r>
    <x v="148"/>
    <x v="4"/>
    <x v="1097"/>
    <x v="0"/>
    <x v="428"/>
    <n v="27.92"/>
    <x v="3"/>
  </r>
  <r>
    <x v="148"/>
    <x v="4"/>
    <x v="1098"/>
    <x v="0"/>
    <x v="429"/>
    <n v="27.92"/>
    <x v="3"/>
  </r>
  <r>
    <x v="148"/>
    <x v="4"/>
    <x v="1099"/>
    <x v="0"/>
    <x v="430"/>
    <n v="27.92"/>
    <x v="3"/>
  </r>
  <r>
    <x v="148"/>
    <x v="4"/>
    <x v="1100"/>
    <x v="0"/>
    <x v="431"/>
    <n v="32.82"/>
    <x v="0"/>
  </r>
  <r>
    <x v="148"/>
    <x v="4"/>
    <x v="1101"/>
    <x v="0"/>
    <x v="432"/>
    <n v="27.92"/>
    <x v="3"/>
  </r>
  <r>
    <x v="148"/>
    <x v="4"/>
    <x v="1102"/>
    <x v="0"/>
    <x v="433"/>
    <n v="23.02"/>
    <x v="5"/>
  </r>
  <r>
    <x v="148"/>
    <x v="4"/>
    <x v="1103"/>
    <x v="0"/>
    <x v="433"/>
    <n v="27.92"/>
    <x v="3"/>
  </r>
  <r>
    <x v="148"/>
    <x v="4"/>
    <x v="1104"/>
    <x v="0"/>
    <x v="434"/>
    <n v="18.12"/>
    <x v="6"/>
  </r>
  <r>
    <x v="148"/>
    <x v="4"/>
    <x v="1105"/>
    <x v="0"/>
    <x v="97"/>
    <n v="27.92"/>
    <x v="3"/>
  </r>
  <r>
    <x v="148"/>
    <x v="4"/>
    <x v="1106"/>
    <x v="0"/>
    <x v="97"/>
    <n v="27.92"/>
    <x v="3"/>
  </r>
  <r>
    <x v="148"/>
    <x v="4"/>
    <x v="1107"/>
    <x v="0"/>
    <x v="347"/>
    <n v="27.92"/>
    <x v="3"/>
  </r>
  <r>
    <x v="148"/>
    <x v="4"/>
    <x v="1108"/>
    <x v="0"/>
    <x v="435"/>
    <n v="32.82"/>
    <x v="0"/>
  </r>
  <r>
    <x v="148"/>
    <x v="4"/>
    <x v="1109"/>
    <x v="0"/>
    <x v="436"/>
    <n v="23.02"/>
    <x v="2"/>
  </r>
  <r>
    <x v="148"/>
    <x v="4"/>
    <x v="1110"/>
    <x v="0"/>
    <x v="436"/>
    <n v="32.82"/>
    <x v="7"/>
  </r>
  <r>
    <x v="149"/>
    <x v="5"/>
    <x v="1111"/>
    <x v="0"/>
    <x v="423"/>
    <n v="27.92"/>
    <x v="3"/>
  </r>
  <r>
    <x v="149"/>
    <x v="5"/>
    <x v="1112"/>
    <x v="0"/>
    <x v="437"/>
    <n v="27.92"/>
    <x v="3"/>
  </r>
  <r>
    <x v="149"/>
    <x v="5"/>
    <x v="1113"/>
    <x v="0"/>
    <x v="437"/>
    <n v="27.92"/>
    <x v="3"/>
  </r>
  <r>
    <x v="149"/>
    <x v="5"/>
    <x v="1114"/>
    <x v="0"/>
    <x v="388"/>
    <n v="23.02"/>
    <x v="2"/>
  </r>
  <r>
    <x v="149"/>
    <x v="5"/>
    <x v="1115"/>
    <x v="0"/>
    <x v="388"/>
    <n v="23.02"/>
    <x v="2"/>
  </r>
  <r>
    <x v="149"/>
    <x v="5"/>
    <x v="1116"/>
    <x v="0"/>
    <x v="276"/>
    <n v="27.92"/>
    <x v="3"/>
  </r>
  <r>
    <x v="149"/>
    <x v="5"/>
    <x v="1117"/>
    <x v="0"/>
    <x v="384"/>
    <n v="32.82"/>
    <x v="4"/>
  </r>
  <r>
    <x v="149"/>
    <x v="5"/>
    <x v="1118"/>
    <x v="0"/>
    <x v="384"/>
    <n v="32.82"/>
    <x v="0"/>
  </r>
  <r>
    <x v="149"/>
    <x v="5"/>
    <x v="1119"/>
    <x v="0"/>
    <x v="438"/>
    <n v="27.92"/>
    <x v="3"/>
  </r>
  <r>
    <x v="149"/>
    <x v="5"/>
    <x v="1120"/>
    <x v="0"/>
    <x v="439"/>
    <n v="23.02"/>
    <x v="5"/>
  </r>
  <r>
    <x v="149"/>
    <x v="5"/>
    <x v="1121"/>
    <x v="0"/>
    <x v="440"/>
    <n v="32.82"/>
    <x v="0"/>
  </r>
  <r>
    <x v="149"/>
    <x v="5"/>
    <x v="1122"/>
    <x v="0"/>
    <x v="441"/>
    <n v="23.02"/>
    <x v="5"/>
  </r>
  <r>
    <x v="149"/>
    <x v="5"/>
    <x v="1123"/>
    <x v="0"/>
    <x v="8"/>
    <n v="32.82"/>
    <x v="0"/>
  </r>
  <r>
    <x v="149"/>
    <x v="5"/>
    <x v="1124"/>
    <x v="0"/>
    <x v="442"/>
    <n v="32.82"/>
    <x v="4"/>
  </r>
  <r>
    <x v="149"/>
    <x v="5"/>
    <x v="1125"/>
    <x v="0"/>
    <x v="443"/>
    <n v="23.02"/>
    <x v="5"/>
  </r>
  <r>
    <x v="149"/>
    <x v="5"/>
    <x v="1126"/>
    <x v="0"/>
    <x v="443"/>
    <n v="32.82"/>
    <x v="0"/>
  </r>
  <r>
    <x v="149"/>
    <x v="5"/>
    <x v="1127"/>
    <x v="0"/>
    <x v="153"/>
    <n v="32.82"/>
    <x v="7"/>
  </r>
  <r>
    <x v="149"/>
    <x v="5"/>
    <x v="1128"/>
    <x v="0"/>
    <x v="443"/>
    <n v="23.02"/>
    <x v="5"/>
  </r>
  <r>
    <x v="149"/>
    <x v="5"/>
    <x v="1129"/>
    <x v="0"/>
    <x v="40"/>
    <n v="27.92"/>
    <x v="3"/>
  </r>
  <r>
    <x v="149"/>
    <x v="5"/>
    <x v="1130"/>
    <x v="0"/>
    <x v="444"/>
    <n v="32.82"/>
    <x v="0"/>
  </r>
  <r>
    <x v="149"/>
    <x v="5"/>
    <x v="1131"/>
    <x v="0"/>
    <x v="445"/>
    <n v="32.82"/>
    <x v="0"/>
  </r>
  <r>
    <x v="149"/>
    <x v="5"/>
    <x v="1132"/>
    <x v="0"/>
    <x v="446"/>
    <n v="32.82"/>
    <x v="0"/>
  </r>
  <r>
    <x v="150"/>
    <x v="6"/>
    <x v="1133"/>
    <x v="0"/>
    <x v="423"/>
    <n v="27.92"/>
    <x v="3"/>
  </r>
  <r>
    <x v="150"/>
    <x v="6"/>
    <x v="1134"/>
    <x v="0"/>
    <x v="276"/>
    <n v="27.92"/>
    <x v="3"/>
  </r>
  <r>
    <x v="150"/>
    <x v="6"/>
    <x v="1135"/>
    <x v="0"/>
    <x v="97"/>
    <n v="27.92"/>
    <x v="3"/>
  </r>
  <r>
    <x v="150"/>
    <x v="6"/>
    <x v="1136"/>
    <x v="0"/>
    <x v="447"/>
    <n v="27.92"/>
    <x v="3"/>
  </r>
  <r>
    <x v="150"/>
    <x v="6"/>
    <x v="1137"/>
    <x v="0"/>
    <x v="448"/>
    <n v="23.02"/>
    <x v="5"/>
  </r>
  <r>
    <x v="150"/>
    <x v="6"/>
    <x v="1138"/>
    <x v="0"/>
    <x v="448"/>
    <n v="32.82"/>
    <x v="7"/>
  </r>
  <r>
    <x v="150"/>
    <x v="6"/>
    <x v="1139"/>
    <x v="0"/>
    <x v="449"/>
    <n v="32.82"/>
    <x v="7"/>
  </r>
  <r>
    <x v="150"/>
    <x v="6"/>
    <x v="1140"/>
    <x v="0"/>
    <x v="423"/>
    <n v="27.92"/>
    <x v="3"/>
  </r>
  <r>
    <x v="150"/>
    <x v="6"/>
    <x v="1141"/>
    <x v="0"/>
    <x v="450"/>
    <n v="27.92"/>
    <x v="3"/>
  </r>
  <r>
    <x v="150"/>
    <x v="6"/>
    <x v="1142"/>
    <x v="0"/>
    <x v="450"/>
    <n v="23.02"/>
    <x v="2"/>
  </r>
  <r>
    <x v="150"/>
    <x v="6"/>
    <x v="1143"/>
    <x v="0"/>
    <x v="451"/>
    <n v="23.02"/>
    <x v="2"/>
  </r>
  <r>
    <x v="150"/>
    <x v="6"/>
    <x v="1144"/>
    <x v="0"/>
    <x v="452"/>
    <n v="32.82"/>
    <x v="7"/>
  </r>
  <r>
    <x v="151"/>
    <x v="0"/>
    <x v="1145"/>
    <x v="0"/>
    <x v="453"/>
    <n v="27.92"/>
    <x v="3"/>
  </r>
  <r>
    <x v="151"/>
    <x v="0"/>
    <x v="1146"/>
    <x v="0"/>
    <x v="97"/>
    <n v="27.92"/>
    <x v="3"/>
  </r>
  <r>
    <x v="151"/>
    <x v="0"/>
    <x v="1147"/>
    <x v="0"/>
    <x v="141"/>
    <n v="23.02"/>
    <x v="5"/>
  </r>
  <r>
    <x v="151"/>
    <x v="0"/>
    <x v="1148"/>
    <x v="0"/>
    <x v="454"/>
    <n v="27.92"/>
    <x v="3"/>
  </r>
  <r>
    <x v="151"/>
    <x v="0"/>
    <x v="1149"/>
    <x v="0"/>
    <x v="8"/>
    <n v="32.82"/>
    <x v="0"/>
  </r>
  <r>
    <x v="152"/>
    <x v="1"/>
    <x v="1150"/>
    <x v="0"/>
    <x v="97"/>
    <n v="27.92"/>
    <x v="3"/>
  </r>
  <r>
    <x v="152"/>
    <x v="1"/>
    <x v="1151"/>
    <x v="0"/>
    <x v="401"/>
    <n v="27.92"/>
    <x v="3"/>
  </r>
  <r>
    <x v="152"/>
    <x v="1"/>
    <x v="1152"/>
    <x v="0"/>
    <x v="401"/>
    <n v="27.92"/>
    <x v="3"/>
  </r>
  <r>
    <x v="152"/>
    <x v="1"/>
    <x v="1153"/>
    <x v="0"/>
    <x v="304"/>
    <n v="27.92"/>
    <x v="3"/>
  </r>
  <r>
    <x v="152"/>
    <x v="1"/>
    <x v="1154"/>
    <x v="0"/>
    <x v="455"/>
    <n v="23.02"/>
    <x v="5"/>
  </r>
  <r>
    <x v="152"/>
    <x v="1"/>
    <x v="1155"/>
    <x v="0"/>
    <x v="455"/>
    <n v="23.02"/>
    <x v="5"/>
  </r>
  <r>
    <x v="152"/>
    <x v="1"/>
    <x v="1156"/>
    <x v="0"/>
    <x v="40"/>
    <n v="18.12"/>
    <x v="6"/>
  </r>
  <r>
    <x v="152"/>
    <x v="1"/>
    <x v="1157"/>
    <x v="0"/>
    <x v="40"/>
    <n v="27.92"/>
    <x v="3"/>
  </r>
  <r>
    <x v="152"/>
    <x v="1"/>
    <x v="1158"/>
    <x v="0"/>
    <x v="40"/>
    <n v="27.92"/>
    <x v="3"/>
  </r>
  <r>
    <x v="152"/>
    <x v="1"/>
    <x v="1159"/>
    <x v="0"/>
    <x v="322"/>
    <n v="27.92"/>
    <x v="3"/>
  </r>
  <r>
    <x v="152"/>
    <x v="1"/>
    <x v="1160"/>
    <x v="0"/>
    <x v="456"/>
    <n v="32.82"/>
    <x v="7"/>
  </r>
  <r>
    <x v="152"/>
    <x v="1"/>
    <x v="1161"/>
    <x v="0"/>
    <x v="457"/>
    <n v="32.82"/>
    <x v="0"/>
  </r>
  <r>
    <x v="152"/>
    <x v="1"/>
    <x v="1162"/>
    <x v="0"/>
    <x v="457"/>
    <n v="32.82"/>
    <x v="0"/>
  </r>
  <r>
    <x v="153"/>
    <x v="2"/>
    <x v="1163"/>
    <x v="0"/>
    <x v="458"/>
    <n v="32.82"/>
    <x v="7"/>
  </r>
  <r>
    <x v="153"/>
    <x v="2"/>
    <x v="1164"/>
    <x v="0"/>
    <x v="40"/>
    <n v="27.92"/>
    <x v="3"/>
  </r>
  <r>
    <x v="153"/>
    <x v="2"/>
    <x v="1165"/>
    <x v="0"/>
    <x v="258"/>
    <n v="32.82"/>
    <x v="7"/>
  </r>
  <r>
    <x v="153"/>
    <x v="2"/>
    <x v="1166"/>
    <x v="0"/>
    <x v="258"/>
    <n v="27.92"/>
    <x v="3"/>
  </r>
  <r>
    <x v="153"/>
    <x v="2"/>
    <x v="1167"/>
    <x v="0"/>
    <x v="268"/>
    <n v="32.82"/>
    <x v="7"/>
  </r>
  <r>
    <x v="153"/>
    <x v="2"/>
    <x v="1168"/>
    <x v="0"/>
    <x v="268"/>
    <n v="32.82"/>
    <x v="7"/>
  </r>
  <r>
    <x v="154"/>
    <x v="3"/>
    <x v="1169"/>
    <x v="0"/>
    <x v="459"/>
    <n v="23.02"/>
    <x v="5"/>
  </r>
  <r>
    <x v="154"/>
    <x v="3"/>
    <x v="1170"/>
    <x v="0"/>
    <x v="97"/>
    <n v="27.92"/>
    <x v="3"/>
  </r>
  <r>
    <x v="154"/>
    <x v="3"/>
    <x v="1171"/>
    <x v="0"/>
    <x v="375"/>
    <n v="23.02"/>
    <x v="5"/>
  </r>
  <r>
    <x v="154"/>
    <x v="3"/>
    <x v="1172"/>
    <x v="0"/>
    <x v="460"/>
    <n v="32.82"/>
    <x v="7"/>
  </r>
  <r>
    <x v="154"/>
    <x v="3"/>
    <x v="1173"/>
    <x v="0"/>
    <x v="461"/>
    <n v="32.82"/>
    <x v="0"/>
  </r>
  <r>
    <x v="154"/>
    <x v="3"/>
    <x v="1174"/>
    <x v="0"/>
    <x v="461"/>
    <n v="32.82"/>
    <x v="0"/>
  </r>
  <r>
    <x v="154"/>
    <x v="3"/>
    <x v="1175"/>
    <x v="0"/>
    <x v="462"/>
    <n v="32.82"/>
    <x v="0"/>
  </r>
  <r>
    <x v="154"/>
    <x v="3"/>
    <x v="1176"/>
    <x v="0"/>
    <x v="462"/>
    <n v="27.92"/>
    <x v="3"/>
  </r>
  <r>
    <x v="154"/>
    <x v="3"/>
    <x v="1177"/>
    <x v="0"/>
    <x v="19"/>
    <n v="32.82"/>
    <x v="0"/>
  </r>
  <r>
    <x v="154"/>
    <x v="3"/>
    <x v="1178"/>
    <x v="0"/>
    <x v="8"/>
    <n v="32.82"/>
    <x v="0"/>
  </r>
  <r>
    <x v="154"/>
    <x v="3"/>
    <x v="1179"/>
    <x v="0"/>
    <x v="463"/>
    <n v="32.82"/>
    <x v="4"/>
  </r>
  <r>
    <x v="154"/>
    <x v="3"/>
    <x v="1180"/>
    <x v="0"/>
    <x v="463"/>
    <n v="32.82"/>
    <x v="4"/>
  </r>
  <r>
    <x v="154"/>
    <x v="3"/>
    <x v="1181"/>
    <x v="0"/>
    <x v="464"/>
    <n v="27.92"/>
    <x v="3"/>
  </r>
  <r>
    <x v="155"/>
    <x v="4"/>
    <x v="1182"/>
    <x v="0"/>
    <x v="375"/>
    <n v="23.02"/>
    <x v="5"/>
  </r>
  <r>
    <x v="155"/>
    <x v="4"/>
    <x v="1183"/>
    <x v="0"/>
    <x v="465"/>
    <n v="32.82"/>
    <x v="1"/>
  </r>
  <r>
    <x v="155"/>
    <x v="4"/>
    <x v="1184"/>
    <x v="0"/>
    <x v="466"/>
    <n v="32.82"/>
    <x v="7"/>
  </r>
  <r>
    <x v="155"/>
    <x v="4"/>
    <x v="1185"/>
    <x v="0"/>
    <x v="466"/>
    <n v="32.82"/>
    <x v="0"/>
  </r>
  <r>
    <x v="155"/>
    <x v="4"/>
    <x v="1186"/>
    <x v="0"/>
    <x v="466"/>
    <n v="32.82"/>
    <x v="4"/>
  </r>
  <r>
    <x v="155"/>
    <x v="4"/>
    <x v="1187"/>
    <x v="0"/>
    <x v="19"/>
    <n v="32.82"/>
    <x v="0"/>
  </r>
  <r>
    <x v="155"/>
    <x v="4"/>
    <x v="1188"/>
    <x v="0"/>
    <x v="467"/>
    <n v="27.92"/>
    <x v="3"/>
  </r>
  <r>
    <x v="155"/>
    <x v="4"/>
    <x v="1189"/>
    <x v="0"/>
    <x v="468"/>
    <n v="32.82"/>
    <x v="0"/>
  </r>
  <r>
    <x v="156"/>
    <x v="5"/>
    <x v="1190"/>
    <x v="0"/>
    <x v="453"/>
    <n v="27.92"/>
    <x v="3"/>
  </r>
  <r>
    <x v="156"/>
    <x v="5"/>
    <x v="1191"/>
    <x v="0"/>
    <x v="2"/>
    <n v="23.02"/>
    <x v="2"/>
  </r>
  <r>
    <x v="156"/>
    <x v="5"/>
    <x v="1192"/>
    <x v="0"/>
    <x v="2"/>
    <n v="23.02"/>
    <x v="2"/>
  </r>
  <r>
    <x v="156"/>
    <x v="5"/>
    <x v="1193"/>
    <x v="0"/>
    <x v="469"/>
    <n v="18.12"/>
    <x v="6"/>
  </r>
  <r>
    <x v="156"/>
    <x v="5"/>
    <x v="1194"/>
    <x v="0"/>
    <x v="470"/>
    <n v="23.02"/>
    <x v="2"/>
  </r>
  <r>
    <x v="156"/>
    <x v="5"/>
    <x v="1195"/>
    <x v="0"/>
    <x v="8"/>
    <n v="32.82"/>
    <x v="0"/>
  </r>
  <r>
    <x v="156"/>
    <x v="5"/>
    <x v="1196"/>
    <x v="0"/>
    <x v="442"/>
    <n v="32.82"/>
    <x v="4"/>
  </r>
  <r>
    <x v="156"/>
    <x v="5"/>
    <x v="1197"/>
    <x v="0"/>
    <x v="328"/>
    <n v="32.82"/>
    <x v="7"/>
  </r>
  <r>
    <x v="156"/>
    <x v="5"/>
    <x v="1198"/>
    <x v="0"/>
    <x v="471"/>
    <n v="32.82"/>
    <x v="0"/>
  </r>
  <r>
    <x v="156"/>
    <x v="5"/>
    <x v="1199"/>
    <x v="0"/>
    <x v="472"/>
    <n v="32.82"/>
    <x v="0"/>
  </r>
  <r>
    <x v="157"/>
    <x v="6"/>
    <x v="1200"/>
    <x v="0"/>
    <x v="141"/>
    <n v="18.12"/>
    <x v="6"/>
  </r>
  <r>
    <x v="157"/>
    <x v="6"/>
    <x v="1201"/>
    <x v="0"/>
    <x v="141"/>
    <n v="23.02"/>
    <x v="5"/>
  </r>
  <r>
    <x v="157"/>
    <x v="6"/>
    <x v="1202"/>
    <x v="0"/>
    <x v="420"/>
    <n v="27.92"/>
    <x v="3"/>
  </r>
  <r>
    <x v="157"/>
    <x v="6"/>
    <x v="1203"/>
    <x v="0"/>
    <x v="141"/>
    <n v="23.02"/>
    <x v="5"/>
  </r>
  <r>
    <x v="157"/>
    <x v="6"/>
    <x v="1204"/>
    <x v="0"/>
    <x v="141"/>
    <n v="23.02"/>
    <x v="5"/>
  </r>
  <r>
    <x v="157"/>
    <x v="6"/>
    <x v="1205"/>
    <x v="0"/>
    <x v="473"/>
    <n v="32.82"/>
    <x v="7"/>
  </r>
  <r>
    <x v="157"/>
    <x v="6"/>
    <x v="1206"/>
    <x v="0"/>
    <x v="474"/>
    <n v="32.82"/>
    <x v="7"/>
  </r>
  <r>
    <x v="157"/>
    <x v="6"/>
    <x v="1207"/>
    <x v="0"/>
    <x v="311"/>
    <n v="27.92"/>
    <x v="3"/>
  </r>
  <r>
    <x v="158"/>
    <x v="0"/>
    <x v="1208"/>
    <x v="0"/>
    <x v="475"/>
    <n v="32.82"/>
    <x v="0"/>
  </r>
  <r>
    <x v="158"/>
    <x v="0"/>
    <x v="1209"/>
    <x v="0"/>
    <x v="476"/>
    <n v="23.02"/>
    <x v="2"/>
  </r>
  <r>
    <x v="158"/>
    <x v="0"/>
    <x v="1210"/>
    <x v="0"/>
    <x v="141"/>
    <n v="23.02"/>
    <x v="5"/>
  </r>
  <r>
    <x v="158"/>
    <x v="0"/>
    <x v="1211"/>
    <x v="0"/>
    <x v="311"/>
    <n v="27.92"/>
    <x v="3"/>
  </r>
  <r>
    <x v="158"/>
    <x v="0"/>
    <x v="1212"/>
    <x v="0"/>
    <x v="475"/>
    <n v="32.82"/>
    <x v="0"/>
  </r>
  <r>
    <x v="158"/>
    <x v="0"/>
    <x v="1213"/>
    <x v="0"/>
    <x v="477"/>
    <n v="23.02"/>
    <x v="2"/>
  </r>
  <r>
    <x v="158"/>
    <x v="0"/>
    <x v="1214"/>
    <x v="0"/>
    <x v="478"/>
    <n v="23.02"/>
    <x v="2"/>
  </r>
  <r>
    <x v="158"/>
    <x v="0"/>
    <x v="1215"/>
    <x v="0"/>
    <x v="479"/>
    <n v="32.82"/>
    <x v="1"/>
  </r>
  <r>
    <x v="159"/>
    <x v="1"/>
    <x v="1216"/>
    <x v="0"/>
    <x v="480"/>
    <n v="32.82"/>
    <x v="7"/>
  </r>
  <r>
    <x v="159"/>
    <x v="1"/>
    <x v="1217"/>
    <x v="0"/>
    <x v="480"/>
    <n v="27.92"/>
    <x v="3"/>
  </r>
  <r>
    <x v="159"/>
    <x v="1"/>
    <x v="1218"/>
    <x v="0"/>
    <x v="141"/>
    <n v="23.02"/>
    <x v="5"/>
  </r>
  <r>
    <x v="159"/>
    <x v="1"/>
    <x v="1219"/>
    <x v="0"/>
    <x v="12"/>
    <n v="23.02"/>
    <x v="5"/>
  </r>
  <r>
    <x v="159"/>
    <x v="1"/>
    <x v="1220"/>
    <x v="0"/>
    <x v="12"/>
    <n v="23.02"/>
    <x v="2"/>
  </r>
  <r>
    <x v="159"/>
    <x v="1"/>
    <x v="1221"/>
    <x v="0"/>
    <x v="481"/>
    <n v="32.82"/>
    <x v="0"/>
  </r>
  <r>
    <x v="159"/>
    <x v="1"/>
    <x v="1222"/>
    <x v="0"/>
    <x v="463"/>
    <n v="27.92"/>
    <x v="3"/>
  </r>
  <r>
    <x v="159"/>
    <x v="1"/>
    <x v="1223"/>
    <x v="0"/>
    <x v="8"/>
    <n v="32.82"/>
    <x v="0"/>
  </r>
  <r>
    <x v="159"/>
    <x v="1"/>
    <x v="1224"/>
    <x v="0"/>
    <x v="482"/>
    <n v="32.82"/>
    <x v="4"/>
  </r>
  <r>
    <x v="159"/>
    <x v="1"/>
    <x v="1225"/>
    <x v="0"/>
    <x v="482"/>
    <n v="32.82"/>
    <x v="4"/>
  </r>
  <r>
    <x v="159"/>
    <x v="1"/>
    <x v="1226"/>
    <x v="0"/>
    <x v="442"/>
    <n v="32.82"/>
    <x v="4"/>
  </r>
  <r>
    <x v="160"/>
    <x v="2"/>
    <x v="1227"/>
    <x v="0"/>
    <x v="440"/>
    <n v="32.82"/>
    <x v="0"/>
  </r>
  <r>
    <x v="160"/>
    <x v="2"/>
    <x v="1228"/>
    <x v="0"/>
    <x v="440"/>
    <n v="32.82"/>
    <x v="0"/>
  </r>
  <r>
    <x v="160"/>
    <x v="2"/>
    <x v="1229"/>
    <x v="0"/>
    <x v="347"/>
    <n v="27.92"/>
    <x v="3"/>
  </r>
  <r>
    <x v="160"/>
    <x v="2"/>
    <x v="1230"/>
    <x v="0"/>
    <x v="480"/>
    <n v="32.82"/>
    <x v="7"/>
  </r>
  <r>
    <x v="160"/>
    <x v="2"/>
    <x v="1231"/>
    <x v="0"/>
    <x v="480"/>
    <n v="27.92"/>
    <x v="3"/>
  </r>
  <r>
    <x v="160"/>
    <x v="2"/>
    <x v="1232"/>
    <x v="0"/>
    <x v="141"/>
    <n v="23.02"/>
    <x v="5"/>
  </r>
  <r>
    <x v="160"/>
    <x v="2"/>
    <x v="1233"/>
    <x v="0"/>
    <x v="483"/>
    <n v="32.82"/>
    <x v="0"/>
  </r>
  <r>
    <x v="160"/>
    <x v="2"/>
    <x v="1234"/>
    <x v="0"/>
    <x v="484"/>
    <n v="27.92"/>
    <x v="3"/>
  </r>
  <r>
    <x v="160"/>
    <x v="2"/>
    <x v="1235"/>
    <x v="0"/>
    <x v="484"/>
    <n v="32.82"/>
    <x v="4"/>
  </r>
  <r>
    <x v="160"/>
    <x v="2"/>
    <x v="1236"/>
    <x v="0"/>
    <x v="414"/>
    <n v="32.82"/>
    <x v="7"/>
  </r>
  <r>
    <x v="160"/>
    <x v="2"/>
    <x v="1237"/>
    <x v="0"/>
    <x v="485"/>
    <n v="18.12"/>
    <x v="6"/>
  </r>
  <r>
    <x v="160"/>
    <x v="2"/>
    <x v="1238"/>
    <x v="0"/>
    <x v="486"/>
    <n v="23.02"/>
    <x v="5"/>
  </r>
  <r>
    <x v="160"/>
    <x v="2"/>
    <x v="1239"/>
    <x v="0"/>
    <x v="475"/>
    <n v="32.82"/>
    <x v="0"/>
  </r>
  <r>
    <x v="160"/>
    <x v="2"/>
    <x v="1240"/>
    <x v="0"/>
    <x v="487"/>
    <n v="32.82"/>
    <x v="0"/>
  </r>
  <r>
    <x v="160"/>
    <x v="2"/>
    <x v="1241"/>
    <x v="0"/>
    <x v="488"/>
    <n v="32.82"/>
    <x v="7"/>
  </r>
  <r>
    <x v="161"/>
    <x v="3"/>
    <x v="1242"/>
    <x v="0"/>
    <x v="367"/>
    <n v="32.82"/>
    <x v="1"/>
  </r>
  <r>
    <x v="161"/>
    <x v="3"/>
    <x v="1243"/>
    <x v="0"/>
    <x v="489"/>
    <n v="27.92"/>
    <x v="3"/>
  </r>
  <r>
    <x v="161"/>
    <x v="3"/>
    <x v="1244"/>
    <x v="0"/>
    <x v="490"/>
    <n v="23.02"/>
    <x v="2"/>
  </r>
  <r>
    <x v="161"/>
    <x v="3"/>
    <x v="1245"/>
    <x v="0"/>
    <x v="490"/>
    <n v="32.82"/>
    <x v="0"/>
  </r>
  <r>
    <x v="161"/>
    <x v="3"/>
    <x v="1246"/>
    <x v="0"/>
    <x v="491"/>
    <n v="32.82"/>
    <x v="0"/>
  </r>
  <r>
    <x v="161"/>
    <x v="3"/>
    <x v="1247"/>
    <x v="0"/>
    <x v="492"/>
    <n v="18.12"/>
    <x v="6"/>
  </r>
  <r>
    <x v="161"/>
    <x v="3"/>
    <x v="1248"/>
    <x v="0"/>
    <x v="492"/>
    <n v="27.92"/>
    <x v="3"/>
  </r>
  <r>
    <x v="161"/>
    <x v="3"/>
    <x v="1249"/>
    <x v="0"/>
    <x v="493"/>
    <n v="27.92"/>
    <x v="3"/>
  </r>
  <r>
    <x v="161"/>
    <x v="3"/>
    <x v="1250"/>
    <x v="0"/>
    <x v="97"/>
    <n v="27.92"/>
    <x v="3"/>
  </r>
  <r>
    <x v="161"/>
    <x v="3"/>
    <x v="1251"/>
    <x v="0"/>
    <x v="97"/>
    <n v="27.92"/>
    <x v="3"/>
  </r>
  <r>
    <x v="161"/>
    <x v="3"/>
    <x v="1252"/>
    <x v="0"/>
    <x v="494"/>
    <n v="32.82"/>
    <x v="0"/>
  </r>
  <r>
    <x v="161"/>
    <x v="3"/>
    <x v="1253"/>
    <x v="0"/>
    <x v="134"/>
    <n v="32.82"/>
    <x v="7"/>
  </r>
  <r>
    <x v="161"/>
    <x v="3"/>
    <x v="1254"/>
    <x v="0"/>
    <x v="134"/>
    <n v="32.82"/>
    <x v="7"/>
  </r>
  <r>
    <x v="162"/>
    <x v="4"/>
    <x v="1255"/>
    <x v="0"/>
    <x v="495"/>
    <n v="27.92"/>
    <x v="3"/>
  </r>
  <r>
    <x v="162"/>
    <x v="4"/>
    <x v="1256"/>
    <x v="0"/>
    <x v="97"/>
    <n v="27.92"/>
    <x v="3"/>
  </r>
  <r>
    <x v="162"/>
    <x v="4"/>
    <x v="1257"/>
    <x v="0"/>
    <x v="385"/>
    <n v="27.92"/>
    <x v="3"/>
  </r>
  <r>
    <x v="162"/>
    <x v="4"/>
    <x v="1258"/>
    <x v="0"/>
    <x v="141"/>
    <n v="23.02"/>
    <x v="5"/>
  </r>
  <r>
    <x v="162"/>
    <x v="4"/>
    <x v="1259"/>
    <x v="0"/>
    <x v="496"/>
    <n v="32.82"/>
    <x v="0"/>
  </r>
  <r>
    <x v="162"/>
    <x v="4"/>
    <x v="1260"/>
    <x v="0"/>
    <x v="497"/>
    <n v="27.92"/>
    <x v="3"/>
  </r>
  <r>
    <x v="162"/>
    <x v="4"/>
    <x v="1261"/>
    <x v="0"/>
    <x v="494"/>
    <n v="32.82"/>
    <x v="0"/>
  </r>
  <r>
    <x v="162"/>
    <x v="4"/>
    <x v="1262"/>
    <x v="0"/>
    <x v="498"/>
    <n v="32.82"/>
    <x v="7"/>
  </r>
  <r>
    <x v="162"/>
    <x v="4"/>
    <x v="1263"/>
    <x v="0"/>
    <x v="97"/>
    <n v="27.92"/>
    <x v="3"/>
  </r>
  <r>
    <x v="162"/>
    <x v="4"/>
    <x v="1264"/>
    <x v="0"/>
    <x v="499"/>
    <n v="32.82"/>
    <x v="0"/>
  </r>
  <r>
    <x v="162"/>
    <x v="4"/>
    <x v="1265"/>
    <x v="0"/>
    <x v="499"/>
    <n v="32.82"/>
    <x v="4"/>
  </r>
  <r>
    <x v="162"/>
    <x v="4"/>
    <x v="1266"/>
    <x v="0"/>
    <x v="500"/>
    <n v="32.82"/>
    <x v="7"/>
  </r>
  <r>
    <x v="162"/>
    <x v="4"/>
    <x v="1267"/>
    <x v="0"/>
    <x v="501"/>
    <n v="23.02"/>
    <x v="5"/>
  </r>
  <r>
    <x v="163"/>
    <x v="5"/>
    <x v="1268"/>
    <x v="0"/>
    <x v="475"/>
    <n v="32.82"/>
    <x v="0"/>
  </r>
  <r>
    <x v="163"/>
    <x v="5"/>
    <x v="1269"/>
    <x v="0"/>
    <x v="472"/>
    <n v="32.82"/>
    <x v="7"/>
  </r>
  <r>
    <x v="163"/>
    <x v="5"/>
    <x v="1270"/>
    <x v="0"/>
    <x v="141"/>
    <n v="23.02"/>
    <x v="5"/>
  </r>
  <r>
    <x v="163"/>
    <x v="5"/>
    <x v="1271"/>
    <x v="0"/>
    <x v="95"/>
    <n v="18.12"/>
    <x v="6"/>
  </r>
  <r>
    <x v="163"/>
    <x v="5"/>
    <x v="1272"/>
    <x v="0"/>
    <x v="502"/>
    <n v="23.02"/>
    <x v="2"/>
  </r>
  <r>
    <x v="163"/>
    <x v="5"/>
    <x v="1273"/>
    <x v="0"/>
    <x v="450"/>
    <n v="23.02"/>
    <x v="2"/>
  </r>
  <r>
    <x v="163"/>
    <x v="5"/>
    <x v="1274"/>
    <x v="0"/>
    <x v="503"/>
    <n v="32.82"/>
    <x v="0"/>
  </r>
  <r>
    <x v="163"/>
    <x v="5"/>
    <x v="1275"/>
    <x v="0"/>
    <x v="504"/>
    <n v="23.02"/>
    <x v="2"/>
  </r>
  <r>
    <x v="163"/>
    <x v="5"/>
    <x v="1276"/>
    <x v="0"/>
    <x v="505"/>
    <n v="23.02"/>
    <x v="5"/>
  </r>
  <r>
    <x v="163"/>
    <x v="5"/>
    <x v="1277"/>
    <x v="0"/>
    <x v="506"/>
    <n v="27.92"/>
    <x v="3"/>
  </r>
  <r>
    <x v="163"/>
    <x v="5"/>
    <x v="1278"/>
    <x v="0"/>
    <x v="12"/>
    <n v="32.82"/>
    <x v="0"/>
  </r>
  <r>
    <x v="163"/>
    <x v="5"/>
    <x v="1279"/>
    <x v="0"/>
    <x v="12"/>
    <n v="23.02"/>
    <x v="5"/>
  </r>
  <r>
    <x v="163"/>
    <x v="5"/>
    <x v="1280"/>
    <x v="0"/>
    <x v="507"/>
    <n v="32.82"/>
    <x v="0"/>
  </r>
  <r>
    <x v="164"/>
    <x v="6"/>
    <x v="1281"/>
    <x v="0"/>
    <x v="141"/>
    <n v="23.02"/>
    <x v="5"/>
  </r>
  <r>
    <x v="164"/>
    <x v="6"/>
    <x v="1282"/>
    <x v="0"/>
    <x v="508"/>
    <n v="32.82"/>
    <x v="7"/>
  </r>
  <r>
    <x v="164"/>
    <x v="6"/>
    <x v="1283"/>
    <x v="0"/>
    <x v="509"/>
    <n v="32.82"/>
    <x v="1"/>
  </r>
  <r>
    <x v="164"/>
    <x v="6"/>
    <x v="1284"/>
    <x v="0"/>
    <x v="509"/>
    <n v="32.82"/>
    <x v="0"/>
  </r>
  <r>
    <x v="164"/>
    <x v="6"/>
    <x v="1285"/>
    <x v="0"/>
    <x v="232"/>
    <n v="32.82"/>
    <x v="0"/>
  </r>
  <r>
    <x v="164"/>
    <x v="6"/>
    <x v="1286"/>
    <x v="0"/>
    <x v="510"/>
    <n v="32.82"/>
    <x v="0"/>
  </r>
  <r>
    <x v="164"/>
    <x v="6"/>
    <x v="1287"/>
    <x v="0"/>
    <x v="12"/>
    <n v="23.02"/>
    <x v="2"/>
  </r>
  <r>
    <x v="164"/>
    <x v="6"/>
    <x v="1288"/>
    <x v="0"/>
    <x v="12"/>
    <n v="18.12"/>
    <x v="6"/>
  </r>
  <r>
    <x v="164"/>
    <x v="6"/>
    <x v="1289"/>
    <x v="0"/>
    <x v="511"/>
    <n v="27.92"/>
    <x v="3"/>
  </r>
  <r>
    <x v="164"/>
    <x v="6"/>
    <x v="1290"/>
    <x v="0"/>
    <x v="512"/>
    <n v="32.82"/>
    <x v="1"/>
  </r>
  <r>
    <x v="164"/>
    <x v="6"/>
    <x v="1291"/>
    <x v="0"/>
    <x v="512"/>
    <n v="27.92"/>
    <x v="3"/>
  </r>
  <r>
    <x v="164"/>
    <x v="6"/>
    <x v="1292"/>
    <x v="0"/>
    <x v="513"/>
    <n v="27.92"/>
    <x v="3"/>
  </r>
  <r>
    <x v="164"/>
    <x v="6"/>
    <x v="1293"/>
    <x v="0"/>
    <x v="513"/>
    <n v="23.02"/>
    <x v="2"/>
  </r>
  <r>
    <x v="164"/>
    <x v="6"/>
    <x v="1294"/>
    <x v="0"/>
    <x v="514"/>
    <n v="32.82"/>
    <x v="7"/>
  </r>
  <r>
    <x v="164"/>
    <x v="6"/>
    <x v="1295"/>
    <x v="0"/>
    <x v="40"/>
    <n v="18.12"/>
    <x v="6"/>
  </r>
  <r>
    <x v="164"/>
    <x v="6"/>
    <x v="1296"/>
    <x v="0"/>
    <x v="40"/>
    <n v="27.92"/>
    <x v="3"/>
  </r>
  <r>
    <x v="165"/>
    <x v="0"/>
    <x v="1297"/>
    <x v="0"/>
    <x v="513"/>
    <n v="32.82"/>
    <x v="0"/>
  </r>
  <r>
    <x v="165"/>
    <x v="0"/>
    <x v="1298"/>
    <x v="0"/>
    <x v="515"/>
    <n v="23.02"/>
    <x v="2"/>
  </r>
  <r>
    <x v="165"/>
    <x v="0"/>
    <x v="1299"/>
    <x v="0"/>
    <x v="429"/>
    <n v="27.92"/>
    <x v="3"/>
  </r>
  <r>
    <x v="165"/>
    <x v="0"/>
    <x v="1300"/>
    <x v="0"/>
    <x v="12"/>
    <n v="18.12"/>
    <x v="6"/>
  </r>
  <r>
    <x v="165"/>
    <x v="0"/>
    <x v="1301"/>
    <x v="0"/>
    <x v="12"/>
    <n v="18.12"/>
    <x v="6"/>
  </r>
  <r>
    <x v="166"/>
    <x v="1"/>
    <x v="1302"/>
    <x v="0"/>
    <x v="97"/>
    <n v="27.92"/>
    <x v="3"/>
  </r>
  <r>
    <x v="166"/>
    <x v="1"/>
    <x v="1303"/>
    <x v="0"/>
    <x v="516"/>
    <n v="32.82"/>
    <x v="7"/>
  </r>
  <r>
    <x v="166"/>
    <x v="1"/>
    <x v="1304"/>
    <x v="0"/>
    <x v="517"/>
    <n v="27.92"/>
    <x v="3"/>
  </r>
  <r>
    <x v="166"/>
    <x v="1"/>
    <x v="1305"/>
    <x v="0"/>
    <x v="141"/>
    <n v="23.02"/>
    <x v="5"/>
  </r>
  <r>
    <x v="166"/>
    <x v="1"/>
    <x v="1306"/>
    <x v="0"/>
    <x v="141"/>
    <n v="23.02"/>
    <x v="5"/>
  </r>
  <r>
    <x v="166"/>
    <x v="1"/>
    <x v="1307"/>
    <x v="0"/>
    <x v="518"/>
    <n v="27.92"/>
    <x v="3"/>
  </r>
  <r>
    <x v="166"/>
    <x v="1"/>
    <x v="1308"/>
    <x v="0"/>
    <x v="277"/>
    <n v="23.02"/>
    <x v="5"/>
  </r>
  <r>
    <x v="166"/>
    <x v="1"/>
    <x v="1309"/>
    <x v="0"/>
    <x v="192"/>
    <n v="32.82"/>
    <x v="0"/>
  </r>
  <r>
    <x v="166"/>
    <x v="1"/>
    <x v="1310"/>
    <x v="0"/>
    <x v="456"/>
    <n v="32.82"/>
    <x v="7"/>
  </r>
  <r>
    <x v="166"/>
    <x v="1"/>
    <x v="1311"/>
    <x v="0"/>
    <x v="40"/>
    <n v="27.92"/>
    <x v="3"/>
  </r>
  <r>
    <x v="166"/>
    <x v="1"/>
    <x v="1312"/>
    <x v="0"/>
    <x v="519"/>
    <n v="32.82"/>
    <x v="0"/>
  </r>
  <r>
    <x v="167"/>
    <x v="2"/>
    <x v="1313"/>
    <x v="0"/>
    <x v="520"/>
    <n v="32.82"/>
    <x v="7"/>
  </r>
  <r>
    <x v="167"/>
    <x v="2"/>
    <x v="1314"/>
    <x v="0"/>
    <x v="521"/>
    <n v="32.82"/>
    <x v="7"/>
  </r>
  <r>
    <x v="167"/>
    <x v="2"/>
    <x v="1315"/>
    <x v="0"/>
    <x v="141"/>
    <n v="23.02"/>
    <x v="5"/>
  </r>
  <r>
    <x v="167"/>
    <x v="2"/>
    <x v="1316"/>
    <x v="0"/>
    <x v="522"/>
    <n v="27.92"/>
    <x v="3"/>
  </r>
  <r>
    <x v="167"/>
    <x v="2"/>
    <x v="1317"/>
    <x v="0"/>
    <x v="463"/>
    <n v="32.82"/>
    <x v="7"/>
  </r>
  <r>
    <x v="167"/>
    <x v="2"/>
    <x v="1318"/>
    <x v="0"/>
    <x v="40"/>
    <n v="27.92"/>
    <x v="3"/>
  </r>
  <r>
    <x v="167"/>
    <x v="2"/>
    <x v="1319"/>
    <x v="0"/>
    <x v="523"/>
    <n v="27.92"/>
    <x v="3"/>
  </r>
  <r>
    <x v="167"/>
    <x v="2"/>
    <x v="1320"/>
    <x v="0"/>
    <x v="523"/>
    <n v="27.92"/>
    <x v="3"/>
  </r>
  <r>
    <x v="167"/>
    <x v="2"/>
    <x v="1321"/>
    <x v="0"/>
    <x v="523"/>
    <n v="23.02"/>
    <x v="2"/>
  </r>
  <r>
    <x v="167"/>
    <x v="2"/>
    <x v="1322"/>
    <x v="0"/>
    <x v="523"/>
    <n v="23.02"/>
    <x v="2"/>
  </r>
  <r>
    <x v="168"/>
    <x v="3"/>
    <x v="1323"/>
    <x v="0"/>
    <x v="524"/>
    <n v="27.92"/>
    <x v="3"/>
  </r>
  <r>
    <x v="168"/>
    <x v="3"/>
    <x v="1324"/>
    <x v="0"/>
    <x v="524"/>
    <n v="27.92"/>
    <x v="3"/>
  </r>
  <r>
    <x v="168"/>
    <x v="3"/>
    <x v="1325"/>
    <x v="0"/>
    <x v="507"/>
    <n v="32.82"/>
    <x v="0"/>
  </r>
  <r>
    <x v="168"/>
    <x v="3"/>
    <x v="1326"/>
    <x v="0"/>
    <x v="491"/>
    <n v="32.82"/>
    <x v="4"/>
  </r>
  <r>
    <x v="169"/>
    <x v="4"/>
    <x v="1327"/>
    <x v="0"/>
    <x v="141"/>
    <n v="23.02"/>
    <x v="5"/>
  </r>
  <r>
    <x v="169"/>
    <x v="4"/>
    <x v="1328"/>
    <x v="0"/>
    <x v="525"/>
    <n v="32.82"/>
    <x v="0"/>
  </r>
  <r>
    <x v="169"/>
    <x v="4"/>
    <x v="1329"/>
    <x v="0"/>
    <x v="526"/>
    <n v="18.12"/>
    <x v="6"/>
  </r>
  <r>
    <x v="169"/>
    <x v="4"/>
    <x v="1330"/>
    <x v="0"/>
    <x v="526"/>
    <n v="23.02"/>
    <x v="5"/>
  </r>
  <r>
    <x v="169"/>
    <x v="4"/>
    <x v="1331"/>
    <x v="0"/>
    <x v="97"/>
    <n v="27.92"/>
    <x v="3"/>
  </r>
  <r>
    <x v="169"/>
    <x v="4"/>
    <x v="1332"/>
    <x v="0"/>
    <x v="527"/>
    <n v="23.02"/>
    <x v="2"/>
  </r>
  <r>
    <x v="169"/>
    <x v="4"/>
    <x v="1333"/>
    <x v="0"/>
    <x v="528"/>
    <n v="23.02"/>
    <x v="2"/>
  </r>
  <r>
    <x v="169"/>
    <x v="4"/>
    <x v="1334"/>
    <x v="0"/>
    <x v="529"/>
    <n v="23.02"/>
    <x v="2"/>
  </r>
  <r>
    <x v="169"/>
    <x v="4"/>
    <x v="1335"/>
    <x v="0"/>
    <x v="141"/>
    <n v="32.82"/>
    <x v="0"/>
  </r>
  <r>
    <x v="169"/>
    <x v="4"/>
    <x v="1336"/>
    <x v="0"/>
    <x v="530"/>
    <n v="32.82"/>
    <x v="0"/>
  </r>
  <r>
    <x v="169"/>
    <x v="4"/>
    <x v="1337"/>
    <x v="0"/>
    <x v="531"/>
    <n v="32.82"/>
    <x v="0"/>
  </r>
  <r>
    <x v="169"/>
    <x v="4"/>
    <x v="1338"/>
    <x v="0"/>
    <x v="531"/>
    <n v="32.82"/>
    <x v="0"/>
  </r>
  <r>
    <x v="169"/>
    <x v="4"/>
    <x v="1339"/>
    <x v="0"/>
    <x v="532"/>
    <n v="32.82"/>
    <x v="0"/>
  </r>
  <r>
    <x v="170"/>
    <x v="5"/>
    <x v="1340"/>
    <x v="0"/>
    <x v="533"/>
    <n v="27.92"/>
    <x v="3"/>
  </r>
  <r>
    <x v="170"/>
    <x v="5"/>
    <x v="1341"/>
    <x v="0"/>
    <x v="141"/>
    <n v="23.02"/>
    <x v="5"/>
  </r>
  <r>
    <x v="170"/>
    <x v="5"/>
    <x v="1342"/>
    <x v="0"/>
    <x v="375"/>
    <n v="23.02"/>
    <x v="2"/>
  </r>
  <r>
    <x v="170"/>
    <x v="5"/>
    <x v="1343"/>
    <x v="0"/>
    <x v="276"/>
    <n v="27.92"/>
    <x v="3"/>
  </r>
  <r>
    <x v="170"/>
    <x v="5"/>
    <x v="1344"/>
    <x v="0"/>
    <x v="141"/>
    <n v="23.02"/>
    <x v="5"/>
  </r>
  <r>
    <x v="170"/>
    <x v="5"/>
    <x v="1345"/>
    <x v="0"/>
    <x v="534"/>
    <n v="32.82"/>
    <x v="0"/>
  </r>
  <r>
    <x v="170"/>
    <x v="5"/>
    <x v="1346"/>
    <x v="0"/>
    <x v="507"/>
    <n v="32.82"/>
    <x v="0"/>
  </r>
  <r>
    <x v="171"/>
    <x v="6"/>
    <x v="1347"/>
    <x v="0"/>
    <x v="141"/>
    <n v="23.02"/>
    <x v="5"/>
  </r>
  <r>
    <x v="171"/>
    <x v="6"/>
    <x v="1348"/>
    <x v="0"/>
    <x v="419"/>
    <n v="27.92"/>
    <x v="3"/>
  </r>
  <r>
    <x v="171"/>
    <x v="6"/>
    <x v="1349"/>
    <x v="0"/>
    <x v="535"/>
    <n v="27.92"/>
    <x v="3"/>
  </r>
  <r>
    <x v="171"/>
    <x v="6"/>
    <x v="1350"/>
    <x v="0"/>
    <x v="510"/>
    <n v="32.82"/>
    <x v="0"/>
  </r>
  <r>
    <x v="171"/>
    <x v="6"/>
    <x v="1351"/>
    <x v="0"/>
    <x v="536"/>
    <n v="32.82"/>
    <x v="0"/>
  </r>
  <r>
    <x v="171"/>
    <x v="6"/>
    <x v="1352"/>
    <x v="0"/>
    <x v="537"/>
    <n v="32.82"/>
    <x v="7"/>
  </r>
  <r>
    <x v="171"/>
    <x v="6"/>
    <x v="1353"/>
    <x v="0"/>
    <x v="538"/>
    <n v="23.02"/>
    <x v="2"/>
  </r>
  <r>
    <x v="172"/>
    <x v="0"/>
    <x v="1354"/>
    <x v="0"/>
    <x v="475"/>
    <n v="32.82"/>
    <x v="0"/>
  </r>
  <r>
    <x v="172"/>
    <x v="0"/>
    <x v="1355"/>
    <x v="0"/>
    <x v="141"/>
    <n v="23.02"/>
    <x v="5"/>
  </r>
  <r>
    <x v="172"/>
    <x v="0"/>
    <x v="1356"/>
    <x v="0"/>
    <x v="425"/>
    <n v="32.82"/>
    <x v="0"/>
  </r>
  <r>
    <x v="172"/>
    <x v="0"/>
    <x v="1357"/>
    <x v="0"/>
    <x v="225"/>
    <n v="23.02"/>
    <x v="2"/>
  </r>
  <r>
    <x v="172"/>
    <x v="0"/>
    <x v="1358"/>
    <x v="0"/>
    <x v="225"/>
    <n v="23.02"/>
    <x v="2"/>
  </r>
  <r>
    <x v="172"/>
    <x v="0"/>
    <x v="1359"/>
    <x v="0"/>
    <x v="419"/>
    <n v="27.92"/>
    <x v="3"/>
  </r>
  <r>
    <x v="172"/>
    <x v="0"/>
    <x v="1360"/>
    <x v="0"/>
    <x v="539"/>
    <n v="32.82"/>
    <x v="4"/>
  </r>
  <r>
    <x v="172"/>
    <x v="0"/>
    <x v="1361"/>
    <x v="0"/>
    <x v="539"/>
    <n v="23.02"/>
    <x v="2"/>
  </r>
  <r>
    <x v="172"/>
    <x v="0"/>
    <x v="1362"/>
    <x v="0"/>
    <x v="141"/>
    <n v="23.02"/>
    <x v="5"/>
  </r>
  <r>
    <x v="172"/>
    <x v="0"/>
    <x v="1363"/>
    <x v="0"/>
    <x v="540"/>
    <n v="32.82"/>
    <x v="1"/>
  </r>
  <r>
    <x v="172"/>
    <x v="0"/>
    <x v="1364"/>
    <x v="0"/>
    <x v="541"/>
    <n v="23.02"/>
    <x v="2"/>
  </r>
  <r>
    <x v="172"/>
    <x v="0"/>
    <x v="1365"/>
    <x v="0"/>
    <x v="542"/>
    <n v="23.02"/>
    <x v="2"/>
  </r>
  <r>
    <x v="172"/>
    <x v="0"/>
    <x v="1366"/>
    <x v="0"/>
    <x v="507"/>
    <n v="32.82"/>
    <x v="0"/>
  </r>
  <r>
    <x v="173"/>
    <x v="1"/>
    <x v="1367"/>
    <x v="0"/>
    <x v="141"/>
    <n v="23.02"/>
    <x v="5"/>
  </r>
  <r>
    <x v="173"/>
    <x v="1"/>
    <x v="1368"/>
    <x v="0"/>
    <x v="141"/>
    <n v="23.02"/>
    <x v="5"/>
  </r>
  <r>
    <x v="173"/>
    <x v="1"/>
    <x v="1369"/>
    <x v="0"/>
    <x v="543"/>
    <n v="23.02"/>
    <x v="5"/>
  </r>
  <r>
    <x v="173"/>
    <x v="1"/>
    <x v="1370"/>
    <x v="0"/>
    <x v="544"/>
    <n v="18.12"/>
    <x v="6"/>
  </r>
  <r>
    <x v="173"/>
    <x v="1"/>
    <x v="1371"/>
    <x v="0"/>
    <x v="544"/>
    <n v="18.12"/>
    <x v="6"/>
  </r>
  <r>
    <x v="173"/>
    <x v="1"/>
    <x v="1372"/>
    <x v="0"/>
    <x v="544"/>
    <n v="23.02"/>
    <x v="2"/>
  </r>
  <r>
    <x v="174"/>
    <x v="2"/>
    <x v="1373"/>
    <x v="0"/>
    <x v="141"/>
    <n v="23.02"/>
    <x v="5"/>
  </r>
  <r>
    <x v="174"/>
    <x v="2"/>
    <x v="1374"/>
    <x v="0"/>
    <x v="408"/>
    <n v="23.02"/>
    <x v="2"/>
  </r>
  <r>
    <x v="174"/>
    <x v="2"/>
    <x v="1375"/>
    <x v="0"/>
    <x v="408"/>
    <n v="23.02"/>
    <x v="2"/>
  </r>
  <r>
    <x v="174"/>
    <x v="2"/>
    <x v="1376"/>
    <x v="0"/>
    <x v="545"/>
    <n v="32.82"/>
    <x v="7"/>
  </r>
  <r>
    <x v="174"/>
    <x v="2"/>
    <x v="1377"/>
    <x v="0"/>
    <x v="546"/>
    <n v="32.82"/>
    <x v="7"/>
  </r>
  <r>
    <x v="174"/>
    <x v="2"/>
    <x v="1378"/>
    <x v="0"/>
    <x v="77"/>
    <n v="32.82"/>
    <x v="0"/>
  </r>
  <r>
    <x v="175"/>
    <x v="3"/>
    <x v="1379"/>
    <x v="0"/>
    <x v="141"/>
    <n v="23.02"/>
    <x v="5"/>
  </r>
  <r>
    <x v="175"/>
    <x v="3"/>
    <x v="1380"/>
    <x v="0"/>
    <x v="408"/>
    <n v="23.02"/>
    <x v="2"/>
  </r>
  <r>
    <x v="175"/>
    <x v="3"/>
    <x v="1381"/>
    <x v="0"/>
    <x v="408"/>
    <n v="23.02"/>
    <x v="2"/>
  </r>
  <r>
    <x v="175"/>
    <x v="3"/>
    <x v="1382"/>
    <x v="0"/>
    <x v="97"/>
    <n v="27.92"/>
    <x v="3"/>
  </r>
  <r>
    <x v="175"/>
    <x v="3"/>
    <x v="1383"/>
    <x v="0"/>
    <x v="547"/>
    <n v="32.82"/>
    <x v="0"/>
  </r>
  <r>
    <x v="175"/>
    <x v="3"/>
    <x v="1384"/>
    <x v="0"/>
    <x v="548"/>
    <n v="32.82"/>
    <x v="7"/>
  </r>
  <r>
    <x v="175"/>
    <x v="3"/>
    <x v="1385"/>
    <x v="0"/>
    <x v="2"/>
    <n v="23.02"/>
    <x v="2"/>
  </r>
  <r>
    <x v="175"/>
    <x v="3"/>
    <x v="1386"/>
    <x v="0"/>
    <x v="2"/>
    <n v="23.02"/>
    <x v="2"/>
  </r>
  <r>
    <x v="175"/>
    <x v="3"/>
    <x v="1387"/>
    <x v="0"/>
    <x v="549"/>
    <n v="27.92"/>
    <x v="3"/>
  </r>
  <r>
    <x v="175"/>
    <x v="3"/>
    <x v="1388"/>
    <x v="0"/>
    <x v="549"/>
    <n v="32.82"/>
    <x v="0"/>
  </r>
  <r>
    <x v="175"/>
    <x v="3"/>
    <x v="1389"/>
    <x v="0"/>
    <x v="550"/>
    <n v="27.92"/>
    <x v="3"/>
  </r>
  <r>
    <x v="176"/>
    <x v="4"/>
    <x v="1390"/>
    <x v="0"/>
    <x v="375"/>
    <n v="32.82"/>
    <x v="0"/>
  </r>
  <r>
    <x v="177"/>
    <x v="5"/>
    <x v="1391"/>
    <x v="0"/>
    <x v="551"/>
    <n v="27.92"/>
    <x v="3"/>
  </r>
  <r>
    <x v="177"/>
    <x v="5"/>
    <x v="1392"/>
    <x v="0"/>
    <x v="551"/>
    <n v="32.82"/>
    <x v="7"/>
  </r>
  <r>
    <x v="177"/>
    <x v="5"/>
    <x v="1393"/>
    <x v="0"/>
    <x v="375"/>
    <n v="23.02"/>
    <x v="2"/>
  </r>
  <r>
    <x v="177"/>
    <x v="5"/>
    <x v="1394"/>
    <x v="0"/>
    <x v="552"/>
    <n v="27.92"/>
    <x v="3"/>
  </r>
  <r>
    <x v="178"/>
    <x v="6"/>
    <x v="1395"/>
    <x v="0"/>
    <x v="553"/>
    <n v="23.02"/>
    <x v="2"/>
  </r>
  <r>
    <x v="179"/>
    <x v="0"/>
    <x v="1396"/>
    <x v="0"/>
    <x v="554"/>
    <n v="32.82"/>
    <x v="0"/>
  </r>
  <r>
    <x v="179"/>
    <x v="0"/>
    <x v="1397"/>
    <x v="0"/>
    <x v="554"/>
    <n v="27.92"/>
    <x v="3"/>
  </r>
  <r>
    <x v="179"/>
    <x v="0"/>
    <x v="1398"/>
    <x v="0"/>
    <x v="554"/>
    <n v="27.92"/>
    <x v="3"/>
  </r>
  <r>
    <x v="180"/>
    <x v="1"/>
    <x v="1399"/>
    <x v="0"/>
    <x v="371"/>
    <n v="23.02"/>
    <x v="5"/>
  </r>
  <r>
    <x v="180"/>
    <x v="1"/>
    <x v="1400"/>
    <x v="0"/>
    <x v="555"/>
    <n v="27.92"/>
    <x v="3"/>
  </r>
  <r>
    <x v="180"/>
    <x v="1"/>
    <x v="1401"/>
    <x v="0"/>
    <x v="556"/>
    <n v="18.12"/>
    <x v="6"/>
  </r>
  <r>
    <x v="180"/>
    <x v="1"/>
    <x v="1402"/>
    <x v="0"/>
    <x v="557"/>
    <n v="27.92"/>
    <x v="3"/>
  </r>
  <r>
    <x v="180"/>
    <x v="1"/>
    <x v="1403"/>
    <x v="0"/>
    <x v="141"/>
    <n v="23.02"/>
    <x v="5"/>
  </r>
  <r>
    <x v="180"/>
    <x v="1"/>
    <x v="1404"/>
    <x v="0"/>
    <x v="141"/>
    <n v="23.02"/>
    <x v="5"/>
  </r>
  <r>
    <x v="181"/>
    <x v="2"/>
    <x v="1405"/>
    <x v="0"/>
    <x v="141"/>
    <n v="23.02"/>
    <x v="5"/>
  </r>
  <r>
    <x v="181"/>
    <x v="2"/>
    <x v="1406"/>
    <x v="0"/>
    <x v="558"/>
    <n v="32.82"/>
    <x v="7"/>
  </r>
  <r>
    <x v="181"/>
    <x v="2"/>
    <x v="1407"/>
    <x v="0"/>
    <x v="181"/>
    <n v="27.92"/>
    <x v="3"/>
  </r>
  <r>
    <x v="181"/>
    <x v="2"/>
    <x v="1408"/>
    <x v="0"/>
    <x v="181"/>
    <n v="23.02"/>
    <x v="2"/>
  </r>
  <r>
    <x v="181"/>
    <x v="2"/>
    <x v="1409"/>
    <x v="0"/>
    <x v="559"/>
    <n v="27.92"/>
    <x v="3"/>
  </r>
  <r>
    <x v="181"/>
    <x v="2"/>
    <x v="1410"/>
    <x v="0"/>
    <x v="560"/>
    <n v="32.82"/>
    <x v="0"/>
  </r>
  <r>
    <x v="181"/>
    <x v="2"/>
    <x v="1411"/>
    <x v="0"/>
    <x v="385"/>
    <n v="27.92"/>
    <x v="3"/>
  </r>
  <r>
    <x v="181"/>
    <x v="2"/>
    <x v="1412"/>
    <x v="0"/>
    <x v="561"/>
    <n v="32.82"/>
    <x v="0"/>
  </r>
  <r>
    <x v="181"/>
    <x v="2"/>
    <x v="1413"/>
    <x v="0"/>
    <x v="562"/>
    <n v="32.82"/>
    <x v="0"/>
  </r>
  <r>
    <x v="181"/>
    <x v="2"/>
    <x v="1414"/>
    <x v="0"/>
    <x v="563"/>
    <n v="32.82"/>
    <x v="0"/>
  </r>
  <r>
    <x v="182"/>
    <x v="3"/>
    <x v="1415"/>
    <x v="0"/>
    <x v="425"/>
    <n v="32.82"/>
    <x v="0"/>
  </r>
  <r>
    <x v="182"/>
    <x v="3"/>
    <x v="1416"/>
    <x v="0"/>
    <x v="564"/>
    <n v="27.92"/>
    <x v="3"/>
  </r>
  <r>
    <x v="182"/>
    <x v="3"/>
    <x v="1417"/>
    <x v="0"/>
    <x v="565"/>
    <n v="32.82"/>
    <x v="0"/>
  </r>
  <r>
    <x v="182"/>
    <x v="3"/>
    <x v="1418"/>
    <x v="0"/>
    <x v="566"/>
    <n v="27.92"/>
    <x v="3"/>
  </r>
  <r>
    <x v="182"/>
    <x v="3"/>
    <x v="1419"/>
    <x v="0"/>
    <x v="567"/>
    <n v="32.82"/>
    <x v="7"/>
  </r>
  <r>
    <x v="182"/>
    <x v="3"/>
    <x v="1420"/>
    <x v="0"/>
    <x v="179"/>
    <n v="32.82"/>
    <x v="4"/>
  </r>
  <r>
    <x v="182"/>
    <x v="3"/>
    <x v="1421"/>
    <x v="0"/>
    <x v="568"/>
    <n v="23.02"/>
    <x v="2"/>
  </r>
  <r>
    <x v="182"/>
    <x v="3"/>
    <x v="1422"/>
    <x v="0"/>
    <x v="568"/>
    <n v="23.02"/>
    <x v="2"/>
  </r>
  <r>
    <x v="183"/>
    <x v="4"/>
    <x v="1423"/>
    <x v="0"/>
    <x v="569"/>
    <n v="32.82"/>
    <x v="4"/>
  </r>
  <r>
    <x v="183"/>
    <x v="4"/>
    <x v="1424"/>
    <x v="0"/>
    <x v="168"/>
    <n v="32.82"/>
    <x v="7"/>
  </r>
  <r>
    <x v="183"/>
    <x v="4"/>
    <x v="1425"/>
    <x v="0"/>
    <x v="570"/>
    <n v="32.82"/>
    <x v="0"/>
  </r>
  <r>
    <x v="183"/>
    <x v="4"/>
    <x v="1426"/>
    <x v="0"/>
    <x v="571"/>
    <n v="27.92"/>
    <x v="3"/>
  </r>
  <r>
    <x v="183"/>
    <x v="4"/>
    <x v="1427"/>
    <x v="0"/>
    <x v="571"/>
    <n v="32.82"/>
    <x v="7"/>
  </r>
  <r>
    <x v="183"/>
    <x v="4"/>
    <x v="1428"/>
    <x v="0"/>
    <x v="572"/>
    <n v="32.82"/>
    <x v="4"/>
  </r>
  <r>
    <x v="183"/>
    <x v="4"/>
    <x v="1429"/>
    <x v="0"/>
    <x v="572"/>
    <n v="32.82"/>
    <x v="4"/>
  </r>
  <r>
    <x v="183"/>
    <x v="4"/>
    <x v="1430"/>
    <x v="0"/>
    <x v="385"/>
    <n v="27.92"/>
    <x v="3"/>
  </r>
  <r>
    <x v="183"/>
    <x v="4"/>
    <x v="1431"/>
    <x v="0"/>
    <x v="573"/>
    <n v="27.92"/>
    <x v="3"/>
  </r>
  <r>
    <x v="183"/>
    <x v="4"/>
    <x v="1432"/>
    <x v="0"/>
    <x v="574"/>
    <n v="32.82"/>
    <x v="0"/>
  </r>
  <r>
    <x v="183"/>
    <x v="4"/>
    <x v="1433"/>
    <x v="0"/>
    <x v="575"/>
    <n v="32.82"/>
    <x v="4"/>
  </r>
  <r>
    <x v="183"/>
    <x v="4"/>
    <x v="1434"/>
    <x v="0"/>
    <x v="576"/>
    <n v="23.02"/>
    <x v="5"/>
  </r>
  <r>
    <x v="183"/>
    <x v="4"/>
    <x v="1435"/>
    <x v="0"/>
    <x v="333"/>
    <n v="27.92"/>
    <x v="3"/>
  </r>
  <r>
    <x v="183"/>
    <x v="4"/>
    <x v="1436"/>
    <x v="0"/>
    <x v="333"/>
    <n v="27.92"/>
    <x v="3"/>
  </r>
  <r>
    <x v="183"/>
    <x v="4"/>
    <x v="1437"/>
    <x v="0"/>
    <x v="333"/>
    <n v="27.92"/>
    <x v="3"/>
  </r>
  <r>
    <x v="183"/>
    <x v="4"/>
    <x v="1438"/>
    <x v="0"/>
    <x v="467"/>
    <n v="32.82"/>
    <x v="0"/>
  </r>
  <r>
    <x v="183"/>
    <x v="4"/>
    <x v="1439"/>
    <x v="0"/>
    <x v="467"/>
    <n v="27.92"/>
    <x v="3"/>
  </r>
  <r>
    <x v="184"/>
    <x v="5"/>
    <x v="1440"/>
    <x v="0"/>
    <x v="577"/>
    <n v="27.92"/>
    <x v="3"/>
  </r>
  <r>
    <x v="184"/>
    <x v="5"/>
    <x v="1441"/>
    <x v="0"/>
    <x v="510"/>
    <n v="32.82"/>
    <x v="0"/>
  </r>
  <r>
    <x v="184"/>
    <x v="5"/>
    <x v="1442"/>
    <x v="0"/>
    <x v="19"/>
    <n v="23.02"/>
    <x v="2"/>
  </r>
  <r>
    <x v="184"/>
    <x v="5"/>
    <x v="1443"/>
    <x v="0"/>
    <x v="578"/>
    <n v="27.92"/>
    <x v="3"/>
  </r>
  <r>
    <x v="184"/>
    <x v="5"/>
    <x v="1444"/>
    <x v="0"/>
    <x v="565"/>
    <n v="32.82"/>
    <x v="0"/>
  </r>
  <r>
    <x v="184"/>
    <x v="5"/>
    <x v="1445"/>
    <x v="0"/>
    <x v="579"/>
    <n v="32.82"/>
    <x v="0"/>
  </r>
  <r>
    <x v="184"/>
    <x v="5"/>
    <x v="1446"/>
    <x v="0"/>
    <x v="579"/>
    <n v="27.92"/>
    <x v="3"/>
  </r>
  <r>
    <x v="184"/>
    <x v="5"/>
    <x v="1447"/>
    <x v="0"/>
    <x v="580"/>
    <n v="32.82"/>
    <x v="7"/>
  </r>
  <r>
    <x v="184"/>
    <x v="5"/>
    <x v="1448"/>
    <x v="0"/>
    <x v="97"/>
    <n v="27.92"/>
    <x v="3"/>
  </r>
  <r>
    <x v="184"/>
    <x v="5"/>
    <x v="1449"/>
    <x v="0"/>
    <x v="494"/>
    <n v="32.82"/>
    <x v="0"/>
  </r>
  <r>
    <x v="185"/>
    <x v="6"/>
    <x v="1450"/>
    <x v="0"/>
    <x v="385"/>
    <n v="27.92"/>
    <x v="3"/>
  </r>
  <r>
    <x v="185"/>
    <x v="6"/>
    <x v="1451"/>
    <x v="0"/>
    <x v="581"/>
    <n v="27.92"/>
    <x v="3"/>
  </r>
  <r>
    <x v="185"/>
    <x v="6"/>
    <x v="1452"/>
    <x v="0"/>
    <x v="19"/>
    <n v="23.02"/>
    <x v="2"/>
  </r>
  <r>
    <x v="185"/>
    <x v="6"/>
    <x v="1453"/>
    <x v="0"/>
    <x v="582"/>
    <n v="32.82"/>
    <x v="0"/>
  </r>
  <r>
    <x v="185"/>
    <x v="6"/>
    <x v="1454"/>
    <x v="0"/>
    <x v="583"/>
    <n v="32.82"/>
    <x v="0"/>
  </r>
  <r>
    <x v="185"/>
    <x v="6"/>
    <x v="1455"/>
    <x v="0"/>
    <x v="584"/>
    <n v="23.02"/>
    <x v="2"/>
  </r>
  <r>
    <x v="185"/>
    <x v="6"/>
    <x v="1456"/>
    <x v="0"/>
    <x v="585"/>
    <n v="27.92"/>
    <x v="3"/>
  </r>
  <r>
    <x v="185"/>
    <x v="6"/>
    <x v="1457"/>
    <x v="0"/>
    <x v="586"/>
    <n v="32.82"/>
    <x v="7"/>
  </r>
  <r>
    <x v="185"/>
    <x v="6"/>
    <x v="1458"/>
    <x v="0"/>
    <x v="586"/>
    <n v="32.82"/>
    <x v="7"/>
  </r>
  <r>
    <x v="185"/>
    <x v="6"/>
    <x v="1459"/>
    <x v="0"/>
    <x v="587"/>
    <n v="32.82"/>
    <x v="7"/>
  </r>
  <r>
    <x v="185"/>
    <x v="6"/>
    <x v="1460"/>
    <x v="0"/>
    <x v="588"/>
    <n v="23.02"/>
    <x v="2"/>
  </r>
  <r>
    <x v="185"/>
    <x v="6"/>
    <x v="1461"/>
    <x v="0"/>
    <x v="588"/>
    <n v="32.82"/>
    <x v="7"/>
  </r>
  <r>
    <x v="185"/>
    <x v="6"/>
    <x v="1462"/>
    <x v="0"/>
    <x v="40"/>
    <n v="27.92"/>
    <x v="3"/>
  </r>
  <r>
    <x v="185"/>
    <x v="6"/>
    <x v="1463"/>
    <x v="0"/>
    <x v="40"/>
    <n v="27.92"/>
    <x v="3"/>
  </r>
  <r>
    <x v="186"/>
    <x v="0"/>
    <x v="1464"/>
    <x v="0"/>
    <x v="582"/>
    <n v="32.82"/>
    <x v="7"/>
  </r>
  <r>
    <x v="186"/>
    <x v="0"/>
    <x v="1465"/>
    <x v="0"/>
    <x v="425"/>
    <n v="32.82"/>
    <x v="0"/>
  </r>
  <r>
    <x v="186"/>
    <x v="0"/>
    <x v="1466"/>
    <x v="0"/>
    <x v="589"/>
    <n v="23.02"/>
    <x v="2"/>
  </r>
  <r>
    <x v="186"/>
    <x v="0"/>
    <x v="1467"/>
    <x v="0"/>
    <x v="590"/>
    <n v="18.12"/>
    <x v="6"/>
  </r>
  <r>
    <x v="186"/>
    <x v="0"/>
    <x v="1468"/>
    <x v="0"/>
    <x v="590"/>
    <n v="32.82"/>
    <x v="0"/>
  </r>
  <r>
    <x v="186"/>
    <x v="0"/>
    <x v="1469"/>
    <x v="0"/>
    <x v="591"/>
    <n v="32.82"/>
    <x v="1"/>
  </r>
  <r>
    <x v="186"/>
    <x v="0"/>
    <x v="1470"/>
    <x v="0"/>
    <x v="95"/>
    <n v="18.12"/>
    <x v="6"/>
  </r>
  <r>
    <x v="186"/>
    <x v="0"/>
    <x v="1471"/>
    <x v="0"/>
    <x v="467"/>
    <n v="18.12"/>
    <x v="6"/>
  </r>
  <r>
    <x v="186"/>
    <x v="0"/>
    <x v="1472"/>
    <x v="0"/>
    <x v="283"/>
    <n v="32.82"/>
    <x v="0"/>
  </r>
  <r>
    <x v="186"/>
    <x v="0"/>
    <x v="1473"/>
    <x v="0"/>
    <x v="507"/>
    <n v="32.82"/>
    <x v="0"/>
  </r>
  <r>
    <x v="187"/>
    <x v="1"/>
    <x v="1474"/>
    <x v="0"/>
    <x v="592"/>
    <n v="32.82"/>
    <x v="0"/>
  </r>
  <r>
    <x v="187"/>
    <x v="1"/>
    <x v="1475"/>
    <x v="0"/>
    <x v="543"/>
    <n v="23.02"/>
    <x v="5"/>
  </r>
  <r>
    <x v="187"/>
    <x v="1"/>
    <x v="1476"/>
    <x v="0"/>
    <x v="543"/>
    <n v="23.02"/>
    <x v="5"/>
  </r>
  <r>
    <x v="187"/>
    <x v="1"/>
    <x v="1477"/>
    <x v="0"/>
    <x v="593"/>
    <n v="23.02"/>
    <x v="5"/>
  </r>
  <r>
    <x v="187"/>
    <x v="1"/>
    <x v="1478"/>
    <x v="0"/>
    <x v="276"/>
    <n v="27.92"/>
    <x v="3"/>
  </r>
  <r>
    <x v="187"/>
    <x v="1"/>
    <x v="1479"/>
    <x v="0"/>
    <x v="276"/>
    <n v="27.92"/>
    <x v="3"/>
  </r>
  <r>
    <x v="187"/>
    <x v="1"/>
    <x v="1480"/>
    <x v="0"/>
    <x v="141"/>
    <n v="23.02"/>
    <x v="5"/>
  </r>
  <r>
    <x v="187"/>
    <x v="1"/>
    <x v="1481"/>
    <x v="0"/>
    <x v="594"/>
    <n v="23.02"/>
    <x v="2"/>
  </r>
  <r>
    <x v="187"/>
    <x v="1"/>
    <x v="1482"/>
    <x v="0"/>
    <x v="595"/>
    <n v="18.12"/>
    <x v="6"/>
  </r>
  <r>
    <x v="187"/>
    <x v="1"/>
    <x v="1483"/>
    <x v="0"/>
    <x v="595"/>
    <n v="18.12"/>
    <x v="6"/>
  </r>
  <r>
    <x v="187"/>
    <x v="1"/>
    <x v="1484"/>
    <x v="0"/>
    <x v="596"/>
    <n v="32.82"/>
    <x v="0"/>
  </r>
  <r>
    <x v="187"/>
    <x v="1"/>
    <x v="1485"/>
    <x v="0"/>
    <x v="12"/>
    <n v="27.92"/>
    <x v="3"/>
  </r>
  <r>
    <x v="187"/>
    <x v="1"/>
    <x v="1486"/>
    <x v="0"/>
    <x v="19"/>
    <n v="23.02"/>
    <x v="2"/>
  </r>
  <r>
    <x v="187"/>
    <x v="1"/>
    <x v="1487"/>
    <x v="0"/>
    <x v="12"/>
    <n v="18.12"/>
    <x v="6"/>
  </r>
  <r>
    <x v="187"/>
    <x v="1"/>
    <x v="1488"/>
    <x v="0"/>
    <x v="597"/>
    <n v="32.82"/>
    <x v="0"/>
  </r>
  <r>
    <x v="187"/>
    <x v="1"/>
    <x v="1489"/>
    <x v="0"/>
    <x v="19"/>
    <n v="23.02"/>
    <x v="2"/>
  </r>
  <r>
    <x v="187"/>
    <x v="1"/>
    <x v="1490"/>
    <x v="0"/>
    <x v="12"/>
    <n v="18.12"/>
    <x v="6"/>
  </r>
  <r>
    <x v="187"/>
    <x v="1"/>
    <x v="1491"/>
    <x v="0"/>
    <x v="283"/>
    <n v="32.82"/>
    <x v="4"/>
  </r>
  <r>
    <x v="187"/>
    <x v="1"/>
    <x v="1492"/>
    <x v="0"/>
    <x v="283"/>
    <n v="32.82"/>
    <x v="0"/>
  </r>
  <r>
    <x v="187"/>
    <x v="1"/>
    <x v="1493"/>
    <x v="0"/>
    <x v="283"/>
    <n v="32.82"/>
    <x v="0"/>
  </r>
  <r>
    <x v="187"/>
    <x v="1"/>
    <x v="1494"/>
    <x v="0"/>
    <x v="598"/>
    <n v="32.82"/>
    <x v="0"/>
  </r>
  <r>
    <x v="187"/>
    <x v="1"/>
    <x v="1495"/>
    <x v="0"/>
    <x v="598"/>
    <n v="32.82"/>
    <x v="0"/>
  </r>
  <r>
    <x v="188"/>
    <x v="2"/>
    <x v="1496"/>
    <x v="0"/>
    <x v="141"/>
    <n v="23.02"/>
    <x v="5"/>
  </r>
  <r>
    <x v="188"/>
    <x v="2"/>
    <x v="1497"/>
    <x v="0"/>
    <x v="543"/>
    <n v="23.02"/>
    <x v="5"/>
  </r>
  <r>
    <x v="188"/>
    <x v="2"/>
    <x v="1498"/>
    <x v="0"/>
    <x v="543"/>
    <n v="23.02"/>
    <x v="5"/>
  </r>
  <r>
    <x v="188"/>
    <x v="2"/>
    <x v="1499"/>
    <x v="0"/>
    <x v="543"/>
    <n v="23.02"/>
    <x v="5"/>
  </r>
  <r>
    <x v="188"/>
    <x v="2"/>
    <x v="1500"/>
    <x v="0"/>
    <x v="486"/>
    <n v="23.02"/>
    <x v="5"/>
  </r>
  <r>
    <x v="188"/>
    <x v="2"/>
    <x v="1501"/>
    <x v="0"/>
    <x v="347"/>
    <n v="23.02"/>
    <x v="2"/>
  </r>
  <r>
    <x v="189"/>
    <x v="3"/>
    <x v="1502"/>
    <x v="0"/>
    <x v="599"/>
    <n v="32.82"/>
    <x v="0"/>
  </r>
  <r>
    <x v="189"/>
    <x v="3"/>
    <x v="1503"/>
    <x v="0"/>
    <x v="582"/>
    <n v="32.82"/>
    <x v="7"/>
  </r>
  <r>
    <x v="189"/>
    <x v="3"/>
    <x v="1504"/>
    <x v="0"/>
    <x v="599"/>
    <n v="27.92"/>
    <x v="3"/>
  </r>
  <r>
    <x v="189"/>
    <x v="3"/>
    <x v="1505"/>
    <x v="0"/>
    <x v="570"/>
    <n v="32.82"/>
    <x v="0"/>
  </r>
  <r>
    <x v="189"/>
    <x v="3"/>
    <x v="1506"/>
    <x v="0"/>
    <x v="583"/>
    <n v="32.82"/>
    <x v="0"/>
  </r>
  <r>
    <x v="189"/>
    <x v="3"/>
    <x v="1507"/>
    <x v="0"/>
    <x v="583"/>
    <n v="32.82"/>
    <x v="1"/>
  </r>
  <r>
    <x v="189"/>
    <x v="3"/>
    <x v="1508"/>
    <x v="0"/>
    <x v="494"/>
    <n v="32.82"/>
    <x v="0"/>
  </r>
  <r>
    <x v="189"/>
    <x v="3"/>
    <x v="1509"/>
    <x v="0"/>
    <x v="600"/>
    <n v="27.92"/>
    <x v="3"/>
  </r>
  <r>
    <x v="189"/>
    <x v="3"/>
    <x v="1510"/>
    <x v="0"/>
    <x v="601"/>
    <n v="27.92"/>
    <x v="3"/>
  </r>
  <r>
    <x v="189"/>
    <x v="3"/>
    <x v="1511"/>
    <x v="0"/>
    <x v="602"/>
    <n v="32.82"/>
    <x v="0"/>
  </r>
  <r>
    <x v="189"/>
    <x v="3"/>
    <x v="1512"/>
    <x v="0"/>
    <x v="603"/>
    <n v="18.12"/>
    <x v="6"/>
  </r>
  <r>
    <x v="189"/>
    <x v="3"/>
    <x v="1513"/>
    <x v="0"/>
    <x v="604"/>
    <n v="32.82"/>
    <x v="0"/>
  </r>
  <r>
    <x v="189"/>
    <x v="3"/>
    <x v="1514"/>
    <x v="0"/>
    <x v="604"/>
    <n v="23.02"/>
    <x v="2"/>
  </r>
  <r>
    <x v="189"/>
    <x v="3"/>
    <x v="1515"/>
    <x v="0"/>
    <x v="605"/>
    <n v="32.82"/>
    <x v="0"/>
  </r>
  <r>
    <x v="189"/>
    <x v="3"/>
    <x v="1516"/>
    <x v="0"/>
    <x v="507"/>
    <n v="32.82"/>
    <x v="0"/>
  </r>
  <r>
    <x v="189"/>
    <x v="3"/>
    <x v="1517"/>
    <x v="0"/>
    <x v="268"/>
    <n v="32.82"/>
    <x v="7"/>
  </r>
  <r>
    <x v="189"/>
    <x v="3"/>
    <x v="1518"/>
    <x v="0"/>
    <x v="606"/>
    <n v="32.82"/>
    <x v="0"/>
  </r>
  <r>
    <x v="190"/>
    <x v="4"/>
    <x v="1519"/>
    <x v="0"/>
    <x v="607"/>
    <n v="32.82"/>
    <x v="1"/>
  </r>
  <r>
    <x v="190"/>
    <x v="4"/>
    <x v="1520"/>
    <x v="0"/>
    <x v="608"/>
    <n v="32.82"/>
    <x v="7"/>
  </r>
  <r>
    <x v="190"/>
    <x v="4"/>
    <x v="1521"/>
    <x v="0"/>
    <x v="543"/>
    <n v="23.02"/>
    <x v="5"/>
  </r>
  <r>
    <x v="190"/>
    <x v="4"/>
    <x v="1522"/>
    <x v="0"/>
    <x v="543"/>
    <n v="23.02"/>
    <x v="5"/>
  </r>
  <r>
    <x v="190"/>
    <x v="4"/>
    <x v="1523"/>
    <x v="0"/>
    <x v="609"/>
    <n v="32.82"/>
    <x v="7"/>
  </r>
  <r>
    <x v="190"/>
    <x v="4"/>
    <x v="1524"/>
    <x v="0"/>
    <x v="610"/>
    <n v="27.92"/>
    <x v="3"/>
  </r>
  <r>
    <x v="190"/>
    <x v="4"/>
    <x v="1525"/>
    <x v="0"/>
    <x v="611"/>
    <n v="32.82"/>
    <x v="0"/>
  </r>
  <r>
    <x v="190"/>
    <x v="4"/>
    <x v="1526"/>
    <x v="0"/>
    <x v="611"/>
    <n v="32.82"/>
    <x v="0"/>
  </r>
  <r>
    <x v="190"/>
    <x v="4"/>
    <x v="1527"/>
    <x v="0"/>
    <x v="12"/>
    <n v="27.92"/>
    <x v="3"/>
  </r>
  <r>
    <x v="190"/>
    <x v="4"/>
    <x v="1528"/>
    <x v="0"/>
    <x v="12"/>
    <n v="23.02"/>
    <x v="2"/>
  </r>
  <r>
    <x v="191"/>
    <x v="5"/>
    <x v="1529"/>
    <x v="0"/>
    <x v="612"/>
    <n v="32.82"/>
    <x v="0"/>
  </r>
  <r>
    <x v="191"/>
    <x v="5"/>
    <x v="1530"/>
    <x v="0"/>
    <x v="97"/>
    <n v="27.92"/>
    <x v="3"/>
  </r>
  <r>
    <x v="191"/>
    <x v="5"/>
    <x v="1531"/>
    <x v="0"/>
    <x v="613"/>
    <n v="32.82"/>
    <x v="0"/>
  </r>
  <r>
    <x v="191"/>
    <x v="5"/>
    <x v="1532"/>
    <x v="0"/>
    <x v="614"/>
    <n v="32.82"/>
    <x v="7"/>
  </r>
  <r>
    <x v="191"/>
    <x v="5"/>
    <x v="1533"/>
    <x v="0"/>
    <x v="531"/>
    <n v="27.92"/>
    <x v="3"/>
  </r>
  <r>
    <x v="191"/>
    <x v="5"/>
    <x v="1534"/>
    <x v="0"/>
    <x v="531"/>
    <n v="32.82"/>
    <x v="0"/>
  </r>
  <r>
    <x v="191"/>
    <x v="5"/>
    <x v="1535"/>
    <x v="0"/>
    <x v="531"/>
    <n v="32.82"/>
    <x v="0"/>
  </r>
  <r>
    <x v="191"/>
    <x v="5"/>
    <x v="1536"/>
    <x v="0"/>
    <x v="584"/>
    <n v="23.02"/>
    <x v="5"/>
  </r>
  <r>
    <x v="192"/>
    <x v="6"/>
    <x v="1537"/>
    <x v="0"/>
    <x v="347"/>
    <n v="18.12"/>
    <x v="6"/>
  </r>
  <r>
    <x v="192"/>
    <x v="6"/>
    <x v="1538"/>
    <x v="0"/>
    <x v="347"/>
    <n v="27.92"/>
    <x v="3"/>
  </r>
  <r>
    <x v="192"/>
    <x v="6"/>
    <x v="1539"/>
    <x v="0"/>
    <x v="615"/>
    <n v="27.92"/>
    <x v="3"/>
  </r>
  <r>
    <x v="192"/>
    <x v="6"/>
    <x v="1540"/>
    <x v="0"/>
    <x v="565"/>
    <n v="32.82"/>
    <x v="7"/>
  </r>
  <r>
    <x v="192"/>
    <x v="6"/>
    <x v="1541"/>
    <x v="0"/>
    <x v="616"/>
    <n v="23.02"/>
    <x v="5"/>
  </r>
  <r>
    <x v="192"/>
    <x v="6"/>
    <x v="1542"/>
    <x v="0"/>
    <x v="616"/>
    <n v="23.02"/>
    <x v="5"/>
  </r>
  <r>
    <x v="192"/>
    <x v="6"/>
    <x v="1543"/>
    <x v="0"/>
    <x v="141"/>
    <n v="23.02"/>
    <x v="5"/>
  </r>
  <r>
    <x v="192"/>
    <x v="6"/>
    <x v="1544"/>
    <x v="0"/>
    <x v="141"/>
    <n v="23.02"/>
    <x v="5"/>
  </r>
  <r>
    <x v="192"/>
    <x v="6"/>
    <x v="1545"/>
    <x v="0"/>
    <x v="617"/>
    <n v="32.82"/>
    <x v="0"/>
  </r>
  <r>
    <x v="192"/>
    <x v="6"/>
    <x v="1546"/>
    <x v="0"/>
    <x v="618"/>
    <n v="23.02"/>
    <x v="2"/>
  </r>
  <r>
    <x v="192"/>
    <x v="6"/>
    <x v="1547"/>
    <x v="0"/>
    <x v="618"/>
    <n v="32.82"/>
    <x v="7"/>
  </r>
  <r>
    <x v="192"/>
    <x v="6"/>
    <x v="1548"/>
    <x v="0"/>
    <x v="319"/>
    <n v="23.02"/>
    <x v="5"/>
  </r>
  <r>
    <x v="193"/>
    <x v="0"/>
    <x v="1549"/>
    <x v="0"/>
    <x v="570"/>
    <n v="32.82"/>
    <x v="0"/>
  </r>
  <r>
    <x v="193"/>
    <x v="0"/>
    <x v="1550"/>
    <x v="0"/>
    <x v="425"/>
    <n v="32.82"/>
    <x v="0"/>
  </r>
  <r>
    <x v="193"/>
    <x v="0"/>
    <x v="1551"/>
    <x v="0"/>
    <x v="375"/>
    <n v="32.82"/>
    <x v="0"/>
  </r>
  <r>
    <x v="193"/>
    <x v="0"/>
    <x v="1552"/>
    <x v="0"/>
    <x v="619"/>
    <n v="32.82"/>
    <x v="0"/>
  </r>
  <r>
    <x v="193"/>
    <x v="0"/>
    <x v="1553"/>
    <x v="0"/>
    <x v="242"/>
    <n v="27.92"/>
    <x v="3"/>
  </r>
  <r>
    <x v="193"/>
    <x v="0"/>
    <x v="1554"/>
    <x v="0"/>
    <x v="552"/>
    <n v="27.92"/>
    <x v="3"/>
  </r>
  <r>
    <x v="194"/>
    <x v="1"/>
    <x v="1555"/>
    <x v="0"/>
    <x v="543"/>
    <n v="32.82"/>
    <x v="7"/>
  </r>
  <r>
    <x v="194"/>
    <x v="1"/>
    <x v="1556"/>
    <x v="0"/>
    <x v="543"/>
    <n v="32.82"/>
    <x v="7"/>
  </r>
  <r>
    <x v="195"/>
    <x v="2"/>
    <x v="1557"/>
    <x v="0"/>
    <x v="347"/>
    <n v="18.12"/>
    <x v="6"/>
  </r>
  <r>
    <x v="195"/>
    <x v="2"/>
    <x v="1558"/>
    <x v="0"/>
    <x v="620"/>
    <n v="27.92"/>
    <x v="3"/>
  </r>
  <r>
    <x v="195"/>
    <x v="2"/>
    <x v="1559"/>
    <x v="0"/>
    <x v="304"/>
    <n v="23.02"/>
    <x v="2"/>
  </r>
  <r>
    <x v="195"/>
    <x v="2"/>
    <x v="1560"/>
    <x v="0"/>
    <x v="141"/>
    <n v="23.02"/>
    <x v="5"/>
  </r>
  <r>
    <x v="195"/>
    <x v="2"/>
    <x v="1561"/>
    <x v="0"/>
    <x v="141"/>
    <n v="23.02"/>
    <x v="5"/>
  </r>
  <r>
    <x v="195"/>
    <x v="2"/>
    <x v="1562"/>
    <x v="0"/>
    <x v="543"/>
    <n v="32.82"/>
    <x v="7"/>
  </r>
  <r>
    <x v="196"/>
    <x v="3"/>
    <x v="1563"/>
    <x v="0"/>
    <x v="621"/>
    <n v="32.82"/>
    <x v="0"/>
  </r>
  <r>
    <x v="196"/>
    <x v="3"/>
    <x v="1564"/>
    <x v="0"/>
    <x v="584"/>
    <n v="27.92"/>
    <x v="3"/>
  </r>
  <r>
    <x v="196"/>
    <x v="3"/>
    <x v="1565"/>
    <x v="0"/>
    <x v="621"/>
    <n v="32.82"/>
    <x v="0"/>
  </r>
  <r>
    <x v="196"/>
    <x v="3"/>
    <x v="1566"/>
    <x v="0"/>
    <x v="622"/>
    <n v="27.92"/>
    <x v="3"/>
  </r>
  <r>
    <x v="196"/>
    <x v="3"/>
    <x v="1567"/>
    <x v="0"/>
    <x v="623"/>
    <n v="32.82"/>
    <x v="0"/>
  </r>
  <r>
    <x v="196"/>
    <x v="3"/>
    <x v="1568"/>
    <x v="0"/>
    <x v="624"/>
    <n v="32.82"/>
    <x v="0"/>
  </r>
  <r>
    <x v="196"/>
    <x v="3"/>
    <x v="1569"/>
    <x v="0"/>
    <x v="625"/>
    <n v="32.82"/>
    <x v="0"/>
  </r>
  <r>
    <x v="196"/>
    <x v="3"/>
    <x v="1570"/>
    <x v="0"/>
    <x v="626"/>
    <n v="27.92"/>
    <x v="3"/>
  </r>
  <r>
    <x v="196"/>
    <x v="3"/>
    <x v="1571"/>
    <x v="0"/>
    <x v="626"/>
    <n v="32.82"/>
    <x v="0"/>
  </r>
  <r>
    <x v="196"/>
    <x v="3"/>
    <x v="1572"/>
    <x v="0"/>
    <x v="287"/>
    <n v="27.92"/>
    <x v="3"/>
  </r>
  <r>
    <x v="196"/>
    <x v="3"/>
    <x v="1573"/>
    <x v="0"/>
    <x v="97"/>
    <n v="27.92"/>
    <x v="3"/>
  </r>
  <r>
    <x v="197"/>
    <x v="4"/>
    <x v="1574"/>
    <x v="0"/>
    <x v="627"/>
    <n v="23.02"/>
    <x v="5"/>
  </r>
  <r>
    <x v="197"/>
    <x v="4"/>
    <x v="1575"/>
    <x v="0"/>
    <x v="621"/>
    <n v="32.82"/>
    <x v="0"/>
  </r>
  <r>
    <x v="197"/>
    <x v="4"/>
    <x v="1576"/>
    <x v="0"/>
    <x v="276"/>
    <n v="27.92"/>
    <x v="3"/>
  </r>
  <r>
    <x v="197"/>
    <x v="4"/>
    <x v="1577"/>
    <x v="0"/>
    <x v="141"/>
    <n v="23.02"/>
    <x v="5"/>
  </r>
  <r>
    <x v="197"/>
    <x v="4"/>
    <x v="1578"/>
    <x v="0"/>
    <x v="554"/>
    <n v="32.82"/>
    <x v="7"/>
  </r>
  <r>
    <x v="197"/>
    <x v="4"/>
    <x v="1579"/>
    <x v="0"/>
    <x v="554"/>
    <n v="27.92"/>
    <x v="3"/>
  </r>
  <r>
    <x v="197"/>
    <x v="4"/>
    <x v="1580"/>
    <x v="0"/>
    <x v="620"/>
    <n v="27.92"/>
    <x v="3"/>
  </r>
  <r>
    <x v="197"/>
    <x v="4"/>
    <x v="1581"/>
    <x v="0"/>
    <x v="628"/>
    <n v="18.12"/>
    <x v="6"/>
  </r>
  <r>
    <x v="197"/>
    <x v="4"/>
    <x v="1582"/>
    <x v="0"/>
    <x v="628"/>
    <n v="27.92"/>
    <x v="3"/>
  </r>
  <r>
    <x v="197"/>
    <x v="4"/>
    <x v="1583"/>
    <x v="0"/>
    <x v="629"/>
    <n v="32.82"/>
    <x v="0"/>
  </r>
  <r>
    <x v="197"/>
    <x v="4"/>
    <x v="1584"/>
    <x v="0"/>
    <x v="554"/>
    <n v="27.92"/>
    <x v="3"/>
  </r>
  <r>
    <x v="197"/>
    <x v="4"/>
    <x v="1585"/>
    <x v="0"/>
    <x v="630"/>
    <n v="23.02"/>
    <x v="5"/>
  </r>
  <r>
    <x v="197"/>
    <x v="4"/>
    <x v="1586"/>
    <x v="0"/>
    <x v="554"/>
    <n v="32.82"/>
    <x v="7"/>
  </r>
  <r>
    <x v="197"/>
    <x v="4"/>
    <x v="1587"/>
    <x v="0"/>
    <x v="630"/>
    <n v="32.82"/>
    <x v="0"/>
  </r>
  <r>
    <x v="197"/>
    <x v="4"/>
    <x v="1588"/>
    <x v="0"/>
    <x v="631"/>
    <n v="32.82"/>
    <x v="1"/>
  </r>
  <r>
    <x v="197"/>
    <x v="4"/>
    <x v="1589"/>
    <x v="0"/>
    <x v="632"/>
    <n v="27.92"/>
    <x v="3"/>
  </r>
  <r>
    <x v="197"/>
    <x v="4"/>
    <x v="1590"/>
    <x v="0"/>
    <x v="633"/>
    <n v="27.92"/>
    <x v="3"/>
  </r>
  <r>
    <x v="197"/>
    <x v="4"/>
    <x v="1591"/>
    <x v="0"/>
    <x v="634"/>
    <n v="32.82"/>
    <x v="0"/>
  </r>
  <r>
    <x v="197"/>
    <x v="4"/>
    <x v="1592"/>
    <x v="0"/>
    <x v="634"/>
    <n v="27.92"/>
    <x v="3"/>
  </r>
  <r>
    <x v="197"/>
    <x v="4"/>
    <x v="1593"/>
    <x v="0"/>
    <x v="634"/>
    <n v="27.92"/>
    <x v="3"/>
  </r>
  <r>
    <x v="197"/>
    <x v="4"/>
    <x v="1594"/>
    <x v="0"/>
    <x v="635"/>
    <n v="27.92"/>
    <x v="3"/>
  </r>
  <r>
    <x v="197"/>
    <x v="4"/>
    <x v="1595"/>
    <x v="0"/>
    <x v="636"/>
    <n v="32.82"/>
    <x v="1"/>
  </r>
  <r>
    <x v="197"/>
    <x v="4"/>
    <x v="1596"/>
    <x v="0"/>
    <x v="637"/>
    <n v="32.82"/>
    <x v="1"/>
  </r>
  <r>
    <x v="198"/>
    <x v="5"/>
    <x v="1597"/>
    <x v="0"/>
    <x v="638"/>
    <n v="32.82"/>
    <x v="0"/>
  </r>
  <r>
    <x v="198"/>
    <x v="5"/>
    <x v="1598"/>
    <x v="0"/>
    <x v="639"/>
    <n v="32.82"/>
    <x v="0"/>
  </r>
  <r>
    <x v="198"/>
    <x v="5"/>
    <x v="1599"/>
    <x v="0"/>
    <x v="40"/>
    <n v="27.92"/>
    <x v="3"/>
  </r>
  <r>
    <x v="198"/>
    <x v="5"/>
    <x v="1600"/>
    <x v="0"/>
    <x v="40"/>
    <n v="27.92"/>
    <x v="3"/>
  </r>
  <r>
    <x v="199"/>
    <x v="6"/>
    <x v="1601"/>
    <x v="0"/>
    <x v="276"/>
    <n v="27.92"/>
    <x v="3"/>
  </r>
  <r>
    <x v="199"/>
    <x v="6"/>
    <x v="1602"/>
    <x v="0"/>
    <x v="627"/>
    <n v="23.02"/>
    <x v="5"/>
  </r>
  <r>
    <x v="199"/>
    <x v="6"/>
    <x v="1603"/>
    <x v="0"/>
    <x v="494"/>
    <n v="32.82"/>
    <x v="0"/>
  </r>
  <r>
    <x v="199"/>
    <x v="6"/>
    <x v="1604"/>
    <x v="0"/>
    <x v="3"/>
    <n v="23.02"/>
    <x v="2"/>
  </r>
  <r>
    <x v="199"/>
    <x v="6"/>
    <x v="1605"/>
    <x v="0"/>
    <x v="3"/>
    <n v="27.92"/>
    <x v="3"/>
  </r>
  <r>
    <x v="199"/>
    <x v="6"/>
    <x v="1606"/>
    <x v="0"/>
    <x v="640"/>
    <n v="23.02"/>
    <x v="5"/>
  </r>
  <r>
    <x v="200"/>
    <x v="0"/>
    <x v="1607"/>
    <x v="0"/>
    <x v="276"/>
    <n v="27.92"/>
    <x v="3"/>
  </r>
  <r>
    <x v="200"/>
    <x v="0"/>
    <x v="1608"/>
    <x v="0"/>
    <x v="641"/>
    <n v="27.92"/>
    <x v="3"/>
  </r>
  <r>
    <x v="200"/>
    <x v="0"/>
    <x v="1609"/>
    <x v="0"/>
    <x v="333"/>
    <n v="27.92"/>
    <x v="3"/>
  </r>
  <r>
    <x v="200"/>
    <x v="0"/>
    <x v="1610"/>
    <x v="0"/>
    <x v="642"/>
    <n v="32.82"/>
    <x v="0"/>
  </r>
  <r>
    <x v="200"/>
    <x v="0"/>
    <x v="1611"/>
    <x v="0"/>
    <x v="643"/>
    <n v="23.02"/>
    <x v="2"/>
  </r>
  <r>
    <x v="200"/>
    <x v="0"/>
    <x v="1612"/>
    <x v="0"/>
    <x v="287"/>
    <n v="27.92"/>
    <x v="3"/>
  </r>
  <r>
    <x v="200"/>
    <x v="0"/>
    <x v="1613"/>
    <x v="0"/>
    <x v="287"/>
    <n v="27.92"/>
    <x v="3"/>
  </r>
  <r>
    <x v="201"/>
    <x v="1"/>
    <x v="1614"/>
    <x v="0"/>
    <x v="644"/>
    <n v="32.82"/>
    <x v="0"/>
  </r>
  <r>
    <x v="201"/>
    <x v="1"/>
    <x v="1615"/>
    <x v="0"/>
    <x v="644"/>
    <n v="32.82"/>
    <x v="4"/>
  </r>
  <r>
    <x v="201"/>
    <x v="1"/>
    <x v="1616"/>
    <x v="0"/>
    <x v="543"/>
    <n v="23.02"/>
    <x v="5"/>
  </r>
  <r>
    <x v="201"/>
    <x v="1"/>
    <x v="1617"/>
    <x v="0"/>
    <x v="543"/>
    <n v="23.02"/>
    <x v="5"/>
  </r>
  <r>
    <x v="201"/>
    <x v="1"/>
    <x v="1618"/>
    <x v="0"/>
    <x v="645"/>
    <n v="32.82"/>
    <x v="7"/>
  </r>
  <r>
    <x v="201"/>
    <x v="1"/>
    <x v="1619"/>
    <x v="0"/>
    <x v="646"/>
    <n v="32.82"/>
    <x v="0"/>
  </r>
  <r>
    <x v="201"/>
    <x v="1"/>
    <x v="1620"/>
    <x v="0"/>
    <x v="507"/>
    <n v="32.82"/>
    <x v="0"/>
  </r>
  <r>
    <x v="201"/>
    <x v="1"/>
    <x v="1621"/>
    <x v="0"/>
    <x v="507"/>
    <n v="32.82"/>
    <x v="0"/>
  </r>
  <r>
    <x v="201"/>
    <x v="1"/>
    <x v="1622"/>
    <x v="0"/>
    <x v="40"/>
    <n v="23.02"/>
    <x v="2"/>
  </r>
  <r>
    <x v="201"/>
    <x v="1"/>
    <x v="1623"/>
    <x v="0"/>
    <x v="40"/>
    <n v="23.02"/>
    <x v="2"/>
  </r>
  <r>
    <x v="201"/>
    <x v="1"/>
    <x v="1624"/>
    <x v="0"/>
    <x v="602"/>
    <n v="32.82"/>
    <x v="0"/>
  </r>
  <r>
    <x v="201"/>
    <x v="1"/>
    <x v="1625"/>
    <x v="0"/>
    <x v="602"/>
    <n v="32.82"/>
    <x v="0"/>
  </r>
  <r>
    <x v="201"/>
    <x v="1"/>
    <x v="1626"/>
    <x v="0"/>
    <x v="647"/>
    <n v="27.92"/>
    <x v="3"/>
  </r>
  <r>
    <x v="201"/>
    <x v="1"/>
    <x v="1627"/>
    <x v="0"/>
    <x v="647"/>
    <n v="23.02"/>
    <x v="2"/>
  </r>
  <r>
    <x v="201"/>
    <x v="1"/>
    <x v="1628"/>
    <x v="0"/>
    <x v="647"/>
    <n v="23.02"/>
    <x v="2"/>
  </r>
  <r>
    <x v="202"/>
    <x v="2"/>
    <x v="1629"/>
    <x v="0"/>
    <x v="648"/>
    <n v="23.02"/>
    <x v="2"/>
  </r>
  <r>
    <x v="202"/>
    <x v="2"/>
    <x v="1630"/>
    <x v="0"/>
    <x v="649"/>
    <n v="27.92"/>
    <x v="3"/>
  </r>
  <r>
    <x v="202"/>
    <x v="2"/>
    <x v="1631"/>
    <x v="0"/>
    <x v="649"/>
    <n v="32.82"/>
    <x v="0"/>
  </r>
  <r>
    <x v="202"/>
    <x v="2"/>
    <x v="1632"/>
    <x v="0"/>
    <x v="650"/>
    <n v="23.02"/>
    <x v="5"/>
  </r>
  <r>
    <x v="202"/>
    <x v="2"/>
    <x v="1633"/>
    <x v="0"/>
    <x v="650"/>
    <n v="23.02"/>
    <x v="5"/>
  </r>
  <r>
    <x v="202"/>
    <x v="2"/>
    <x v="1634"/>
    <x v="0"/>
    <x v="651"/>
    <n v="27.92"/>
    <x v="3"/>
  </r>
  <r>
    <x v="202"/>
    <x v="2"/>
    <x v="1635"/>
    <x v="0"/>
    <x v="99"/>
    <n v="23.02"/>
    <x v="2"/>
  </r>
  <r>
    <x v="202"/>
    <x v="2"/>
    <x v="1636"/>
    <x v="0"/>
    <x v="276"/>
    <n v="27.92"/>
    <x v="3"/>
  </r>
  <r>
    <x v="202"/>
    <x v="2"/>
    <x v="1637"/>
    <x v="0"/>
    <x v="333"/>
    <n v="27.92"/>
    <x v="3"/>
  </r>
  <r>
    <x v="202"/>
    <x v="2"/>
    <x v="1638"/>
    <x v="0"/>
    <x v="333"/>
    <n v="27.92"/>
    <x v="3"/>
  </r>
  <r>
    <x v="202"/>
    <x v="2"/>
    <x v="1639"/>
    <x v="0"/>
    <x v="510"/>
    <n v="27.92"/>
    <x v="3"/>
  </r>
  <r>
    <x v="202"/>
    <x v="2"/>
    <x v="1640"/>
    <x v="0"/>
    <x v="652"/>
    <n v="32.82"/>
    <x v="0"/>
  </r>
  <r>
    <x v="202"/>
    <x v="2"/>
    <x v="1641"/>
    <x v="0"/>
    <x v="652"/>
    <n v="27.92"/>
    <x v="3"/>
  </r>
  <r>
    <x v="202"/>
    <x v="2"/>
    <x v="1642"/>
    <x v="0"/>
    <x v="653"/>
    <n v="32.82"/>
    <x v="4"/>
  </r>
  <r>
    <x v="202"/>
    <x v="2"/>
    <x v="1643"/>
    <x v="0"/>
    <x v="654"/>
    <n v="32.82"/>
    <x v="0"/>
  </r>
  <r>
    <x v="202"/>
    <x v="2"/>
    <x v="1644"/>
    <x v="0"/>
    <x v="654"/>
    <n v="32.82"/>
    <x v="7"/>
  </r>
  <r>
    <x v="202"/>
    <x v="2"/>
    <x v="1645"/>
    <x v="0"/>
    <x v="455"/>
    <n v="27.92"/>
    <x v="3"/>
  </r>
  <r>
    <x v="202"/>
    <x v="2"/>
    <x v="1646"/>
    <x v="0"/>
    <x v="455"/>
    <n v="27.92"/>
    <x v="3"/>
  </r>
  <r>
    <x v="202"/>
    <x v="2"/>
    <x v="1647"/>
    <x v="0"/>
    <x v="655"/>
    <n v="27.92"/>
    <x v="3"/>
  </r>
  <r>
    <x v="202"/>
    <x v="2"/>
    <x v="1648"/>
    <x v="0"/>
    <x v="655"/>
    <n v="27.92"/>
    <x v="3"/>
  </r>
  <r>
    <x v="202"/>
    <x v="2"/>
    <x v="1649"/>
    <x v="0"/>
    <x v="637"/>
    <n v="32.82"/>
    <x v="1"/>
  </r>
  <r>
    <x v="202"/>
    <x v="2"/>
    <x v="1650"/>
    <x v="0"/>
    <x v="637"/>
    <n v="32.82"/>
    <x v="1"/>
  </r>
  <r>
    <x v="202"/>
    <x v="2"/>
    <x v="1651"/>
    <x v="0"/>
    <x v="656"/>
    <n v="23.02"/>
    <x v="2"/>
  </r>
  <r>
    <x v="202"/>
    <x v="2"/>
    <x v="1652"/>
    <x v="0"/>
    <x v="657"/>
    <n v="27.92"/>
    <x v="3"/>
  </r>
  <r>
    <x v="203"/>
    <x v="3"/>
    <x v="1653"/>
    <x v="0"/>
    <x v="276"/>
    <n v="27.92"/>
    <x v="3"/>
  </r>
  <r>
    <x v="203"/>
    <x v="3"/>
    <x v="1654"/>
    <x v="0"/>
    <x v="141"/>
    <n v="23.02"/>
    <x v="5"/>
  </r>
  <r>
    <x v="203"/>
    <x v="3"/>
    <x v="1655"/>
    <x v="0"/>
    <x v="584"/>
    <n v="23.02"/>
    <x v="2"/>
  </r>
  <r>
    <x v="203"/>
    <x v="3"/>
    <x v="1656"/>
    <x v="0"/>
    <x v="573"/>
    <n v="27.92"/>
    <x v="3"/>
  </r>
  <r>
    <x v="203"/>
    <x v="3"/>
    <x v="1657"/>
    <x v="0"/>
    <x v="658"/>
    <n v="32.82"/>
    <x v="7"/>
  </r>
  <r>
    <x v="203"/>
    <x v="3"/>
    <x v="1658"/>
    <x v="0"/>
    <x v="659"/>
    <n v="23.02"/>
    <x v="2"/>
  </r>
  <r>
    <x v="203"/>
    <x v="3"/>
    <x v="1659"/>
    <x v="0"/>
    <x v="507"/>
    <n v="32.82"/>
    <x v="0"/>
  </r>
  <r>
    <x v="203"/>
    <x v="3"/>
    <x v="1660"/>
    <x v="0"/>
    <x v="206"/>
    <n v="32.82"/>
    <x v="7"/>
  </r>
  <r>
    <x v="203"/>
    <x v="3"/>
    <x v="1661"/>
    <x v="0"/>
    <x v="641"/>
    <n v="27.92"/>
    <x v="3"/>
  </r>
  <r>
    <x v="203"/>
    <x v="3"/>
    <x v="1662"/>
    <x v="0"/>
    <x v="641"/>
    <n v="27.92"/>
    <x v="3"/>
  </r>
  <r>
    <x v="204"/>
    <x v="4"/>
    <x v="1663"/>
    <x v="0"/>
    <x v="276"/>
    <n v="27.92"/>
    <x v="3"/>
  </r>
  <r>
    <x v="204"/>
    <x v="4"/>
    <x v="1664"/>
    <x v="0"/>
    <x v="634"/>
    <n v="32.82"/>
    <x v="0"/>
  </r>
  <r>
    <x v="204"/>
    <x v="4"/>
    <x v="1665"/>
    <x v="0"/>
    <x v="634"/>
    <n v="32.82"/>
    <x v="0"/>
  </r>
  <r>
    <x v="204"/>
    <x v="4"/>
    <x v="1666"/>
    <x v="0"/>
    <x v="660"/>
    <n v="32.82"/>
    <x v="0"/>
  </r>
  <r>
    <x v="204"/>
    <x v="4"/>
    <x v="1667"/>
    <x v="0"/>
    <x v="660"/>
    <n v="32.82"/>
    <x v="0"/>
  </r>
  <r>
    <x v="204"/>
    <x v="4"/>
    <x v="1668"/>
    <x v="0"/>
    <x v="661"/>
    <n v="32.82"/>
    <x v="0"/>
  </r>
  <r>
    <x v="204"/>
    <x v="4"/>
    <x v="1669"/>
    <x v="0"/>
    <x v="662"/>
    <n v="23.02"/>
    <x v="5"/>
  </r>
  <r>
    <x v="204"/>
    <x v="4"/>
    <x v="1670"/>
    <x v="0"/>
    <x v="510"/>
    <n v="32.82"/>
    <x v="7"/>
  </r>
  <r>
    <x v="204"/>
    <x v="4"/>
    <x v="1671"/>
    <x v="0"/>
    <x v="583"/>
    <n v="32.82"/>
    <x v="0"/>
  </r>
  <r>
    <x v="204"/>
    <x v="4"/>
    <x v="1672"/>
    <x v="0"/>
    <x v="408"/>
    <n v="23.02"/>
    <x v="2"/>
  </r>
  <r>
    <x v="204"/>
    <x v="4"/>
    <x v="1673"/>
    <x v="0"/>
    <x v="408"/>
    <n v="23.02"/>
    <x v="2"/>
  </r>
  <r>
    <x v="204"/>
    <x v="4"/>
    <x v="1674"/>
    <x v="0"/>
    <x v="663"/>
    <n v="32.82"/>
    <x v="1"/>
  </r>
  <r>
    <x v="204"/>
    <x v="4"/>
    <x v="1675"/>
    <x v="0"/>
    <x v="631"/>
    <n v="32.82"/>
    <x v="0"/>
  </r>
  <r>
    <x v="204"/>
    <x v="4"/>
    <x v="1676"/>
    <x v="0"/>
    <x v="531"/>
    <n v="27.92"/>
    <x v="3"/>
  </r>
  <r>
    <x v="204"/>
    <x v="4"/>
    <x v="1677"/>
    <x v="0"/>
    <x v="531"/>
    <n v="27.92"/>
    <x v="3"/>
  </r>
  <r>
    <x v="205"/>
    <x v="5"/>
    <x v="1678"/>
    <x v="0"/>
    <x v="664"/>
    <n v="32.82"/>
    <x v="7"/>
  </r>
  <r>
    <x v="205"/>
    <x v="5"/>
    <x v="1679"/>
    <x v="0"/>
    <x v="141"/>
    <n v="23.02"/>
    <x v="5"/>
  </r>
  <r>
    <x v="205"/>
    <x v="5"/>
    <x v="1680"/>
    <x v="0"/>
    <x v="665"/>
    <n v="27.92"/>
    <x v="3"/>
  </r>
  <r>
    <x v="205"/>
    <x v="5"/>
    <x v="1681"/>
    <x v="0"/>
    <x v="665"/>
    <n v="32.82"/>
    <x v="0"/>
  </r>
  <r>
    <x v="205"/>
    <x v="5"/>
    <x v="1682"/>
    <x v="0"/>
    <x v="666"/>
    <n v="27.92"/>
    <x v="3"/>
  </r>
  <r>
    <x v="205"/>
    <x v="5"/>
    <x v="1683"/>
    <x v="0"/>
    <x v="666"/>
    <n v="27.92"/>
    <x v="3"/>
  </r>
  <r>
    <x v="205"/>
    <x v="5"/>
    <x v="1684"/>
    <x v="0"/>
    <x v="667"/>
    <n v="27.92"/>
    <x v="3"/>
  </r>
  <r>
    <x v="205"/>
    <x v="5"/>
    <x v="1685"/>
    <x v="0"/>
    <x v="667"/>
    <n v="27.92"/>
    <x v="3"/>
  </r>
  <r>
    <x v="205"/>
    <x v="5"/>
    <x v="1686"/>
    <x v="0"/>
    <x v="668"/>
    <n v="23.02"/>
    <x v="2"/>
  </r>
  <r>
    <x v="205"/>
    <x v="5"/>
    <x v="1687"/>
    <x v="0"/>
    <x v="475"/>
    <n v="27.92"/>
    <x v="3"/>
  </r>
  <r>
    <x v="206"/>
    <x v="6"/>
    <x v="1688"/>
    <x v="0"/>
    <x v="570"/>
    <n v="32.82"/>
    <x v="0"/>
  </r>
  <r>
    <x v="206"/>
    <x v="6"/>
    <x v="1689"/>
    <x v="0"/>
    <x v="333"/>
    <n v="27.92"/>
    <x v="3"/>
  </r>
  <r>
    <x v="206"/>
    <x v="6"/>
    <x v="1690"/>
    <x v="0"/>
    <x v="669"/>
    <n v="18.12"/>
    <x v="6"/>
  </r>
  <r>
    <x v="206"/>
    <x v="6"/>
    <x v="1691"/>
    <x v="0"/>
    <x v="670"/>
    <n v="32.82"/>
    <x v="7"/>
  </r>
  <r>
    <x v="206"/>
    <x v="6"/>
    <x v="1692"/>
    <x v="0"/>
    <x v="671"/>
    <n v="32.82"/>
    <x v="0"/>
  </r>
  <r>
    <x v="206"/>
    <x v="6"/>
    <x v="1693"/>
    <x v="0"/>
    <x v="672"/>
    <n v="32.82"/>
    <x v="0"/>
  </r>
  <r>
    <x v="206"/>
    <x v="6"/>
    <x v="1694"/>
    <x v="0"/>
    <x v="673"/>
    <n v="32.82"/>
    <x v="0"/>
  </r>
  <r>
    <x v="206"/>
    <x v="6"/>
    <x v="1695"/>
    <x v="0"/>
    <x v="673"/>
    <n v="23.02"/>
    <x v="5"/>
  </r>
  <r>
    <x v="206"/>
    <x v="6"/>
    <x v="1696"/>
    <x v="0"/>
    <x v="472"/>
    <n v="27.92"/>
    <x v="3"/>
  </r>
  <r>
    <x v="207"/>
    <x v="0"/>
    <x v="1697"/>
    <x v="0"/>
    <x v="276"/>
    <n v="27.92"/>
    <x v="3"/>
  </r>
  <r>
    <x v="207"/>
    <x v="0"/>
    <x v="1698"/>
    <x v="0"/>
    <x v="141"/>
    <n v="23.02"/>
    <x v="5"/>
  </r>
  <r>
    <x v="207"/>
    <x v="0"/>
    <x v="1699"/>
    <x v="0"/>
    <x v="674"/>
    <n v="32.82"/>
    <x v="7"/>
  </r>
  <r>
    <x v="207"/>
    <x v="0"/>
    <x v="1700"/>
    <x v="0"/>
    <x v="333"/>
    <n v="27.92"/>
    <x v="3"/>
  </r>
  <r>
    <x v="207"/>
    <x v="0"/>
    <x v="1701"/>
    <x v="0"/>
    <x v="333"/>
    <n v="27.92"/>
    <x v="3"/>
  </r>
  <r>
    <x v="207"/>
    <x v="0"/>
    <x v="1702"/>
    <x v="0"/>
    <x v="675"/>
    <n v="32.82"/>
    <x v="7"/>
  </r>
  <r>
    <x v="207"/>
    <x v="0"/>
    <x v="1703"/>
    <x v="0"/>
    <x v="676"/>
    <n v="32.82"/>
    <x v="7"/>
  </r>
  <r>
    <x v="207"/>
    <x v="0"/>
    <x v="1704"/>
    <x v="0"/>
    <x v="676"/>
    <n v="23.02"/>
    <x v="2"/>
  </r>
  <r>
    <x v="207"/>
    <x v="0"/>
    <x v="1705"/>
    <x v="0"/>
    <x v="677"/>
    <n v="27.92"/>
    <x v="3"/>
  </r>
  <r>
    <x v="207"/>
    <x v="0"/>
    <x v="1706"/>
    <x v="0"/>
    <x v="678"/>
    <n v="32.82"/>
    <x v="0"/>
  </r>
  <r>
    <x v="207"/>
    <x v="0"/>
    <x v="1707"/>
    <x v="0"/>
    <x v="678"/>
    <n v="32.82"/>
    <x v="0"/>
  </r>
  <r>
    <x v="207"/>
    <x v="0"/>
    <x v="1708"/>
    <x v="0"/>
    <x v="679"/>
    <n v="32.82"/>
    <x v="7"/>
  </r>
  <r>
    <x v="207"/>
    <x v="0"/>
    <x v="1709"/>
    <x v="0"/>
    <x v="680"/>
    <n v="32.82"/>
    <x v="7"/>
  </r>
  <r>
    <x v="207"/>
    <x v="0"/>
    <x v="1710"/>
    <x v="0"/>
    <x v="408"/>
    <n v="32.82"/>
    <x v="7"/>
  </r>
  <r>
    <x v="207"/>
    <x v="0"/>
    <x v="1711"/>
    <x v="0"/>
    <x v="408"/>
    <n v="32.82"/>
    <x v="7"/>
  </r>
  <r>
    <x v="207"/>
    <x v="0"/>
    <x v="1712"/>
    <x v="0"/>
    <x v="681"/>
    <n v="27.92"/>
    <x v="3"/>
  </r>
  <r>
    <x v="208"/>
    <x v="1"/>
    <x v="1713"/>
    <x v="0"/>
    <x v="666"/>
    <n v="27.92"/>
    <x v="3"/>
  </r>
  <r>
    <x v="208"/>
    <x v="1"/>
    <x v="1714"/>
    <x v="0"/>
    <x v="682"/>
    <n v="27.92"/>
    <x v="3"/>
  </r>
  <r>
    <x v="208"/>
    <x v="1"/>
    <x v="1715"/>
    <x v="0"/>
    <x v="507"/>
    <n v="35.76"/>
    <x v="0"/>
  </r>
  <r>
    <x v="208"/>
    <x v="1"/>
    <x v="1716"/>
    <x v="0"/>
    <x v="683"/>
    <n v="35.76"/>
    <x v="0"/>
  </r>
  <r>
    <x v="208"/>
    <x v="1"/>
    <x v="1717"/>
    <x v="0"/>
    <x v="684"/>
    <n v="30.86"/>
    <x v="3"/>
  </r>
  <r>
    <x v="208"/>
    <x v="1"/>
    <x v="1718"/>
    <x v="0"/>
    <x v="445"/>
    <n v="35.76"/>
    <x v="0"/>
  </r>
  <r>
    <x v="208"/>
    <x v="1"/>
    <x v="1719"/>
    <x v="0"/>
    <x v="685"/>
    <n v="35.76"/>
    <x v="0"/>
  </r>
  <r>
    <x v="208"/>
    <x v="1"/>
    <x v="1720"/>
    <x v="0"/>
    <x v="686"/>
    <n v="35.76"/>
    <x v="7"/>
  </r>
  <r>
    <x v="208"/>
    <x v="1"/>
    <x v="1721"/>
    <x v="0"/>
    <x v="686"/>
    <n v="35.76"/>
    <x v="4"/>
  </r>
  <r>
    <x v="208"/>
    <x v="1"/>
    <x v="1722"/>
    <x v="0"/>
    <x v="687"/>
    <n v="25.96"/>
    <x v="5"/>
  </r>
  <r>
    <x v="208"/>
    <x v="1"/>
    <x v="1723"/>
    <x v="0"/>
    <x v="687"/>
    <n v="35.76"/>
    <x v="1"/>
  </r>
  <r>
    <x v="209"/>
    <x v="2"/>
    <x v="1724"/>
    <x v="0"/>
    <x v="467"/>
    <n v="25.96"/>
    <x v="2"/>
  </r>
  <r>
    <x v="209"/>
    <x v="2"/>
    <x v="1725"/>
    <x v="0"/>
    <x v="172"/>
    <n v="35.76"/>
    <x v="7"/>
  </r>
  <r>
    <x v="209"/>
    <x v="2"/>
    <x v="1726"/>
    <x v="0"/>
    <x v="172"/>
    <n v="35.76"/>
    <x v="7"/>
  </r>
  <r>
    <x v="209"/>
    <x v="2"/>
    <x v="1727"/>
    <x v="0"/>
    <x v="172"/>
    <n v="35.76"/>
    <x v="7"/>
  </r>
  <r>
    <x v="209"/>
    <x v="2"/>
    <x v="1728"/>
    <x v="0"/>
    <x v="333"/>
    <n v="30.86"/>
    <x v="3"/>
  </r>
  <r>
    <x v="209"/>
    <x v="2"/>
    <x v="1729"/>
    <x v="0"/>
    <x v="683"/>
    <n v="35.76"/>
    <x v="0"/>
  </r>
  <r>
    <x v="209"/>
    <x v="2"/>
    <x v="1730"/>
    <x v="0"/>
    <x v="141"/>
    <n v="25.96"/>
    <x v="5"/>
  </r>
  <r>
    <x v="209"/>
    <x v="2"/>
    <x v="1731"/>
    <x v="0"/>
    <x v="602"/>
    <n v="35.76"/>
    <x v="0"/>
  </r>
  <r>
    <x v="209"/>
    <x v="2"/>
    <x v="1732"/>
    <x v="0"/>
    <x v="688"/>
    <n v="35.76"/>
    <x v="0"/>
  </r>
  <r>
    <x v="209"/>
    <x v="2"/>
    <x v="1733"/>
    <x v="0"/>
    <x v="689"/>
    <n v="35.76"/>
    <x v="7"/>
  </r>
  <r>
    <x v="209"/>
    <x v="2"/>
    <x v="1734"/>
    <x v="0"/>
    <x v="690"/>
    <n v="35.76"/>
    <x v="0"/>
  </r>
  <r>
    <x v="210"/>
    <x v="3"/>
    <x v="1735"/>
    <x v="0"/>
    <x v="141"/>
    <n v="25.96"/>
    <x v="5"/>
  </r>
  <r>
    <x v="210"/>
    <x v="3"/>
    <x v="1736"/>
    <x v="0"/>
    <x v="691"/>
    <n v="25.96"/>
    <x v="5"/>
  </r>
  <r>
    <x v="210"/>
    <x v="3"/>
    <x v="1737"/>
    <x v="0"/>
    <x v="692"/>
    <n v="35.76"/>
    <x v="1"/>
  </r>
  <r>
    <x v="210"/>
    <x v="3"/>
    <x v="1738"/>
    <x v="0"/>
    <x v="276"/>
    <n v="30.86"/>
    <x v="3"/>
  </r>
  <r>
    <x v="210"/>
    <x v="3"/>
    <x v="1739"/>
    <x v="0"/>
    <x v="141"/>
    <n v="25.96"/>
    <x v="5"/>
  </r>
  <r>
    <x v="210"/>
    <x v="3"/>
    <x v="1740"/>
    <x v="0"/>
    <x v="693"/>
    <n v="30.86"/>
    <x v="3"/>
  </r>
  <r>
    <x v="210"/>
    <x v="3"/>
    <x v="1741"/>
    <x v="0"/>
    <x v="333"/>
    <n v="30.86"/>
    <x v="3"/>
  </r>
  <r>
    <x v="210"/>
    <x v="3"/>
    <x v="1742"/>
    <x v="0"/>
    <x v="507"/>
    <n v="35.76"/>
    <x v="0"/>
  </r>
  <r>
    <x v="210"/>
    <x v="3"/>
    <x v="1743"/>
    <x v="0"/>
    <x v="694"/>
    <n v="30.86"/>
    <x v="3"/>
  </r>
  <r>
    <x v="210"/>
    <x v="3"/>
    <x v="1744"/>
    <x v="0"/>
    <x v="694"/>
    <n v="25.96"/>
    <x v="5"/>
  </r>
  <r>
    <x v="210"/>
    <x v="3"/>
    <x v="1745"/>
    <x v="0"/>
    <x v="631"/>
    <n v="35.76"/>
    <x v="0"/>
  </r>
  <r>
    <x v="210"/>
    <x v="3"/>
    <x v="1746"/>
    <x v="0"/>
    <x v="531"/>
    <n v="30.86"/>
    <x v="3"/>
  </r>
  <r>
    <x v="210"/>
    <x v="3"/>
    <x v="1747"/>
    <x v="0"/>
    <x v="633"/>
    <n v="30.86"/>
    <x v="3"/>
  </r>
  <r>
    <x v="210"/>
    <x v="3"/>
    <x v="1748"/>
    <x v="0"/>
    <x v="695"/>
    <n v="30.86"/>
    <x v="3"/>
  </r>
  <r>
    <x v="211"/>
    <x v="4"/>
    <x v="1749"/>
    <x v="0"/>
    <x v="696"/>
    <n v="35.76"/>
    <x v="0"/>
  </r>
  <r>
    <x v="211"/>
    <x v="4"/>
    <x v="1750"/>
    <x v="0"/>
    <x v="276"/>
    <n v="30.86"/>
    <x v="3"/>
  </r>
  <r>
    <x v="211"/>
    <x v="4"/>
    <x v="1751"/>
    <x v="0"/>
    <x v="333"/>
    <n v="30.86"/>
    <x v="3"/>
  </r>
  <r>
    <x v="211"/>
    <x v="4"/>
    <x v="1752"/>
    <x v="0"/>
    <x v="333"/>
    <n v="30.86"/>
    <x v="3"/>
  </r>
  <r>
    <x v="211"/>
    <x v="4"/>
    <x v="1753"/>
    <x v="0"/>
    <x v="697"/>
    <n v="30.86"/>
    <x v="3"/>
  </r>
  <r>
    <x v="211"/>
    <x v="4"/>
    <x v="1754"/>
    <x v="0"/>
    <x v="698"/>
    <n v="30.86"/>
    <x v="3"/>
  </r>
  <r>
    <x v="211"/>
    <x v="4"/>
    <x v="1755"/>
    <x v="0"/>
    <x v="698"/>
    <n v="30.86"/>
    <x v="3"/>
  </r>
  <r>
    <x v="211"/>
    <x v="4"/>
    <x v="1756"/>
    <x v="0"/>
    <x v="699"/>
    <n v="25.96"/>
    <x v="2"/>
  </r>
  <r>
    <x v="211"/>
    <x v="4"/>
    <x v="1757"/>
    <x v="0"/>
    <x v="699"/>
    <n v="30.86"/>
    <x v="3"/>
  </r>
  <r>
    <x v="211"/>
    <x v="4"/>
    <x v="1758"/>
    <x v="0"/>
    <x v="637"/>
    <n v="35.76"/>
    <x v="1"/>
  </r>
  <r>
    <x v="211"/>
    <x v="4"/>
    <x v="1759"/>
    <x v="0"/>
    <x v="700"/>
    <n v="25.96"/>
    <x v="2"/>
  </r>
  <r>
    <x v="211"/>
    <x v="4"/>
    <x v="1760"/>
    <x v="0"/>
    <x v="701"/>
    <n v="35.76"/>
    <x v="0"/>
  </r>
  <r>
    <x v="211"/>
    <x v="4"/>
    <x v="1761"/>
    <x v="0"/>
    <x v="702"/>
    <n v="35.76"/>
    <x v="0"/>
  </r>
  <r>
    <x v="211"/>
    <x v="4"/>
    <x v="1762"/>
    <x v="0"/>
    <x v="702"/>
    <n v="35.76"/>
    <x v="1"/>
  </r>
  <r>
    <x v="211"/>
    <x v="4"/>
    <x v="1763"/>
    <x v="0"/>
    <x v="585"/>
    <n v="35.76"/>
    <x v="1"/>
  </r>
  <r>
    <x v="212"/>
    <x v="5"/>
    <x v="1764"/>
    <x v="0"/>
    <x v="703"/>
    <n v="35.76"/>
    <x v="0"/>
  </r>
  <r>
    <x v="212"/>
    <x v="5"/>
    <x v="1765"/>
    <x v="0"/>
    <x v="141"/>
    <n v="25.96"/>
    <x v="5"/>
  </r>
  <r>
    <x v="212"/>
    <x v="5"/>
    <x v="1766"/>
    <x v="0"/>
    <x v="276"/>
    <n v="30.86"/>
    <x v="3"/>
  </r>
  <r>
    <x v="212"/>
    <x v="5"/>
    <x v="1767"/>
    <x v="0"/>
    <x v="375"/>
    <n v="35.76"/>
    <x v="0"/>
  </r>
  <r>
    <x v="212"/>
    <x v="5"/>
    <x v="1768"/>
    <x v="0"/>
    <x v="704"/>
    <n v="30.86"/>
    <x v="3"/>
  </r>
  <r>
    <x v="212"/>
    <x v="5"/>
    <x v="1769"/>
    <x v="0"/>
    <x v="705"/>
    <n v="35.76"/>
    <x v="7"/>
  </r>
  <r>
    <x v="212"/>
    <x v="5"/>
    <x v="1770"/>
    <x v="0"/>
    <x v="706"/>
    <n v="35.76"/>
    <x v="7"/>
  </r>
  <r>
    <x v="212"/>
    <x v="5"/>
    <x v="1771"/>
    <x v="0"/>
    <x v="255"/>
    <n v="35.76"/>
    <x v="1"/>
  </r>
  <r>
    <x v="212"/>
    <x v="5"/>
    <x v="1772"/>
    <x v="0"/>
    <x v="637"/>
    <n v="35.76"/>
    <x v="1"/>
  </r>
  <r>
    <x v="212"/>
    <x v="5"/>
    <x v="1773"/>
    <x v="0"/>
    <x v="637"/>
    <n v="35.76"/>
    <x v="1"/>
  </r>
  <r>
    <x v="212"/>
    <x v="5"/>
    <x v="1774"/>
    <x v="0"/>
    <x v="707"/>
    <n v="35.76"/>
    <x v="1"/>
  </r>
  <r>
    <x v="213"/>
    <x v="6"/>
    <x v="1775"/>
    <x v="0"/>
    <x v="708"/>
    <n v="35.76"/>
    <x v="4"/>
  </r>
  <r>
    <x v="213"/>
    <x v="6"/>
    <x v="1776"/>
    <x v="0"/>
    <x v="709"/>
    <n v="30.86"/>
    <x v="3"/>
  </r>
  <r>
    <x v="213"/>
    <x v="6"/>
    <x v="1777"/>
    <x v="0"/>
    <x v="710"/>
    <n v="25.96"/>
    <x v="5"/>
  </r>
  <r>
    <x v="213"/>
    <x v="6"/>
    <x v="1778"/>
    <x v="0"/>
    <x v="710"/>
    <n v="35.76"/>
    <x v="1"/>
  </r>
  <r>
    <x v="213"/>
    <x v="6"/>
    <x v="1779"/>
    <x v="0"/>
    <x v="637"/>
    <n v="35.76"/>
    <x v="1"/>
  </r>
  <r>
    <x v="213"/>
    <x v="6"/>
    <x v="1780"/>
    <x v="0"/>
    <x v="637"/>
    <n v="35.76"/>
    <x v="1"/>
  </r>
  <r>
    <x v="213"/>
    <x v="6"/>
    <x v="1781"/>
    <x v="0"/>
    <x v="711"/>
    <n v="35.76"/>
    <x v="7"/>
  </r>
  <r>
    <x v="213"/>
    <x v="6"/>
    <x v="1782"/>
    <x v="0"/>
    <x v="712"/>
    <n v="35.76"/>
    <x v="1"/>
  </r>
  <r>
    <x v="214"/>
    <x v="0"/>
    <x v="1783"/>
    <x v="0"/>
    <x v="440"/>
    <n v="25.96"/>
    <x v="2"/>
  </r>
  <r>
    <x v="214"/>
    <x v="0"/>
    <x v="1784"/>
    <x v="0"/>
    <x v="440"/>
    <n v="25.96"/>
    <x v="2"/>
  </r>
  <r>
    <x v="214"/>
    <x v="0"/>
    <x v="1785"/>
    <x v="0"/>
    <x v="3"/>
    <n v="30.86"/>
    <x v="3"/>
  </r>
  <r>
    <x v="214"/>
    <x v="0"/>
    <x v="1786"/>
    <x v="0"/>
    <x v="2"/>
    <n v="25.96"/>
    <x v="2"/>
  </r>
  <r>
    <x v="214"/>
    <x v="0"/>
    <x v="1787"/>
    <x v="0"/>
    <x v="650"/>
    <n v="25.96"/>
    <x v="5"/>
  </r>
  <r>
    <x v="214"/>
    <x v="0"/>
    <x v="1788"/>
    <x v="0"/>
    <x v="650"/>
    <n v="25.96"/>
    <x v="5"/>
  </r>
  <r>
    <x v="214"/>
    <x v="0"/>
    <x v="1789"/>
    <x v="0"/>
    <x v="713"/>
    <n v="35.76"/>
    <x v="0"/>
  </r>
  <r>
    <x v="214"/>
    <x v="0"/>
    <x v="1790"/>
    <x v="0"/>
    <x v="714"/>
    <n v="35.76"/>
    <x v="1"/>
  </r>
  <r>
    <x v="214"/>
    <x v="0"/>
    <x v="1791"/>
    <x v="0"/>
    <x v="714"/>
    <n v="35.76"/>
    <x v="4"/>
  </r>
  <r>
    <x v="215"/>
    <x v="1"/>
    <x v="1792"/>
    <x v="0"/>
    <x v="141"/>
    <n v="25.96"/>
    <x v="5"/>
  </r>
  <r>
    <x v="215"/>
    <x v="1"/>
    <x v="1793"/>
    <x v="0"/>
    <x v="141"/>
    <n v="25.96"/>
    <x v="5"/>
  </r>
  <r>
    <x v="215"/>
    <x v="1"/>
    <x v="1794"/>
    <x v="0"/>
    <x v="715"/>
    <n v="35.76"/>
    <x v="4"/>
  </r>
  <r>
    <x v="215"/>
    <x v="1"/>
    <x v="1795"/>
    <x v="0"/>
    <x v="206"/>
    <n v="35.76"/>
    <x v="7"/>
  </r>
  <r>
    <x v="215"/>
    <x v="1"/>
    <x v="1796"/>
    <x v="0"/>
    <x v="12"/>
    <n v="25.96"/>
    <x v="2"/>
  </r>
  <r>
    <x v="215"/>
    <x v="1"/>
    <x v="1797"/>
    <x v="0"/>
    <x v="12"/>
    <n v="25.96"/>
    <x v="2"/>
  </r>
  <r>
    <x v="216"/>
    <x v="2"/>
    <x v="1798"/>
    <x v="0"/>
    <x v="141"/>
    <n v="25.96"/>
    <x v="5"/>
  </r>
  <r>
    <x v="216"/>
    <x v="2"/>
    <x v="1799"/>
    <x v="0"/>
    <x v="195"/>
    <n v="35.76"/>
    <x v="7"/>
  </r>
  <r>
    <x v="216"/>
    <x v="2"/>
    <x v="1800"/>
    <x v="0"/>
    <x v="195"/>
    <n v="25.96"/>
    <x v="5"/>
  </r>
  <r>
    <x v="216"/>
    <x v="2"/>
    <x v="1801"/>
    <x v="0"/>
    <x v="716"/>
    <n v="35.76"/>
    <x v="0"/>
  </r>
  <r>
    <x v="216"/>
    <x v="2"/>
    <x v="1802"/>
    <x v="0"/>
    <x v="665"/>
    <n v="35.76"/>
    <x v="0"/>
  </r>
  <r>
    <x v="216"/>
    <x v="2"/>
    <x v="1803"/>
    <x v="0"/>
    <x v="665"/>
    <n v="35.76"/>
    <x v="7"/>
  </r>
  <r>
    <x v="216"/>
    <x v="2"/>
    <x v="1804"/>
    <x v="0"/>
    <x v="665"/>
    <n v="30.86"/>
    <x v="3"/>
  </r>
  <r>
    <x v="216"/>
    <x v="2"/>
    <x v="1805"/>
    <x v="0"/>
    <x v="717"/>
    <n v="25.96"/>
    <x v="2"/>
  </r>
  <r>
    <x v="216"/>
    <x v="2"/>
    <x v="1806"/>
    <x v="0"/>
    <x v="717"/>
    <n v="35.76"/>
    <x v="7"/>
  </r>
  <r>
    <x v="216"/>
    <x v="2"/>
    <x v="1807"/>
    <x v="0"/>
    <x v="718"/>
    <n v="30.86"/>
    <x v="3"/>
  </r>
  <r>
    <x v="216"/>
    <x v="2"/>
    <x v="1808"/>
    <x v="0"/>
    <x v="718"/>
    <n v="35.76"/>
    <x v="0"/>
  </r>
  <r>
    <x v="216"/>
    <x v="2"/>
    <x v="1809"/>
    <x v="0"/>
    <x v="718"/>
    <n v="35.76"/>
    <x v="7"/>
  </r>
  <r>
    <x v="216"/>
    <x v="2"/>
    <x v="1810"/>
    <x v="0"/>
    <x v="719"/>
    <n v="35.76"/>
    <x v="7"/>
  </r>
  <r>
    <x v="216"/>
    <x v="2"/>
    <x v="1811"/>
    <x v="0"/>
    <x v="720"/>
    <n v="21.06"/>
    <x v="6"/>
  </r>
  <r>
    <x v="216"/>
    <x v="2"/>
    <x v="1812"/>
    <x v="0"/>
    <x v="721"/>
    <n v="30.86"/>
    <x v="3"/>
  </r>
  <r>
    <x v="216"/>
    <x v="2"/>
    <x v="1813"/>
    <x v="0"/>
    <x v="722"/>
    <n v="35.76"/>
    <x v="1"/>
  </r>
  <r>
    <x v="216"/>
    <x v="2"/>
    <x v="1814"/>
    <x v="0"/>
    <x v="723"/>
    <n v="35.76"/>
    <x v="1"/>
  </r>
  <r>
    <x v="216"/>
    <x v="2"/>
    <x v="1815"/>
    <x v="0"/>
    <x v="723"/>
    <n v="35.76"/>
    <x v="1"/>
  </r>
  <r>
    <x v="216"/>
    <x v="2"/>
    <x v="1816"/>
    <x v="0"/>
    <x v="636"/>
    <n v="35.76"/>
    <x v="1"/>
  </r>
  <r>
    <x v="216"/>
    <x v="2"/>
    <x v="1817"/>
    <x v="0"/>
    <x v="637"/>
    <n v="35.76"/>
    <x v="0"/>
  </r>
  <r>
    <x v="217"/>
    <x v="3"/>
    <x v="1818"/>
    <x v="0"/>
    <x v="724"/>
    <n v="35.76"/>
    <x v="0"/>
  </r>
  <r>
    <x v="217"/>
    <x v="3"/>
    <x v="1819"/>
    <x v="0"/>
    <x v="385"/>
    <n v="35.76"/>
    <x v="0"/>
  </r>
  <r>
    <x v="217"/>
    <x v="3"/>
    <x v="1820"/>
    <x v="0"/>
    <x v="385"/>
    <n v="30.86"/>
    <x v="3"/>
  </r>
  <r>
    <x v="217"/>
    <x v="3"/>
    <x v="1821"/>
    <x v="0"/>
    <x v="725"/>
    <n v="35.76"/>
    <x v="4"/>
  </r>
  <r>
    <x v="217"/>
    <x v="3"/>
    <x v="1822"/>
    <x v="0"/>
    <x v="726"/>
    <n v="35.76"/>
    <x v="0"/>
  </r>
  <r>
    <x v="217"/>
    <x v="3"/>
    <x v="1823"/>
    <x v="0"/>
    <x v="727"/>
    <n v="30.86"/>
    <x v="3"/>
  </r>
  <r>
    <x v="217"/>
    <x v="3"/>
    <x v="1824"/>
    <x v="0"/>
    <x v="728"/>
    <n v="25.96"/>
    <x v="2"/>
  </r>
  <r>
    <x v="217"/>
    <x v="3"/>
    <x v="1825"/>
    <x v="0"/>
    <x v="728"/>
    <n v="25.96"/>
    <x v="2"/>
  </r>
  <r>
    <x v="217"/>
    <x v="3"/>
    <x v="1826"/>
    <x v="0"/>
    <x v="494"/>
    <n v="35.76"/>
    <x v="0"/>
  </r>
  <r>
    <x v="217"/>
    <x v="3"/>
    <x v="1827"/>
    <x v="0"/>
    <x v="636"/>
    <n v="35.76"/>
    <x v="1"/>
  </r>
  <r>
    <x v="217"/>
    <x v="3"/>
    <x v="1828"/>
    <x v="0"/>
    <x v="636"/>
    <n v="35.76"/>
    <x v="1"/>
  </r>
  <r>
    <x v="217"/>
    <x v="3"/>
    <x v="1829"/>
    <x v="0"/>
    <x v="598"/>
    <n v="35.76"/>
    <x v="0"/>
  </r>
  <r>
    <x v="218"/>
    <x v="4"/>
    <x v="1830"/>
    <x v="0"/>
    <x v="703"/>
    <n v="35.76"/>
    <x v="0"/>
  </r>
  <r>
    <x v="218"/>
    <x v="4"/>
    <x v="1831"/>
    <x v="0"/>
    <x v="276"/>
    <n v="30.86"/>
    <x v="3"/>
  </r>
  <r>
    <x v="218"/>
    <x v="4"/>
    <x v="1832"/>
    <x v="0"/>
    <x v="700"/>
    <n v="25.96"/>
    <x v="2"/>
  </r>
  <r>
    <x v="218"/>
    <x v="4"/>
    <x v="1833"/>
    <x v="0"/>
    <x v="683"/>
    <n v="35.76"/>
    <x v="0"/>
  </r>
  <r>
    <x v="218"/>
    <x v="4"/>
    <x v="1834"/>
    <x v="0"/>
    <x v="726"/>
    <n v="35.76"/>
    <x v="0"/>
  </r>
  <r>
    <x v="218"/>
    <x v="4"/>
    <x v="1835"/>
    <x v="0"/>
    <x v="225"/>
    <n v="25.96"/>
    <x v="2"/>
  </r>
  <r>
    <x v="218"/>
    <x v="4"/>
    <x v="1836"/>
    <x v="0"/>
    <x v="225"/>
    <n v="25.96"/>
    <x v="2"/>
  </r>
  <r>
    <x v="218"/>
    <x v="4"/>
    <x v="1837"/>
    <x v="0"/>
    <x v="729"/>
    <n v="35.76"/>
    <x v="0"/>
  </r>
  <r>
    <x v="218"/>
    <x v="4"/>
    <x v="1838"/>
    <x v="0"/>
    <x v="729"/>
    <n v="35.76"/>
    <x v="0"/>
  </r>
  <r>
    <x v="218"/>
    <x v="4"/>
    <x v="1839"/>
    <x v="0"/>
    <x v="507"/>
    <n v="35.76"/>
    <x v="0"/>
  </r>
  <r>
    <x v="218"/>
    <x v="4"/>
    <x v="1840"/>
    <x v="0"/>
    <x v="475"/>
    <n v="35.76"/>
    <x v="0"/>
  </r>
  <r>
    <x v="218"/>
    <x v="4"/>
    <x v="1841"/>
    <x v="0"/>
    <x v="50"/>
    <n v="25.96"/>
    <x v="2"/>
  </r>
  <r>
    <x v="218"/>
    <x v="4"/>
    <x v="1842"/>
    <x v="0"/>
    <x v="730"/>
    <n v="30.86"/>
    <x v="3"/>
  </r>
  <r>
    <x v="218"/>
    <x v="4"/>
    <x v="1843"/>
    <x v="0"/>
    <x v="731"/>
    <n v="35.76"/>
    <x v="1"/>
  </r>
  <r>
    <x v="218"/>
    <x v="4"/>
    <x v="1844"/>
    <x v="0"/>
    <x v="731"/>
    <n v="35.76"/>
    <x v="7"/>
  </r>
  <r>
    <x v="218"/>
    <x v="4"/>
    <x v="1845"/>
    <x v="0"/>
    <x v="732"/>
    <n v="35.76"/>
    <x v="0"/>
  </r>
  <r>
    <x v="218"/>
    <x v="4"/>
    <x v="1846"/>
    <x v="0"/>
    <x v="40"/>
    <n v="30.86"/>
    <x v="3"/>
  </r>
  <r>
    <x v="218"/>
    <x v="4"/>
    <x v="1847"/>
    <x v="0"/>
    <x v="40"/>
    <n v="30.86"/>
    <x v="3"/>
  </r>
  <r>
    <x v="219"/>
    <x v="5"/>
    <x v="1848"/>
    <x v="0"/>
    <x v="570"/>
    <n v="35.76"/>
    <x v="0"/>
  </r>
  <r>
    <x v="219"/>
    <x v="5"/>
    <x v="1849"/>
    <x v="0"/>
    <x v="276"/>
    <n v="30.86"/>
    <x v="3"/>
  </r>
  <r>
    <x v="219"/>
    <x v="5"/>
    <x v="1850"/>
    <x v="0"/>
    <x v="424"/>
    <n v="30.86"/>
    <x v="3"/>
  </r>
  <r>
    <x v="219"/>
    <x v="5"/>
    <x v="1851"/>
    <x v="0"/>
    <x v="494"/>
    <n v="35.76"/>
    <x v="0"/>
  </r>
  <r>
    <x v="219"/>
    <x v="5"/>
    <x v="1852"/>
    <x v="0"/>
    <x v="733"/>
    <n v="21.06"/>
    <x v="6"/>
  </r>
  <r>
    <x v="219"/>
    <x v="5"/>
    <x v="1853"/>
    <x v="0"/>
    <x v="734"/>
    <n v="25.96"/>
    <x v="2"/>
  </r>
  <r>
    <x v="219"/>
    <x v="5"/>
    <x v="1854"/>
    <x v="0"/>
    <x v="726"/>
    <n v="35.76"/>
    <x v="0"/>
  </r>
  <r>
    <x v="219"/>
    <x v="5"/>
    <x v="1855"/>
    <x v="0"/>
    <x v="735"/>
    <n v="30.86"/>
    <x v="3"/>
  </r>
  <r>
    <x v="219"/>
    <x v="5"/>
    <x v="1856"/>
    <x v="0"/>
    <x v="658"/>
    <n v="35.76"/>
    <x v="7"/>
  </r>
  <r>
    <x v="219"/>
    <x v="5"/>
    <x v="1857"/>
    <x v="0"/>
    <x v="658"/>
    <n v="25.96"/>
    <x v="2"/>
  </r>
  <r>
    <x v="219"/>
    <x v="5"/>
    <x v="1858"/>
    <x v="0"/>
    <x v="736"/>
    <n v="21.06"/>
    <x v="6"/>
  </r>
  <r>
    <x v="219"/>
    <x v="5"/>
    <x v="1859"/>
    <x v="0"/>
    <x v="737"/>
    <n v="35.76"/>
    <x v="7"/>
  </r>
  <r>
    <x v="220"/>
    <x v="6"/>
    <x v="1860"/>
    <x v="0"/>
    <x v="2"/>
    <n v="25.96"/>
    <x v="2"/>
  </r>
  <r>
    <x v="220"/>
    <x v="6"/>
    <x v="1861"/>
    <x v="0"/>
    <x v="276"/>
    <n v="30.86"/>
    <x v="3"/>
  </r>
  <r>
    <x v="220"/>
    <x v="6"/>
    <x v="1862"/>
    <x v="0"/>
    <x v="738"/>
    <n v="35.76"/>
    <x v="1"/>
  </r>
  <r>
    <x v="220"/>
    <x v="6"/>
    <x v="1863"/>
    <x v="0"/>
    <x v="375"/>
    <n v="35.76"/>
    <x v="0"/>
  </r>
  <r>
    <x v="220"/>
    <x v="6"/>
    <x v="1864"/>
    <x v="0"/>
    <x v="141"/>
    <n v="25.96"/>
    <x v="5"/>
  </r>
  <r>
    <x v="220"/>
    <x v="6"/>
    <x v="1865"/>
    <x v="0"/>
    <x v="141"/>
    <n v="25.96"/>
    <x v="5"/>
  </r>
  <r>
    <x v="220"/>
    <x v="6"/>
    <x v="1866"/>
    <x v="0"/>
    <x v="739"/>
    <n v="35.76"/>
    <x v="0"/>
  </r>
  <r>
    <x v="220"/>
    <x v="6"/>
    <x v="1867"/>
    <x v="0"/>
    <x v="740"/>
    <n v="35.76"/>
    <x v="0"/>
  </r>
  <r>
    <x v="220"/>
    <x v="6"/>
    <x v="1868"/>
    <x v="0"/>
    <x v="510"/>
    <n v="35.76"/>
    <x v="7"/>
  </r>
  <r>
    <x v="220"/>
    <x v="6"/>
    <x v="1869"/>
    <x v="0"/>
    <x v="741"/>
    <n v="35.76"/>
    <x v="0"/>
  </r>
  <r>
    <x v="220"/>
    <x v="6"/>
    <x v="1870"/>
    <x v="0"/>
    <x v="742"/>
    <n v="25.96"/>
    <x v="2"/>
  </r>
  <r>
    <x v="220"/>
    <x v="6"/>
    <x v="1871"/>
    <x v="0"/>
    <x v="713"/>
    <n v="30.86"/>
    <x v="3"/>
  </r>
  <r>
    <x v="220"/>
    <x v="6"/>
    <x v="1872"/>
    <x v="0"/>
    <x v="713"/>
    <n v="35.76"/>
    <x v="0"/>
  </r>
  <r>
    <x v="220"/>
    <x v="6"/>
    <x v="1873"/>
    <x v="0"/>
    <x v="637"/>
    <n v="35.76"/>
    <x v="1"/>
  </r>
  <r>
    <x v="220"/>
    <x v="6"/>
    <x v="1874"/>
    <x v="0"/>
    <x v="637"/>
    <n v="35.76"/>
    <x v="1"/>
  </r>
  <r>
    <x v="221"/>
    <x v="0"/>
    <x v="1875"/>
    <x v="0"/>
    <x v="276"/>
    <n v="30.86"/>
    <x v="3"/>
  </r>
  <r>
    <x v="221"/>
    <x v="0"/>
    <x v="1876"/>
    <x v="0"/>
    <x v="703"/>
    <n v="35.76"/>
    <x v="0"/>
  </r>
  <r>
    <x v="221"/>
    <x v="0"/>
    <x v="1877"/>
    <x v="0"/>
    <x v="141"/>
    <n v="25.96"/>
    <x v="5"/>
  </r>
  <r>
    <x v="221"/>
    <x v="0"/>
    <x v="1878"/>
    <x v="0"/>
    <x v="570"/>
    <n v="35.76"/>
    <x v="0"/>
  </r>
  <r>
    <x v="221"/>
    <x v="0"/>
    <x v="1879"/>
    <x v="0"/>
    <x v="570"/>
    <n v="35.76"/>
    <x v="4"/>
  </r>
  <r>
    <x v="221"/>
    <x v="0"/>
    <x v="1880"/>
    <x v="0"/>
    <x v="725"/>
    <n v="35.76"/>
    <x v="4"/>
  </r>
  <r>
    <x v="221"/>
    <x v="0"/>
    <x v="1881"/>
    <x v="0"/>
    <x v="726"/>
    <n v="30.86"/>
    <x v="3"/>
  </r>
  <r>
    <x v="221"/>
    <x v="0"/>
    <x v="1882"/>
    <x v="0"/>
    <x v="743"/>
    <n v="35.76"/>
    <x v="1"/>
  </r>
  <r>
    <x v="221"/>
    <x v="0"/>
    <x v="1883"/>
    <x v="0"/>
    <x v="744"/>
    <n v="30.86"/>
    <x v="3"/>
  </r>
  <r>
    <x v="221"/>
    <x v="0"/>
    <x v="1884"/>
    <x v="0"/>
    <x v="402"/>
    <n v="25.96"/>
    <x v="5"/>
  </r>
  <r>
    <x v="221"/>
    <x v="0"/>
    <x v="1885"/>
    <x v="0"/>
    <x v="375"/>
    <n v="25.96"/>
    <x v="2"/>
  </r>
  <r>
    <x v="221"/>
    <x v="0"/>
    <x v="1886"/>
    <x v="0"/>
    <x v="375"/>
    <n v="25.96"/>
    <x v="2"/>
  </r>
  <r>
    <x v="221"/>
    <x v="0"/>
    <x v="1887"/>
    <x v="0"/>
    <x v="242"/>
    <n v="30.86"/>
    <x v="3"/>
  </r>
  <r>
    <x v="221"/>
    <x v="0"/>
    <x v="1888"/>
    <x v="0"/>
    <x v="740"/>
    <n v="35.76"/>
    <x v="0"/>
  </r>
  <r>
    <x v="221"/>
    <x v="0"/>
    <x v="1889"/>
    <x v="0"/>
    <x v="12"/>
    <n v="25.96"/>
    <x v="2"/>
  </r>
  <r>
    <x v="221"/>
    <x v="0"/>
    <x v="1890"/>
    <x v="0"/>
    <x v="12"/>
    <n v="25.96"/>
    <x v="2"/>
  </r>
  <r>
    <x v="221"/>
    <x v="0"/>
    <x v="1891"/>
    <x v="0"/>
    <x v="745"/>
    <n v="35.76"/>
    <x v="4"/>
  </r>
  <r>
    <x v="221"/>
    <x v="0"/>
    <x v="1892"/>
    <x v="0"/>
    <x v="745"/>
    <n v="25.96"/>
    <x v="2"/>
  </r>
  <r>
    <x v="221"/>
    <x v="0"/>
    <x v="1893"/>
    <x v="0"/>
    <x v="714"/>
    <n v="35.76"/>
    <x v="7"/>
  </r>
  <r>
    <x v="221"/>
    <x v="0"/>
    <x v="1894"/>
    <x v="0"/>
    <x v="746"/>
    <n v="35.76"/>
    <x v="0"/>
  </r>
  <r>
    <x v="221"/>
    <x v="0"/>
    <x v="1895"/>
    <x v="0"/>
    <x v="746"/>
    <n v="35.76"/>
    <x v="1"/>
  </r>
  <r>
    <x v="221"/>
    <x v="0"/>
    <x v="1896"/>
    <x v="0"/>
    <x v="747"/>
    <n v="35.76"/>
    <x v="1"/>
  </r>
  <r>
    <x v="221"/>
    <x v="0"/>
    <x v="1897"/>
    <x v="0"/>
    <x v="690"/>
    <n v="35.76"/>
    <x v="0"/>
  </r>
  <r>
    <x v="221"/>
    <x v="0"/>
    <x v="1898"/>
    <x v="0"/>
    <x v="748"/>
    <n v="30.86"/>
    <x v="3"/>
  </r>
  <r>
    <x v="221"/>
    <x v="0"/>
    <x v="1899"/>
    <x v="0"/>
    <x v="749"/>
    <n v="35.76"/>
    <x v="1"/>
  </r>
  <r>
    <x v="221"/>
    <x v="0"/>
    <x v="1900"/>
    <x v="0"/>
    <x v="749"/>
    <n v="35.76"/>
    <x v="1"/>
  </r>
  <r>
    <x v="222"/>
    <x v="1"/>
    <x v="1901"/>
    <x v="0"/>
    <x v="141"/>
    <n v="25.96"/>
    <x v="5"/>
  </r>
  <r>
    <x v="222"/>
    <x v="1"/>
    <x v="1902"/>
    <x v="0"/>
    <x v="650"/>
    <n v="25.96"/>
    <x v="5"/>
  </r>
  <r>
    <x v="222"/>
    <x v="1"/>
    <x v="1903"/>
    <x v="0"/>
    <x v="650"/>
    <n v="25.96"/>
    <x v="5"/>
  </r>
  <r>
    <x v="222"/>
    <x v="1"/>
    <x v="1904"/>
    <x v="0"/>
    <x v="507"/>
    <n v="35.76"/>
    <x v="0"/>
  </r>
  <r>
    <x v="222"/>
    <x v="1"/>
    <x v="1905"/>
    <x v="0"/>
    <x v="750"/>
    <n v="30.86"/>
    <x v="3"/>
  </r>
  <r>
    <x v="222"/>
    <x v="1"/>
    <x v="1906"/>
    <x v="0"/>
    <x v="751"/>
    <n v="35.76"/>
    <x v="7"/>
  </r>
  <r>
    <x v="222"/>
    <x v="1"/>
    <x v="1907"/>
    <x v="0"/>
    <x v="507"/>
    <n v="35.76"/>
    <x v="0"/>
  </r>
  <r>
    <x v="223"/>
    <x v="2"/>
    <x v="1908"/>
    <x v="0"/>
    <x v="141"/>
    <n v="25.96"/>
    <x v="5"/>
  </r>
  <r>
    <x v="223"/>
    <x v="2"/>
    <x v="1909"/>
    <x v="0"/>
    <x v="752"/>
    <n v="30.86"/>
    <x v="3"/>
  </r>
  <r>
    <x v="223"/>
    <x v="2"/>
    <x v="1910"/>
    <x v="0"/>
    <x v="650"/>
    <n v="25.96"/>
    <x v="5"/>
  </r>
  <r>
    <x v="223"/>
    <x v="2"/>
    <x v="1911"/>
    <x v="0"/>
    <x v="650"/>
    <n v="21.06"/>
    <x v="6"/>
  </r>
  <r>
    <x v="223"/>
    <x v="2"/>
    <x v="1912"/>
    <x v="0"/>
    <x v="650"/>
    <n v="25.96"/>
    <x v="5"/>
  </r>
  <r>
    <x v="223"/>
    <x v="2"/>
    <x v="1913"/>
    <x v="0"/>
    <x v="507"/>
    <n v="35.76"/>
    <x v="0"/>
  </r>
  <r>
    <x v="223"/>
    <x v="2"/>
    <x v="1914"/>
    <x v="0"/>
    <x v="507"/>
    <n v="35.76"/>
    <x v="0"/>
  </r>
  <r>
    <x v="223"/>
    <x v="2"/>
    <x v="1915"/>
    <x v="0"/>
    <x v="753"/>
    <n v="35.76"/>
    <x v="7"/>
  </r>
  <r>
    <x v="223"/>
    <x v="2"/>
    <x v="1916"/>
    <x v="0"/>
    <x v="257"/>
    <n v="35.76"/>
    <x v="7"/>
  </r>
  <r>
    <x v="224"/>
    <x v="3"/>
    <x v="1917"/>
    <x v="0"/>
    <x v="276"/>
    <n v="30.86"/>
    <x v="3"/>
  </r>
  <r>
    <x v="224"/>
    <x v="3"/>
    <x v="1918"/>
    <x v="0"/>
    <x v="754"/>
    <n v="35.76"/>
    <x v="4"/>
  </r>
  <r>
    <x v="224"/>
    <x v="3"/>
    <x v="1919"/>
    <x v="0"/>
    <x v="141"/>
    <n v="25.96"/>
    <x v="5"/>
  </r>
  <r>
    <x v="224"/>
    <x v="3"/>
    <x v="1920"/>
    <x v="0"/>
    <x v="440"/>
    <n v="35.76"/>
    <x v="0"/>
  </r>
  <r>
    <x v="224"/>
    <x v="3"/>
    <x v="1921"/>
    <x v="0"/>
    <x v="440"/>
    <n v="35.76"/>
    <x v="0"/>
  </r>
  <r>
    <x v="224"/>
    <x v="3"/>
    <x v="1922"/>
    <x v="0"/>
    <x v="755"/>
    <n v="35.76"/>
    <x v="7"/>
  </r>
  <r>
    <x v="224"/>
    <x v="3"/>
    <x v="1923"/>
    <x v="0"/>
    <x v="225"/>
    <n v="25.96"/>
    <x v="2"/>
  </r>
  <r>
    <x v="224"/>
    <x v="3"/>
    <x v="1924"/>
    <x v="0"/>
    <x v="225"/>
    <n v="25.96"/>
    <x v="2"/>
  </r>
  <r>
    <x v="224"/>
    <x v="3"/>
    <x v="1925"/>
    <x v="0"/>
    <x v="756"/>
    <n v="35.76"/>
    <x v="0"/>
  </r>
  <r>
    <x v="224"/>
    <x v="3"/>
    <x v="1926"/>
    <x v="0"/>
    <x v="507"/>
    <n v="35.76"/>
    <x v="0"/>
  </r>
  <r>
    <x v="224"/>
    <x v="3"/>
    <x v="1927"/>
    <x v="0"/>
    <x v="757"/>
    <n v="25.96"/>
    <x v="2"/>
  </r>
  <r>
    <x v="224"/>
    <x v="3"/>
    <x v="1928"/>
    <x v="0"/>
    <x v="758"/>
    <n v="35.76"/>
    <x v="0"/>
  </r>
  <r>
    <x v="224"/>
    <x v="3"/>
    <x v="1929"/>
    <x v="0"/>
    <x v="758"/>
    <n v="35.76"/>
    <x v="7"/>
  </r>
  <r>
    <x v="224"/>
    <x v="3"/>
    <x v="1930"/>
    <x v="0"/>
    <x v="759"/>
    <n v="35.76"/>
    <x v="0"/>
  </r>
  <r>
    <x v="224"/>
    <x v="3"/>
    <x v="1931"/>
    <x v="0"/>
    <x v="760"/>
    <n v="35.76"/>
    <x v="0"/>
  </r>
  <r>
    <x v="224"/>
    <x v="3"/>
    <x v="1932"/>
    <x v="0"/>
    <x v="510"/>
    <n v="35.76"/>
    <x v="0"/>
  </r>
  <r>
    <x v="225"/>
    <x v="4"/>
    <x v="1933"/>
    <x v="0"/>
    <x v="141"/>
    <n v="25.96"/>
    <x v="5"/>
  </r>
  <r>
    <x v="225"/>
    <x v="4"/>
    <x v="1934"/>
    <x v="0"/>
    <x v="761"/>
    <n v="21.06"/>
    <x v="6"/>
  </r>
  <r>
    <x v="225"/>
    <x v="4"/>
    <x v="1935"/>
    <x v="0"/>
    <x v="762"/>
    <n v="35.76"/>
    <x v="1"/>
  </r>
  <r>
    <x v="225"/>
    <x v="4"/>
    <x v="1936"/>
    <x v="0"/>
    <x v="736"/>
    <n v="35.76"/>
    <x v="0"/>
  </r>
  <r>
    <x v="225"/>
    <x v="4"/>
    <x v="1937"/>
    <x v="0"/>
    <x v="736"/>
    <n v="35.76"/>
    <x v="1"/>
  </r>
  <r>
    <x v="225"/>
    <x v="4"/>
    <x v="1938"/>
    <x v="0"/>
    <x v="763"/>
    <n v="35.76"/>
    <x v="0"/>
  </r>
  <r>
    <x v="225"/>
    <x v="4"/>
    <x v="1939"/>
    <x v="0"/>
    <x v="764"/>
    <n v="30.86"/>
    <x v="3"/>
  </r>
  <r>
    <x v="225"/>
    <x v="4"/>
    <x v="1940"/>
    <x v="0"/>
    <x v="683"/>
    <n v="35.76"/>
    <x v="0"/>
  </r>
  <r>
    <x v="225"/>
    <x v="4"/>
    <x v="1941"/>
    <x v="0"/>
    <x v="765"/>
    <n v="25.96"/>
    <x v="2"/>
  </r>
  <r>
    <x v="225"/>
    <x v="4"/>
    <x v="1942"/>
    <x v="0"/>
    <x v="765"/>
    <n v="21.06"/>
    <x v="6"/>
  </r>
  <r>
    <x v="225"/>
    <x v="4"/>
    <x v="1943"/>
    <x v="0"/>
    <x v="766"/>
    <n v="35.76"/>
    <x v="1"/>
  </r>
  <r>
    <x v="225"/>
    <x v="4"/>
    <x v="1944"/>
    <x v="0"/>
    <x v="767"/>
    <n v="25.96"/>
    <x v="2"/>
  </r>
  <r>
    <x v="225"/>
    <x v="4"/>
    <x v="1945"/>
    <x v="0"/>
    <x v="767"/>
    <n v="35.76"/>
    <x v="4"/>
  </r>
  <r>
    <x v="225"/>
    <x v="4"/>
    <x v="1946"/>
    <x v="0"/>
    <x v="507"/>
    <n v="35.76"/>
    <x v="0"/>
  </r>
  <r>
    <x v="225"/>
    <x v="4"/>
    <x v="1947"/>
    <x v="0"/>
    <x v="507"/>
    <n v="35.76"/>
    <x v="0"/>
  </r>
  <r>
    <x v="225"/>
    <x v="4"/>
    <x v="1948"/>
    <x v="0"/>
    <x v="40"/>
    <n v="35.76"/>
    <x v="1"/>
  </r>
  <r>
    <x v="225"/>
    <x v="4"/>
    <x v="1949"/>
    <x v="0"/>
    <x v="40"/>
    <n v="35.76"/>
    <x v="1"/>
  </r>
  <r>
    <x v="225"/>
    <x v="4"/>
    <x v="1950"/>
    <x v="0"/>
    <x v="690"/>
    <n v="35.76"/>
    <x v="0"/>
  </r>
  <r>
    <x v="226"/>
    <x v="5"/>
    <x v="1951"/>
    <x v="0"/>
    <x v="276"/>
    <n v="30.86"/>
    <x v="3"/>
  </r>
  <r>
    <x v="226"/>
    <x v="5"/>
    <x v="1952"/>
    <x v="0"/>
    <x v="696"/>
    <n v="35.76"/>
    <x v="1"/>
  </r>
  <r>
    <x v="226"/>
    <x v="5"/>
    <x v="1953"/>
    <x v="0"/>
    <x v="570"/>
    <n v="35.76"/>
    <x v="0"/>
  </r>
  <r>
    <x v="226"/>
    <x v="5"/>
    <x v="1954"/>
    <x v="0"/>
    <x v="571"/>
    <n v="30.86"/>
    <x v="3"/>
  </r>
  <r>
    <x v="226"/>
    <x v="5"/>
    <x v="1955"/>
    <x v="0"/>
    <x v="571"/>
    <n v="30.86"/>
    <x v="3"/>
  </r>
  <r>
    <x v="226"/>
    <x v="5"/>
    <x v="1956"/>
    <x v="0"/>
    <x v="333"/>
    <n v="30.86"/>
    <x v="3"/>
  </r>
  <r>
    <x v="226"/>
    <x v="5"/>
    <x v="1957"/>
    <x v="0"/>
    <x v="768"/>
    <n v="25.96"/>
    <x v="2"/>
  </r>
  <r>
    <x v="226"/>
    <x v="5"/>
    <x v="1958"/>
    <x v="0"/>
    <x v="769"/>
    <n v="30.86"/>
    <x v="3"/>
  </r>
  <r>
    <x v="226"/>
    <x v="5"/>
    <x v="1959"/>
    <x v="0"/>
    <x v="764"/>
    <n v="25.96"/>
    <x v="2"/>
  </r>
  <r>
    <x v="226"/>
    <x v="5"/>
    <x v="1960"/>
    <x v="0"/>
    <x v="770"/>
    <n v="35.76"/>
    <x v="0"/>
  </r>
  <r>
    <x v="226"/>
    <x v="5"/>
    <x v="1961"/>
    <x v="0"/>
    <x v="510"/>
    <n v="30.86"/>
    <x v="3"/>
  </r>
  <r>
    <x v="226"/>
    <x v="5"/>
    <x v="1962"/>
    <x v="0"/>
    <x v="771"/>
    <n v="30.86"/>
    <x v="3"/>
  </r>
  <r>
    <x v="226"/>
    <x v="5"/>
    <x v="1963"/>
    <x v="0"/>
    <x v="771"/>
    <n v="30.86"/>
    <x v="3"/>
  </r>
  <r>
    <x v="226"/>
    <x v="5"/>
    <x v="1964"/>
    <x v="0"/>
    <x v="772"/>
    <n v="35.76"/>
    <x v="1"/>
  </r>
  <r>
    <x v="227"/>
    <x v="6"/>
    <x v="1965"/>
    <x v="0"/>
    <x v="696"/>
    <n v="35.76"/>
    <x v="0"/>
  </r>
  <r>
    <x v="227"/>
    <x v="6"/>
    <x v="1966"/>
    <x v="0"/>
    <x v="570"/>
    <n v="35.76"/>
    <x v="0"/>
  </r>
  <r>
    <x v="227"/>
    <x v="6"/>
    <x v="1967"/>
    <x v="0"/>
    <x v="773"/>
    <n v="30.86"/>
    <x v="3"/>
  </r>
  <r>
    <x v="227"/>
    <x v="6"/>
    <x v="1968"/>
    <x v="0"/>
    <x v="510"/>
    <n v="35.76"/>
    <x v="0"/>
  </r>
  <r>
    <x v="227"/>
    <x v="6"/>
    <x v="1969"/>
    <x v="0"/>
    <x v="313"/>
    <n v="35.76"/>
    <x v="1"/>
  </r>
  <r>
    <x v="227"/>
    <x v="6"/>
    <x v="1970"/>
    <x v="0"/>
    <x v="774"/>
    <n v="30.86"/>
    <x v="3"/>
  </r>
  <r>
    <x v="227"/>
    <x v="6"/>
    <x v="1971"/>
    <x v="0"/>
    <x v="775"/>
    <n v="35.76"/>
    <x v="0"/>
  </r>
  <r>
    <x v="227"/>
    <x v="6"/>
    <x v="1972"/>
    <x v="0"/>
    <x v="776"/>
    <n v="25.96"/>
    <x v="2"/>
  </r>
  <r>
    <x v="227"/>
    <x v="6"/>
    <x v="1973"/>
    <x v="0"/>
    <x v="702"/>
    <n v="35.76"/>
    <x v="1"/>
  </r>
  <r>
    <x v="227"/>
    <x v="6"/>
    <x v="1974"/>
    <x v="0"/>
    <x v="702"/>
    <n v="35.76"/>
    <x v="1"/>
  </r>
  <r>
    <x v="227"/>
    <x v="6"/>
    <x v="1975"/>
    <x v="0"/>
    <x v="702"/>
    <n v="35.76"/>
    <x v="0"/>
  </r>
  <r>
    <x v="227"/>
    <x v="6"/>
    <x v="1976"/>
    <x v="0"/>
    <x v="777"/>
    <n v="35.76"/>
    <x v="1"/>
  </r>
  <r>
    <x v="227"/>
    <x v="6"/>
    <x v="1977"/>
    <x v="0"/>
    <x v="777"/>
    <n v="35.76"/>
    <x v="1"/>
  </r>
  <r>
    <x v="227"/>
    <x v="6"/>
    <x v="1978"/>
    <x v="0"/>
    <x v="258"/>
    <n v="35.76"/>
    <x v="7"/>
  </r>
  <r>
    <x v="227"/>
    <x v="6"/>
    <x v="1979"/>
    <x v="0"/>
    <x v="258"/>
    <n v="35.76"/>
    <x v="1"/>
  </r>
  <r>
    <x v="227"/>
    <x v="6"/>
    <x v="1980"/>
    <x v="0"/>
    <x v="507"/>
    <n v="35.76"/>
    <x v="0"/>
  </r>
  <r>
    <x v="227"/>
    <x v="6"/>
    <x v="1981"/>
    <x v="0"/>
    <x v="778"/>
    <n v="30.86"/>
    <x v="3"/>
  </r>
  <r>
    <x v="227"/>
    <x v="6"/>
    <x v="1982"/>
    <x v="0"/>
    <x v="779"/>
    <n v="35.76"/>
    <x v="0"/>
  </r>
  <r>
    <x v="227"/>
    <x v="6"/>
    <x v="1983"/>
    <x v="0"/>
    <x v="779"/>
    <n v="35.76"/>
    <x v="0"/>
  </r>
  <r>
    <x v="227"/>
    <x v="6"/>
    <x v="1984"/>
    <x v="0"/>
    <x v="779"/>
    <n v="35.76"/>
    <x v="0"/>
  </r>
  <r>
    <x v="227"/>
    <x v="6"/>
    <x v="1985"/>
    <x v="0"/>
    <x v="779"/>
    <n v="35.76"/>
    <x v="1"/>
  </r>
  <r>
    <x v="228"/>
    <x v="0"/>
    <x v="1986"/>
    <x v="0"/>
    <x v="12"/>
    <n v="35.76"/>
    <x v="4"/>
  </r>
  <r>
    <x v="228"/>
    <x v="0"/>
    <x v="1987"/>
    <x v="0"/>
    <x v="54"/>
    <n v="35.76"/>
    <x v="4"/>
  </r>
  <r>
    <x v="228"/>
    <x v="0"/>
    <x v="1988"/>
    <x v="0"/>
    <x v="2"/>
    <n v="35.76"/>
    <x v="4"/>
  </r>
  <r>
    <x v="228"/>
    <x v="0"/>
    <x v="1989"/>
    <x v="0"/>
    <x v="2"/>
    <n v="35.76"/>
    <x v="4"/>
  </r>
  <r>
    <x v="228"/>
    <x v="0"/>
    <x v="1990"/>
    <x v="0"/>
    <x v="780"/>
    <n v="35.76"/>
    <x v="7"/>
  </r>
  <r>
    <x v="228"/>
    <x v="0"/>
    <x v="1991"/>
    <x v="0"/>
    <x v="780"/>
    <n v="35.76"/>
    <x v="7"/>
  </r>
  <r>
    <x v="228"/>
    <x v="0"/>
    <x v="1992"/>
    <x v="0"/>
    <x v="781"/>
    <n v="35.76"/>
    <x v="0"/>
  </r>
  <r>
    <x v="228"/>
    <x v="0"/>
    <x v="1993"/>
    <x v="0"/>
    <x v="781"/>
    <n v="35.76"/>
    <x v="7"/>
  </r>
  <r>
    <x v="228"/>
    <x v="0"/>
    <x v="1994"/>
    <x v="0"/>
    <x v="683"/>
    <n v="25.96"/>
    <x v="2"/>
  </r>
  <r>
    <x v="228"/>
    <x v="0"/>
    <x v="1995"/>
    <x v="0"/>
    <x v="782"/>
    <n v="35.76"/>
    <x v="0"/>
  </r>
  <r>
    <x v="228"/>
    <x v="0"/>
    <x v="1996"/>
    <x v="0"/>
    <x v="783"/>
    <n v="35.76"/>
    <x v="1"/>
  </r>
  <r>
    <x v="228"/>
    <x v="0"/>
    <x v="1997"/>
    <x v="0"/>
    <x v="12"/>
    <n v="35.76"/>
    <x v="4"/>
  </r>
  <r>
    <x v="228"/>
    <x v="0"/>
    <x v="1998"/>
    <x v="0"/>
    <x v="12"/>
    <n v="35.76"/>
    <x v="4"/>
  </r>
  <r>
    <x v="228"/>
    <x v="0"/>
    <x v="1999"/>
    <x v="0"/>
    <x v="784"/>
    <n v="30.86"/>
    <x v="3"/>
  </r>
  <r>
    <x v="228"/>
    <x v="0"/>
    <x v="2000"/>
    <x v="0"/>
    <x v="690"/>
    <n v="35.76"/>
    <x v="0"/>
  </r>
  <r>
    <x v="229"/>
    <x v="1"/>
    <x v="2001"/>
    <x v="0"/>
    <x v="785"/>
    <n v="30.86"/>
    <x v="3"/>
  </r>
  <r>
    <x v="229"/>
    <x v="1"/>
    <x v="2002"/>
    <x v="0"/>
    <x v="19"/>
    <n v="35.76"/>
    <x v="0"/>
  </r>
  <r>
    <x v="229"/>
    <x v="1"/>
    <x v="2003"/>
    <x v="0"/>
    <x v="355"/>
    <n v="35.76"/>
    <x v="7"/>
  </r>
  <r>
    <x v="229"/>
    <x v="1"/>
    <x v="2004"/>
    <x v="0"/>
    <x v="507"/>
    <n v="35.76"/>
    <x v="1"/>
  </r>
  <r>
    <x v="229"/>
    <x v="1"/>
    <x v="2005"/>
    <x v="0"/>
    <x v="507"/>
    <n v="35.76"/>
    <x v="0"/>
  </r>
  <r>
    <x v="229"/>
    <x v="1"/>
    <x v="2006"/>
    <x v="0"/>
    <x v="494"/>
    <n v="35.76"/>
    <x v="0"/>
  </r>
  <r>
    <x v="229"/>
    <x v="1"/>
    <x v="2007"/>
    <x v="0"/>
    <x v="696"/>
    <n v="35.76"/>
    <x v="0"/>
  </r>
  <r>
    <x v="229"/>
    <x v="1"/>
    <x v="2008"/>
    <x v="0"/>
    <x v="690"/>
    <n v="35.76"/>
    <x v="4"/>
  </r>
  <r>
    <x v="229"/>
    <x v="1"/>
    <x v="2009"/>
    <x v="0"/>
    <x v="786"/>
    <n v="35.76"/>
    <x v="7"/>
  </r>
  <r>
    <x v="230"/>
    <x v="2"/>
    <x v="2010"/>
    <x v="0"/>
    <x v="570"/>
    <n v="35.76"/>
    <x v="0"/>
  </r>
  <r>
    <x v="230"/>
    <x v="2"/>
    <x v="2011"/>
    <x v="0"/>
    <x v="570"/>
    <n v="35.76"/>
    <x v="4"/>
  </r>
  <r>
    <x v="230"/>
    <x v="2"/>
    <x v="2012"/>
    <x v="0"/>
    <x v="787"/>
    <n v="35.76"/>
    <x v="0"/>
  </r>
  <r>
    <x v="230"/>
    <x v="2"/>
    <x v="2013"/>
    <x v="0"/>
    <x v="650"/>
    <n v="35.76"/>
    <x v="1"/>
  </r>
  <r>
    <x v="230"/>
    <x v="2"/>
    <x v="2014"/>
    <x v="0"/>
    <x v="650"/>
    <n v="25.96"/>
    <x v="5"/>
  </r>
  <r>
    <x v="230"/>
    <x v="2"/>
    <x v="2015"/>
    <x v="0"/>
    <x v="455"/>
    <n v="30.86"/>
    <x v="3"/>
  </r>
  <r>
    <x v="230"/>
    <x v="2"/>
    <x v="2016"/>
    <x v="0"/>
    <x v="788"/>
    <n v="35.76"/>
    <x v="0"/>
  </r>
  <r>
    <x v="230"/>
    <x v="2"/>
    <x v="2017"/>
    <x v="0"/>
    <x v="788"/>
    <n v="35.76"/>
    <x v="0"/>
  </r>
  <r>
    <x v="230"/>
    <x v="2"/>
    <x v="2018"/>
    <x v="0"/>
    <x v="507"/>
    <n v="35.76"/>
    <x v="0"/>
  </r>
  <r>
    <x v="230"/>
    <x v="2"/>
    <x v="2019"/>
    <x v="0"/>
    <x v="12"/>
    <n v="35.76"/>
    <x v="4"/>
  </r>
  <r>
    <x v="230"/>
    <x v="2"/>
    <x v="2020"/>
    <x v="0"/>
    <x v="12"/>
    <n v="35.76"/>
    <x v="4"/>
  </r>
  <r>
    <x v="230"/>
    <x v="2"/>
    <x v="2021"/>
    <x v="0"/>
    <x v="789"/>
    <n v="35.76"/>
    <x v="1"/>
  </r>
  <r>
    <x v="230"/>
    <x v="2"/>
    <x v="2022"/>
    <x v="0"/>
    <x v="790"/>
    <n v="25.96"/>
    <x v="5"/>
  </r>
  <r>
    <x v="230"/>
    <x v="2"/>
    <x v="2023"/>
    <x v="0"/>
    <x v="791"/>
    <n v="35.76"/>
    <x v="4"/>
  </r>
  <r>
    <x v="230"/>
    <x v="2"/>
    <x v="2024"/>
    <x v="0"/>
    <x v="792"/>
    <n v="35.76"/>
    <x v="0"/>
  </r>
  <r>
    <x v="230"/>
    <x v="2"/>
    <x v="2025"/>
    <x v="0"/>
    <x v="550"/>
    <n v="35.76"/>
    <x v="7"/>
  </r>
  <r>
    <x v="231"/>
    <x v="3"/>
    <x v="2026"/>
    <x v="0"/>
    <x v="696"/>
    <n v="35.76"/>
    <x v="0"/>
  </r>
  <r>
    <x v="231"/>
    <x v="3"/>
    <x v="2027"/>
    <x v="0"/>
    <x v="97"/>
    <n v="35.76"/>
    <x v="0"/>
  </r>
  <r>
    <x v="231"/>
    <x v="3"/>
    <x v="2028"/>
    <x v="0"/>
    <x v="385"/>
    <n v="30.86"/>
    <x v="3"/>
  </r>
  <r>
    <x v="231"/>
    <x v="3"/>
    <x v="2029"/>
    <x v="0"/>
    <x v="793"/>
    <n v="35.76"/>
    <x v="0"/>
  </r>
  <r>
    <x v="231"/>
    <x v="3"/>
    <x v="2030"/>
    <x v="0"/>
    <x v="700"/>
    <n v="25.96"/>
    <x v="2"/>
  </r>
  <r>
    <x v="231"/>
    <x v="3"/>
    <x v="2031"/>
    <x v="0"/>
    <x v="141"/>
    <n v="25.96"/>
    <x v="5"/>
  </r>
  <r>
    <x v="231"/>
    <x v="3"/>
    <x v="2032"/>
    <x v="0"/>
    <x v="141"/>
    <n v="25.96"/>
    <x v="5"/>
  </r>
  <r>
    <x v="231"/>
    <x v="3"/>
    <x v="2033"/>
    <x v="0"/>
    <x v="274"/>
    <n v="21.06"/>
    <x v="6"/>
  </r>
  <r>
    <x v="231"/>
    <x v="3"/>
    <x v="2034"/>
    <x v="0"/>
    <x v="751"/>
    <n v="35.76"/>
    <x v="7"/>
  </r>
  <r>
    <x v="231"/>
    <x v="3"/>
    <x v="2035"/>
    <x v="0"/>
    <x v="794"/>
    <n v="35.76"/>
    <x v="0"/>
  </r>
  <r>
    <x v="231"/>
    <x v="3"/>
    <x v="2036"/>
    <x v="0"/>
    <x v="726"/>
    <n v="35.76"/>
    <x v="0"/>
  </r>
  <r>
    <x v="231"/>
    <x v="3"/>
    <x v="2037"/>
    <x v="0"/>
    <x v="795"/>
    <n v="30.86"/>
    <x v="3"/>
  </r>
  <r>
    <x v="231"/>
    <x v="3"/>
    <x v="2038"/>
    <x v="0"/>
    <x v="796"/>
    <n v="25.96"/>
    <x v="5"/>
  </r>
  <r>
    <x v="231"/>
    <x v="3"/>
    <x v="2039"/>
    <x v="0"/>
    <x v="225"/>
    <n v="35.76"/>
    <x v="4"/>
  </r>
  <r>
    <x v="231"/>
    <x v="3"/>
    <x v="2040"/>
    <x v="0"/>
    <x v="797"/>
    <n v="35.76"/>
    <x v="0"/>
  </r>
  <r>
    <x v="231"/>
    <x v="3"/>
    <x v="2041"/>
    <x v="0"/>
    <x v="798"/>
    <n v="35.76"/>
    <x v="1"/>
  </r>
  <r>
    <x v="231"/>
    <x v="3"/>
    <x v="2042"/>
    <x v="0"/>
    <x v="799"/>
    <n v="35.76"/>
    <x v="0"/>
  </r>
  <r>
    <x v="231"/>
    <x v="3"/>
    <x v="2043"/>
    <x v="0"/>
    <x v="789"/>
    <n v="35.76"/>
    <x v="4"/>
  </r>
  <r>
    <x v="231"/>
    <x v="3"/>
    <x v="2044"/>
    <x v="0"/>
    <x v="791"/>
    <n v="35.76"/>
    <x v="1"/>
  </r>
  <r>
    <x v="232"/>
    <x v="4"/>
    <x v="2045"/>
    <x v="0"/>
    <x v="696"/>
    <n v="35.76"/>
    <x v="0"/>
  </r>
  <r>
    <x v="232"/>
    <x v="4"/>
    <x v="2046"/>
    <x v="0"/>
    <x v="696"/>
    <n v="35.76"/>
    <x v="7"/>
  </r>
  <r>
    <x v="232"/>
    <x v="4"/>
    <x v="2047"/>
    <x v="0"/>
    <x v="276"/>
    <n v="30.86"/>
    <x v="3"/>
  </r>
  <r>
    <x v="232"/>
    <x v="4"/>
    <x v="2048"/>
    <x v="0"/>
    <x v="800"/>
    <n v="25.96"/>
    <x v="5"/>
  </r>
  <r>
    <x v="232"/>
    <x v="4"/>
    <x v="2049"/>
    <x v="0"/>
    <x v="402"/>
    <n v="21.06"/>
    <x v="6"/>
  </r>
  <r>
    <x v="232"/>
    <x v="4"/>
    <x v="2050"/>
    <x v="0"/>
    <x v="402"/>
    <n v="25.96"/>
    <x v="5"/>
  </r>
  <r>
    <x v="232"/>
    <x v="4"/>
    <x v="2051"/>
    <x v="0"/>
    <x v="801"/>
    <n v="25.96"/>
    <x v="2"/>
  </r>
  <r>
    <x v="232"/>
    <x v="4"/>
    <x v="2052"/>
    <x v="0"/>
    <x v="507"/>
    <n v="35.76"/>
    <x v="1"/>
  </r>
  <r>
    <x v="232"/>
    <x v="4"/>
    <x v="2053"/>
    <x v="0"/>
    <x v="507"/>
    <n v="35.76"/>
    <x v="0"/>
  </r>
  <r>
    <x v="233"/>
    <x v="5"/>
    <x v="2054"/>
    <x v="0"/>
    <x v="696"/>
    <n v="35.76"/>
    <x v="0"/>
  </r>
  <r>
    <x v="233"/>
    <x v="5"/>
    <x v="2055"/>
    <x v="0"/>
    <x v="276"/>
    <n v="30.86"/>
    <x v="3"/>
  </r>
  <r>
    <x v="233"/>
    <x v="5"/>
    <x v="2056"/>
    <x v="0"/>
    <x v="141"/>
    <n v="25.96"/>
    <x v="5"/>
  </r>
  <r>
    <x v="233"/>
    <x v="5"/>
    <x v="2057"/>
    <x v="0"/>
    <x v="802"/>
    <n v="30.86"/>
    <x v="3"/>
  </r>
  <r>
    <x v="233"/>
    <x v="5"/>
    <x v="2058"/>
    <x v="0"/>
    <x v="803"/>
    <n v="30.86"/>
    <x v="3"/>
  </r>
  <r>
    <x v="233"/>
    <x v="5"/>
    <x v="2059"/>
    <x v="0"/>
    <x v="803"/>
    <n v="30.86"/>
    <x v="3"/>
  </r>
  <r>
    <x v="233"/>
    <x v="5"/>
    <x v="2060"/>
    <x v="0"/>
    <x v="804"/>
    <n v="35.76"/>
    <x v="7"/>
  </r>
  <r>
    <x v="233"/>
    <x v="5"/>
    <x v="2061"/>
    <x v="0"/>
    <x v="805"/>
    <n v="21.06"/>
    <x v="6"/>
  </r>
  <r>
    <x v="233"/>
    <x v="5"/>
    <x v="2062"/>
    <x v="0"/>
    <x v="40"/>
    <n v="35.76"/>
    <x v="4"/>
  </r>
  <r>
    <x v="233"/>
    <x v="5"/>
    <x v="2063"/>
    <x v="0"/>
    <x v="40"/>
    <n v="35.76"/>
    <x v="7"/>
  </r>
  <r>
    <x v="233"/>
    <x v="5"/>
    <x v="2064"/>
    <x v="0"/>
    <x v="518"/>
    <n v="30.86"/>
    <x v="3"/>
  </r>
  <r>
    <x v="233"/>
    <x v="5"/>
    <x v="2065"/>
    <x v="0"/>
    <x v="806"/>
    <n v="35.76"/>
    <x v="1"/>
  </r>
  <r>
    <x v="233"/>
    <x v="5"/>
    <x v="2066"/>
    <x v="0"/>
    <x v="807"/>
    <n v="35.76"/>
    <x v="0"/>
  </r>
  <r>
    <x v="234"/>
    <x v="6"/>
    <x v="2067"/>
    <x v="0"/>
    <x v="808"/>
    <n v="25.96"/>
    <x v="2"/>
  </r>
  <r>
    <x v="234"/>
    <x v="6"/>
    <x v="2068"/>
    <x v="0"/>
    <x v="809"/>
    <n v="35.76"/>
    <x v="7"/>
  </r>
  <r>
    <x v="234"/>
    <x v="6"/>
    <x v="2069"/>
    <x v="0"/>
    <x v="804"/>
    <n v="35.76"/>
    <x v="7"/>
  </r>
  <r>
    <x v="234"/>
    <x v="6"/>
    <x v="2070"/>
    <x v="0"/>
    <x v="810"/>
    <n v="35.76"/>
    <x v="1"/>
  </r>
  <r>
    <x v="234"/>
    <x v="6"/>
    <x v="2071"/>
    <x v="0"/>
    <x v="810"/>
    <n v="35.76"/>
    <x v="0"/>
  </r>
  <r>
    <x v="234"/>
    <x v="6"/>
    <x v="2072"/>
    <x v="0"/>
    <x v="788"/>
    <n v="35.76"/>
    <x v="0"/>
  </r>
  <r>
    <x v="234"/>
    <x v="6"/>
    <x v="2073"/>
    <x v="0"/>
    <x v="788"/>
    <n v="35.76"/>
    <x v="0"/>
  </r>
  <r>
    <x v="234"/>
    <x v="6"/>
    <x v="2074"/>
    <x v="0"/>
    <x v="811"/>
    <n v="25.96"/>
    <x v="2"/>
  </r>
  <r>
    <x v="234"/>
    <x v="6"/>
    <x v="2075"/>
    <x v="0"/>
    <x v="811"/>
    <n v="25.96"/>
    <x v="2"/>
  </r>
  <r>
    <x v="234"/>
    <x v="6"/>
    <x v="2076"/>
    <x v="0"/>
    <x v="507"/>
    <n v="35.76"/>
    <x v="0"/>
  </r>
  <r>
    <x v="234"/>
    <x v="6"/>
    <x v="2077"/>
    <x v="0"/>
    <x v="812"/>
    <n v="25.96"/>
    <x v="2"/>
  </r>
  <r>
    <x v="234"/>
    <x v="6"/>
    <x v="2078"/>
    <x v="0"/>
    <x v="813"/>
    <n v="35.76"/>
    <x v="1"/>
  </r>
  <r>
    <x v="234"/>
    <x v="6"/>
    <x v="2079"/>
    <x v="0"/>
    <x v="813"/>
    <n v="35.76"/>
    <x v="1"/>
  </r>
  <r>
    <x v="234"/>
    <x v="6"/>
    <x v="2080"/>
    <x v="0"/>
    <x v="637"/>
    <n v="35.76"/>
    <x v="1"/>
  </r>
  <r>
    <x v="234"/>
    <x v="6"/>
    <x v="2081"/>
    <x v="0"/>
    <x v="637"/>
    <n v="35.76"/>
    <x v="7"/>
  </r>
  <r>
    <x v="235"/>
    <x v="0"/>
    <x v="2082"/>
    <x v="0"/>
    <x v="696"/>
    <n v="35.76"/>
    <x v="7"/>
  </r>
  <r>
    <x v="235"/>
    <x v="0"/>
    <x v="2083"/>
    <x v="0"/>
    <x v="402"/>
    <n v="21.06"/>
    <x v="6"/>
  </r>
  <r>
    <x v="235"/>
    <x v="0"/>
    <x v="2084"/>
    <x v="0"/>
    <x v="570"/>
    <n v="35.76"/>
    <x v="4"/>
  </r>
  <r>
    <x v="235"/>
    <x v="0"/>
    <x v="2085"/>
    <x v="0"/>
    <x v="570"/>
    <n v="35.76"/>
    <x v="0"/>
  </r>
  <r>
    <x v="235"/>
    <x v="0"/>
    <x v="2086"/>
    <x v="0"/>
    <x v="84"/>
    <n v="35.76"/>
    <x v="4"/>
  </r>
  <r>
    <x v="235"/>
    <x v="0"/>
    <x v="2087"/>
    <x v="0"/>
    <x v="683"/>
    <n v="25.96"/>
    <x v="2"/>
  </r>
  <r>
    <x v="235"/>
    <x v="0"/>
    <x v="2088"/>
    <x v="0"/>
    <x v="683"/>
    <n v="25.96"/>
    <x v="2"/>
  </r>
  <r>
    <x v="235"/>
    <x v="0"/>
    <x v="2089"/>
    <x v="0"/>
    <x v="276"/>
    <n v="30.86"/>
    <x v="3"/>
  </r>
  <r>
    <x v="235"/>
    <x v="0"/>
    <x v="2090"/>
    <x v="0"/>
    <x v="12"/>
    <n v="35.76"/>
    <x v="4"/>
  </r>
  <r>
    <x v="235"/>
    <x v="0"/>
    <x v="2091"/>
    <x v="0"/>
    <x v="12"/>
    <n v="35.76"/>
    <x v="4"/>
  </r>
  <r>
    <x v="235"/>
    <x v="0"/>
    <x v="2092"/>
    <x v="0"/>
    <x v="141"/>
    <n v="25.96"/>
    <x v="5"/>
  </r>
  <r>
    <x v="235"/>
    <x v="0"/>
    <x v="2093"/>
    <x v="0"/>
    <x v="814"/>
    <n v="35.76"/>
    <x v="0"/>
  </r>
  <r>
    <x v="235"/>
    <x v="0"/>
    <x v="2094"/>
    <x v="0"/>
    <x v="137"/>
    <n v="35.76"/>
    <x v="7"/>
  </r>
  <r>
    <x v="235"/>
    <x v="0"/>
    <x v="2095"/>
    <x v="0"/>
    <x v="815"/>
    <n v="35.76"/>
    <x v="1"/>
  </r>
  <r>
    <x v="235"/>
    <x v="0"/>
    <x v="2096"/>
    <x v="0"/>
    <x v="815"/>
    <n v="21.06"/>
    <x v="6"/>
  </r>
  <r>
    <x v="236"/>
    <x v="1"/>
    <x v="2097"/>
    <x v="0"/>
    <x v="682"/>
    <n v="35.76"/>
    <x v="7"/>
  </r>
  <r>
    <x v="236"/>
    <x v="1"/>
    <x v="2098"/>
    <x v="0"/>
    <x v="141"/>
    <n v="25.96"/>
    <x v="5"/>
  </r>
  <r>
    <x v="236"/>
    <x v="1"/>
    <x v="2099"/>
    <x v="0"/>
    <x v="334"/>
    <n v="35.76"/>
    <x v="7"/>
  </r>
  <r>
    <x v="236"/>
    <x v="1"/>
    <x v="2100"/>
    <x v="0"/>
    <x v="816"/>
    <n v="25.96"/>
    <x v="2"/>
  </r>
  <r>
    <x v="236"/>
    <x v="1"/>
    <x v="2101"/>
    <x v="0"/>
    <x v="40"/>
    <n v="35.76"/>
    <x v="4"/>
  </r>
  <r>
    <x v="236"/>
    <x v="1"/>
    <x v="2102"/>
    <x v="0"/>
    <x v="817"/>
    <n v="35.76"/>
    <x v="0"/>
  </r>
  <r>
    <x v="236"/>
    <x v="1"/>
    <x v="2103"/>
    <x v="0"/>
    <x v="276"/>
    <n v="35.76"/>
    <x v="0"/>
  </r>
  <r>
    <x v="236"/>
    <x v="1"/>
    <x v="2104"/>
    <x v="0"/>
    <x v="276"/>
    <n v="30.86"/>
    <x v="3"/>
  </r>
  <r>
    <x v="236"/>
    <x v="1"/>
    <x v="2105"/>
    <x v="0"/>
    <x v="141"/>
    <n v="25.96"/>
    <x v="5"/>
  </r>
  <r>
    <x v="236"/>
    <x v="1"/>
    <x v="2106"/>
    <x v="0"/>
    <x v="141"/>
    <n v="25.96"/>
    <x v="5"/>
  </r>
  <r>
    <x v="236"/>
    <x v="1"/>
    <x v="2107"/>
    <x v="0"/>
    <x v="818"/>
    <n v="35.76"/>
    <x v="0"/>
  </r>
  <r>
    <x v="236"/>
    <x v="1"/>
    <x v="2108"/>
    <x v="0"/>
    <x v="818"/>
    <n v="35.76"/>
    <x v="0"/>
  </r>
  <r>
    <x v="236"/>
    <x v="1"/>
    <x v="2109"/>
    <x v="0"/>
    <x v="819"/>
    <n v="30.86"/>
    <x v="3"/>
  </r>
  <r>
    <x v="236"/>
    <x v="1"/>
    <x v="2110"/>
    <x v="0"/>
    <x v="820"/>
    <n v="30.86"/>
    <x v="3"/>
  </r>
  <r>
    <x v="236"/>
    <x v="1"/>
    <x v="2111"/>
    <x v="0"/>
    <x v="715"/>
    <n v="35.76"/>
    <x v="7"/>
  </r>
  <r>
    <x v="236"/>
    <x v="1"/>
    <x v="2112"/>
    <x v="0"/>
    <x v="821"/>
    <n v="30.86"/>
    <x v="3"/>
  </r>
  <r>
    <x v="237"/>
    <x v="2"/>
    <x v="2113"/>
    <x v="0"/>
    <x v="347"/>
    <n v="30.86"/>
    <x v="3"/>
  </r>
  <r>
    <x v="237"/>
    <x v="2"/>
    <x v="2114"/>
    <x v="0"/>
    <x v="276"/>
    <n v="35.76"/>
    <x v="0"/>
  </r>
  <r>
    <x v="237"/>
    <x v="2"/>
    <x v="2115"/>
    <x v="0"/>
    <x v="276"/>
    <n v="30.86"/>
    <x v="3"/>
  </r>
  <r>
    <x v="237"/>
    <x v="2"/>
    <x v="2116"/>
    <x v="0"/>
    <x v="822"/>
    <n v="35.76"/>
    <x v="7"/>
  </r>
  <r>
    <x v="237"/>
    <x v="2"/>
    <x v="2117"/>
    <x v="0"/>
    <x v="507"/>
    <n v="35.76"/>
    <x v="0"/>
  </r>
  <r>
    <x v="238"/>
    <x v="3"/>
    <x v="2118"/>
    <x v="0"/>
    <x v="696"/>
    <n v="35.76"/>
    <x v="7"/>
  </r>
  <r>
    <x v="238"/>
    <x v="3"/>
    <x v="2119"/>
    <x v="0"/>
    <x v="823"/>
    <n v="25.96"/>
    <x v="2"/>
  </r>
  <r>
    <x v="238"/>
    <x v="3"/>
    <x v="2120"/>
    <x v="0"/>
    <x v="683"/>
    <n v="35.76"/>
    <x v="0"/>
  </r>
  <r>
    <x v="238"/>
    <x v="3"/>
    <x v="2121"/>
    <x v="0"/>
    <x v="242"/>
    <n v="30.86"/>
    <x v="3"/>
  </r>
  <r>
    <x v="238"/>
    <x v="3"/>
    <x v="2122"/>
    <x v="0"/>
    <x v="824"/>
    <n v="35.76"/>
    <x v="0"/>
  </r>
  <r>
    <x v="238"/>
    <x v="3"/>
    <x v="2123"/>
    <x v="0"/>
    <x v="824"/>
    <n v="35.76"/>
    <x v="0"/>
  </r>
  <r>
    <x v="238"/>
    <x v="3"/>
    <x v="2124"/>
    <x v="0"/>
    <x v="707"/>
    <n v="35.76"/>
    <x v="1"/>
  </r>
  <r>
    <x v="238"/>
    <x v="3"/>
    <x v="2125"/>
    <x v="0"/>
    <x v="825"/>
    <n v="30.86"/>
    <x v="3"/>
  </r>
  <r>
    <x v="238"/>
    <x v="3"/>
    <x v="2126"/>
    <x v="0"/>
    <x v="826"/>
    <n v="35.76"/>
    <x v="7"/>
  </r>
  <r>
    <x v="238"/>
    <x v="3"/>
    <x v="2127"/>
    <x v="0"/>
    <x v="819"/>
    <n v="30.86"/>
    <x v="3"/>
  </r>
  <r>
    <x v="238"/>
    <x v="3"/>
    <x v="2128"/>
    <x v="0"/>
    <x v="819"/>
    <n v="30.86"/>
    <x v="3"/>
  </r>
  <r>
    <x v="238"/>
    <x v="3"/>
    <x v="2129"/>
    <x v="0"/>
    <x v="827"/>
    <n v="30.86"/>
    <x v="3"/>
  </r>
  <r>
    <x v="238"/>
    <x v="3"/>
    <x v="2130"/>
    <x v="0"/>
    <x v="159"/>
    <n v="35.76"/>
    <x v="0"/>
  </r>
  <r>
    <x v="238"/>
    <x v="3"/>
    <x v="2131"/>
    <x v="0"/>
    <x v="828"/>
    <n v="35.76"/>
    <x v="4"/>
  </r>
  <r>
    <x v="238"/>
    <x v="3"/>
    <x v="2132"/>
    <x v="0"/>
    <x v="828"/>
    <n v="35.76"/>
    <x v="4"/>
  </r>
  <r>
    <x v="238"/>
    <x v="3"/>
    <x v="2133"/>
    <x v="0"/>
    <x v="257"/>
    <n v="35.76"/>
    <x v="7"/>
  </r>
  <r>
    <x v="238"/>
    <x v="3"/>
    <x v="2134"/>
    <x v="0"/>
    <x v="329"/>
    <n v="30.86"/>
    <x v="3"/>
  </r>
  <r>
    <x v="238"/>
    <x v="3"/>
    <x v="2135"/>
    <x v="0"/>
    <x v="695"/>
    <n v="30.86"/>
    <x v="3"/>
  </r>
  <r>
    <x v="239"/>
    <x v="4"/>
    <x v="2136"/>
    <x v="0"/>
    <x v="804"/>
    <n v="35.76"/>
    <x v="0"/>
  </r>
  <r>
    <x v="239"/>
    <x v="4"/>
    <x v="2137"/>
    <x v="0"/>
    <x v="683"/>
    <n v="35.76"/>
    <x v="0"/>
  </r>
  <r>
    <x v="239"/>
    <x v="4"/>
    <x v="2138"/>
    <x v="0"/>
    <x v="570"/>
    <n v="35.76"/>
    <x v="0"/>
  </r>
  <r>
    <x v="239"/>
    <x v="4"/>
    <x v="2139"/>
    <x v="0"/>
    <x v="829"/>
    <n v="30.86"/>
    <x v="3"/>
  </r>
  <r>
    <x v="239"/>
    <x v="4"/>
    <x v="2140"/>
    <x v="0"/>
    <x v="830"/>
    <n v="21.06"/>
    <x v="6"/>
  </r>
  <r>
    <x v="239"/>
    <x v="4"/>
    <x v="2141"/>
    <x v="0"/>
    <x v="831"/>
    <n v="25.96"/>
    <x v="5"/>
  </r>
  <r>
    <x v="239"/>
    <x v="4"/>
    <x v="2142"/>
    <x v="0"/>
    <x v="831"/>
    <n v="25.96"/>
    <x v="5"/>
  </r>
  <r>
    <x v="239"/>
    <x v="4"/>
    <x v="2143"/>
    <x v="0"/>
    <x v="832"/>
    <n v="35.76"/>
    <x v="7"/>
  </r>
  <r>
    <x v="239"/>
    <x v="4"/>
    <x v="2144"/>
    <x v="0"/>
    <x v="833"/>
    <n v="35.76"/>
    <x v="1"/>
  </r>
  <r>
    <x v="239"/>
    <x v="4"/>
    <x v="2145"/>
    <x v="0"/>
    <x v="834"/>
    <n v="35.76"/>
    <x v="4"/>
  </r>
  <r>
    <x v="239"/>
    <x v="4"/>
    <x v="2146"/>
    <x v="0"/>
    <x v="225"/>
    <n v="35.76"/>
    <x v="4"/>
  </r>
  <r>
    <x v="239"/>
    <x v="4"/>
    <x v="2147"/>
    <x v="0"/>
    <x v="835"/>
    <n v="30.86"/>
    <x v="3"/>
  </r>
  <r>
    <x v="239"/>
    <x v="4"/>
    <x v="2148"/>
    <x v="0"/>
    <x v="835"/>
    <n v="30.86"/>
    <x v="3"/>
  </r>
  <r>
    <x v="239"/>
    <x v="4"/>
    <x v="2149"/>
    <x v="0"/>
    <x v="836"/>
    <n v="30.86"/>
    <x v="3"/>
  </r>
  <r>
    <x v="239"/>
    <x v="4"/>
    <x v="2150"/>
    <x v="0"/>
    <x v="206"/>
    <n v="35.76"/>
    <x v="7"/>
  </r>
  <r>
    <x v="239"/>
    <x v="4"/>
    <x v="2151"/>
    <x v="0"/>
    <x v="507"/>
    <n v="35.76"/>
    <x v="1"/>
  </r>
  <r>
    <x v="239"/>
    <x v="4"/>
    <x v="2152"/>
    <x v="0"/>
    <x v="507"/>
    <n v="35.76"/>
    <x v="0"/>
  </r>
  <r>
    <x v="239"/>
    <x v="4"/>
    <x v="2153"/>
    <x v="0"/>
    <x v="799"/>
    <n v="35.76"/>
    <x v="0"/>
  </r>
  <r>
    <x v="240"/>
    <x v="5"/>
    <x v="2154"/>
    <x v="0"/>
    <x v="703"/>
    <n v="35.76"/>
    <x v="0"/>
  </r>
  <r>
    <x v="240"/>
    <x v="5"/>
    <x v="2155"/>
    <x v="0"/>
    <x v="571"/>
    <n v="30.86"/>
    <x v="3"/>
  </r>
  <r>
    <x v="240"/>
    <x v="5"/>
    <x v="2156"/>
    <x v="0"/>
    <x v="571"/>
    <n v="30.86"/>
    <x v="3"/>
  </r>
  <r>
    <x v="240"/>
    <x v="5"/>
    <x v="2157"/>
    <x v="0"/>
    <x v="837"/>
    <n v="35.76"/>
    <x v="0"/>
  </r>
  <r>
    <x v="240"/>
    <x v="5"/>
    <x v="2158"/>
    <x v="0"/>
    <x v="838"/>
    <n v="35.76"/>
    <x v="0"/>
  </r>
  <r>
    <x v="240"/>
    <x v="5"/>
    <x v="2159"/>
    <x v="0"/>
    <x v="838"/>
    <n v="35.76"/>
    <x v="0"/>
  </r>
  <r>
    <x v="240"/>
    <x v="5"/>
    <x v="2160"/>
    <x v="0"/>
    <x v="375"/>
    <n v="35.76"/>
    <x v="0"/>
  </r>
  <r>
    <x v="240"/>
    <x v="5"/>
    <x v="2161"/>
    <x v="0"/>
    <x v="375"/>
    <n v="25.96"/>
    <x v="2"/>
  </r>
  <r>
    <x v="240"/>
    <x v="5"/>
    <x v="2162"/>
    <x v="0"/>
    <x v="734"/>
    <n v="30.86"/>
    <x v="3"/>
  </r>
  <r>
    <x v="240"/>
    <x v="5"/>
    <x v="2163"/>
    <x v="0"/>
    <x v="839"/>
    <n v="25.96"/>
    <x v="2"/>
  </r>
  <r>
    <x v="240"/>
    <x v="5"/>
    <x v="2164"/>
    <x v="0"/>
    <x v="507"/>
    <n v="35.76"/>
    <x v="0"/>
  </r>
  <r>
    <x v="240"/>
    <x v="5"/>
    <x v="2165"/>
    <x v="0"/>
    <x v="507"/>
    <n v="35.76"/>
    <x v="0"/>
  </r>
  <r>
    <x v="240"/>
    <x v="5"/>
    <x v="2166"/>
    <x v="0"/>
    <x v="840"/>
    <n v="30.86"/>
    <x v="3"/>
  </r>
  <r>
    <x v="240"/>
    <x v="5"/>
    <x v="2167"/>
    <x v="0"/>
    <x v="841"/>
    <n v="35.76"/>
    <x v="1"/>
  </r>
  <r>
    <x v="240"/>
    <x v="5"/>
    <x v="2168"/>
    <x v="0"/>
    <x v="819"/>
    <n v="30.86"/>
    <x v="3"/>
  </r>
  <r>
    <x v="240"/>
    <x v="5"/>
    <x v="2169"/>
    <x v="0"/>
    <x v="842"/>
    <n v="30.86"/>
    <x v="3"/>
  </r>
  <r>
    <x v="241"/>
    <x v="6"/>
    <x v="2170"/>
    <x v="0"/>
    <x v="703"/>
    <n v="35.76"/>
    <x v="0"/>
  </r>
  <r>
    <x v="241"/>
    <x v="6"/>
    <x v="2171"/>
    <x v="0"/>
    <x v="683"/>
    <n v="35.76"/>
    <x v="0"/>
  </r>
  <r>
    <x v="241"/>
    <x v="6"/>
    <x v="2172"/>
    <x v="0"/>
    <x v="276"/>
    <n v="30.86"/>
    <x v="3"/>
  </r>
  <r>
    <x v="241"/>
    <x v="6"/>
    <x v="2173"/>
    <x v="0"/>
    <x v="843"/>
    <n v="35.76"/>
    <x v="0"/>
  </r>
  <r>
    <x v="241"/>
    <x v="6"/>
    <x v="2174"/>
    <x v="0"/>
    <x v="844"/>
    <n v="30.86"/>
    <x v="3"/>
  </r>
  <r>
    <x v="242"/>
    <x v="0"/>
    <x v="2175"/>
    <x v="0"/>
    <x v="842"/>
    <n v="35.76"/>
    <x v="4"/>
  </r>
  <r>
    <x v="242"/>
    <x v="0"/>
    <x v="2176"/>
    <x v="0"/>
    <x v="304"/>
    <n v="25.96"/>
    <x v="2"/>
  </r>
  <r>
    <x v="242"/>
    <x v="0"/>
    <x v="2177"/>
    <x v="0"/>
    <x v="612"/>
    <n v="35.76"/>
    <x v="0"/>
  </r>
  <r>
    <x v="242"/>
    <x v="0"/>
    <x v="2178"/>
    <x v="0"/>
    <x v="12"/>
    <n v="35.76"/>
    <x v="4"/>
  </r>
  <r>
    <x v="242"/>
    <x v="0"/>
    <x v="2179"/>
    <x v="0"/>
    <x v="12"/>
    <n v="35.76"/>
    <x v="4"/>
  </r>
  <r>
    <x v="242"/>
    <x v="0"/>
    <x v="2180"/>
    <x v="0"/>
    <x v="845"/>
    <n v="25.96"/>
    <x v="5"/>
  </r>
  <r>
    <x v="242"/>
    <x v="0"/>
    <x v="2181"/>
    <x v="0"/>
    <x v="695"/>
    <n v="30.86"/>
    <x v="3"/>
  </r>
  <r>
    <x v="243"/>
    <x v="1"/>
    <x v="2182"/>
    <x v="0"/>
    <x v="141"/>
    <n v="25.96"/>
    <x v="5"/>
  </r>
  <r>
    <x v="243"/>
    <x v="1"/>
    <x v="2183"/>
    <x v="0"/>
    <x v="828"/>
    <n v="35.76"/>
    <x v="4"/>
  </r>
  <r>
    <x v="243"/>
    <x v="1"/>
    <x v="2184"/>
    <x v="0"/>
    <x v="97"/>
    <n v="30.86"/>
    <x v="3"/>
  </r>
  <r>
    <x v="243"/>
    <x v="1"/>
    <x v="2185"/>
    <x v="0"/>
    <x v="846"/>
    <n v="30.86"/>
    <x v="3"/>
  </r>
  <r>
    <x v="243"/>
    <x v="1"/>
    <x v="2186"/>
    <x v="0"/>
    <x v="507"/>
    <n v="35.76"/>
    <x v="1"/>
  </r>
  <r>
    <x v="243"/>
    <x v="1"/>
    <x v="2187"/>
    <x v="0"/>
    <x v="507"/>
    <n v="35.76"/>
    <x v="0"/>
  </r>
  <r>
    <x v="243"/>
    <x v="1"/>
    <x v="2188"/>
    <x v="0"/>
    <x v="847"/>
    <n v="35.76"/>
    <x v="0"/>
  </r>
  <r>
    <x v="243"/>
    <x v="1"/>
    <x v="2189"/>
    <x v="0"/>
    <x v="620"/>
    <n v="30.86"/>
    <x v="3"/>
  </r>
  <r>
    <x v="243"/>
    <x v="1"/>
    <x v="2190"/>
    <x v="0"/>
    <x v="848"/>
    <n v="25.96"/>
    <x v="2"/>
  </r>
  <r>
    <x v="244"/>
    <x v="2"/>
    <x v="2191"/>
    <x v="0"/>
    <x v="141"/>
    <n v="25.96"/>
    <x v="5"/>
  </r>
  <r>
    <x v="244"/>
    <x v="2"/>
    <x v="2192"/>
    <x v="0"/>
    <x v="40"/>
    <n v="30.86"/>
    <x v="3"/>
  </r>
  <r>
    <x v="244"/>
    <x v="2"/>
    <x v="2193"/>
    <x v="0"/>
    <x v="40"/>
    <n v="30.86"/>
    <x v="3"/>
  </r>
  <r>
    <x v="244"/>
    <x v="2"/>
    <x v="2194"/>
    <x v="0"/>
    <x v="849"/>
    <n v="35.76"/>
    <x v="0"/>
  </r>
  <r>
    <x v="244"/>
    <x v="2"/>
    <x v="2195"/>
    <x v="0"/>
    <x v="849"/>
    <n v="30.86"/>
    <x v="3"/>
  </r>
  <r>
    <x v="244"/>
    <x v="2"/>
    <x v="2196"/>
    <x v="0"/>
    <x v="228"/>
    <n v="35.76"/>
    <x v="4"/>
  </r>
  <r>
    <x v="244"/>
    <x v="2"/>
    <x v="2197"/>
    <x v="0"/>
    <x v="850"/>
    <n v="25.96"/>
    <x v="2"/>
  </r>
  <r>
    <x v="244"/>
    <x v="2"/>
    <x v="2198"/>
    <x v="0"/>
    <x v="851"/>
    <n v="30.86"/>
    <x v="3"/>
  </r>
  <r>
    <x v="244"/>
    <x v="2"/>
    <x v="2199"/>
    <x v="0"/>
    <x v="622"/>
    <n v="35.76"/>
    <x v="1"/>
  </r>
  <r>
    <x v="244"/>
    <x v="2"/>
    <x v="2200"/>
    <x v="0"/>
    <x v="622"/>
    <n v="35.76"/>
    <x v="1"/>
  </r>
  <r>
    <x v="244"/>
    <x v="2"/>
    <x v="2201"/>
    <x v="0"/>
    <x v="852"/>
    <n v="25.96"/>
    <x v="2"/>
  </r>
  <r>
    <x v="244"/>
    <x v="2"/>
    <x v="2202"/>
    <x v="0"/>
    <x v="852"/>
    <n v="25.96"/>
    <x v="2"/>
  </r>
  <r>
    <x v="244"/>
    <x v="2"/>
    <x v="2203"/>
    <x v="0"/>
    <x v="225"/>
    <n v="35.76"/>
    <x v="4"/>
  </r>
  <r>
    <x v="245"/>
    <x v="3"/>
    <x v="2204"/>
    <x v="0"/>
    <x v="696"/>
    <n v="35.76"/>
    <x v="0"/>
  </r>
  <r>
    <x v="245"/>
    <x v="3"/>
    <x v="2205"/>
    <x v="0"/>
    <x v="276"/>
    <n v="35.76"/>
    <x v="0"/>
  </r>
  <r>
    <x v="245"/>
    <x v="3"/>
    <x v="2206"/>
    <x v="0"/>
    <x v="276"/>
    <n v="30.86"/>
    <x v="3"/>
  </r>
  <r>
    <x v="245"/>
    <x v="3"/>
    <x v="2207"/>
    <x v="0"/>
    <x v="853"/>
    <n v="25.96"/>
    <x v="2"/>
  </r>
  <r>
    <x v="245"/>
    <x v="3"/>
    <x v="2208"/>
    <x v="0"/>
    <x v="854"/>
    <n v="30.86"/>
    <x v="3"/>
  </r>
  <r>
    <x v="245"/>
    <x v="3"/>
    <x v="2209"/>
    <x v="0"/>
    <x v="12"/>
    <n v="35.76"/>
    <x v="4"/>
  </r>
  <r>
    <x v="245"/>
    <x v="3"/>
    <x v="2210"/>
    <x v="0"/>
    <x v="12"/>
    <n v="35.76"/>
    <x v="4"/>
  </r>
  <r>
    <x v="246"/>
    <x v="4"/>
    <x v="2211"/>
    <x v="0"/>
    <x v="696"/>
    <n v="35.76"/>
    <x v="4"/>
  </r>
  <r>
    <x v="246"/>
    <x v="4"/>
    <x v="2212"/>
    <x v="0"/>
    <x v="276"/>
    <n v="30.86"/>
    <x v="3"/>
  </r>
  <r>
    <x v="246"/>
    <x v="4"/>
    <x v="2213"/>
    <x v="0"/>
    <x v="731"/>
    <n v="35.76"/>
    <x v="7"/>
  </r>
  <r>
    <x v="246"/>
    <x v="4"/>
    <x v="2214"/>
    <x v="0"/>
    <x v="731"/>
    <n v="30.86"/>
    <x v="3"/>
  </r>
  <r>
    <x v="246"/>
    <x v="4"/>
    <x v="2215"/>
    <x v="0"/>
    <x v="12"/>
    <n v="30.86"/>
    <x v="3"/>
  </r>
  <r>
    <x v="246"/>
    <x v="4"/>
    <x v="2216"/>
    <x v="0"/>
    <x v="855"/>
    <n v="35.76"/>
    <x v="4"/>
  </r>
  <r>
    <x v="246"/>
    <x v="4"/>
    <x v="2217"/>
    <x v="0"/>
    <x v="856"/>
    <n v="35.76"/>
    <x v="0"/>
  </r>
  <r>
    <x v="246"/>
    <x v="4"/>
    <x v="2218"/>
    <x v="0"/>
    <x v="857"/>
    <n v="35.76"/>
    <x v="0"/>
  </r>
  <r>
    <x v="246"/>
    <x v="4"/>
    <x v="2219"/>
    <x v="0"/>
    <x v="858"/>
    <n v="35.76"/>
    <x v="0"/>
  </r>
  <r>
    <x v="246"/>
    <x v="4"/>
    <x v="2220"/>
    <x v="0"/>
    <x v="455"/>
    <n v="35.76"/>
    <x v="7"/>
  </r>
  <r>
    <x v="246"/>
    <x v="4"/>
    <x v="2221"/>
    <x v="0"/>
    <x v="455"/>
    <n v="35.76"/>
    <x v="7"/>
  </r>
  <r>
    <x v="246"/>
    <x v="4"/>
    <x v="2222"/>
    <x v="0"/>
    <x v="455"/>
    <n v="35.76"/>
    <x v="7"/>
  </r>
  <r>
    <x v="246"/>
    <x v="4"/>
    <x v="2223"/>
    <x v="0"/>
    <x v="859"/>
    <n v="35.76"/>
    <x v="4"/>
  </r>
  <r>
    <x v="246"/>
    <x v="4"/>
    <x v="2224"/>
    <x v="0"/>
    <x v="859"/>
    <n v="35.76"/>
    <x v="4"/>
  </r>
  <r>
    <x v="246"/>
    <x v="4"/>
    <x v="2225"/>
    <x v="0"/>
    <x v="722"/>
    <n v="35.76"/>
    <x v="1"/>
  </r>
  <r>
    <x v="246"/>
    <x v="4"/>
    <x v="2226"/>
    <x v="0"/>
    <x v="637"/>
    <n v="35.76"/>
    <x v="1"/>
  </r>
  <r>
    <x v="246"/>
    <x v="4"/>
    <x v="2227"/>
    <x v="0"/>
    <x v="637"/>
    <n v="30.86"/>
    <x v="3"/>
  </r>
  <r>
    <x v="247"/>
    <x v="5"/>
    <x v="2228"/>
    <x v="0"/>
    <x v="570"/>
    <n v="35.76"/>
    <x v="0"/>
  </r>
  <r>
    <x v="247"/>
    <x v="5"/>
    <x v="2229"/>
    <x v="0"/>
    <x v="860"/>
    <n v="21.06"/>
    <x v="6"/>
  </r>
  <r>
    <x v="247"/>
    <x v="5"/>
    <x v="2230"/>
    <x v="0"/>
    <x v="742"/>
    <n v="25.96"/>
    <x v="2"/>
  </r>
  <r>
    <x v="247"/>
    <x v="5"/>
    <x v="2231"/>
    <x v="0"/>
    <x v="622"/>
    <n v="35.76"/>
    <x v="7"/>
  </r>
  <r>
    <x v="247"/>
    <x v="5"/>
    <x v="2232"/>
    <x v="0"/>
    <x v="861"/>
    <n v="35.76"/>
    <x v="0"/>
  </r>
  <r>
    <x v="247"/>
    <x v="5"/>
    <x v="2233"/>
    <x v="0"/>
    <x v="862"/>
    <n v="35.76"/>
    <x v="7"/>
  </r>
  <r>
    <x v="247"/>
    <x v="5"/>
    <x v="2234"/>
    <x v="0"/>
    <x v="863"/>
    <n v="35.76"/>
    <x v="1"/>
  </r>
  <r>
    <x v="247"/>
    <x v="5"/>
    <x v="2235"/>
    <x v="0"/>
    <x v="863"/>
    <n v="35.76"/>
    <x v="1"/>
  </r>
  <r>
    <x v="248"/>
    <x v="6"/>
    <x v="2236"/>
    <x v="0"/>
    <x v="864"/>
    <n v="35.76"/>
    <x v="0"/>
  </r>
  <r>
    <x v="248"/>
    <x v="6"/>
    <x v="2237"/>
    <x v="0"/>
    <x v="865"/>
    <n v="25.96"/>
    <x v="2"/>
  </r>
  <r>
    <x v="248"/>
    <x v="6"/>
    <x v="2238"/>
    <x v="0"/>
    <x v="866"/>
    <n v="25.96"/>
    <x v="2"/>
  </r>
  <r>
    <x v="248"/>
    <x v="6"/>
    <x v="2239"/>
    <x v="0"/>
    <x v="828"/>
    <n v="35.76"/>
    <x v="4"/>
  </r>
  <r>
    <x v="248"/>
    <x v="6"/>
    <x v="2240"/>
    <x v="0"/>
    <x v="867"/>
    <n v="35.76"/>
    <x v="1"/>
  </r>
  <r>
    <x v="248"/>
    <x v="6"/>
    <x v="2241"/>
    <x v="0"/>
    <x v="867"/>
    <n v="35.76"/>
    <x v="0"/>
  </r>
  <r>
    <x v="248"/>
    <x v="6"/>
    <x v="2242"/>
    <x v="0"/>
    <x v="507"/>
    <n v="35.76"/>
    <x v="0"/>
  </r>
  <r>
    <x v="249"/>
    <x v="0"/>
    <x v="2243"/>
    <x v="0"/>
    <x v="276"/>
    <n v="30.86"/>
    <x v="3"/>
  </r>
  <r>
    <x v="249"/>
    <x v="0"/>
    <x v="2244"/>
    <x v="0"/>
    <x v="375"/>
    <n v="25.96"/>
    <x v="2"/>
  </r>
  <r>
    <x v="249"/>
    <x v="0"/>
    <x v="2245"/>
    <x v="0"/>
    <x v="375"/>
    <n v="25.96"/>
    <x v="2"/>
  </r>
  <r>
    <x v="249"/>
    <x v="0"/>
    <x v="2246"/>
    <x v="0"/>
    <x v="494"/>
    <n v="35.76"/>
    <x v="7"/>
  </r>
  <r>
    <x v="249"/>
    <x v="0"/>
    <x v="2247"/>
    <x v="0"/>
    <x v="868"/>
    <n v="35.76"/>
    <x v="0"/>
  </r>
  <r>
    <x v="249"/>
    <x v="0"/>
    <x v="2248"/>
    <x v="0"/>
    <x v="868"/>
    <n v="35.76"/>
    <x v="0"/>
  </r>
  <r>
    <x v="249"/>
    <x v="0"/>
    <x v="2249"/>
    <x v="0"/>
    <x v="869"/>
    <n v="30.86"/>
    <x v="3"/>
  </r>
  <r>
    <x v="249"/>
    <x v="0"/>
    <x v="2250"/>
    <x v="0"/>
    <x v="870"/>
    <n v="30.86"/>
    <x v="3"/>
  </r>
  <r>
    <x v="249"/>
    <x v="0"/>
    <x v="2251"/>
    <x v="0"/>
    <x v="871"/>
    <n v="35.76"/>
    <x v="1"/>
  </r>
  <r>
    <x v="249"/>
    <x v="0"/>
    <x v="2252"/>
    <x v="0"/>
    <x v="872"/>
    <n v="35.76"/>
    <x v="1"/>
  </r>
  <r>
    <x v="249"/>
    <x v="0"/>
    <x v="2253"/>
    <x v="0"/>
    <x v="872"/>
    <n v="35.76"/>
    <x v="1"/>
  </r>
  <r>
    <x v="249"/>
    <x v="0"/>
    <x v="2254"/>
    <x v="0"/>
    <x v="690"/>
    <n v="35.76"/>
    <x v="0"/>
  </r>
  <r>
    <x v="250"/>
    <x v="1"/>
    <x v="2255"/>
    <x v="0"/>
    <x v="276"/>
    <n v="30.86"/>
    <x v="3"/>
  </r>
  <r>
    <x v="250"/>
    <x v="1"/>
    <x v="2256"/>
    <x v="0"/>
    <x v="141"/>
    <n v="25.96"/>
    <x v="5"/>
  </r>
  <r>
    <x v="250"/>
    <x v="1"/>
    <x v="2257"/>
    <x v="0"/>
    <x v="141"/>
    <n v="25.96"/>
    <x v="5"/>
  </r>
  <r>
    <x v="250"/>
    <x v="1"/>
    <x v="2258"/>
    <x v="0"/>
    <x v="873"/>
    <n v="35.76"/>
    <x v="0"/>
  </r>
  <r>
    <x v="250"/>
    <x v="1"/>
    <x v="2259"/>
    <x v="0"/>
    <x v="871"/>
    <n v="35.76"/>
    <x v="1"/>
  </r>
  <r>
    <x v="250"/>
    <x v="1"/>
    <x v="2260"/>
    <x v="0"/>
    <x v="871"/>
    <n v="35.76"/>
    <x v="1"/>
  </r>
  <r>
    <x v="250"/>
    <x v="1"/>
    <x v="2261"/>
    <x v="0"/>
    <x v="874"/>
    <n v="35.76"/>
    <x v="1"/>
  </r>
  <r>
    <x v="250"/>
    <x v="1"/>
    <x v="2262"/>
    <x v="0"/>
    <x v="874"/>
    <n v="35.76"/>
    <x v="1"/>
  </r>
  <r>
    <x v="250"/>
    <x v="1"/>
    <x v="2263"/>
    <x v="0"/>
    <x v="875"/>
    <n v="25.96"/>
    <x v="2"/>
  </r>
  <r>
    <x v="250"/>
    <x v="1"/>
    <x v="2264"/>
    <x v="0"/>
    <x v="276"/>
    <n v="30.86"/>
    <x v="3"/>
  </r>
  <r>
    <x v="250"/>
    <x v="1"/>
    <x v="2265"/>
    <x v="0"/>
    <x v="570"/>
    <n v="35.76"/>
    <x v="0"/>
  </r>
  <r>
    <x v="250"/>
    <x v="1"/>
    <x v="2266"/>
    <x v="0"/>
    <x v="570"/>
    <n v="35.76"/>
    <x v="4"/>
  </r>
  <r>
    <x v="250"/>
    <x v="1"/>
    <x v="2267"/>
    <x v="0"/>
    <x v="876"/>
    <n v="25.96"/>
    <x v="2"/>
  </r>
  <r>
    <x v="250"/>
    <x v="1"/>
    <x v="2268"/>
    <x v="0"/>
    <x v="876"/>
    <n v="35.76"/>
    <x v="0"/>
  </r>
  <r>
    <x v="250"/>
    <x v="1"/>
    <x v="2269"/>
    <x v="0"/>
    <x v="877"/>
    <n v="35.76"/>
    <x v="4"/>
  </r>
  <r>
    <x v="250"/>
    <x v="1"/>
    <x v="2270"/>
    <x v="0"/>
    <x v="878"/>
    <n v="25.96"/>
    <x v="2"/>
  </r>
  <r>
    <x v="250"/>
    <x v="1"/>
    <x v="2271"/>
    <x v="0"/>
    <x v="879"/>
    <n v="25.96"/>
    <x v="2"/>
  </r>
  <r>
    <x v="251"/>
    <x v="2"/>
    <x v="2272"/>
    <x v="0"/>
    <x v="880"/>
    <n v="25.96"/>
    <x v="2"/>
  </r>
  <r>
    <x v="251"/>
    <x v="2"/>
    <x v="2273"/>
    <x v="0"/>
    <x v="881"/>
    <n v="35.76"/>
    <x v="4"/>
  </r>
  <r>
    <x v="251"/>
    <x v="2"/>
    <x v="2274"/>
    <x v="0"/>
    <x v="882"/>
    <n v="35.76"/>
    <x v="1"/>
  </r>
  <r>
    <x v="251"/>
    <x v="2"/>
    <x v="2275"/>
    <x v="0"/>
    <x v="883"/>
    <n v="35.76"/>
    <x v="1"/>
  </r>
  <r>
    <x v="251"/>
    <x v="2"/>
    <x v="2276"/>
    <x v="0"/>
    <x v="884"/>
    <n v="35.76"/>
    <x v="7"/>
  </r>
  <r>
    <x v="251"/>
    <x v="2"/>
    <x v="2277"/>
    <x v="0"/>
    <x v="884"/>
    <n v="35.76"/>
    <x v="7"/>
  </r>
  <r>
    <x v="252"/>
    <x v="3"/>
    <x v="2278"/>
    <x v="0"/>
    <x v="696"/>
    <n v="35.76"/>
    <x v="7"/>
  </r>
  <r>
    <x v="252"/>
    <x v="3"/>
    <x v="2279"/>
    <x v="0"/>
    <x v="276"/>
    <n v="30.86"/>
    <x v="3"/>
  </r>
  <r>
    <x v="252"/>
    <x v="3"/>
    <x v="2280"/>
    <x v="0"/>
    <x v="141"/>
    <n v="25.96"/>
    <x v="5"/>
  </r>
  <r>
    <x v="252"/>
    <x v="3"/>
    <x v="2281"/>
    <x v="0"/>
    <x v="206"/>
    <n v="35.76"/>
    <x v="7"/>
  </r>
  <r>
    <x v="252"/>
    <x v="3"/>
    <x v="2282"/>
    <x v="0"/>
    <x v="206"/>
    <n v="35.76"/>
    <x v="1"/>
  </r>
  <r>
    <x v="252"/>
    <x v="3"/>
    <x v="2283"/>
    <x v="0"/>
    <x v="885"/>
    <n v="35.76"/>
    <x v="7"/>
  </r>
  <r>
    <x v="252"/>
    <x v="3"/>
    <x v="2284"/>
    <x v="0"/>
    <x v="886"/>
    <n v="35.76"/>
    <x v="0"/>
  </r>
  <r>
    <x v="252"/>
    <x v="3"/>
    <x v="2285"/>
    <x v="0"/>
    <x v="887"/>
    <n v="35.76"/>
    <x v="1"/>
  </r>
  <r>
    <x v="252"/>
    <x v="3"/>
    <x v="2286"/>
    <x v="0"/>
    <x v="888"/>
    <n v="35.76"/>
    <x v="0"/>
  </r>
  <r>
    <x v="252"/>
    <x v="3"/>
    <x v="2287"/>
    <x v="0"/>
    <x v="888"/>
    <n v="35.76"/>
    <x v="0"/>
  </r>
  <r>
    <x v="253"/>
    <x v="4"/>
    <x v="2288"/>
    <x v="0"/>
    <x v="889"/>
    <n v="35.76"/>
    <x v="0"/>
  </r>
  <r>
    <x v="253"/>
    <x v="4"/>
    <x v="2289"/>
    <x v="0"/>
    <x v="890"/>
    <n v="35.76"/>
    <x v="0"/>
  </r>
  <r>
    <x v="253"/>
    <x v="4"/>
    <x v="2290"/>
    <x v="0"/>
    <x v="691"/>
    <n v="35.76"/>
    <x v="0"/>
  </r>
  <r>
    <x v="253"/>
    <x v="4"/>
    <x v="2291"/>
    <x v="0"/>
    <x v="891"/>
    <n v="35.76"/>
    <x v="1"/>
  </r>
  <r>
    <x v="253"/>
    <x v="4"/>
    <x v="2292"/>
    <x v="0"/>
    <x v="891"/>
    <n v="35.76"/>
    <x v="1"/>
  </r>
  <r>
    <x v="253"/>
    <x v="4"/>
    <x v="2293"/>
    <x v="0"/>
    <x v="891"/>
    <n v="35.76"/>
    <x v="4"/>
  </r>
  <r>
    <x v="253"/>
    <x v="4"/>
    <x v="2294"/>
    <x v="0"/>
    <x v="696"/>
    <n v="35.76"/>
    <x v="7"/>
  </r>
  <r>
    <x v="253"/>
    <x v="4"/>
    <x v="2295"/>
    <x v="0"/>
    <x v="892"/>
    <n v="35.76"/>
    <x v="0"/>
  </r>
  <r>
    <x v="253"/>
    <x v="4"/>
    <x v="2296"/>
    <x v="0"/>
    <x v="893"/>
    <n v="35.76"/>
    <x v="4"/>
  </r>
  <r>
    <x v="254"/>
    <x v="5"/>
    <x v="2297"/>
    <x v="0"/>
    <x v="894"/>
    <n v="30.86"/>
    <x v="3"/>
  </r>
  <r>
    <x v="254"/>
    <x v="5"/>
    <x v="2298"/>
    <x v="0"/>
    <x v="892"/>
    <n v="35.76"/>
    <x v="0"/>
  </r>
  <r>
    <x v="254"/>
    <x v="5"/>
    <x v="2299"/>
    <x v="0"/>
    <x v="895"/>
    <n v="30.86"/>
    <x v="3"/>
  </r>
  <r>
    <x v="254"/>
    <x v="5"/>
    <x v="2300"/>
    <x v="0"/>
    <x v="895"/>
    <n v="30.86"/>
    <x v="3"/>
  </r>
  <r>
    <x v="254"/>
    <x v="5"/>
    <x v="2301"/>
    <x v="0"/>
    <x v="896"/>
    <n v="30.86"/>
    <x v="3"/>
  </r>
  <r>
    <x v="254"/>
    <x v="5"/>
    <x v="2302"/>
    <x v="0"/>
    <x v="892"/>
    <n v="35.76"/>
    <x v="0"/>
  </r>
  <r>
    <x v="255"/>
    <x v="6"/>
    <x v="2303"/>
    <x v="0"/>
    <x v="892"/>
    <n v="35.76"/>
    <x v="0"/>
  </r>
  <r>
    <x v="255"/>
    <x v="6"/>
    <x v="2304"/>
    <x v="0"/>
    <x v="897"/>
    <n v="25.96"/>
    <x v="2"/>
  </r>
  <r>
    <x v="255"/>
    <x v="6"/>
    <x v="2305"/>
    <x v="0"/>
    <x v="898"/>
    <n v="21.06"/>
    <x v="6"/>
  </r>
  <r>
    <x v="255"/>
    <x v="6"/>
    <x v="2306"/>
    <x v="0"/>
    <x v="899"/>
    <n v="35.76"/>
    <x v="7"/>
  </r>
  <r>
    <x v="255"/>
    <x v="6"/>
    <x v="2307"/>
    <x v="0"/>
    <x v="900"/>
    <n v="35.76"/>
    <x v="0"/>
  </r>
  <r>
    <x v="255"/>
    <x v="6"/>
    <x v="2308"/>
    <x v="0"/>
    <x v="900"/>
    <n v="35.76"/>
    <x v="7"/>
  </r>
  <r>
    <x v="255"/>
    <x v="6"/>
    <x v="2309"/>
    <x v="0"/>
    <x v="819"/>
    <n v="30.86"/>
    <x v="3"/>
  </r>
  <r>
    <x v="255"/>
    <x v="6"/>
    <x v="2310"/>
    <x v="0"/>
    <x v="819"/>
    <n v="35.76"/>
    <x v="7"/>
  </r>
  <r>
    <x v="255"/>
    <x v="6"/>
    <x v="2311"/>
    <x v="0"/>
    <x v="507"/>
    <n v="35.76"/>
    <x v="1"/>
  </r>
  <r>
    <x v="255"/>
    <x v="6"/>
    <x v="2312"/>
    <x v="0"/>
    <x v="507"/>
    <n v="35.76"/>
    <x v="1"/>
  </r>
  <r>
    <x v="255"/>
    <x v="6"/>
    <x v="2313"/>
    <x v="0"/>
    <x v="877"/>
    <n v="35.76"/>
    <x v="4"/>
  </r>
  <r>
    <x v="255"/>
    <x v="6"/>
    <x v="2314"/>
    <x v="0"/>
    <x v="877"/>
    <n v="35.76"/>
    <x v="1"/>
  </r>
  <r>
    <x v="255"/>
    <x v="6"/>
    <x v="2315"/>
    <x v="0"/>
    <x v="19"/>
    <n v="35.76"/>
    <x v="0"/>
  </r>
  <r>
    <x v="255"/>
    <x v="6"/>
    <x v="2316"/>
    <x v="0"/>
    <x v="901"/>
    <n v="35.76"/>
    <x v="0"/>
  </r>
  <r>
    <x v="256"/>
    <x v="0"/>
    <x v="2317"/>
    <x v="0"/>
    <x v="902"/>
    <n v="30.86"/>
    <x v="3"/>
  </r>
  <r>
    <x v="256"/>
    <x v="0"/>
    <x v="2318"/>
    <x v="0"/>
    <x v="769"/>
    <n v="30.86"/>
    <x v="3"/>
  </r>
  <r>
    <x v="256"/>
    <x v="0"/>
    <x v="2319"/>
    <x v="0"/>
    <x v="903"/>
    <n v="35.76"/>
    <x v="4"/>
  </r>
  <r>
    <x v="256"/>
    <x v="0"/>
    <x v="2320"/>
    <x v="0"/>
    <x v="904"/>
    <n v="35.76"/>
    <x v="4"/>
  </r>
  <r>
    <x v="256"/>
    <x v="0"/>
    <x v="2321"/>
    <x v="0"/>
    <x v="494"/>
    <n v="35.76"/>
    <x v="0"/>
  </r>
  <r>
    <x v="256"/>
    <x v="0"/>
    <x v="2322"/>
    <x v="0"/>
    <x v="905"/>
    <n v="25.96"/>
    <x v="2"/>
  </r>
  <r>
    <x v="256"/>
    <x v="0"/>
    <x v="2323"/>
    <x v="0"/>
    <x v="851"/>
    <n v="30.86"/>
    <x v="3"/>
  </r>
  <r>
    <x v="256"/>
    <x v="0"/>
    <x v="2324"/>
    <x v="0"/>
    <x v="906"/>
    <n v="35.76"/>
    <x v="0"/>
  </r>
  <r>
    <x v="256"/>
    <x v="0"/>
    <x v="2325"/>
    <x v="0"/>
    <x v="907"/>
    <n v="35.76"/>
    <x v="1"/>
  </r>
  <r>
    <x v="256"/>
    <x v="0"/>
    <x v="2326"/>
    <x v="0"/>
    <x v="287"/>
    <n v="30.86"/>
    <x v="3"/>
  </r>
  <r>
    <x v="256"/>
    <x v="0"/>
    <x v="2327"/>
    <x v="0"/>
    <x v="287"/>
    <n v="30.86"/>
    <x v="3"/>
  </r>
  <r>
    <x v="257"/>
    <x v="1"/>
    <x v="2328"/>
    <x v="0"/>
    <x v="141"/>
    <n v="25.96"/>
    <x v="5"/>
  </r>
  <r>
    <x v="257"/>
    <x v="1"/>
    <x v="2329"/>
    <x v="0"/>
    <x v="908"/>
    <n v="25.96"/>
    <x v="5"/>
  </r>
  <r>
    <x v="257"/>
    <x v="1"/>
    <x v="2330"/>
    <x v="0"/>
    <x v="909"/>
    <n v="35.76"/>
    <x v="1"/>
  </r>
  <r>
    <x v="257"/>
    <x v="1"/>
    <x v="2331"/>
    <x v="0"/>
    <x v="910"/>
    <n v="35.76"/>
    <x v="0"/>
  </r>
  <r>
    <x v="257"/>
    <x v="1"/>
    <x v="2332"/>
    <x v="0"/>
    <x v="302"/>
    <n v="25.96"/>
    <x v="2"/>
  </r>
  <r>
    <x v="257"/>
    <x v="1"/>
    <x v="2333"/>
    <x v="0"/>
    <x v="911"/>
    <n v="35.76"/>
    <x v="7"/>
  </r>
  <r>
    <x v="257"/>
    <x v="1"/>
    <x v="2334"/>
    <x v="0"/>
    <x v="912"/>
    <n v="30.86"/>
    <x v="3"/>
  </r>
  <r>
    <x v="257"/>
    <x v="1"/>
    <x v="2335"/>
    <x v="0"/>
    <x v="913"/>
    <n v="35.76"/>
    <x v="0"/>
  </r>
  <r>
    <x v="257"/>
    <x v="1"/>
    <x v="2336"/>
    <x v="0"/>
    <x v="913"/>
    <n v="35.76"/>
    <x v="0"/>
  </r>
  <r>
    <x v="257"/>
    <x v="1"/>
    <x v="2337"/>
    <x v="0"/>
    <x v="819"/>
    <n v="30.86"/>
    <x v="3"/>
  </r>
  <r>
    <x v="257"/>
    <x v="1"/>
    <x v="2338"/>
    <x v="0"/>
    <x v="914"/>
    <n v="35.76"/>
    <x v="0"/>
  </r>
  <r>
    <x v="257"/>
    <x v="1"/>
    <x v="2339"/>
    <x v="0"/>
    <x v="914"/>
    <n v="35.76"/>
    <x v="0"/>
  </r>
  <r>
    <x v="257"/>
    <x v="1"/>
    <x v="2340"/>
    <x v="0"/>
    <x v="915"/>
    <n v="30.86"/>
    <x v="3"/>
  </r>
  <r>
    <x v="258"/>
    <x v="2"/>
    <x v="2341"/>
    <x v="0"/>
    <x v="916"/>
    <n v="30.86"/>
    <x v="3"/>
  </r>
  <r>
    <x v="258"/>
    <x v="2"/>
    <x v="2342"/>
    <x v="0"/>
    <x v="917"/>
    <n v="30.86"/>
    <x v="3"/>
  </r>
  <r>
    <x v="258"/>
    <x v="2"/>
    <x v="2343"/>
    <x v="0"/>
    <x v="918"/>
    <n v="25.96"/>
    <x v="2"/>
  </r>
  <r>
    <x v="258"/>
    <x v="2"/>
    <x v="2344"/>
    <x v="0"/>
    <x v="919"/>
    <n v="30.86"/>
    <x v="3"/>
  </r>
  <r>
    <x v="258"/>
    <x v="2"/>
    <x v="2345"/>
    <x v="0"/>
    <x v="920"/>
    <n v="35.76"/>
    <x v="0"/>
  </r>
  <r>
    <x v="258"/>
    <x v="2"/>
    <x v="2346"/>
    <x v="0"/>
    <x v="920"/>
    <n v="35.76"/>
    <x v="0"/>
  </r>
  <r>
    <x v="258"/>
    <x v="2"/>
    <x v="2347"/>
    <x v="0"/>
    <x v="921"/>
    <n v="35.76"/>
    <x v="1"/>
  </r>
  <r>
    <x v="258"/>
    <x v="2"/>
    <x v="2348"/>
    <x v="0"/>
    <x v="922"/>
    <n v="35.76"/>
    <x v="1"/>
  </r>
  <r>
    <x v="258"/>
    <x v="2"/>
    <x v="2349"/>
    <x v="0"/>
    <x v="922"/>
    <n v="35.76"/>
    <x v="1"/>
  </r>
  <r>
    <x v="259"/>
    <x v="3"/>
    <x v="2350"/>
    <x v="0"/>
    <x v="769"/>
    <n v="30.86"/>
    <x v="3"/>
  </r>
  <r>
    <x v="259"/>
    <x v="3"/>
    <x v="2351"/>
    <x v="0"/>
    <x v="923"/>
    <n v="30.86"/>
    <x v="3"/>
  </r>
  <r>
    <x v="259"/>
    <x v="3"/>
    <x v="2352"/>
    <x v="0"/>
    <x v="570"/>
    <n v="35.76"/>
    <x v="0"/>
  </r>
  <r>
    <x v="259"/>
    <x v="3"/>
    <x v="2353"/>
    <x v="0"/>
    <x v="924"/>
    <n v="35.76"/>
    <x v="0"/>
  </r>
  <r>
    <x v="259"/>
    <x v="3"/>
    <x v="2354"/>
    <x v="0"/>
    <x v="906"/>
    <n v="35.76"/>
    <x v="0"/>
  </r>
  <r>
    <x v="259"/>
    <x v="3"/>
    <x v="2355"/>
    <x v="0"/>
    <x v="925"/>
    <n v="35.76"/>
    <x v="0"/>
  </r>
  <r>
    <x v="260"/>
    <x v="4"/>
    <x v="2356"/>
    <x v="0"/>
    <x v="696"/>
    <n v="35.76"/>
    <x v="4"/>
  </r>
  <r>
    <x v="260"/>
    <x v="4"/>
    <x v="2357"/>
    <x v="0"/>
    <x v="923"/>
    <n v="30.86"/>
    <x v="3"/>
  </r>
  <r>
    <x v="260"/>
    <x v="4"/>
    <x v="2358"/>
    <x v="0"/>
    <x v="923"/>
    <n v="35.76"/>
    <x v="0"/>
  </r>
  <r>
    <x v="260"/>
    <x v="4"/>
    <x v="2359"/>
    <x v="0"/>
    <x v="926"/>
    <n v="21.06"/>
    <x v="6"/>
  </r>
  <r>
    <x v="260"/>
    <x v="4"/>
    <x v="2360"/>
    <x v="0"/>
    <x v="927"/>
    <n v="35.76"/>
    <x v="0"/>
  </r>
  <r>
    <x v="260"/>
    <x v="4"/>
    <x v="2361"/>
    <x v="0"/>
    <x v="276"/>
    <n v="30.86"/>
    <x v="3"/>
  </r>
  <r>
    <x v="260"/>
    <x v="4"/>
    <x v="2362"/>
    <x v="0"/>
    <x v="928"/>
    <n v="35.76"/>
    <x v="0"/>
  </r>
  <r>
    <x v="260"/>
    <x v="4"/>
    <x v="2363"/>
    <x v="0"/>
    <x v="12"/>
    <n v="35.76"/>
    <x v="4"/>
  </r>
  <r>
    <x v="260"/>
    <x v="4"/>
    <x v="2364"/>
    <x v="0"/>
    <x v="12"/>
    <n v="35.76"/>
    <x v="4"/>
  </r>
  <r>
    <x v="260"/>
    <x v="4"/>
    <x v="2365"/>
    <x v="0"/>
    <x v="206"/>
    <n v="35.76"/>
    <x v="7"/>
  </r>
  <r>
    <x v="260"/>
    <x v="4"/>
    <x v="2366"/>
    <x v="0"/>
    <x v="929"/>
    <n v="35.76"/>
    <x v="7"/>
  </r>
  <r>
    <x v="261"/>
    <x v="5"/>
    <x v="2367"/>
    <x v="0"/>
    <x v="930"/>
    <n v="30.86"/>
    <x v="3"/>
  </r>
  <r>
    <x v="261"/>
    <x v="5"/>
    <x v="2368"/>
    <x v="0"/>
    <x v="906"/>
    <n v="35.76"/>
    <x v="0"/>
  </r>
  <r>
    <x v="261"/>
    <x v="5"/>
    <x v="2369"/>
    <x v="0"/>
    <x v="931"/>
    <n v="35.76"/>
    <x v="7"/>
  </r>
  <r>
    <x v="261"/>
    <x v="5"/>
    <x v="2370"/>
    <x v="0"/>
    <x v="931"/>
    <n v="35.76"/>
    <x v="1"/>
  </r>
  <r>
    <x v="262"/>
    <x v="6"/>
    <x v="2371"/>
    <x v="0"/>
    <x v="141"/>
    <n v="25.96"/>
    <x v="5"/>
  </r>
  <r>
    <x v="262"/>
    <x v="6"/>
    <x v="2372"/>
    <x v="0"/>
    <x v="906"/>
    <n v="35.76"/>
    <x v="0"/>
  </r>
  <r>
    <x v="262"/>
    <x v="6"/>
    <x v="2373"/>
    <x v="0"/>
    <x v="903"/>
    <n v="35.76"/>
    <x v="4"/>
  </r>
  <r>
    <x v="262"/>
    <x v="6"/>
    <x v="2374"/>
    <x v="0"/>
    <x v="932"/>
    <n v="35.76"/>
    <x v="4"/>
  </r>
  <r>
    <x v="262"/>
    <x v="6"/>
    <x v="2375"/>
    <x v="0"/>
    <x v="906"/>
    <n v="35.76"/>
    <x v="0"/>
  </r>
  <r>
    <x v="262"/>
    <x v="6"/>
    <x v="2376"/>
    <x v="0"/>
    <x v="933"/>
    <n v="30.86"/>
    <x v="3"/>
  </r>
  <r>
    <x v="262"/>
    <x v="6"/>
    <x v="2377"/>
    <x v="0"/>
    <x v="934"/>
    <n v="25.96"/>
    <x v="5"/>
  </r>
  <r>
    <x v="262"/>
    <x v="6"/>
    <x v="2378"/>
    <x v="0"/>
    <x v="935"/>
    <n v="35.76"/>
    <x v="1"/>
  </r>
  <r>
    <x v="263"/>
    <x v="0"/>
    <x v="2379"/>
    <x v="0"/>
    <x v="906"/>
    <n v="35.76"/>
    <x v="0"/>
  </r>
  <r>
    <x v="263"/>
    <x v="0"/>
    <x v="2380"/>
    <x v="0"/>
    <x v="696"/>
    <n v="35.76"/>
    <x v="7"/>
  </r>
  <r>
    <x v="263"/>
    <x v="0"/>
    <x v="2381"/>
    <x v="0"/>
    <x v="936"/>
    <n v="35.76"/>
    <x v="0"/>
  </r>
  <r>
    <x v="263"/>
    <x v="0"/>
    <x v="2382"/>
    <x v="0"/>
    <x v="937"/>
    <n v="35.76"/>
    <x v="4"/>
  </r>
  <r>
    <x v="263"/>
    <x v="0"/>
    <x v="2383"/>
    <x v="0"/>
    <x v="938"/>
    <n v="35.76"/>
    <x v="1"/>
  </r>
  <r>
    <x v="263"/>
    <x v="0"/>
    <x v="2384"/>
    <x v="0"/>
    <x v="938"/>
    <n v="35.76"/>
    <x v="0"/>
  </r>
  <r>
    <x v="264"/>
    <x v="1"/>
    <x v="2385"/>
    <x v="0"/>
    <x v="543"/>
    <n v="25.96"/>
    <x v="5"/>
  </r>
  <r>
    <x v="264"/>
    <x v="1"/>
    <x v="2386"/>
    <x v="0"/>
    <x v="543"/>
    <n v="25.96"/>
    <x v="5"/>
  </r>
  <r>
    <x v="264"/>
    <x v="1"/>
    <x v="2387"/>
    <x v="0"/>
    <x v="683"/>
    <n v="35.76"/>
    <x v="0"/>
  </r>
  <r>
    <x v="264"/>
    <x v="1"/>
    <x v="2388"/>
    <x v="0"/>
    <x v="172"/>
    <n v="35.76"/>
    <x v="7"/>
  </r>
  <r>
    <x v="264"/>
    <x v="1"/>
    <x v="2389"/>
    <x v="0"/>
    <x v="939"/>
    <n v="25.96"/>
    <x v="2"/>
  </r>
  <r>
    <x v="264"/>
    <x v="1"/>
    <x v="2390"/>
    <x v="0"/>
    <x v="939"/>
    <n v="25.96"/>
    <x v="2"/>
  </r>
  <r>
    <x v="264"/>
    <x v="1"/>
    <x v="2391"/>
    <x v="0"/>
    <x v="494"/>
    <n v="35.76"/>
    <x v="1"/>
  </r>
  <r>
    <x v="264"/>
    <x v="1"/>
    <x v="2392"/>
    <x v="0"/>
    <x v="940"/>
    <n v="35.76"/>
    <x v="0"/>
  </r>
  <r>
    <x v="265"/>
    <x v="2"/>
    <x v="2393"/>
    <x v="0"/>
    <x v="570"/>
    <n v="35.76"/>
    <x v="0"/>
  </r>
  <r>
    <x v="266"/>
    <x v="3"/>
    <x v="2394"/>
    <x v="0"/>
    <x v="696"/>
    <n v="35.76"/>
    <x v="7"/>
  </r>
  <r>
    <x v="266"/>
    <x v="3"/>
    <x v="2395"/>
    <x v="0"/>
    <x v="941"/>
    <n v="35.76"/>
    <x v="0"/>
  </r>
  <r>
    <x v="266"/>
    <x v="3"/>
    <x v="2396"/>
    <x v="0"/>
    <x v="276"/>
    <n v="30.86"/>
    <x v="3"/>
  </r>
  <r>
    <x v="266"/>
    <x v="3"/>
    <x v="2397"/>
    <x v="0"/>
    <x v="141"/>
    <n v="25.96"/>
    <x v="5"/>
  </r>
  <r>
    <x v="266"/>
    <x v="3"/>
    <x v="2398"/>
    <x v="0"/>
    <x v="942"/>
    <n v="35.76"/>
    <x v="0"/>
  </r>
  <r>
    <x v="266"/>
    <x v="3"/>
    <x v="2399"/>
    <x v="0"/>
    <x v="943"/>
    <n v="35.76"/>
    <x v="0"/>
  </r>
  <r>
    <x v="266"/>
    <x v="3"/>
    <x v="2400"/>
    <x v="0"/>
    <x v="871"/>
    <n v="35.76"/>
    <x v="1"/>
  </r>
  <r>
    <x v="266"/>
    <x v="3"/>
    <x v="2401"/>
    <x v="0"/>
    <x v="944"/>
    <n v="30.86"/>
    <x v="3"/>
  </r>
  <r>
    <x v="266"/>
    <x v="3"/>
    <x v="2402"/>
    <x v="0"/>
    <x v="945"/>
    <n v="35.76"/>
    <x v="1"/>
  </r>
  <r>
    <x v="266"/>
    <x v="3"/>
    <x v="2403"/>
    <x v="0"/>
    <x v="637"/>
    <n v="35.76"/>
    <x v="1"/>
  </r>
  <r>
    <x v="266"/>
    <x v="3"/>
    <x v="2404"/>
    <x v="0"/>
    <x v="637"/>
    <n v="35.76"/>
    <x v="7"/>
  </r>
  <r>
    <x v="267"/>
    <x v="4"/>
    <x v="2405"/>
    <x v="0"/>
    <x v="570"/>
    <n v="35.76"/>
    <x v="0"/>
  </r>
  <r>
    <x v="267"/>
    <x v="4"/>
    <x v="2406"/>
    <x v="0"/>
    <x v="903"/>
    <n v="35.76"/>
    <x v="4"/>
  </r>
  <r>
    <x v="267"/>
    <x v="4"/>
    <x v="2407"/>
    <x v="0"/>
    <x v="946"/>
    <n v="25.96"/>
    <x v="2"/>
  </r>
  <r>
    <x v="267"/>
    <x v="4"/>
    <x v="2408"/>
    <x v="0"/>
    <x v="947"/>
    <n v="35.76"/>
    <x v="4"/>
  </r>
  <r>
    <x v="267"/>
    <x v="4"/>
    <x v="2409"/>
    <x v="0"/>
    <x v="947"/>
    <n v="35.76"/>
    <x v="4"/>
  </r>
  <r>
    <x v="267"/>
    <x v="4"/>
    <x v="2410"/>
    <x v="0"/>
    <x v="948"/>
    <n v="35.76"/>
    <x v="0"/>
  </r>
  <r>
    <x v="267"/>
    <x v="4"/>
    <x v="2411"/>
    <x v="0"/>
    <x v="949"/>
    <n v="35.76"/>
    <x v="0"/>
  </r>
  <r>
    <x v="267"/>
    <x v="4"/>
    <x v="2412"/>
    <x v="0"/>
    <x v="950"/>
    <n v="25.96"/>
    <x v="2"/>
  </r>
  <r>
    <x v="267"/>
    <x v="4"/>
    <x v="2413"/>
    <x v="0"/>
    <x v="950"/>
    <n v="30.86"/>
    <x v="3"/>
  </r>
  <r>
    <x v="267"/>
    <x v="4"/>
    <x v="2414"/>
    <x v="0"/>
    <x v="951"/>
    <n v="35.76"/>
    <x v="4"/>
  </r>
  <r>
    <x v="268"/>
    <x v="6"/>
    <x v="2415"/>
    <x v="0"/>
    <x v="952"/>
    <n v="35.76"/>
    <x v="7"/>
  </r>
  <r>
    <x v="268"/>
    <x v="6"/>
    <x v="2416"/>
    <x v="0"/>
    <x v="276"/>
    <n v="30.86"/>
    <x v="3"/>
  </r>
  <r>
    <x v="268"/>
    <x v="6"/>
    <x v="2417"/>
    <x v="0"/>
    <x v="12"/>
    <n v="30.86"/>
    <x v="3"/>
  </r>
  <r>
    <x v="268"/>
    <x v="6"/>
    <x v="2418"/>
    <x v="0"/>
    <x v="19"/>
    <n v="35.76"/>
    <x v="0"/>
  </r>
  <r>
    <x v="268"/>
    <x v="6"/>
    <x v="2419"/>
    <x v="0"/>
    <x v="507"/>
    <n v="35.76"/>
    <x v="0"/>
  </r>
  <r>
    <x v="268"/>
    <x v="6"/>
    <x v="2420"/>
    <x v="0"/>
    <x v="748"/>
    <n v="35.76"/>
    <x v="7"/>
  </r>
  <r>
    <x v="269"/>
    <x v="0"/>
    <x v="2421"/>
    <x v="0"/>
    <x v="696"/>
    <n v="35.76"/>
    <x v="4"/>
  </r>
  <r>
    <x v="269"/>
    <x v="0"/>
    <x v="2422"/>
    <x v="0"/>
    <x v="570"/>
    <n v="35.76"/>
    <x v="0"/>
  </r>
  <r>
    <x v="269"/>
    <x v="0"/>
    <x v="2423"/>
    <x v="0"/>
    <x v="385"/>
    <n v="30.86"/>
    <x v="3"/>
  </r>
  <r>
    <x v="269"/>
    <x v="0"/>
    <x v="2424"/>
    <x v="0"/>
    <x v="385"/>
    <n v="30.86"/>
    <x v="3"/>
  </r>
  <r>
    <x v="269"/>
    <x v="0"/>
    <x v="2425"/>
    <x v="0"/>
    <x v="953"/>
    <n v="30.86"/>
    <x v="3"/>
  </r>
  <r>
    <x v="269"/>
    <x v="0"/>
    <x v="2426"/>
    <x v="0"/>
    <x v="954"/>
    <n v="35.76"/>
    <x v="0"/>
  </r>
  <r>
    <x v="269"/>
    <x v="0"/>
    <x v="2427"/>
    <x v="0"/>
    <x v="955"/>
    <n v="35.76"/>
    <x v="4"/>
  </r>
  <r>
    <x v="270"/>
    <x v="1"/>
    <x v="2428"/>
    <x v="0"/>
    <x v="570"/>
    <n v="35.76"/>
    <x v="4"/>
  </r>
  <r>
    <x v="270"/>
    <x v="1"/>
    <x v="2429"/>
    <x v="0"/>
    <x v="956"/>
    <n v="25.96"/>
    <x v="2"/>
  </r>
  <r>
    <x v="270"/>
    <x v="1"/>
    <x v="2430"/>
    <x v="0"/>
    <x v="956"/>
    <n v="35.76"/>
    <x v="1"/>
  </r>
  <r>
    <x v="270"/>
    <x v="1"/>
    <x v="2431"/>
    <x v="0"/>
    <x v="494"/>
    <n v="35.76"/>
    <x v="4"/>
  </r>
  <r>
    <x v="270"/>
    <x v="1"/>
    <x v="2432"/>
    <x v="0"/>
    <x v="97"/>
    <n v="30.86"/>
    <x v="3"/>
  </r>
  <r>
    <x v="270"/>
    <x v="1"/>
    <x v="2433"/>
    <x v="0"/>
    <x v="957"/>
    <n v="30.86"/>
    <x v="3"/>
  </r>
  <r>
    <x v="271"/>
    <x v="2"/>
    <x v="2434"/>
    <x v="0"/>
    <x v="40"/>
    <n v="30.86"/>
    <x v="3"/>
  </r>
  <r>
    <x v="271"/>
    <x v="2"/>
    <x v="2435"/>
    <x v="0"/>
    <x v="40"/>
    <n v="30.86"/>
    <x v="3"/>
  </r>
  <r>
    <x v="271"/>
    <x v="2"/>
    <x v="2436"/>
    <x v="0"/>
    <x v="385"/>
    <n v="30.86"/>
    <x v="3"/>
  </r>
  <r>
    <x v="271"/>
    <x v="2"/>
    <x v="2437"/>
    <x v="0"/>
    <x v="958"/>
    <n v="30.86"/>
    <x v="3"/>
  </r>
  <r>
    <x v="271"/>
    <x v="2"/>
    <x v="2438"/>
    <x v="0"/>
    <x v="959"/>
    <n v="35.76"/>
    <x v="4"/>
  </r>
  <r>
    <x v="271"/>
    <x v="2"/>
    <x v="2439"/>
    <x v="0"/>
    <x v="959"/>
    <n v="35.76"/>
    <x v="4"/>
  </r>
  <r>
    <x v="271"/>
    <x v="2"/>
    <x v="2440"/>
    <x v="0"/>
    <x v="960"/>
    <n v="35.76"/>
    <x v="7"/>
  </r>
  <r>
    <x v="271"/>
    <x v="2"/>
    <x v="2441"/>
    <x v="0"/>
    <x v="961"/>
    <n v="35.76"/>
    <x v="0"/>
  </r>
  <r>
    <x v="271"/>
    <x v="2"/>
    <x v="2442"/>
    <x v="0"/>
    <x v="962"/>
    <n v="35.76"/>
    <x v="0"/>
  </r>
  <r>
    <x v="271"/>
    <x v="2"/>
    <x v="2443"/>
    <x v="0"/>
    <x v="963"/>
    <n v="35.76"/>
    <x v="0"/>
  </r>
  <r>
    <x v="271"/>
    <x v="2"/>
    <x v="2444"/>
    <x v="0"/>
    <x v="964"/>
    <n v="35.76"/>
    <x v="0"/>
  </r>
  <r>
    <x v="271"/>
    <x v="2"/>
    <x v="2445"/>
    <x v="0"/>
    <x v="965"/>
    <n v="30.86"/>
    <x v="3"/>
  </r>
  <r>
    <x v="271"/>
    <x v="2"/>
    <x v="2446"/>
    <x v="0"/>
    <x v="965"/>
    <n v="30.86"/>
    <x v="3"/>
  </r>
  <r>
    <x v="271"/>
    <x v="2"/>
    <x v="2447"/>
    <x v="0"/>
    <x v="966"/>
    <n v="30.86"/>
    <x v="3"/>
  </r>
  <r>
    <x v="272"/>
    <x v="3"/>
    <x v="2448"/>
    <x v="0"/>
    <x v="696"/>
    <n v="35.76"/>
    <x v="0"/>
  </r>
  <r>
    <x v="272"/>
    <x v="3"/>
    <x v="2449"/>
    <x v="0"/>
    <x v="967"/>
    <n v="25.96"/>
    <x v="2"/>
  </r>
  <r>
    <x v="272"/>
    <x v="3"/>
    <x v="2450"/>
    <x v="0"/>
    <x v="276"/>
    <n v="30.86"/>
    <x v="3"/>
  </r>
  <r>
    <x v="272"/>
    <x v="3"/>
    <x v="2451"/>
    <x v="0"/>
    <x v="968"/>
    <n v="35.76"/>
    <x v="4"/>
  </r>
  <r>
    <x v="272"/>
    <x v="3"/>
    <x v="2452"/>
    <x v="0"/>
    <x v="141"/>
    <n v="25.96"/>
    <x v="5"/>
  </r>
  <r>
    <x v="272"/>
    <x v="3"/>
    <x v="2453"/>
    <x v="0"/>
    <x v="969"/>
    <n v="21.06"/>
    <x v="6"/>
  </r>
  <r>
    <x v="272"/>
    <x v="3"/>
    <x v="2454"/>
    <x v="0"/>
    <x v="970"/>
    <n v="35.76"/>
    <x v="7"/>
  </r>
  <r>
    <x v="272"/>
    <x v="3"/>
    <x v="2455"/>
    <x v="0"/>
    <x v="971"/>
    <n v="25.96"/>
    <x v="2"/>
  </r>
  <r>
    <x v="272"/>
    <x v="3"/>
    <x v="2456"/>
    <x v="0"/>
    <x v="972"/>
    <n v="35.76"/>
    <x v="7"/>
  </r>
  <r>
    <x v="273"/>
    <x v="4"/>
    <x v="2457"/>
    <x v="0"/>
    <x v="570"/>
    <n v="35.76"/>
    <x v="0"/>
  </r>
  <r>
    <x v="273"/>
    <x v="4"/>
    <x v="2458"/>
    <x v="0"/>
    <x v="276"/>
    <n v="30.86"/>
    <x v="3"/>
  </r>
  <r>
    <x v="273"/>
    <x v="4"/>
    <x v="2459"/>
    <x v="0"/>
    <x v="276"/>
    <n v="30.86"/>
    <x v="3"/>
  </r>
  <r>
    <x v="273"/>
    <x v="4"/>
    <x v="2460"/>
    <x v="0"/>
    <x v="973"/>
    <n v="25.96"/>
    <x v="2"/>
  </r>
  <r>
    <x v="273"/>
    <x v="4"/>
    <x v="2461"/>
    <x v="0"/>
    <x v="974"/>
    <n v="30.86"/>
    <x v="3"/>
  </r>
  <r>
    <x v="273"/>
    <x v="4"/>
    <x v="2462"/>
    <x v="0"/>
    <x v="819"/>
    <n v="30.86"/>
    <x v="3"/>
  </r>
  <r>
    <x v="273"/>
    <x v="4"/>
    <x v="2463"/>
    <x v="0"/>
    <x v="819"/>
    <n v="30.86"/>
    <x v="3"/>
  </r>
  <r>
    <x v="273"/>
    <x v="4"/>
    <x v="2464"/>
    <x v="0"/>
    <x v="975"/>
    <n v="35.76"/>
    <x v="4"/>
  </r>
  <r>
    <x v="273"/>
    <x v="4"/>
    <x v="2465"/>
    <x v="0"/>
    <x v="685"/>
    <n v="35.76"/>
    <x v="0"/>
  </r>
  <r>
    <x v="273"/>
    <x v="4"/>
    <x v="2466"/>
    <x v="0"/>
    <x v="685"/>
    <n v="35.76"/>
    <x v="7"/>
  </r>
  <r>
    <x v="273"/>
    <x v="4"/>
    <x v="2467"/>
    <x v="0"/>
    <x v="685"/>
    <n v="35.76"/>
    <x v="1"/>
  </r>
  <r>
    <x v="273"/>
    <x v="4"/>
    <x v="2468"/>
    <x v="0"/>
    <x v="976"/>
    <n v="30.86"/>
    <x v="3"/>
  </r>
  <r>
    <x v="273"/>
    <x v="4"/>
    <x v="2469"/>
    <x v="0"/>
    <x v="206"/>
    <n v="35.76"/>
    <x v="7"/>
  </r>
  <r>
    <x v="274"/>
    <x v="5"/>
    <x v="2470"/>
    <x v="0"/>
    <x v="141"/>
    <n v="25.96"/>
    <x v="5"/>
  </r>
  <r>
    <x v="274"/>
    <x v="5"/>
    <x v="2471"/>
    <x v="0"/>
    <x v="977"/>
    <n v="35.76"/>
    <x v="0"/>
  </r>
  <r>
    <x v="274"/>
    <x v="5"/>
    <x v="2472"/>
    <x v="0"/>
    <x v="978"/>
    <n v="35.76"/>
    <x v="0"/>
  </r>
  <r>
    <x v="274"/>
    <x v="5"/>
    <x v="2473"/>
    <x v="0"/>
    <x v="979"/>
    <n v="25.96"/>
    <x v="2"/>
  </r>
  <r>
    <x v="274"/>
    <x v="5"/>
    <x v="2474"/>
    <x v="0"/>
    <x v="276"/>
    <n v="30.86"/>
    <x v="3"/>
  </r>
  <r>
    <x v="274"/>
    <x v="5"/>
    <x v="2475"/>
    <x v="0"/>
    <x v="276"/>
    <n v="30.86"/>
    <x v="3"/>
  </r>
  <r>
    <x v="274"/>
    <x v="5"/>
    <x v="2476"/>
    <x v="0"/>
    <x v="980"/>
    <n v="30.86"/>
    <x v="3"/>
  </r>
  <r>
    <x v="274"/>
    <x v="5"/>
    <x v="2477"/>
    <x v="0"/>
    <x v="783"/>
    <n v="35.76"/>
    <x v="1"/>
  </r>
  <r>
    <x v="274"/>
    <x v="5"/>
    <x v="2478"/>
    <x v="0"/>
    <x v="981"/>
    <n v="30.86"/>
    <x v="3"/>
  </r>
  <r>
    <x v="274"/>
    <x v="5"/>
    <x v="2479"/>
    <x v="0"/>
    <x v="982"/>
    <n v="35.76"/>
    <x v="1"/>
  </r>
  <r>
    <x v="275"/>
    <x v="6"/>
    <x v="2480"/>
    <x v="0"/>
    <x v="983"/>
    <n v="25.96"/>
    <x v="2"/>
  </r>
  <r>
    <x v="275"/>
    <x v="6"/>
    <x v="2481"/>
    <x v="0"/>
    <x v="141"/>
    <n v="25.96"/>
    <x v="5"/>
  </r>
  <r>
    <x v="275"/>
    <x v="6"/>
    <x v="2482"/>
    <x v="0"/>
    <x v="276"/>
    <n v="30.86"/>
    <x v="3"/>
  </r>
  <r>
    <x v="275"/>
    <x v="6"/>
    <x v="2483"/>
    <x v="0"/>
    <x v="276"/>
    <n v="30.86"/>
    <x v="3"/>
  </r>
  <r>
    <x v="275"/>
    <x v="6"/>
    <x v="2484"/>
    <x v="0"/>
    <x v="579"/>
    <n v="35.76"/>
    <x v="0"/>
  </r>
  <r>
    <x v="275"/>
    <x v="6"/>
    <x v="2485"/>
    <x v="0"/>
    <x v="984"/>
    <n v="25.96"/>
    <x v="2"/>
  </r>
  <r>
    <x v="275"/>
    <x v="6"/>
    <x v="2486"/>
    <x v="0"/>
    <x v="985"/>
    <n v="35.76"/>
    <x v="7"/>
  </r>
  <r>
    <x v="275"/>
    <x v="6"/>
    <x v="2487"/>
    <x v="0"/>
    <x v="906"/>
    <n v="35.76"/>
    <x v="0"/>
  </r>
  <r>
    <x v="275"/>
    <x v="6"/>
    <x v="2488"/>
    <x v="0"/>
    <x v="771"/>
    <n v="35.76"/>
    <x v="0"/>
  </r>
  <r>
    <x v="276"/>
    <x v="0"/>
    <x v="2489"/>
    <x v="0"/>
    <x v="906"/>
    <n v="35.76"/>
    <x v="0"/>
  </r>
  <r>
    <x v="276"/>
    <x v="0"/>
    <x v="2490"/>
    <x v="0"/>
    <x v="938"/>
    <n v="35.76"/>
    <x v="1"/>
  </r>
  <r>
    <x v="276"/>
    <x v="0"/>
    <x v="2491"/>
    <x v="0"/>
    <x v="731"/>
    <n v="35.76"/>
    <x v="0"/>
  </r>
  <r>
    <x v="276"/>
    <x v="0"/>
    <x v="2492"/>
    <x v="0"/>
    <x v="731"/>
    <n v="35.76"/>
    <x v="1"/>
  </r>
  <r>
    <x v="277"/>
    <x v="1"/>
    <x v="2493"/>
    <x v="0"/>
    <x v="986"/>
    <n v="30.86"/>
    <x v="3"/>
  </r>
  <r>
    <x v="277"/>
    <x v="1"/>
    <x v="2494"/>
    <x v="0"/>
    <x v="987"/>
    <n v="25.96"/>
    <x v="2"/>
  </r>
  <r>
    <x v="277"/>
    <x v="1"/>
    <x v="2495"/>
    <x v="0"/>
    <x v="409"/>
    <n v="35.76"/>
    <x v="0"/>
  </r>
  <r>
    <x v="277"/>
    <x v="1"/>
    <x v="2496"/>
    <x v="0"/>
    <x v="206"/>
    <n v="35.76"/>
    <x v="7"/>
  </r>
  <r>
    <x v="277"/>
    <x v="1"/>
    <x v="2497"/>
    <x v="0"/>
    <x v="988"/>
    <n v="30.86"/>
    <x v="3"/>
  </r>
  <r>
    <x v="277"/>
    <x v="1"/>
    <x v="2498"/>
    <x v="0"/>
    <x v="989"/>
    <n v="25.96"/>
    <x v="2"/>
  </r>
  <r>
    <x v="278"/>
    <x v="2"/>
    <x v="2499"/>
    <x v="0"/>
    <x v="141"/>
    <n v="25.96"/>
    <x v="5"/>
  </r>
  <r>
    <x v="278"/>
    <x v="2"/>
    <x v="2500"/>
    <x v="0"/>
    <x v="787"/>
    <n v="35.76"/>
    <x v="0"/>
  </r>
  <r>
    <x v="278"/>
    <x v="2"/>
    <x v="2501"/>
    <x v="0"/>
    <x v="787"/>
    <n v="35.76"/>
    <x v="7"/>
  </r>
  <r>
    <x v="278"/>
    <x v="2"/>
    <x v="2502"/>
    <x v="0"/>
    <x v="990"/>
    <n v="25.96"/>
    <x v="5"/>
  </r>
  <r>
    <x v="278"/>
    <x v="2"/>
    <x v="2503"/>
    <x v="0"/>
    <x v="991"/>
    <n v="30.86"/>
    <x v="3"/>
  </r>
  <r>
    <x v="278"/>
    <x v="2"/>
    <x v="2504"/>
    <x v="0"/>
    <x v="991"/>
    <n v="30.86"/>
    <x v="3"/>
  </r>
  <r>
    <x v="278"/>
    <x v="2"/>
    <x v="2505"/>
    <x v="0"/>
    <x v="206"/>
    <n v="35.76"/>
    <x v="7"/>
  </r>
  <r>
    <x v="278"/>
    <x v="2"/>
    <x v="2506"/>
    <x v="0"/>
    <x v="992"/>
    <n v="21.06"/>
    <x v="6"/>
  </r>
  <r>
    <x v="278"/>
    <x v="2"/>
    <x v="2507"/>
    <x v="0"/>
    <x v="97"/>
    <n v="35.76"/>
    <x v="7"/>
  </r>
  <r>
    <x v="278"/>
    <x v="2"/>
    <x v="2508"/>
    <x v="0"/>
    <x v="993"/>
    <n v="30.86"/>
    <x v="3"/>
  </r>
  <r>
    <x v="278"/>
    <x v="2"/>
    <x v="2509"/>
    <x v="0"/>
    <x v="976"/>
    <n v="30.86"/>
    <x v="3"/>
  </r>
  <r>
    <x v="279"/>
    <x v="3"/>
    <x v="2510"/>
    <x v="0"/>
    <x v="994"/>
    <n v="35.76"/>
    <x v="7"/>
  </r>
  <r>
    <x v="279"/>
    <x v="3"/>
    <x v="2511"/>
    <x v="0"/>
    <x v="995"/>
    <n v="25.96"/>
    <x v="2"/>
  </r>
  <r>
    <x v="279"/>
    <x v="3"/>
    <x v="2512"/>
    <x v="0"/>
    <x v="276"/>
    <n v="30.86"/>
    <x v="3"/>
  </r>
  <r>
    <x v="279"/>
    <x v="3"/>
    <x v="2513"/>
    <x v="0"/>
    <x v="802"/>
    <n v="25.96"/>
    <x v="5"/>
  </r>
  <r>
    <x v="279"/>
    <x v="3"/>
    <x v="2514"/>
    <x v="0"/>
    <x v="996"/>
    <n v="35.76"/>
    <x v="4"/>
  </r>
  <r>
    <x v="280"/>
    <x v="4"/>
    <x v="2515"/>
    <x v="0"/>
    <x v="141"/>
    <n v="25.96"/>
    <x v="5"/>
  </r>
  <r>
    <x v="280"/>
    <x v="4"/>
    <x v="2516"/>
    <x v="0"/>
    <x v="938"/>
    <n v="35.76"/>
    <x v="1"/>
  </r>
  <r>
    <x v="281"/>
    <x v="5"/>
    <x v="2517"/>
    <x v="0"/>
    <x v="570"/>
    <n v="35.76"/>
    <x v="0"/>
  </r>
  <r>
    <x v="281"/>
    <x v="5"/>
    <x v="2518"/>
    <x v="0"/>
    <x v="141"/>
    <n v="25.96"/>
    <x v="5"/>
  </r>
  <r>
    <x v="281"/>
    <x v="5"/>
    <x v="2519"/>
    <x v="0"/>
    <x v="997"/>
    <n v="35.76"/>
    <x v="1"/>
  </r>
  <r>
    <x v="281"/>
    <x v="5"/>
    <x v="2520"/>
    <x v="0"/>
    <x v="998"/>
    <n v="21.06"/>
    <x v="6"/>
  </r>
  <r>
    <x v="281"/>
    <x v="5"/>
    <x v="2521"/>
    <x v="0"/>
    <x v="999"/>
    <n v="35.76"/>
    <x v="4"/>
  </r>
  <r>
    <x v="281"/>
    <x v="5"/>
    <x v="2522"/>
    <x v="0"/>
    <x v="690"/>
    <n v="35.76"/>
    <x v="0"/>
  </r>
  <r>
    <x v="281"/>
    <x v="5"/>
    <x v="2523"/>
    <x v="0"/>
    <x v="1000"/>
    <n v="35.76"/>
    <x v="0"/>
  </r>
  <r>
    <x v="282"/>
    <x v="6"/>
    <x v="2524"/>
    <x v="0"/>
    <x v="1001"/>
    <n v="30.86"/>
    <x v="3"/>
  </r>
  <r>
    <x v="282"/>
    <x v="6"/>
    <x v="2525"/>
    <x v="0"/>
    <x v="1002"/>
    <n v="25.96"/>
    <x v="2"/>
  </r>
  <r>
    <x v="282"/>
    <x v="6"/>
    <x v="2526"/>
    <x v="0"/>
    <x v="1003"/>
    <n v="21.06"/>
    <x v="6"/>
  </r>
  <r>
    <x v="282"/>
    <x v="6"/>
    <x v="2527"/>
    <x v="0"/>
    <x v="1003"/>
    <n v="21.06"/>
    <x v="6"/>
  </r>
  <r>
    <x v="282"/>
    <x v="6"/>
    <x v="2528"/>
    <x v="0"/>
    <x v="1003"/>
    <n v="25.96"/>
    <x v="2"/>
  </r>
  <r>
    <x v="282"/>
    <x v="6"/>
    <x v="2529"/>
    <x v="0"/>
    <x v="922"/>
    <n v="35.76"/>
    <x v="4"/>
  </r>
  <r>
    <x v="282"/>
    <x v="6"/>
    <x v="2530"/>
    <x v="0"/>
    <x v="922"/>
    <n v="35.76"/>
    <x v="4"/>
  </r>
  <r>
    <x v="283"/>
    <x v="0"/>
    <x v="2531"/>
    <x v="0"/>
    <x v="1004"/>
    <n v="25.96"/>
    <x v="2"/>
  </r>
  <r>
    <x v="283"/>
    <x v="0"/>
    <x v="2532"/>
    <x v="0"/>
    <x v="1003"/>
    <n v="25.96"/>
    <x v="2"/>
  </r>
  <r>
    <x v="283"/>
    <x v="0"/>
    <x v="2533"/>
    <x v="0"/>
    <x v="1003"/>
    <n v="35.76"/>
    <x v="1"/>
  </r>
  <r>
    <x v="283"/>
    <x v="0"/>
    <x v="2534"/>
    <x v="0"/>
    <x v="1005"/>
    <n v="35.76"/>
    <x v="1"/>
  </r>
  <r>
    <x v="283"/>
    <x v="0"/>
    <x v="2535"/>
    <x v="0"/>
    <x v="494"/>
    <n v="35.76"/>
    <x v="4"/>
  </r>
  <r>
    <x v="283"/>
    <x v="0"/>
    <x v="2536"/>
    <x v="0"/>
    <x v="876"/>
    <n v="35.76"/>
    <x v="7"/>
  </r>
  <r>
    <x v="283"/>
    <x v="0"/>
    <x v="2537"/>
    <x v="0"/>
    <x v="876"/>
    <n v="35.76"/>
    <x v="7"/>
  </r>
  <r>
    <x v="283"/>
    <x v="0"/>
    <x v="2538"/>
    <x v="0"/>
    <x v="748"/>
    <n v="35.76"/>
    <x v="0"/>
  </r>
  <r>
    <x v="284"/>
    <x v="1"/>
    <x v="2539"/>
    <x v="0"/>
    <x v="1006"/>
    <n v="30.86"/>
    <x v="3"/>
  </r>
  <r>
    <x v="284"/>
    <x v="1"/>
    <x v="2540"/>
    <x v="0"/>
    <x v="1007"/>
    <n v="35.76"/>
    <x v="4"/>
  </r>
  <r>
    <x v="284"/>
    <x v="1"/>
    <x v="2541"/>
    <x v="0"/>
    <x v="664"/>
    <n v="35.76"/>
    <x v="7"/>
  </r>
  <r>
    <x v="284"/>
    <x v="1"/>
    <x v="2542"/>
    <x v="0"/>
    <x v="1008"/>
    <n v="25.96"/>
    <x v="2"/>
  </r>
  <r>
    <x v="284"/>
    <x v="1"/>
    <x v="2543"/>
    <x v="0"/>
    <x v="1008"/>
    <n v="35.76"/>
    <x v="0"/>
  </r>
  <r>
    <x v="284"/>
    <x v="1"/>
    <x v="2544"/>
    <x v="0"/>
    <x v="612"/>
    <n v="35.76"/>
    <x v="4"/>
  </r>
  <r>
    <x v="284"/>
    <x v="1"/>
    <x v="2545"/>
    <x v="0"/>
    <x v="40"/>
    <n v="25.96"/>
    <x v="2"/>
  </r>
  <r>
    <x v="284"/>
    <x v="1"/>
    <x v="2546"/>
    <x v="0"/>
    <x v="40"/>
    <n v="25.96"/>
    <x v="2"/>
  </r>
  <r>
    <x v="284"/>
    <x v="1"/>
    <x v="2547"/>
    <x v="0"/>
    <x v="1003"/>
    <n v="25.96"/>
    <x v="2"/>
  </r>
  <r>
    <x v="284"/>
    <x v="1"/>
    <x v="2548"/>
    <x v="0"/>
    <x v="1003"/>
    <n v="25.96"/>
    <x v="2"/>
  </r>
  <r>
    <x v="284"/>
    <x v="1"/>
    <x v="2549"/>
    <x v="0"/>
    <x v="1009"/>
    <n v="30.86"/>
    <x v="3"/>
  </r>
  <r>
    <x v="285"/>
    <x v="2"/>
    <x v="2550"/>
    <x v="0"/>
    <x v="570"/>
    <n v="35.76"/>
    <x v="0"/>
  </r>
  <r>
    <x v="285"/>
    <x v="2"/>
    <x v="2551"/>
    <x v="0"/>
    <x v="570"/>
    <n v="35.76"/>
    <x v="4"/>
  </r>
  <r>
    <x v="285"/>
    <x v="2"/>
    <x v="2552"/>
    <x v="0"/>
    <x v="798"/>
    <n v="35.76"/>
    <x v="1"/>
  </r>
  <r>
    <x v="286"/>
    <x v="3"/>
    <x v="2553"/>
    <x v="0"/>
    <x v="570"/>
    <n v="35.76"/>
    <x v="0"/>
  </r>
  <r>
    <x v="286"/>
    <x v="3"/>
    <x v="2554"/>
    <x v="0"/>
    <x v="1010"/>
    <n v="35.76"/>
    <x v="1"/>
  </r>
  <r>
    <x v="286"/>
    <x v="3"/>
    <x v="2555"/>
    <x v="0"/>
    <x v="714"/>
    <n v="35.76"/>
    <x v="4"/>
  </r>
  <r>
    <x v="286"/>
    <x v="3"/>
    <x v="2556"/>
    <x v="0"/>
    <x v="1011"/>
    <n v="30.86"/>
    <x v="3"/>
  </r>
  <r>
    <x v="286"/>
    <x v="3"/>
    <x v="2557"/>
    <x v="0"/>
    <x v="886"/>
    <n v="35.76"/>
    <x v="0"/>
  </r>
  <r>
    <x v="286"/>
    <x v="3"/>
    <x v="2558"/>
    <x v="0"/>
    <x v="896"/>
    <n v="35.76"/>
    <x v="1"/>
  </r>
  <r>
    <x v="286"/>
    <x v="3"/>
    <x v="2559"/>
    <x v="0"/>
    <x v="12"/>
    <n v="35.76"/>
    <x v="0"/>
  </r>
  <r>
    <x v="286"/>
    <x v="3"/>
    <x v="2560"/>
    <x v="0"/>
    <x v="12"/>
    <n v="30.86"/>
    <x v="3"/>
  </r>
  <r>
    <x v="287"/>
    <x v="4"/>
    <x v="2561"/>
    <x v="0"/>
    <x v="1012"/>
    <n v="25.96"/>
    <x v="5"/>
  </r>
  <r>
    <x v="287"/>
    <x v="4"/>
    <x v="2562"/>
    <x v="0"/>
    <x v="1013"/>
    <n v="35.76"/>
    <x v="7"/>
  </r>
  <r>
    <x v="287"/>
    <x v="4"/>
    <x v="2563"/>
    <x v="0"/>
    <x v="276"/>
    <n v="30.86"/>
    <x v="3"/>
  </r>
  <r>
    <x v="287"/>
    <x v="4"/>
    <x v="2564"/>
    <x v="0"/>
    <x v="1014"/>
    <n v="25.96"/>
    <x v="2"/>
  </r>
  <r>
    <x v="287"/>
    <x v="4"/>
    <x v="2565"/>
    <x v="0"/>
    <x v="1014"/>
    <n v="35.76"/>
    <x v="4"/>
  </r>
  <r>
    <x v="287"/>
    <x v="4"/>
    <x v="2566"/>
    <x v="0"/>
    <x v="664"/>
    <n v="35.76"/>
    <x v="7"/>
  </r>
  <r>
    <x v="287"/>
    <x v="4"/>
    <x v="2567"/>
    <x v="0"/>
    <x v="907"/>
    <n v="35.76"/>
    <x v="4"/>
  </r>
  <r>
    <x v="288"/>
    <x v="5"/>
    <x v="2568"/>
    <x v="0"/>
    <x v="1015"/>
    <n v="35.76"/>
    <x v="0"/>
  </r>
  <r>
    <x v="288"/>
    <x v="5"/>
    <x v="2569"/>
    <x v="0"/>
    <x v="1016"/>
    <n v="30.86"/>
    <x v="3"/>
  </r>
  <r>
    <x v="288"/>
    <x v="5"/>
    <x v="2570"/>
    <x v="0"/>
    <x v="1016"/>
    <n v="35.76"/>
    <x v="0"/>
  </r>
  <r>
    <x v="288"/>
    <x v="5"/>
    <x v="2571"/>
    <x v="0"/>
    <x v="1016"/>
    <n v="35.76"/>
    <x v="7"/>
  </r>
  <r>
    <x v="289"/>
    <x v="6"/>
    <x v="2572"/>
    <x v="0"/>
    <x v="1017"/>
    <n v="35.76"/>
    <x v="1"/>
  </r>
  <r>
    <x v="289"/>
    <x v="6"/>
    <x v="2573"/>
    <x v="0"/>
    <x v="276"/>
    <n v="30.86"/>
    <x v="3"/>
  </r>
  <r>
    <x v="289"/>
    <x v="6"/>
    <x v="2574"/>
    <x v="0"/>
    <x v="1018"/>
    <n v="21.06"/>
    <x v="6"/>
  </r>
  <r>
    <x v="289"/>
    <x v="6"/>
    <x v="2575"/>
    <x v="0"/>
    <x v="1019"/>
    <n v="35.76"/>
    <x v="1"/>
  </r>
  <r>
    <x v="289"/>
    <x v="6"/>
    <x v="2576"/>
    <x v="0"/>
    <x v="206"/>
    <n v="35.76"/>
    <x v="7"/>
  </r>
  <r>
    <x v="289"/>
    <x v="6"/>
    <x v="2577"/>
    <x v="0"/>
    <x v="40"/>
    <n v="35.76"/>
    <x v="7"/>
  </r>
  <r>
    <x v="289"/>
    <x v="6"/>
    <x v="2578"/>
    <x v="0"/>
    <x v="1020"/>
    <n v="30.86"/>
    <x v="3"/>
  </r>
  <r>
    <x v="289"/>
    <x v="6"/>
    <x v="2579"/>
    <x v="0"/>
    <x v="1020"/>
    <n v="35.76"/>
    <x v="1"/>
  </r>
  <r>
    <x v="289"/>
    <x v="6"/>
    <x v="2580"/>
    <x v="0"/>
    <x v="1021"/>
    <n v="35.76"/>
    <x v="0"/>
  </r>
  <r>
    <x v="289"/>
    <x v="6"/>
    <x v="2581"/>
    <x v="0"/>
    <x v="1021"/>
    <n v="35.76"/>
    <x v="7"/>
  </r>
  <r>
    <x v="290"/>
    <x v="0"/>
    <x v="2582"/>
    <x v="0"/>
    <x v="141"/>
    <n v="25.96"/>
    <x v="5"/>
  </r>
  <r>
    <x v="290"/>
    <x v="0"/>
    <x v="2583"/>
    <x v="0"/>
    <x v="276"/>
    <n v="30.86"/>
    <x v="3"/>
  </r>
  <r>
    <x v="290"/>
    <x v="0"/>
    <x v="2584"/>
    <x v="0"/>
    <x v="1022"/>
    <n v="35.76"/>
    <x v="7"/>
  </r>
  <r>
    <x v="290"/>
    <x v="0"/>
    <x v="2585"/>
    <x v="0"/>
    <x v="141"/>
    <n v="25.96"/>
    <x v="5"/>
  </r>
  <r>
    <x v="290"/>
    <x v="0"/>
    <x v="2586"/>
    <x v="0"/>
    <x v="819"/>
    <n v="21.06"/>
    <x v="6"/>
  </r>
  <r>
    <x v="290"/>
    <x v="0"/>
    <x v="2587"/>
    <x v="0"/>
    <x v="819"/>
    <n v="30.86"/>
    <x v="3"/>
  </r>
  <r>
    <x v="290"/>
    <x v="0"/>
    <x v="2588"/>
    <x v="0"/>
    <x v="1023"/>
    <n v="25.96"/>
    <x v="5"/>
  </r>
  <r>
    <x v="290"/>
    <x v="0"/>
    <x v="2589"/>
    <x v="0"/>
    <x v="1024"/>
    <n v="35.76"/>
    <x v="7"/>
  </r>
  <r>
    <x v="290"/>
    <x v="0"/>
    <x v="2590"/>
    <x v="0"/>
    <x v="206"/>
    <n v="35.76"/>
    <x v="7"/>
  </r>
  <r>
    <x v="291"/>
    <x v="1"/>
    <x v="2591"/>
    <x v="0"/>
    <x v="1025"/>
    <n v="35.76"/>
    <x v="7"/>
  </r>
  <r>
    <x v="291"/>
    <x v="1"/>
    <x v="2592"/>
    <x v="0"/>
    <x v="1025"/>
    <n v="35.76"/>
    <x v="0"/>
  </r>
  <r>
    <x v="291"/>
    <x v="1"/>
    <x v="2593"/>
    <x v="0"/>
    <x v="1026"/>
    <n v="25.96"/>
    <x v="2"/>
  </r>
  <r>
    <x v="291"/>
    <x v="1"/>
    <x v="2594"/>
    <x v="0"/>
    <x v="507"/>
    <n v="35.76"/>
    <x v="1"/>
  </r>
  <r>
    <x v="291"/>
    <x v="1"/>
    <x v="2595"/>
    <x v="0"/>
    <x v="507"/>
    <n v="35.76"/>
    <x v="0"/>
  </r>
  <r>
    <x v="291"/>
    <x v="1"/>
    <x v="2596"/>
    <x v="0"/>
    <x v="842"/>
    <n v="30.86"/>
    <x v="3"/>
  </r>
  <r>
    <x v="291"/>
    <x v="1"/>
    <x v="2597"/>
    <x v="0"/>
    <x v="1027"/>
    <n v="35.76"/>
    <x v="0"/>
  </r>
  <r>
    <x v="291"/>
    <x v="1"/>
    <x v="2598"/>
    <x v="0"/>
    <x v="1020"/>
    <n v="35.76"/>
    <x v="4"/>
  </r>
  <r>
    <x v="291"/>
    <x v="1"/>
    <x v="2599"/>
    <x v="0"/>
    <x v="1028"/>
    <n v="35.76"/>
    <x v="1"/>
  </r>
  <r>
    <x v="291"/>
    <x v="1"/>
    <x v="2600"/>
    <x v="0"/>
    <x v="1029"/>
    <n v="25.96"/>
    <x v="5"/>
  </r>
  <r>
    <x v="291"/>
    <x v="1"/>
    <x v="2601"/>
    <x v="0"/>
    <x v="1030"/>
    <n v="30.86"/>
    <x v="3"/>
  </r>
  <r>
    <x v="291"/>
    <x v="1"/>
    <x v="2602"/>
    <x v="0"/>
    <x v="1030"/>
    <n v="25.96"/>
    <x v="5"/>
  </r>
  <r>
    <x v="291"/>
    <x v="1"/>
    <x v="2603"/>
    <x v="0"/>
    <x v="1029"/>
    <n v="25.96"/>
    <x v="5"/>
  </r>
  <r>
    <x v="291"/>
    <x v="1"/>
    <x v="2604"/>
    <x v="0"/>
    <x v="1031"/>
    <n v="35.76"/>
    <x v="0"/>
  </r>
  <r>
    <x v="291"/>
    <x v="1"/>
    <x v="2605"/>
    <x v="0"/>
    <x v="1029"/>
    <n v="25.96"/>
    <x v="5"/>
  </r>
  <r>
    <x v="292"/>
    <x v="2"/>
    <x v="2606"/>
    <x v="0"/>
    <x v="333"/>
    <n v="35.76"/>
    <x v="7"/>
  </r>
  <r>
    <x v="292"/>
    <x v="2"/>
    <x v="2607"/>
    <x v="0"/>
    <x v="206"/>
    <n v="35.76"/>
    <x v="7"/>
  </r>
  <r>
    <x v="292"/>
    <x v="2"/>
    <x v="2608"/>
    <x v="0"/>
    <x v="1032"/>
    <n v="35.76"/>
    <x v="1"/>
  </r>
  <r>
    <x v="292"/>
    <x v="2"/>
    <x v="2609"/>
    <x v="0"/>
    <x v="1032"/>
    <n v="35.76"/>
    <x v="1"/>
  </r>
  <r>
    <x v="292"/>
    <x v="2"/>
    <x v="2610"/>
    <x v="0"/>
    <x v="636"/>
    <n v="35.76"/>
    <x v="1"/>
  </r>
  <r>
    <x v="292"/>
    <x v="2"/>
    <x v="2611"/>
    <x v="0"/>
    <x v="1033"/>
    <n v="35.76"/>
    <x v="4"/>
  </r>
  <r>
    <x v="292"/>
    <x v="2"/>
    <x v="2612"/>
    <x v="0"/>
    <x v="1034"/>
    <n v="25.96"/>
    <x v="5"/>
  </r>
  <r>
    <x v="293"/>
    <x v="3"/>
    <x v="2613"/>
    <x v="0"/>
    <x v="1029"/>
    <n v="25.96"/>
    <x v="5"/>
  </r>
  <r>
    <x v="293"/>
    <x v="3"/>
    <x v="2614"/>
    <x v="0"/>
    <x v="276"/>
    <n v="30.86"/>
    <x v="3"/>
  </r>
  <r>
    <x v="293"/>
    <x v="3"/>
    <x v="2615"/>
    <x v="0"/>
    <x v="42"/>
    <n v="30.86"/>
    <x v="3"/>
  </r>
  <r>
    <x v="293"/>
    <x v="3"/>
    <x v="2616"/>
    <x v="0"/>
    <x v="570"/>
    <n v="35.76"/>
    <x v="7"/>
  </r>
  <r>
    <x v="293"/>
    <x v="3"/>
    <x v="2617"/>
    <x v="0"/>
    <x v="1035"/>
    <n v="35.76"/>
    <x v="0"/>
  </r>
  <r>
    <x v="293"/>
    <x v="3"/>
    <x v="2618"/>
    <x v="0"/>
    <x v="1036"/>
    <n v="30.86"/>
    <x v="3"/>
  </r>
  <r>
    <x v="293"/>
    <x v="3"/>
    <x v="2619"/>
    <x v="0"/>
    <x v="906"/>
    <n v="35.76"/>
    <x v="0"/>
  </r>
  <r>
    <x v="293"/>
    <x v="3"/>
    <x v="2620"/>
    <x v="0"/>
    <x v="1037"/>
    <n v="25.96"/>
    <x v="5"/>
  </r>
  <r>
    <x v="293"/>
    <x v="3"/>
    <x v="2621"/>
    <x v="0"/>
    <x v="1037"/>
    <n v="35.76"/>
    <x v="0"/>
  </r>
  <r>
    <x v="293"/>
    <x v="3"/>
    <x v="2622"/>
    <x v="0"/>
    <x v="1029"/>
    <n v="25.96"/>
    <x v="5"/>
  </r>
  <r>
    <x v="294"/>
    <x v="4"/>
    <x v="2623"/>
    <x v="0"/>
    <x v="1038"/>
    <n v="30.86"/>
    <x v="3"/>
  </r>
  <r>
    <x v="294"/>
    <x v="4"/>
    <x v="2624"/>
    <x v="0"/>
    <x v="1039"/>
    <n v="35.76"/>
    <x v="1"/>
  </r>
  <r>
    <x v="294"/>
    <x v="4"/>
    <x v="2625"/>
    <x v="0"/>
    <x v="1029"/>
    <n v="25.96"/>
    <x v="5"/>
  </r>
  <r>
    <x v="294"/>
    <x v="4"/>
    <x v="2626"/>
    <x v="0"/>
    <x v="1039"/>
    <n v="35.76"/>
    <x v="1"/>
  </r>
  <r>
    <x v="294"/>
    <x v="4"/>
    <x v="2627"/>
    <x v="0"/>
    <x v="1040"/>
    <n v="35.76"/>
    <x v="0"/>
  </r>
  <r>
    <x v="294"/>
    <x v="4"/>
    <x v="2628"/>
    <x v="0"/>
    <x v="1039"/>
    <n v="21.06"/>
    <x v="6"/>
  </r>
  <r>
    <x v="294"/>
    <x v="4"/>
    <x v="2629"/>
    <x v="0"/>
    <x v="97"/>
    <n v="35.76"/>
    <x v="7"/>
  </r>
  <r>
    <x v="295"/>
    <x v="5"/>
    <x v="2630"/>
    <x v="0"/>
    <x v="1041"/>
    <n v="35.76"/>
    <x v="0"/>
  </r>
  <r>
    <x v="295"/>
    <x v="5"/>
    <x v="2631"/>
    <x v="0"/>
    <x v="1041"/>
    <n v="35.76"/>
    <x v="0"/>
  </r>
  <r>
    <x v="295"/>
    <x v="5"/>
    <x v="2632"/>
    <x v="0"/>
    <x v="1042"/>
    <n v="30.86"/>
    <x v="3"/>
  </r>
  <r>
    <x v="295"/>
    <x v="5"/>
    <x v="2633"/>
    <x v="0"/>
    <x v="1042"/>
    <n v="25.96"/>
    <x v="2"/>
  </r>
  <r>
    <x v="295"/>
    <x v="5"/>
    <x v="2634"/>
    <x v="0"/>
    <x v="1043"/>
    <n v="30.86"/>
    <x v="3"/>
  </r>
  <r>
    <x v="295"/>
    <x v="5"/>
    <x v="2635"/>
    <x v="0"/>
    <x v="1044"/>
    <n v="25.96"/>
    <x v="2"/>
  </r>
  <r>
    <x v="295"/>
    <x v="5"/>
    <x v="2636"/>
    <x v="0"/>
    <x v="97"/>
    <n v="35.76"/>
    <x v="7"/>
  </r>
  <r>
    <x v="295"/>
    <x v="5"/>
    <x v="2637"/>
    <x v="0"/>
    <x v="1045"/>
    <n v="35.76"/>
    <x v="4"/>
  </r>
  <r>
    <x v="295"/>
    <x v="5"/>
    <x v="2638"/>
    <x v="0"/>
    <x v="1045"/>
    <n v="35.76"/>
    <x v="4"/>
  </r>
  <r>
    <x v="295"/>
    <x v="5"/>
    <x v="2639"/>
    <x v="0"/>
    <x v="1046"/>
    <n v="35.76"/>
    <x v="0"/>
  </r>
  <r>
    <x v="295"/>
    <x v="5"/>
    <x v="2640"/>
    <x v="0"/>
    <x v="154"/>
    <n v="35.76"/>
    <x v="7"/>
  </r>
  <r>
    <x v="295"/>
    <x v="5"/>
    <x v="2641"/>
    <x v="0"/>
    <x v="154"/>
    <n v="30.86"/>
    <x v="3"/>
  </r>
  <r>
    <x v="296"/>
    <x v="6"/>
    <x v="2642"/>
    <x v="0"/>
    <x v="1047"/>
    <n v="35.76"/>
    <x v="7"/>
  </r>
  <r>
    <x v="296"/>
    <x v="6"/>
    <x v="2643"/>
    <x v="0"/>
    <x v="1048"/>
    <n v="21.06"/>
    <x v="6"/>
  </r>
  <r>
    <x v="297"/>
    <x v="0"/>
    <x v="2644"/>
    <x v="0"/>
    <x v="1049"/>
    <n v="25.96"/>
    <x v="2"/>
  </r>
  <r>
    <x v="297"/>
    <x v="0"/>
    <x v="2645"/>
    <x v="0"/>
    <x v="1029"/>
    <n v="25.96"/>
    <x v="5"/>
  </r>
  <r>
    <x v="297"/>
    <x v="0"/>
    <x v="2646"/>
    <x v="0"/>
    <x v="141"/>
    <n v="25.96"/>
    <x v="5"/>
  </r>
  <r>
    <x v="297"/>
    <x v="0"/>
    <x v="2647"/>
    <x v="0"/>
    <x v="276"/>
    <n v="30.86"/>
    <x v="3"/>
  </r>
  <r>
    <x v="297"/>
    <x v="0"/>
    <x v="2648"/>
    <x v="0"/>
    <x v="1050"/>
    <n v="35.76"/>
    <x v="0"/>
  </r>
  <r>
    <x v="297"/>
    <x v="0"/>
    <x v="2649"/>
    <x v="0"/>
    <x v="1051"/>
    <n v="25.96"/>
    <x v="2"/>
  </r>
  <r>
    <x v="297"/>
    <x v="0"/>
    <x v="2650"/>
    <x v="0"/>
    <x v="1051"/>
    <n v="30.86"/>
    <x v="3"/>
  </r>
  <r>
    <x v="297"/>
    <x v="0"/>
    <x v="2651"/>
    <x v="0"/>
    <x v="701"/>
    <n v="35.76"/>
    <x v="4"/>
  </r>
  <r>
    <x v="298"/>
    <x v="1"/>
    <x v="2652"/>
    <x v="0"/>
    <x v="1029"/>
    <n v="25.96"/>
    <x v="5"/>
  </r>
  <r>
    <x v="298"/>
    <x v="1"/>
    <x v="2653"/>
    <x v="0"/>
    <x v="141"/>
    <n v="25.96"/>
    <x v="5"/>
  </r>
  <r>
    <x v="298"/>
    <x v="1"/>
    <x v="2654"/>
    <x v="0"/>
    <x v="727"/>
    <n v="30.86"/>
    <x v="3"/>
  </r>
  <r>
    <x v="298"/>
    <x v="1"/>
    <x v="2655"/>
    <x v="0"/>
    <x v="570"/>
    <n v="35.76"/>
    <x v="0"/>
  </r>
  <r>
    <x v="298"/>
    <x v="1"/>
    <x v="2656"/>
    <x v="0"/>
    <x v="1052"/>
    <n v="35.76"/>
    <x v="7"/>
  </r>
  <r>
    <x v="298"/>
    <x v="1"/>
    <x v="2657"/>
    <x v="0"/>
    <x v="1053"/>
    <n v="35.76"/>
    <x v="1"/>
  </r>
  <r>
    <x v="298"/>
    <x v="1"/>
    <x v="2658"/>
    <x v="0"/>
    <x v="507"/>
    <n v="35.76"/>
    <x v="0"/>
  </r>
  <r>
    <x v="298"/>
    <x v="1"/>
    <x v="2659"/>
    <x v="0"/>
    <x v="1054"/>
    <n v="35.76"/>
    <x v="7"/>
  </r>
  <r>
    <x v="299"/>
    <x v="2"/>
    <x v="2660"/>
    <x v="0"/>
    <x v="1029"/>
    <n v="25.96"/>
    <x v="5"/>
  </r>
  <r>
    <x v="299"/>
    <x v="2"/>
    <x v="2661"/>
    <x v="0"/>
    <x v="1055"/>
    <n v="21.06"/>
    <x v="6"/>
  </r>
  <r>
    <x v="299"/>
    <x v="2"/>
    <x v="2662"/>
    <x v="0"/>
    <x v="1055"/>
    <n v="25.96"/>
    <x v="2"/>
  </r>
  <r>
    <x v="299"/>
    <x v="2"/>
    <x v="2663"/>
    <x v="0"/>
    <x v="1056"/>
    <n v="25.96"/>
    <x v="5"/>
  </r>
  <r>
    <x v="299"/>
    <x v="2"/>
    <x v="2664"/>
    <x v="0"/>
    <x v="1057"/>
    <n v="21.06"/>
    <x v="6"/>
  </r>
  <r>
    <x v="299"/>
    <x v="2"/>
    <x v="2665"/>
    <x v="0"/>
    <x v="1029"/>
    <n v="25.96"/>
    <x v="5"/>
  </r>
  <r>
    <x v="299"/>
    <x v="2"/>
    <x v="2666"/>
    <x v="0"/>
    <x v="1058"/>
    <n v="35.76"/>
    <x v="1"/>
  </r>
  <r>
    <x v="299"/>
    <x v="2"/>
    <x v="2667"/>
    <x v="0"/>
    <x v="729"/>
    <n v="35.76"/>
    <x v="0"/>
  </r>
  <r>
    <x v="300"/>
    <x v="3"/>
    <x v="2668"/>
    <x v="0"/>
    <x v="1029"/>
    <n v="25.96"/>
    <x v="5"/>
  </r>
  <r>
    <x v="300"/>
    <x v="3"/>
    <x v="2669"/>
    <x v="0"/>
    <x v="276"/>
    <n v="30.86"/>
    <x v="3"/>
  </r>
  <r>
    <x v="300"/>
    <x v="3"/>
    <x v="2670"/>
    <x v="0"/>
    <x v="1059"/>
    <n v="35.76"/>
    <x v="0"/>
  </r>
  <r>
    <x v="300"/>
    <x v="3"/>
    <x v="2671"/>
    <x v="0"/>
    <x v="1059"/>
    <n v="35.76"/>
    <x v="1"/>
  </r>
  <r>
    <x v="300"/>
    <x v="3"/>
    <x v="2672"/>
    <x v="0"/>
    <x v="920"/>
    <n v="35.76"/>
    <x v="0"/>
  </r>
  <r>
    <x v="300"/>
    <x v="3"/>
    <x v="2673"/>
    <x v="0"/>
    <x v="920"/>
    <n v="30.86"/>
    <x v="3"/>
  </r>
  <r>
    <x v="300"/>
    <x v="3"/>
    <x v="2674"/>
    <x v="0"/>
    <x v="1003"/>
    <n v="30.86"/>
    <x v="3"/>
  </r>
  <r>
    <x v="300"/>
    <x v="3"/>
    <x v="2675"/>
    <x v="0"/>
    <x v="1060"/>
    <n v="25.96"/>
    <x v="2"/>
  </r>
  <r>
    <x v="300"/>
    <x v="3"/>
    <x v="2676"/>
    <x v="0"/>
    <x v="886"/>
    <n v="35.76"/>
    <x v="7"/>
  </r>
  <r>
    <x v="301"/>
    <x v="4"/>
    <x v="2677"/>
    <x v="0"/>
    <x v="1029"/>
    <n v="25.96"/>
    <x v="5"/>
  </r>
  <r>
    <x v="301"/>
    <x v="4"/>
    <x v="2678"/>
    <x v="0"/>
    <x v="1034"/>
    <n v="35.76"/>
    <x v="7"/>
  </r>
  <r>
    <x v="301"/>
    <x v="4"/>
    <x v="2679"/>
    <x v="0"/>
    <x v="1034"/>
    <n v="25.96"/>
    <x v="5"/>
  </r>
  <r>
    <x v="301"/>
    <x v="4"/>
    <x v="2680"/>
    <x v="0"/>
    <x v="1061"/>
    <n v="35.76"/>
    <x v="4"/>
  </r>
  <r>
    <x v="301"/>
    <x v="4"/>
    <x v="2681"/>
    <x v="0"/>
    <x v="1062"/>
    <n v="30.86"/>
    <x v="3"/>
  </r>
  <r>
    <x v="301"/>
    <x v="4"/>
    <x v="2682"/>
    <x v="0"/>
    <x v="1062"/>
    <n v="30.86"/>
    <x v="3"/>
  </r>
  <r>
    <x v="301"/>
    <x v="4"/>
    <x v="2683"/>
    <x v="0"/>
    <x v="195"/>
    <n v="35.76"/>
    <x v="7"/>
  </r>
  <r>
    <x v="301"/>
    <x v="4"/>
    <x v="2684"/>
    <x v="0"/>
    <x v="195"/>
    <n v="30.86"/>
    <x v="3"/>
  </r>
  <r>
    <x v="301"/>
    <x v="4"/>
    <x v="2685"/>
    <x v="0"/>
    <x v="12"/>
    <n v="21.06"/>
    <x v="6"/>
  </r>
  <r>
    <x v="301"/>
    <x v="4"/>
    <x v="2686"/>
    <x v="0"/>
    <x v="12"/>
    <n v="25.96"/>
    <x v="2"/>
  </r>
  <r>
    <x v="301"/>
    <x v="4"/>
    <x v="2687"/>
    <x v="0"/>
    <x v="1063"/>
    <n v="35.76"/>
    <x v="7"/>
  </r>
  <r>
    <x v="301"/>
    <x v="4"/>
    <x v="2688"/>
    <x v="0"/>
    <x v="525"/>
    <n v="35.76"/>
    <x v="0"/>
  </r>
  <r>
    <x v="301"/>
    <x v="4"/>
    <x v="2689"/>
    <x v="0"/>
    <x v="1064"/>
    <n v="30.86"/>
    <x v="3"/>
  </r>
  <r>
    <x v="301"/>
    <x v="4"/>
    <x v="2690"/>
    <x v="0"/>
    <x v="1065"/>
    <n v="35.76"/>
    <x v="7"/>
  </r>
  <r>
    <x v="301"/>
    <x v="4"/>
    <x v="2691"/>
    <x v="0"/>
    <x v="1066"/>
    <n v="35.76"/>
    <x v="0"/>
  </r>
  <r>
    <x v="301"/>
    <x v="4"/>
    <x v="2692"/>
    <x v="0"/>
    <x v="1066"/>
    <n v="35.76"/>
    <x v="1"/>
  </r>
  <r>
    <x v="302"/>
    <x v="6"/>
    <x v="2693"/>
    <x v="0"/>
    <x v="276"/>
    <n v="30.86"/>
    <x v="3"/>
  </r>
  <r>
    <x v="302"/>
    <x v="6"/>
    <x v="2694"/>
    <x v="0"/>
    <x v="1067"/>
    <n v="35.76"/>
    <x v="4"/>
  </r>
  <r>
    <x v="302"/>
    <x v="6"/>
    <x v="2695"/>
    <x v="0"/>
    <x v="1067"/>
    <n v="35.76"/>
    <x v="4"/>
  </r>
  <r>
    <x v="302"/>
    <x v="6"/>
    <x v="2696"/>
    <x v="0"/>
    <x v="1068"/>
    <n v="25.96"/>
    <x v="5"/>
  </r>
  <r>
    <x v="302"/>
    <x v="6"/>
    <x v="2697"/>
    <x v="0"/>
    <x v="1068"/>
    <n v="25.96"/>
    <x v="5"/>
  </r>
  <r>
    <x v="302"/>
    <x v="6"/>
    <x v="2698"/>
    <x v="0"/>
    <x v="1069"/>
    <n v="25.96"/>
    <x v="2"/>
  </r>
  <r>
    <x v="302"/>
    <x v="6"/>
    <x v="2699"/>
    <x v="0"/>
    <x v="877"/>
    <n v="35.76"/>
    <x v="1"/>
  </r>
  <r>
    <x v="302"/>
    <x v="6"/>
    <x v="2700"/>
    <x v="0"/>
    <x v="877"/>
    <n v="30.86"/>
    <x v="3"/>
  </r>
  <r>
    <x v="302"/>
    <x v="6"/>
    <x v="2701"/>
    <x v="0"/>
    <x v="525"/>
    <n v="35.76"/>
    <x v="7"/>
  </r>
  <r>
    <x v="303"/>
    <x v="0"/>
    <x v="2702"/>
    <x v="0"/>
    <x v="1029"/>
    <n v="25.96"/>
    <x v="5"/>
  </r>
  <r>
    <x v="303"/>
    <x v="0"/>
    <x v="2703"/>
    <x v="0"/>
    <x v="276"/>
    <n v="30.86"/>
    <x v="3"/>
  </r>
  <r>
    <x v="303"/>
    <x v="0"/>
    <x v="2704"/>
    <x v="0"/>
    <x v="1070"/>
    <n v="30.86"/>
    <x v="3"/>
  </r>
  <r>
    <x v="303"/>
    <x v="0"/>
    <x v="2705"/>
    <x v="0"/>
    <x v="620"/>
    <n v="35.76"/>
    <x v="7"/>
  </r>
  <r>
    <x v="303"/>
    <x v="0"/>
    <x v="2706"/>
    <x v="0"/>
    <x v="1071"/>
    <n v="25.96"/>
    <x v="2"/>
  </r>
  <r>
    <x v="303"/>
    <x v="0"/>
    <x v="2707"/>
    <x v="0"/>
    <x v="1072"/>
    <n v="25.96"/>
    <x v="2"/>
  </r>
  <r>
    <x v="303"/>
    <x v="0"/>
    <x v="2708"/>
    <x v="0"/>
    <x v="690"/>
    <n v="35.76"/>
    <x v="0"/>
  </r>
  <r>
    <x v="304"/>
    <x v="1"/>
    <x v="2709"/>
    <x v="0"/>
    <x v="1029"/>
    <n v="25.96"/>
    <x v="5"/>
  </r>
  <r>
    <x v="304"/>
    <x v="1"/>
    <x v="2710"/>
    <x v="0"/>
    <x v="1073"/>
    <n v="25.96"/>
    <x v="2"/>
  </r>
  <r>
    <x v="304"/>
    <x v="1"/>
    <x v="2711"/>
    <x v="0"/>
    <x v="1074"/>
    <n v="35.76"/>
    <x v="7"/>
  </r>
  <r>
    <x v="304"/>
    <x v="1"/>
    <x v="2712"/>
    <x v="0"/>
    <x v="877"/>
    <n v="35.76"/>
    <x v="4"/>
  </r>
  <r>
    <x v="304"/>
    <x v="1"/>
    <x v="2713"/>
    <x v="0"/>
    <x v="1034"/>
    <n v="30.86"/>
    <x v="3"/>
  </r>
  <r>
    <x v="304"/>
    <x v="1"/>
    <x v="2714"/>
    <x v="0"/>
    <x v="1034"/>
    <n v="35.76"/>
    <x v="7"/>
  </r>
  <r>
    <x v="304"/>
    <x v="1"/>
    <x v="2715"/>
    <x v="0"/>
    <x v="1034"/>
    <n v="35.76"/>
    <x v="7"/>
  </r>
  <r>
    <x v="304"/>
    <x v="1"/>
    <x v="2716"/>
    <x v="0"/>
    <x v="1034"/>
    <n v="25.96"/>
    <x v="5"/>
  </r>
  <r>
    <x v="304"/>
    <x v="1"/>
    <x v="2717"/>
    <x v="0"/>
    <x v="1075"/>
    <n v="25.96"/>
    <x v="2"/>
  </r>
  <r>
    <x v="304"/>
    <x v="1"/>
    <x v="2718"/>
    <x v="0"/>
    <x v="1000"/>
    <n v="35.76"/>
    <x v="0"/>
  </r>
  <r>
    <x v="305"/>
    <x v="2"/>
    <x v="2719"/>
    <x v="0"/>
    <x v="1076"/>
    <n v="30.86"/>
    <x v="3"/>
  </r>
  <r>
    <x v="305"/>
    <x v="2"/>
    <x v="2720"/>
    <x v="0"/>
    <x v="1077"/>
    <n v="35.76"/>
    <x v="0"/>
  </r>
  <r>
    <x v="305"/>
    <x v="2"/>
    <x v="2721"/>
    <x v="0"/>
    <x v="1078"/>
    <n v="30.86"/>
    <x v="3"/>
  </r>
  <r>
    <x v="306"/>
    <x v="3"/>
    <x v="2722"/>
    <x v="0"/>
    <x v="1079"/>
    <n v="25.96"/>
    <x v="2"/>
  </r>
  <r>
    <x v="307"/>
    <x v="4"/>
    <x v="2723"/>
    <x v="0"/>
    <x v="1080"/>
    <n v="35.76"/>
    <x v="7"/>
  </r>
  <r>
    <x v="307"/>
    <x v="4"/>
    <x v="2724"/>
    <x v="0"/>
    <x v="1081"/>
    <n v="35.76"/>
    <x v="4"/>
  </r>
  <r>
    <x v="307"/>
    <x v="4"/>
    <x v="2725"/>
    <x v="0"/>
    <x v="1081"/>
    <n v="35.76"/>
    <x v="4"/>
  </r>
  <r>
    <x v="308"/>
    <x v="5"/>
    <x v="2726"/>
    <x v="0"/>
    <x v="1082"/>
    <n v="30.86"/>
    <x v="3"/>
  </r>
  <r>
    <x v="308"/>
    <x v="5"/>
    <x v="2727"/>
    <x v="0"/>
    <x v="1083"/>
    <n v="35.76"/>
    <x v="0"/>
  </r>
  <r>
    <x v="308"/>
    <x v="5"/>
    <x v="2728"/>
    <x v="0"/>
    <x v="1034"/>
    <n v="25.96"/>
    <x v="5"/>
  </r>
  <r>
    <x v="308"/>
    <x v="5"/>
    <x v="2729"/>
    <x v="0"/>
    <x v="206"/>
    <n v="35.76"/>
    <x v="7"/>
  </r>
  <r>
    <x v="309"/>
    <x v="6"/>
    <x v="2730"/>
    <x v="0"/>
    <x v="1084"/>
    <n v="25.96"/>
    <x v="2"/>
  </r>
  <r>
    <x v="309"/>
    <x v="6"/>
    <x v="2731"/>
    <x v="0"/>
    <x v="570"/>
    <n v="35.76"/>
    <x v="0"/>
  </r>
  <r>
    <x v="309"/>
    <x v="6"/>
    <x v="2732"/>
    <x v="0"/>
    <x v="385"/>
    <n v="30.86"/>
    <x v="3"/>
  </r>
  <r>
    <x v="309"/>
    <x v="6"/>
    <x v="2733"/>
    <x v="0"/>
    <x v="348"/>
    <n v="21.06"/>
    <x v="6"/>
  </r>
  <r>
    <x v="309"/>
    <x v="6"/>
    <x v="2734"/>
    <x v="0"/>
    <x v="1085"/>
    <n v="35.76"/>
    <x v="0"/>
  </r>
  <r>
    <x v="309"/>
    <x v="6"/>
    <x v="2735"/>
    <x v="0"/>
    <x v="141"/>
    <n v="30.86"/>
    <x v="3"/>
  </r>
  <r>
    <x v="309"/>
    <x v="6"/>
    <x v="2736"/>
    <x v="0"/>
    <x v="141"/>
    <n v="25.96"/>
    <x v="5"/>
  </r>
  <r>
    <x v="309"/>
    <x v="6"/>
    <x v="2737"/>
    <x v="0"/>
    <x v="12"/>
    <n v="30.86"/>
    <x v="3"/>
  </r>
  <r>
    <x v="309"/>
    <x v="6"/>
    <x v="2738"/>
    <x v="0"/>
    <x v="329"/>
    <n v="35.76"/>
    <x v="0"/>
  </r>
  <r>
    <x v="310"/>
    <x v="0"/>
    <x v="2739"/>
    <x v="0"/>
    <x v="224"/>
    <n v="30.86"/>
    <x v="3"/>
  </r>
  <r>
    <x v="310"/>
    <x v="0"/>
    <x v="2740"/>
    <x v="0"/>
    <x v="385"/>
    <n v="30.86"/>
    <x v="3"/>
  </r>
  <r>
    <x v="310"/>
    <x v="0"/>
    <x v="2741"/>
    <x v="0"/>
    <x v="1086"/>
    <n v="35.76"/>
    <x v="7"/>
  </r>
  <r>
    <x v="310"/>
    <x v="0"/>
    <x v="2742"/>
    <x v="0"/>
    <x v="1045"/>
    <n v="35.76"/>
    <x v="1"/>
  </r>
  <r>
    <x v="310"/>
    <x v="0"/>
    <x v="2743"/>
    <x v="0"/>
    <x v="224"/>
    <n v="30.86"/>
    <x v="3"/>
  </r>
  <r>
    <x v="311"/>
    <x v="1"/>
    <x v="2744"/>
    <x v="0"/>
    <x v="842"/>
    <n v="30.86"/>
    <x v="3"/>
  </r>
  <r>
    <x v="311"/>
    <x v="1"/>
    <x v="2745"/>
    <x v="0"/>
    <x v="1087"/>
    <n v="35.76"/>
    <x v="1"/>
  </r>
  <r>
    <x v="311"/>
    <x v="1"/>
    <x v="2746"/>
    <x v="0"/>
    <x v="1088"/>
    <n v="25.96"/>
    <x v="2"/>
  </r>
  <r>
    <x v="311"/>
    <x v="1"/>
    <x v="2747"/>
    <x v="0"/>
    <x v="1089"/>
    <n v="35.76"/>
    <x v="0"/>
  </r>
  <r>
    <x v="311"/>
    <x v="1"/>
    <x v="2748"/>
    <x v="0"/>
    <x v="1089"/>
    <n v="35.76"/>
    <x v="0"/>
  </r>
  <r>
    <x v="311"/>
    <x v="1"/>
    <x v="2749"/>
    <x v="0"/>
    <x v="1089"/>
    <n v="35.76"/>
    <x v="0"/>
  </r>
  <r>
    <x v="311"/>
    <x v="1"/>
    <x v="2750"/>
    <x v="0"/>
    <x v="1089"/>
    <n v="35.76"/>
    <x v="0"/>
  </r>
  <r>
    <x v="311"/>
    <x v="1"/>
    <x v="2751"/>
    <x v="0"/>
    <x v="1090"/>
    <n v="30.86"/>
    <x v="3"/>
  </r>
  <r>
    <x v="311"/>
    <x v="1"/>
    <x v="2752"/>
    <x v="0"/>
    <x v="1091"/>
    <n v="30.86"/>
    <x v="3"/>
  </r>
  <r>
    <x v="311"/>
    <x v="1"/>
    <x v="2753"/>
    <x v="0"/>
    <x v="1091"/>
    <n v="35.76"/>
    <x v="7"/>
  </r>
  <r>
    <x v="311"/>
    <x v="1"/>
    <x v="2754"/>
    <x v="0"/>
    <x v="1092"/>
    <n v="35.76"/>
    <x v="0"/>
  </r>
  <r>
    <x v="311"/>
    <x v="1"/>
    <x v="2755"/>
    <x v="0"/>
    <x v="1093"/>
    <n v="25.96"/>
    <x v="5"/>
  </r>
  <r>
    <x v="311"/>
    <x v="1"/>
    <x v="2756"/>
    <x v="0"/>
    <x v="1094"/>
    <n v="35.76"/>
    <x v="0"/>
  </r>
  <r>
    <x v="311"/>
    <x v="1"/>
    <x v="2757"/>
    <x v="0"/>
    <x v="1093"/>
    <n v="25.96"/>
    <x v="5"/>
  </r>
  <r>
    <x v="311"/>
    <x v="1"/>
    <x v="2758"/>
    <x v="0"/>
    <x v="1095"/>
    <n v="30.86"/>
    <x v="3"/>
  </r>
  <r>
    <x v="312"/>
    <x v="2"/>
    <x v="2759"/>
    <x v="0"/>
    <x v="842"/>
    <n v="30.86"/>
    <x v="3"/>
  </r>
  <r>
    <x v="312"/>
    <x v="2"/>
    <x v="2760"/>
    <x v="0"/>
    <x v="842"/>
    <n v="25.96"/>
    <x v="2"/>
  </r>
  <r>
    <x v="312"/>
    <x v="2"/>
    <x v="2761"/>
    <x v="0"/>
    <x v="12"/>
    <n v="30.86"/>
    <x v="3"/>
  </r>
  <r>
    <x v="312"/>
    <x v="2"/>
    <x v="2762"/>
    <x v="0"/>
    <x v="1096"/>
    <n v="35.76"/>
    <x v="1"/>
  </r>
  <r>
    <x v="312"/>
    <x v="2"/>
    <x v="2763"/>
    <x v="0"/>
    <x v="1097"/>
    <n v="30.86"/>
    <x v="3"/>
  </r>
  <r>
    <x v="313"/>
    <x v="3"/>
    <x v="2764"/>
    <x v="0"/>
    <x v="533"/>
    <n v="30.86"/>
    <x v="3"/>
  </r>
  <r>
    <x v="313"/>
    <x v="3"/>
    <x v="2765"/>
    <x v="0"/>
    <x v="276"/>
    <n v="30.86"/>
    <x v="3"/>
  </r>
  <r>
    <x v="313"/>
    <x v="3"/>
    <x v="2766"/>
    <x v="0"/>
    <x v="1034"/>
    <n v="25.96"/>
    <x v="5"/>
  </r>
  <r>
    <x v="313"/>
    <x v="3"/>
    <x v="2767"/>
    <x v="0"/>
    <x v="906"/>
    <n v="35.76"/>
    <x v="0"/>
  </r>
  <r>
    <x v="313"/>
    <x v="3"/>
    <x v="2768"/>
    <x v="0"/>
    <x v="1098"/>
    <n v="35.76"/>
    <x v="0"/>
  </r>
  <r>
    <x v="313"/>
    <x v="3"/>
    <x v="2769"/>
    <x v="0"/>
    <x v="1098"/>
    <n v="35.76"/>
    <x v="7"/>
  </r>
  <r>
    <x v="313"/>
    <x v="3"/>
    <x v="2770"/>
    <x v="0"/>
    <x v="1099"/>
    <n v="35.76"/>
    <x v="0"/>
  </r>
  <r>
    <x v="313"/>
    <x v="3"/>
    <x v="2771"/>
    <x v="0"/>
    <x v="50"/>
    <n v="21.06"/>
    <x v="6"/>
  </r>
  <r>
    <x v="314"/>
    <x v="4"/>
    <x v="2772"/>
    <x v="0"/>
    <x v="682"/>
    <n v="35.76"/>
    <x v="0"/>
  </r>
  <r>
    <x v="314"/>
    <x v="4"/>
    <x v="2773"/>
    <x v="0"/>
    <x v="1029"/>
    <n v="25.96"/>
    <x v="5"/>
  </r>
  <r>
    <x v="314"/>
    <x v="4"/>
    <x v="2774"/>
    <x v="0"/>
    <x v="276"/>
    <n v="30.86"/>
    <x v="3"/>
  </r>
  <r>
    <x v="314"/>
    <x v="4"/>
    <x v="2775"/>
    <x v="0"/>
    <x v="1100"/>
    <n v="35.76"/>
    <x v="0"/>
  </r>
  <r>
    <x v="314"/>
    <x v="4"/>
    <x v="2776"/>
    <x v="0"/>
    <x v="1101"/>
    <n v="30.86"/>
    <x v="3"/>
  </r>
  <r>
    <x v="314"/>
    <x v="4"/>
    <x v="2777"/>
    <x v="0"/>
    <x v="1101"/>
    <n v="30.86"/>
    <x v="3"/>
  </r>
  <r>
    <x v="314"/>
    <x v="4"/>
    <x v="2778"/>
    <x v="0"/>
    <x v="206"/>
    <n v="35.76"/>
    <x v="7"/>
  </r>
  <r>
    <x v="314"/>
    <x v="4"/>
    <x v="2779"/>
    <x v="0"/>
    <x v="1097"/>
    <n v="35.76"/>
    <x v="0"/>
  </r>
  <r>
    <x v="315"/>
    <x v="5"/>
    <x v="2780"/>
    <x v="0"/>
    <x v="419"/>
    <n v="30.86"/>
    <x v="3"/>
  </r>
  <r>
    <x v="315"/>
    <x v="5"/>
    <x v="2781"/>
    <x v="0"/>
    <x v="1102"/>
    <n v="25.96"/>
    <x v="2"/>
  </r>
  <r>
    <x v="315"/>
    <x v="5"/>
    <x v="2782"/>
    <x v="0"/>
    <x v="886"/>
    <n v="35.76"/>
    <x v="7"/>
  </r>
  <r>
    <x v="315"/>
    <x v="5"/>
    <x v="2783"/>
    <x v="0"/>
    <x v="634"/>
    <n v="35.76"/>
    <x v="0"/>
  </r>
  <r>
    <x v="315"/>
    <x v="5"/>
    <x v="2784"/>
    <x v="0"/>
    <x v="1103"/>
    <n v="35.76"/>
    <x v="7"/>
  </r>
  <r>
    <x v="315"/>
    <x v="5"/>
    <x v="2785"/>
    <x v="0"/>
    <x v="634"/>
    <n v="35.76"/>
    <x v="0"/>
  </r>
  <r>
    <x v="315"/>
    <x v="5"/>
    <x v="2786"/>
    <x v="0"/>
    <x v="1104"/>
    <n v="35.76"/>
    <x v="0"/>
  </r>
  <r>
    <x v="315"/>
    <x v="5"/>
    <x v="2787"/>
    <x v="0"/>
    <x v="1105"/>
    <n v="35.76"/>
    <x v="0"/>
  </r>
  <r>
    <x v="315"/>
    <x v="5"/>
    <x v="2788"/>
    <x v="0"/>
    <x v="1097"/>
    <n v="35.76"/>
    <x v="0"/>
  </r>
  <r>
    <x v="315"/>
    <x v="5"/>
    <x v="2789"/>
    <x v="0"/>
    <x v="731"/>
    <n v="35.76"/>
    <x v="7"/>
  </r>
  <r>
    <x v="316"/>
    <x v="6"/>
    <x v="2790"/>
    <x v="0"/>
    <x v="886"/>
    <n v="35.76"/>
    <x v="0"/>
  </r>
  <r>
    <x v="316"/>
    <x v="6"/>
    <x v="2791"/>
    <x v="0"/>
    <x v="419"/>
    <n v="30.86"/>
    <x v="3"/>
  </r>
  <r>
    <x v="316"/>
    <x v="6"/>
    <x v="2792"/>
    <x v="0"/>
    <x v="12"/>
    <n v="30.86"/>
    <x v="3"/>
  </r>
  <r>
    <x v="316"/>
    <x v="6"/>
    <x v="2793"/>
    <x v="0"/>
    <x v="141"/>
    <n v="25.96"/>
    <x v="5"/>
  </r>
  <r>
    <x v="316"/>
    <x v="6"/>
    <x v="2794"/>
    <x v="0"/>
    <x v="1106"/>
    <n v="35.76"/>
    <x v="0"/>
  </r>
  <r>
    <x v="316"/>
    <x v="6"/>
    <x v="2795"/>
    <x v="0"/>
    <x v="406"/>
    <n v="35.76"/>
    <x v="0"/>
  </r>
  <r>
    <x v="316"/>
    <x v="6"/>
    <x v="2796"/>
    <x v="0"/>
    <x v="1097"/>
    <n v="35.76"/>
    <x v="7"/>
  </r>
  <r>
    <x v="316"/>
    <x v="6"/>
    <x v="2797"/>
    <x v="0"/>
    <x v="1045"/>
    <n v="35.76"/>
    <x v="1"/>
  </r>
  <r>
    <x v="316"/>
    <x v="6"/>
    <x v="2798"/>
    <x v="0"/>
    <x v="1045"/>
    <n v="35.76"/>
    <x v="1"/>
  </r>
  <r>
    <x v="316"/>
    <x v="6"/>
    <x v="2799"/>
    <x v="0"/>
    <x v="1107"/>
    <n v="25.96"/>
    <x v="5"/>
  </r>
  <r>
    <x v="317"/>
    <x v="0"/>
    <x v="2800"/>
    <x v="0"/>
    <x v="1108"/>
    <n v="35.76"/>
    <x v="4"/>
  </r>
  <r>
    <x v="317"/>
    <x v="0"/>
    <x v="2801"/>
    <x v="0"/>
    <x v="1109"/>
    <n v="35.76"/>
    <x v="0"/>
  </r>
  <r>
    <x v="317"/>
    <x v="0"/>
    <x v="2802"/>
    <x v="0"/>
    <x v="1109"/>
    <n v="35.76"/>
    <x v="7"/>
  </r>
  <r>
    <x v="317"/>
    <x v="0"/>
    <x v="2803"/>
    <x v="0"/>
    <x v="276"/>
    <n v="30.86"/>
    <x v="3"/>
  </r>
  <r>
    <x v="317"/>
    <x v="0"/>
    <x v="2804"/>
    <x v="0"/>
    <x v="12"/>
    <n v="30.86"/>
    <x v="3"/>
  </r>
  <r>
    <x v="317"/>
    <x v="0"/>
    <x v="2805"/>
    <x v="0"/>
    <x v="1110"/>
    <n v="35.76"/>
    <x v="4"/>
  </r>
  <r>
    <x v="317"/>
    <x v="0"/>
    <x v="2806"/>
    <x v="0"/>
    <x v="1110"/>
    <n v="35.76"/>
    <x v="4"/>
  </r>
  <r>
    <x v="317"/>
    <x v="0"/>
    <x v="2807"/>
    <x v="0"/>
    <x v="906"/>
    <n v="35.76"/>
    <x v="1"/>
  </r>
  <r>
    <x v="317"/>
    <x v="0"/>
    <x v="2808"/>
    <x v="0"/>
    <x v="877"/>
    <n v="35.76"/>
    <x v="1"/>
  </r>
  <r>
    <x v="318"/>
    <x v="1"/>
    <x v="2809"/>
    <x v="0"/>
    <x v="1082"/>
    <n v="30.86"/>
    <x v="3"/>
  </r>
  <r>
    <x v="318"/>
    <x v="1"/>
    <x v="2810"/>
    <x v="0"/>
    <x v="507"/>
    <n v="35.76"/>
    <x v="1"/>
  </r>
  <r>
    <x v="318"/>
    <x v="1"/>
    <x v="2811"/>
    <x v="0"/>
    <x v="507"/>
    <n v="35.76"/>
    <x v="0"/>
  </r>
  <r>
    <x v="318"/>
    <x v="1"/>
    <x v="2812"/>
    <x v="0"/>
    <x v="507"/>
    <n v="35.76"/>
    <x v="1"/>
  </r>
  <r>
    <x v="319"/>
    <x v="3"/>
    <x v="2813"/>
    <x v="0"/>
    <x v="12"/>
    <n v="30.86"/>
    <x v="3"/>
  </r>
  <r>
    <x v="319"/>
    <x v="3"/>
    <x v="2814"/>
    <x v="0"/>
    <x v="276"/>
    <n v="30.86"/>
    <x v="3"/>
  </r>
  <r>
    <x v="319"/>
    <x v="3"/>
    <x v="2815"/>
    <x v="0"/>
    <x v="141"/>
    <n v="25.96"/>
    <x v="5"/>
  </r>
  <r>
    <x v="319"/>
    <x v="3"/>
    <x v="2816"/>
    <x v="0"/>
    <x v="1111"/>
    <n v="25.96"/>
    <x v="2"/>
  </r>
  <r>
    <x v="319"/>
    <x v="3"/>
    <x v="2817"/>
    <x v="0"/>
    <x v="1111"/>
    <n v="25.96"/>
    <x v="5"/>
  </r>
  <r>
    <x v="319"/>
    <x v="3"/>
    <x v="2818"/>
    <x v="0"/>
    <x v="1112"/>
    <n v="30.86"/>
    <x v="3"/>
  </r>
  <r>
    <x v="319"/>
    <x v="3"/>
    <x v="2819"/>
    <x v="0"/>
    <x v="1113"/>
    <n v="35.76"/>
    <x v="1"/>
  </r>
  <r>
    <x v="319"/>
    <x v="3"/>
    <x v="2820"/>
    <x v="0"/>
    <x v="1114"/>
    <n v="35.76"/>
    <x v="7"/>
  </r>
  <r>
    <x v="319"/>
    <x v="3"/>
    <x v="2821"/>
    <x v="0"/>
    <x v="1114"/>
    <n v="35.76"/>
    <x v="7"/>
  </r>
  <r>
    <x v="319"/>
    <x v="3"/>
    <x v="2822"/>
    <x v="0"/>
    <x v="1115"/>
    <n v="35.76"/>
    <x v="0"/>
  </r>
  <r>
    <x v="320"/>
    <x v="4"/>
    <x v="2823"/>
    <x v="0"/>
    <x v="1010"/>
    <n v="35.76"/>
    <x v="4"/>
  </r>
  <r>
    <x v="320"/>
    <x v="4"/>
    <x v="2824"/>
    <x v="0"/>
    <x v="141"/>
    <n v="25.96"/>
    <x v="5"/>
  </r>
  <r>
    <x v="320"/>
    <x v="4"/>
    <x v="2825"/>
    <x v="0"/>
    <x v="1082"/>
    <n v="30.86"/>
    <x v="3"/>
  </r>
  <r>
    <x v="320"/>
    <x v="4"/>
    <x v="2826"/>
    <x v="0"/>
    <x v="1116"/>
    <n v="25.96"/>
    <x v="2"/>
  </r>
  <r>
    <x v="320"/>
    <x v="4"/>
    <x v="2827"/>
    <x v="0"/>
    <x v="1117"/>
    <n v="35.76"/>
    <x v="1"/>
  </r>
  <r>
    <x v="320"/>
    <x v="4"/>
    <x v="2828"/>
    <x v="0"/>
    <x v="333"/>
    <n v="35.76"/>
    <x v="0"/>
  </r>
  <r>
    <x v="320"/>
    <x v="4"/>
    <x v="2829"/>
    <x v="0"/>
    <x v="333"/>
    <n v="35.76"/>
    <x v="0"/>
  </r>
  <r>
    <x v="320"/>
    <x v="4"/>
    <x v="2830"/>
    <x v="0"/>
    <x v="1110"/>
    <n v="25.96"/>
    <x v="2"/>
  </r>
  <r>
    <x v="321"/>
    <x v="5"/>
    <x v="2831"/>
    <x v="0"/>
    <x v="1118"/>
    <n v="21.06"/>
    <x v="6"/>
  </r>
  <r>
    <x v="321"/>
    <x v="5"/>
    <x v="2832"/>
    <x v="0"/>
    <x v="463"/>
    <n v="30.86"/>
    <x v="3"/>
  </r>
  <r>
    <x v="321"/>
    <x v="5"/>
    <x v="2833"/>
    <x v="0"/>
    <x v="1119"/>
    <n v="35.76"/>
    <x v="4"/>
  </r>
  <r>
    <x v="321"/>
    <x v="5"/>
    <x v="2834"/>
    <x v="0"/>
    <x v="1051"/>
    <n v="30.86"/>
    <x v="3"/>
  </r>
  <r>
    <x v="321"/>
    <x v="5"/>
    <x v="2835"/>
    <x v="0"/>
    <x v="1051"/>
    <n v="35.76"/>
    <x v="7"/>
  </r>
  <r>
    <x v="321"/>
    <x v="5"/>
    <x v="2836"/>
    <x v="0"/>
    <x v="1120"/>
    <n v="35.76"/>
    <x v="0"/>
  </r>
  <r>
    <x v="321"/>
    <x v="5"/>
    <x v="2837"/>
    <x v="0"/>
    <x v="1121"/>
    <n v="30.86"/>
    <x v="3"/>
  </r>
  <r>
    <x v="322"/>
    <x v="0"/>
    <x v="2838"/>
    <x v="0"/>
    <x v="1034"/>
    <n v="35.76"/>
    <x v="7"/>
  </r>
  <r>
    <x v="322"/>
    <x v="0"/>
    <x v="2839"/>
    <x v="0"/>
    <x v="1034"/>
    <n v="25.96"/>
    <x v="5"/>
  </r>
  <r>
    <x v="322"/>
    <x v="0"/>
    <x v="2840"/>
    <x v="0"/>
    <x v="1122"/>
    <n v="35.76"/>
    <x v="4"/>
  </r>
  <r>
    <x v="322"/>
    <x v="0"/>
    <x v="2841"/>
    <x v="0"/>
    <x v="1123"/>
    <n v="25.96"/>
    <x v="2"/>
  </r>
  <r>
    <x v="322"/>
    <x v="0"/>
    <x v="2842"/>
    <x v="0"/>
    <x v="1045"/>
    <n v="35.76"/>
    <x v="4"/>
  </r>
  <r>
    <x v="322"/>
    <x v="0"/>
    <x v="2843"/>
    <x v="0"/>
    <x v="1124"/>
    <n v="35.76"/>
    <x v="1"/>
  </r>
  <r>
    <x v="322"/>
    <x v="0"/>
    <x v="2844"/>
    <x v="0"/>
    <x v="1124"/>
    <n v="35.76"/>
    <x v="0"/>
  </r>
  <r>
    <x v="323"/>
    <x v="1"/>
    <x v="2845"/>
    <x v="0"/>
    <x v="1114"/>
    <n v="35.76"/>
    <x v="7"/>
  </r>
  <r>
    <x v="323"/>
    <x v="1"/>
    <x v="2846"/>
    <x v="0"/>
    <x v="1125"/>
    <n v="35.76"/>
    <x v="7"/>
  </r>
  <r>
    <x v="323"/>
    <x v="1"/>
    <x v="2847"/>
    <x v="0"/>
    <x v="1126"/>
    <n v="25.96"/>
    <x v="2"/>
  </r>
  <r>
    <x v="324"/>
    <x v="2"/>
    <x v="2848"/>
    <x v="0"/>
    <x v="1127"/>
    <n v="25.96"/>
    <x v="2"/>
  </r>
  <r>
    <x v="324"/>
    <x v="2"/>
    <x v="2849"/>
    <x v="0"/>
    <x v="1127"/>
    <n v="21.06"/>
    <x v="6"/>
  </r>
  <r>
    <x v="325"/>
    <x v="3"/>
    <x v="2850"/>
    <x v="0"/>
    <x v="141"/>
    <n v="25.96"/>
    <x v="5"/>
  </r>
  <r>
    <x v="325"/>
    <x v="3"/>
    <x v="2851"/>
    <x v="0"/>
    <x v="141"/>
    <n v="25.96"/>
    <x v="2"/>
  </r>
  <r>
    <x v="325"/>
    <x v="3"/>
    <x v="2852"/>
    <x v="0"/>
    <x v="1128"/>
    <n v="35.76"/>
    <x v="7"/>
  </r>
  <r>
    <x v="325"/>
    <x v="3"/>
    <x v="2853"/>
    <x v="0"/>
    <x v="276"/>
    <n v="30.86"/>
    <x v="3"/>
  </r>
  <r>
    <x v="325"/>
    <x v="3"/>
    <x v="2854"/>
    <x v="0"/>
    <x v="141"/>
    <n v="30.86"/>
    <x v="3"/>
  </r>
  <r>
    <x v="325"/>
    <x v="3"/>
    <x v="2855"/>
    <x v="0"/>
    <x v="141"/>
    <n v="25.96"/>
    <x v="5"/>
  </r>
  <r>
    <x v="325"/>
    <x v="3"/>
    <x v="2856"/>
    <x v="0"/>
    <x v="141"/>
    <n v="30.86"/>
    <x v="3"/>
  </r>
  <r>
    <x v="325"/>
    <x v="3"/>
    <x v="2857"/>
    <x v="0"/>
    <x v="1129"/>
    <n v="35.76"/>
    <x v="0"/>
  </r>
  <r>
    <x v="325"/>
    <x v="3"/>
    <x v="2858"/>
    <x v="0"/>
    <x v="1130"/>
    <n v="35.76"/>
    <x v="0"/>
  </r>
  <r>
    <x v="325"/>
    <x v="3"/>
    <x v="2859"/>
    <x v="0"/>
    <x v="1131"/>
    <n v="35.76"/>
    <x v="0"/>
  </r>
  <r>
    <x v="326"/>
    <x v="4"/>
    <x v="2860"/>
    <x v="0"/>
    <x v="197"/>
    <n v="35.76"/>
    <x v="0"/>
  </r>
  <r>
    <x v="326"/>
    <x v="4"/>
    <x v="2861"/>
    <x v="0"/>
    <x v="1132"/>
    <n v="25.96"/>
    <x v="2"/>
  </r>
  <r>
    <x v="326"/>
    <x v="4"/>
    <x v="2862"/>
    <x v="0"/>
    <x v="224"/>
    <n v="30.86"/>
    <x v="3"/>
  </r>
  <r>
    <x v="326"/>
    <x v="4"/>
    <x v="2863"/>
    <x v="0"/>
    <x v="1133"/>
    <n v="25.96"/>
    <x v="2"/>
  </r>
  <r>
    <x v="326"/>
    <x v="4"/>
    <x v="2864"/>
    <x v="0"/>
    <x v="1134"/>
    <n v="35.76"/>
    <x v="4"/>
  </r>
  <r>
    <x v="326"/>
    <x v="4"/>
    <x v="2865"/>
    <x v="0"/>
    <x v="1134"/>
    <n v="25.96"/>
    <x v="5"/>
  </r>
  <r>
    <x v="326"/>
    <x v="4"/>
    <x v="2866"/>
    <x v="0"/>
    <x v="1135"/>
    <n v="25.96"/>
    <x v="2"/>
  </r>
  <r>
    <x v="326"/>
    <x v="4"/>
    <x v="2867"/>
    <x v="0"/>
    <x v="1136"/>
    <n v="35.76"/>
    <x v="0"/>
  </r>
  <r>
    <x v="326"/>
    <x v="4"/>
    <x v="2868"/>
    <x v="0"/>
    <x v="1137"/>
    <n v="35.76"/>
    <x v="7"/>
  </r>
  <r>
    <x v="327"/>
    <x v="5"/>
    <x v="2869"/>
    <x v="0"/>
    <x v="1069"/>
    <n v="25.96"/>
    <x v="2"/>
  </r>
  <r>
    <x v="327"/>
    <x v="5"/>
    <x v="2870"/>
    <x v="0"/>
    <x v="1138"/>
    <n v="25.96"/>
    <x v="2"/>
  </r>
  <r>
    <x v="327"/>
    <x v="5"/>
    <x v="2871"/>
    <x v="0"/>
    <x v="1139"/>
    <n v="30.86"/>
    <x v="3"/>
  </r>
  <r>
    <x v="327"/>
    <x v="5"/>
    <x v="2872"/>
    <x v="0"/>
    <x v="1139"/>
    <n v="21.06"/>
    <x v="6"/>
  </r>
  <r>
    <x v="328"/>
    <x v="6"/>
    <x v="2873"/>
    <x v="0"/>
    <x v="224"/>
    <n v="30.86"/>
    <x v="3"/>
  </r>
  <r>
    <x v="328"/>
    <x v="6"/>
    <x v="2874"/>
    <x v="0"/>
    <x v="276"/>
    <n v="30.86"/>
    <x v="3"/>
  </r>
  <r>
    <x v="328"/>
    <x v="6"/>
    <x v="2875"/>
    <x v="0"/>
    <x v="862"/>
    <n v="25.96"/>
    <x v="5"/>
  </r>
  <r>
    <x v="328"/>
    <x v="6"/>
    <x v="2876"/>
    <x v="0"/>
    <x v="1140"/>
    <n v="35.76"/>
    <x v="1"/>
  </r>
  <r>
    <x v="328"/>
    <x v="6"/>
    <x v="2877"/>
    <x v="0"/>
    <x v="1141"/>
    <n v="25.96"/>
    <x v="2"/>
  </r>
  <r>
    <x v="328"/>
    <x v="6"/>
    <x v="2878"/>
    <x v="0"/>
    <x v="1142"/>
    <n v="30.86"/>
    <x v="3"/>
  </r>
  <r>
    <x v="328"/>
    <x v="6"/>
    <x v="2879"/>
    <x v="0"/>
    <x v="1143"/>
    <n v="35.76"/>
    <x v="1"/>
  </r>
  <r>
    <x v="328"/>
    <x v="6"/>
    <x v="2880"/>
    <x v="0"/>
    <x v="1069"/>
    <n v="30.86"/>
    <x v="3"/>
  </r>
  <r>
    <x v="328"/>
    <x v="6"/>
    <x v="2881"/>
    <x v="0"/>
    <x v="1144"/>
    <n v="25.96"/>
    <x v="5"/>
  </r>
  <r>
    <x v="329"/>
    <x v="0"/>
    <x v="2882"/>
    <x v="0"/>
    <x v="141"/>
    <n v="25.96"/>
    <x v="2"/>
  </r>
  <r>
    <x v="329"/>
    <x v="0"/>
    <x v="2883"/>
    <x v="0"/>
    <x v="141"/>
    <n v="30.86"/>
    <x v="3"/>
  </r>
  <r>
    <x v="329"/>
    <x v="0"/>
    <x v="2884"/>
    <x v="0"/>
    <x v="304"/>
    <n v="30.86"/>
    <x v="3"/>
  </r>
  <r>
    <x v="329"/>
    <x v="0"/>
    <x v="2885"/>
    <x v="0"/>
    <x v="1145"/>
    <n v="35.76"/>
    <x v="4"/>
  </r>
  <r>
    <x v="329"/>
    <x v="0"/>
    <x v="2886"/>
    <x v="0"/>
    <x v="333"/>
    <n v="35.76"/>
    <x v="7"/>
  </r>
  <r>
    <x v="329"/>
    <x v="0"/>
    <x v="2887"/>
    <x v="0"/>
    <x v="333"/>
    <n v="35.76"/>
    <x v="7"/>
  </r>
  <r>
    <x v="329"/>
    <x v="0"/>
    <x v="2888"/>
    <x v="0"/>
    <x v="1133"/>
    <n v="35.76"/>
    <x v="0"/>
  </r>
  <r>
    <x v="329"/>
    <x v="0"/>
    <x v="2889"/>
    <x v="0"/>
    <x v="507"/>
    <n v="35.76"/>
    <x v="0"/>
  </r>
  <r>
    <x v="329"/>
    <x v="0"/>
    <x v="2890"/>
    <x v="0"/>
    <x v="1146"/>
    <n v="35.76"/>
    <x v="7"/>
  </r>
  <r>
    <x v="329"/>
    <x v="0"/>
    <x v="2891"/>
    <x v="0"/>
    <x v="304"/>
    <n v="30.86"/>
    <x v="3"/>
  </r>
  <r>
    <x v="329"/>
    <x v="0"/>
    <x v="2892"/>
    <x v="0"/>
    <x v="1147"/>
    <n v="30.86"/>
    <x v="3"/>
  </r>
  <r>
    <x v="329"/>
    <x v="0"/>
    <x v="2893"/>
    <x v="0"/>
    <x v="1148"/>
    <n v="25.96"/>
    <x v="2"/>
  </r>
  <r>
    <x v="330"/>
    <x v="1"/>
    <x v="2894"/>
    <x v="0"/>
    <x v="304"/>
    <n v="30.86"/>
    <x v="3"/>
  </r>
  <r>
    <x v="330"/>
    <x v="1"/>
    <x v="2895"/>
    <x v="0"/>
    <x v="224"/>
    <n v="30.86"/>
    <x v="3"/>
  </r>
  <r>
    <x v="330"/>
    <x v="1"/>
    <x v="2896"/>
    <x v="0"/>
    <x v="141"/>
    <n v="25.96"/>
    <x v="5"/>
  </r>
  <r>
    <x v="330"/>
    <x v="1"/>
    <x v="2897"/>
    <x v="0"/>
    <x v="141"/>
    <n v="25.96"/>
    <x v="5"/>
  </r>
  <r>
    <x v="330"/>
    <x v="1"/>
    <x v="2898"/>
    <x v="0"/>
    <x v="1149"/>
    <n v="35.76"/>
    <x v="7"/>
  </r>
  <r>
    <x v="330"/>
    <x v="1"/>
    <x v="2899"/>
    <x v="0"/>
    <x v="1149"/>
    <n v="35.76"/>
    <x v="7"/>
  </r>
  <r>
    <x v="330"/>
    <x v="1"/>
    <x v="2900"/>
    <x v="0"/>
    <x v="1069"/>
    <n v="35.76"/>
    <x v="0"/>
  </r>
  <r>
    <x v="330"/>
    <x v="1"/>
    <x v="2901"/>
    <x v="0"/>
    <x v="1114"/>
    <n v="35.76"/>
    <x v="7"/>
  </r>
  <r>
    <x v="330"/>
    <x v="1"/>
    <x v="2902"/>
    <x v="0"/>
    <x v="224"/>
    <n v="30.86"/>
    <x v="3"/>
  </r>
  <r>
    <x v="330"/>
    <x v="1"/>
    <x v="2903"/>
    <x v="0"/>
    <x v="224"/>
    <n v="30.86"/>
    <x v="3"/>
  </r>
  <r>
    <x v="330"/>
    <x v="1"/>
    <x v="2904"/>
    <x v="0"/>
    <x v="427"/>
    <n v="30.86"/>
    <x v="3"/>
  </r>
  <r>
    <x v="331"/>
    <x v="2"/>
    <x v="2905"/>
    <x v="0"/>
    <x v="1132"/>
    <n v="35.76"/>
    <x v="7"/>
  </r>
  <r>
    <x v="331"/>
    <x v="2"/>
    <x v="2906"/>
    <x v="0"/>
    <x v="1132"/>
    <n v="35.76"/>
    <x v="7"/>
  </r>
  <r>
    <x v="331"/>
    <x v="2"/>
    <x v="2907"/>
    <x v="0"/>
    <x v="1150"/>
    <n v="35.76"/>
    <x v="0"/>
  </r>
  <r>
    <x v="331"/>
    <x v="2"/>
    <x v="2908"/>
    <x v="0"/>
    <x v="1151"/>
    <n v="35.76"/>
    <x v="0"/>
  </r>
  <r>
    <x v="331"/>
    <x v="2"/>
    <x v="2909"/>
    <x v="0"/>
    <x v="265"/>
    <n v="30.86"/>
    <x v="3"/>
  </r>
  <r>
    <x v="331"/>
    <x v="2"/>
    <x v="2910"/>
    <x v="0"/>
    <x v="507"/>
    <n v="35.76"/>
    <x v="0"/>
  </r>
  <r>
    <x v="331"/>
    <x v="2"/>
    <x v="2911"/>
    <x v="0"/>
    <x v="1152"/>
    <n v="35.76"/>
    <x v="0"/>
  </r>
  <r>
    <x v="332"/>
    <x v="3"/>
    <x v="2912"/>
    <x v="0"/>
    <x v="1152"/>
    <n v="35.76"/>
    <x v="7"/>
  </r>
  <r>
    <x v="332"/>
    <x v="3"/>
    <x v="2913"/>
    <x v="0"/>
    <x v="1152"/>
    <n v="30.86"/>
    <x v="3"/>
  </r>
  <r>
    <x v="332"/>
    <x v="3"/>
    <x v="2914"/>
    <x v="0"/>
    <x v="1152"/>
    <n v="21.06"/>
    <x v="6"/>
  </r>
  <r>
    <x v="332"/>
    <x v="3"/>
    <x v="2915"/>
    <x v="0"/>
    <x v="1153"/>
    <n v="30.86"/>
    <x v="3"/>
  </r>
  <r>
    <x v="332"/>
    <x v="3"/>
    <x v="2916"/>
    <x v="0"/>
    <x v="1154"/>
    <n v="25.96"/>
    <x v="2"/>
  </r>
  <r>
    <x v="332"/>
    <x v="3"/>
    <x v="2917"/>
    <x v="0"/>
    <x v="1155"/>
    <n v="35.76"/>
    <x v="7"/>
  </r>
  <r>
    <x v="332"/>
    <x v="3"/>
    <x v="2918"/>
    <x v="0"/>
    <x v="1156"/>
    <n v="30.86"/>
    <x v="3"/>
  </r>
  <r>
    <x v="332"/>
    <x v="3"/>
    <x v="2919"/>
    <x v="0"/>
    <x v="1157"/>
    <n v="35.76"/>
    <x v="7"/>
  </r>
  <r>
    <x v="332"/>
    <x v="3"/>
    <x v="2920"/>
    <x v="0"/>
    <x v="1158"/>
    <n v="35.76"/>
    <x v="7"/>
  </r>
  <r>
    <x v="332"/>
    <x v="3"/>
    <x v="2921"/>
    <x v="0"/>
    <x v="1159"/>
    <n v="25.96"/>
    <x v="2"/>
  </r>
  <r>
    <x v="332"/>
    <x v="3"/>
    <x v="2922"/>
    <x v="0"/>
    <x v="1160"/>
    <n v="25.96"/>
    <x v="2"/>
  </r>
  <r>
    <x v="332"/>
    <x v="3"/>
    <x v="2923"/>
    <x v="0"/>
    <x v="19"/>
    <n v="35.76"/>
    <x v="0"/>
  </r>
  <r>
    <x v="332"/>
    <x v="3"/>
    <x v="2924"/>
    <x v="0"/>
    <x v="507"/>
    <n v="35.76"/>
    <x v="0"/>
  </r>
  <r>
    <x v="332"/>
    <x v="3"/>
    <x v="2925"/>
    <x v="0"/>
    <x v="1161"/>
    <n v="35.76"/>
    <x v="0"/>
  </r>
  <r>
    <x v="332"/>
    <x v="3"/>
    <x v="2926"/>
    <x v="0"/>
    <x v="1110"/>
    <n v="25.96"/>
    <x v="2"/>
  </r>
  <r>
    <x v="332"/>
    <x v="3"/>
    <x v="2927"/>
    <x v="0"/>
    <x v="1160"/>
    <n v="35.76"/>
    <x v="4"/>
  </r>
  <r>
    <x v="332"/>
    <x v="3"/>
    <x v="2928"/>
    <x v="0"/>
    <x v="1162"/>
    <n v="30.86"/>
    <x v="3"/>
  </r>
  <r>
    <x v="332"/>
    <x v="3"/>
    <x v="2929"/>
    <x v="0"/>
    <x v="1163"/>
    <n v="30.86"/>
    <x v="3"/>
  </r>
  <r>
    <x v="332"/>
    <x v="3"/>
    <x v="2930"/>
    <x v="0"/>
    <x v="1163"/>
    <n v="30.86"/>
    <x v="3"/>
  </r>
  <r>
    <x v="332"/>
    <x v="3"/>
    <x v="2931"/>
    <x v="0"/>
    <x v="1164"/>
    <n v="35.76"/>
    <x v="1"/>
  </r>
  <r>
    <x v="332"/>
    <x v="3"/>
    <x v="2932"/>
    <x v="0"/>
    <x v="1164"/>
    <n v="35.76"/>
    <x v="0"/>
  </r>
  <r>
    <x v="332"/>
    <x v="3"/>
    <x v="2933"/>
    <x v="0"/>
    <x v="1165"/>
    <n v="35.76"/>
    <x v="1"/>
  </r>
  <r>
    <x v="332"/>
    <x v="3"/>
    <x v="2934"/>
    <x v="0"/>
    <x v="1166"/>
    <n v="30.86"/>
    <x v="3"/>
  </r>
  <r>
    <x v="332"/>
    <x v="3"/>
    <x v="2935"/>
    <x v="0"/>
    <x v="1167"/>
    <n v="25.96"/>
    <x v="2"/>
  </r>
  <r>
    <x v="332"/>
    <x v="3"/>
    <x v="2936"/>
    <x v="0"/>
    <x v="1168"/>
    <n v="35.76"/>
    <x v="4"/>
  </r>
  <r>
    <x v="333"/>
    <x v="4"/>
    <x v="2937"/>
    <x v="0"/>
    <x v="1163"/>
    <n v="30.86"/>
    <x v="3"/>
  </r>
  <r>
    <x v="333"/>
    <x v="4"/>
    <x v="2938"/>
    <x v="0"/>
    <x v="1110"/>
    <n v="25.96"/>
    <x v="2"/>
  </r>
  <r>
    <x v="333"/>
    <x v="4"/>
    <x v="2939"/>
    <x v="0"/>
    <x v="1169"/>
    <n v="30.86"/>
    <x v="3"/>
  </r>
  <r>
    <x v="333"/>
    <x v="4"/>
    <x v="2940"/>
    <x v="0"/>
    <x v="1160"/>
    <n v="25.96"/>
    <x v="5"/>
  </r>
  <r>
    <x v="333"/>
    <x v="4"/>
    <x v="2941"/>
    <x v="0"/>
    <x v="1170"/>
    <n v="25.96"/>
    <x v="2"/>
  </r>
  <r>
    <x v="333"/>
    <x v="4"/>
    <x v="2942"/>
    <x v="0"/>
    <x v="1163"/>
    <n v="30.86"/>
    <x v="3"/>
  </r>
  <r>
    <x v="333"/>
    <x v="4"/>
    <x v="2943"/>
    <x v="0"/>
    <x v="1171"/>
    <n v="25.96"/>
    <x v="2"/>
  </r>
  <r>
    <x v="333"/>
    <x v="4"/>
    <x v="2944"/>
    <x v="0"/>
    <x v="1157"/>
    <n v="30.86"/>
    <x v="3"/>
  </r>
  <r>
    <x v="333"/>
    <x v="4"/>
    <x v="2945"/>
    <x v="0"/>
    <x v="1172"/>
    <n v="35.76"/>
    <x v="4"/>
  </r>
  <r>
    <x v="333"/>
    <x v="4"/>
    <x v="2946"/>
    <x v="0"/>
    <x v="1173"/>
    <n v="35.76"/>
    <x v="4"/>
  </r>
  <r>
    <x v="333"/>
    <x v="4"/>
    <x v="2947"/>
    <x v="0"/>
    <x v="1173"/>
    <n v="35.76"/>
    <x v="4"/>
  </r>
  <r>
    <x v="333"/>
    <x v="4"/>
    <x v="2948"/>
    <x v="0"/>
    <x v="1174"/>
    <n v="25.96"/>
    <x v="5"/>
  </r>
  <r>
    <x v="334"/>
    <x v="5"/>
    <x v="2949"/>
    <x v="0"/>
    <x v="1156"/>
    <n v="30.86"/>
    <x v="3"/>
  </r>
  <r>
    <x v="334"/>
    <x v="5"/>
    <x v="2950"/>
    <x v="0"/>
    <x v="1163"/>
    <n v="30.86"/>
    <x v="3"/>
  </r>
  <r>
    <x v="334"/>
    <x v="5"/>
    <x v="2951"/>
    <x v="0"/>
    <x v="1163"/>
    <n v="25.96"/>
    <x v="2"/>
  </r>
  <r>
    <x v="334"/>
    <x v="5"/>
    <x v="2952"/>
    <x v="0"/>
    <x v="1163"/>
    <n v="25.96"/>
    <x v="2"/>
  </r>
  <r>
    <x v="334"/>
    <x v="5"/>
    <x v="2953"/>
    <x v="0"/>
    <x v="1163"/>
    <n v="25.96"/>
    <x v="2"/>
  </r>
  <r>
    <x v="334"/>
    <x v="5"/>
    <x v="2954"/>
    <x v="0"/>
    <x v="1163"/>
    <n v="30.86"/>
    <x v="3"/>
  </r>
  <r>
    <x v="334"/>
    <x v="5"/>
    <x v="2955"/>
    <x v="0"/>
    <x v="1175"/>
    <n v="25.96"/>
    <x v="2"/>
  </r>
  <r>
    <x v="334"/>
    <x v="5"/>
    <x v="2956"/>
    <x v="0"/>
    <x v="1176"/>
    <n v="25.96"/>
    <x v="2"/>
  </r>
  <r>
    <x v="334"/>
    <x v="5"/>
    <x v="2957"/>
    <x v="0"/>
    <x v="1171"/>
    <n v="21.06"/>
    <x v="6"/>
  </r>
  <r>
    <x v="334"/>
    <x v="5"/>
    <x v="2958"/>
    <x v="0"/>
    <x v="1171"/>
    <n v="21.06"/>
    <x v="6"/>
  </r>
  <r>
    <x v="334"/>
    <x v="5"/>
    <x v="2959"/>
    <x v="0"/>
    <x v="1161"/>
    <n v="35.76"/>
    <x v="7"/>
  </r>
  <r>
    <x v="334"/>
    <x v="5"/>
    <x v="2960"/>
    <x v="0"/>
    <x v="1177"/>
    <n v="35.76"/>
    <x v="7"/>
  </r>
  <r>
    <x v="334"/>
    <x v="5"/>
    <x v="2961"/>
    <x v="0"/>
    <x v="1165"/>
    <n v="35.76"/>
    <x v="1"/>
  </r>
  <r>
    <x v="334"/>
    <x v="5"/>
    <x v="2962"/>
    <x v="0"/>
    <x v="1164"/>
    <n v="35.76"/>
    <x v="0"/>
  </r>
  <r>
    <x v="334"/>
    <x v="5"/>
    <x v="2963"/>
    <x v="0"/>
    <x v="1164"/>
    <n v="35.76"/>
    <x v="0"/>
  </r>
  <r>
    <x v="334"/>
    <x v="5"/>
    <x v="2964"/>
    <x v="0"/>
    <x v="1152"/>
    <n v="35.76"/>
    <x v="4"/>
  </r>
  <r>
    <x v="334"/>
    <x v="5"/>
    <x v="2965"/>
    <x v="0"/>
    <x v="1165"/>
    <n v="35.76"/>
    <x v="1"/>
  </r>
  <r>
    <x v="334"/>
    <x v="5"/>
    <x v="2966"/>
    <x v="0"/>
    <x v="1178"/>
    <n v="35.76"/>
    <x v="7"/>
  </r>
  <r>
    <x v="334"/>
    <x v="5"/>
    <x v="2967"/>
    <x v="0"/>
    <x v="1179"/>
    <n v="35.76"/>
    <x v="7"/>
  </r>
  <r>
    <x v="334"/>
    <x v="5"/>
    <x v="2968"/>
    <x v="0"/>
    <x v="1180"/>
    <n v="35.76"/>
    <x v="4"/>
  </r>
  <r>
    <x v="334"/>
    <x v="5"/>
    <x v="2969"/>
    <x v="0"/>
    <x v="1157"/>
    <n v="30.86"/>
    <x v="3"/>
  </r>
  <r>
    <x v="334"/>
    <x v="5"/>
    <x v="2970"/>
    <x v="0"/>
    <x v="1181"/>
    <n v="35.76"/>
    <x v="7"/>
  </r>
  <r>
    <x v="334"/>
    <x v="5"/>
    <x v="2971"/>
    <x v="0"/>
    <x v="507"/>
    <n v="35.76"/>
    <x v="1"/>
  </r>
  <r>
    <x v="334"/>
    <x v="5"/>
    <x v="2972"/>
    <x v="0"/>
    <x v="1182"/>
    <n v="35.76"/>
    <x v="4"/>
  </r>
  <r>
    <x v="335"/>
    <x v="6"/>
    <x v="2973"/>
    <x v="0"/>
    <x v="1163"/>
    <n v="30.86"/>
    <x v="3"/>
  </r>
  <r>
    <x v="335"/>
    <x v="6"/>
    <x v="2974"/>
    <x v="0"/>
    <x v="1171"/>
    <n v="25.96"/>
    <x v="2"/>
  </r>
  <r>
    <x v="335"/>
    <x v="6"/>
    <x v="2975"/>
    <x v="0"/>
    <x v="1162"/>
    <n v="30.86"/>
    <x v="3"/>
  </r>
  <r>
    <x v="335"/>
    <x v="6"/>
    <x v="2976"/>
    <x v="0"/>
    <x v="1158"/>
    <n v="35.76"/>
    <x v="7"/>
  </r>
  <r>
    <x v="335"/>
    <x v="6"/>
    <x v="2977"/>
    <x v="0"/>
    <x v="1163"/>
    <n v="35.76"/>
    <x v="4"/>
  </r>
  <r>
    <x v="335"/>
    <x v="6"/>
    <x v="2978"/>
    <x v="0"/>
    <x v="1170"/>
    <n v="35.76"/>
    <x v="4"/>
  </r>
  <r>
    <x v="335"/>
    <x v="6"/>
    <x v="2979"/>
    <x v="0"/>
    <x v="1183"/>
    <n v="35.76"/>
    <x v="4"/>
  </r>
  <r>
    <x v="335"/>
    <x v="6"/>
    <x v="2980"/>
    <x v="0"/>
    <x v="1158"/>
    <n v="35.76"/>
    <x v="7"/>
  </r>
  <r>
    <x v="335"/>
    <x v="6"/>
    <x v="2981"/>
    <x v="0"/>
    <x v="1184"/>
    <n v="21.06"/>
    <x v="6"/>
  </r>
  <r>
    <x v="335"/>
    <x v="6"/>
    <x v="2982"/>
    <x v="0"/>
    <x v="1185"/>
    <n v="35.76"/>
    <x v="4"/>
  </r>
  <r>
    <x v="335"/>
    <x v="6"/>
    <x v="2983"/>
    <x v="0"/>
    <x v="1186"/>
    <n v="35.76"/>
    <x v="4"/>
  </r>
  <r>
    <x v="335"/>
    <x v="6"/>
    <x v="2984"/>
    <x v="0"/>
    <x v="1163"/>
    <n v="35.76"/>
    <x v="0"/>
  </r>
  <r>
    <x v="336"/>
    <x v="0"/>
    <x v="2985"/>
    <x v="0"/>
    <x v="1152"/>
    <n v="30.86"/>
    <x v="3"/>
  </r>
  <r>
    <x v="336"/>
    <x v="0"/>
    <x v="2986"/>
    <x v="0"/>
    <x v="1187"/>
    <n v="30.86"/>
    <x v="3"/>
  </r>
  <r>
    <x v="336"/>
    <x v="0"/>
    <x v="2987"/>
    <x v="0"/>
    <x v="1188"/>
    <n v="25.96"/>
    <x v="2"/>
  </r>
  <r>
    <x v="336"/>
    <x v="0"/>
    <x v="2988"/>
    <x v="0"/>
    <x v="1189"/>
    <n v="35.76"/>
    <x v="4"/>
  </r>
  <r>
    <x v="336"/>
    <x v="0"/>
    <x v="2989"/>
    <x v="0"/>
    <x v="1163"/>
    <n v="30.86"/>
    <x v="3"/>
  </r>
  <r>
    <x v="336"/>
    <x v="0"/>
    <x v="2990"/>
    <x v="0"/>
    <x v="1190"/>
    <n v="25.96"/>
    <x v="2"/>
  </r>
  <r>
    <x v="336"/>
    <x v="0"/>
    <x v="2991"/>
    <x v="0"/>
    <x v="1170"/>
    <n v="25.96"/>
    <x v="5"/>
  </r>
  <r>
    <x v="336"/>
    <x v="0"/>
    <x v="2992"/>
    <x v="0"/>
    <x v="1191"/>
    <n v="35.76"/>
    <x v="0"/>
  </r>
  <r>
    <x v="336"/>
    <x v="0"/>
    <x v="2993"/>
    <x v="0"/>
    <x v="1165"/>
    <n v="35.76"/>
    <x v="1"/>
  </r>
  <r>
    <x v="336"/>
    <x v="0"/>
    <x v="2994"/>
    <x v="0"/>
    <x v="1165"/>
    <n v="35.76"/>
    <x v="0"/>
  </r>
  <r>
    <x v="336"/>
    <x v="0"/>
    <x v="2995"/>
    <x v="0"/>
    <x v="1178"/>
    <n v="35.76"/>
    <x v="4"/>
  </r>
  <r>
    <x v="336"/>
    <x v="0"/>
    <x v="2996"/>
    <x v="0"/>
    <x v="1179"/>
    <n v="35.76"/>
    <x v="4"/>
  </r>
  <r>
    <x v="336"/>
    <x v="0"/>
    <x v="2997"/>
    <x v="0"/>
    <x v="1192"/>
    <n v="25.96"/>
    <x v="5"/>
  </r>
  <r>
    <x v="336"/>
    <x v="0"/>
    <x v="2998"/>
    <x v="0"/>
    <x v="1192"/>
    <n v="35.76"/>
    <x v="4"/>
  </r>
  <r>
    <x v="336"/>
    <x v="0"/>
    <x v="2999"/>
    <x v="0"/>
    <x v="1193"/>
    <n v="35.76"/>
    <x v="4"/>
  </r>
  <r>
    <x v="336"/>
    <x v="0"/>
    <x v="3000"/>
    <x v="0"/>
    <x v="1161"/>
    <n v="25.96"/>
    <x v="5"/>
  </r>
  <r>
    <x v="337"/>
    <x v="1"/>
    <x v="3001"/>
    <x v="0"/>
    <x v="1163"/>
    <n v="25.96"/>
    <x v="2"/>
  </r>
  <r>
    <x v="337"/>
    <x v="1"/>
    <x v="3002"/>
    <x v="0"/>
    <x v="1153"/>
    <n v="30.86"/>
    <x v="3"/>
  </r>
  <r>
    <x v="337"/>
    <x v="1"/>
    <x v="3003"/>
    <x v="0"/>
    <x v="1194"/>
    <n v="25.96"/>
    <x v="5"/>
  </r>
  <r>
    <x v="337"/>
    <x v="1"/>
    <x v="3004"/>
    <x v="0"/>
    <x v="1195"/>
    <n v="25.96"/>
    <x v="2"/>
  </r>
  <r>
    <x v="337"/>
    <x v="1"/>
    <x v="3005"/>
    <x v="0"/>
    <x v="1167"/>
    <n v="25.96"/>
    <x v="2"/>
  </r>
  <r>
    <x v="337"/>
    <x v="1"/>
    <x v="3006"/>
    <x v="0"/>
    <x v="1170"/>
    <n v="25.96"/>
    <x v="2"/>
  </r>
  <r>
    <x v="337"/>
    <x v="1"/>
    <x v="3007"/>
    <x v="0"/>
    <x v="1110"/>
    <n v="25.96"/>
    <x v="2"/>
  </r>
  <r>
    <x v="337"/>
    <x v="1"/>
    <x v="3008"/>
    <x v="0"/>
    <x v="1110"/>
    <n v="25.96"/>
    <x v="2"/>
  </r>
  <r>
    <x v="338"/>
    <x v="2"/>
    <x v="3009"/>
    <x v="0"/>
    <x v="1161"/>
    <n v="35.76"/>
    <x v="4"/>
  </r>
  <r>
    <x v="338"/>
    <x v="2"/>
    <x v="3010"/>
    <x v="0"/>
    <x v="1157"/>
    <n v="30.86"/>
    <x v="3"/>
  </r>
  <r>
    <x v="338"/>
    <x v="2"/>
    <x v="3011"/>
    <x v="0"/>
    <x v="1163"/>
    <n v="25.96"/>
    <x v="2"/>
  </r>
  <r>
    <x v="338"/>
    <x v="2"/>
    <x v="3012"/>
    <x v="0"/>
    <x v="1196"/>
    <n v="35.76"/>
    <x v="0"/>
  </r>
  <r>
    <x v="338"/>
    <x v="2"/>
    <x v="3013"/>
    <x v="0"/>
    <x v="1189"/>
    <n v="35.76"/>
    <x v="4"/>
  </r>
  <r>
    <x v="338"/>
    <x v="2"/>
    <x v="3014"/>
    <x v="0"/>
    <x v="1189"/>
    <n v="35.76"/>
    <x v="0"/>
  </r>
  <r>
    <x v="338"/>
    <x v="2"/>
    <x v="3015"/>
    <x v="0"/>
    <x v="1178"/>
    <n v="35.76"/>
    <x v="1"/>
  </r>
  <r>
    <x v="338"/>
    <x v="2"/>
    <x v="3016"/>
    <x v="0"/>
    <x v="1179"/>
    <n v="35.76"/>
    <x v="4"/>
  </r>
  <r>
    <x v="338"/>
    <x v="2"/>
    <x v="3017"/>
    <x v="0"/>
    <x v="1161"/>
    <n v="25.96"/>
    <x v="5"/>
  </r>
  <r>
    <x v="339"/>
    <x v="3"/>
    <x v="3018"/>
    <x v="0"/>
    <x v="1152"/>
    <n v="25.96"/>
    <x v="2"/>
  </r>
  <r>
    <x v="339"/>
    <x v="3"/>
    <x v="3019"/>
    <x v="0"/>
    <x v="1110"/>
    <n v="25.96"/>
    <x v="2"/>
  </r>
  <r>
    <x v="339"/>
    <x v="3"/>
    <x v="3020"/>
    <x v="0"/>
    <x v="1152"/>
    <n v="25.96"/>
    <x v="2"/>
  </r>
  <r>
    <x v="339"/>
    <x v="3"/>
    <x v="3021"/>
    <x v="0"/>
    <x v="1153"/>
    <n v="30.86"/>
    <x v="3"/>
  </r>
  <r>
    <x v="339"/>
    <x v="3"/>
    <x v="3022"/>
    <x v="0"/>
    <x v="1167"/>
    <n v="25.96"/>
    <x v="2"/>
  </r>
  <r>
    <x v="339"/>
    <x v="3"/>
    <x v="3023"/>
    <x v="0"/>
    <x v="1168"/>
    <n v="35.76"/>
    <x v="4"/>
  </r>
  <r>
    <x v="339"/>
    <x v="3"/>
    <x v="3024"/>
    <x v="0"/>
    <x v="1197"/>
    <n v="30.86"/>
    <x v="3"/>
  </r>
  <r>
    <x v="339"/>
    <x v="3"/>
    <x v="3025"/>
    <x v="0"/>
    <x v="1198"/>
    <n v="25.96"/>
    <x v="2"/>
  </r>
  <r>
    <x v="339"/>
    <x v="3"/>
    <x v="3026"/>
    <x v="0"/>
    <x v="1199"/>
    <n v="35.76"/>
    <x v="0"/>
  </r>
  <r>
    <x v="339"/>
    <x v="3"/>
    <x v="3027"/>
    <x v="0"/>
    <x v="1163"/>
    <n v="25.96"/>
    <x v="2"/>
  </r>
  <r>
    <x v="339"/>
    <x v="3"/>
    <x v="3028"/>
    <x v="0"/>
    <x v="1163"/>
    <n v="35.76"/>
    <x v="4"/>
  </r>
  <r>
    <x v="339"/>
    <x v="3"/>
    <x v="3029"/>
    <x v="0"/>
    <x v="1163"/>
    <n v="35.76"/>
    <x v="4"/>
  </r>
  <r>
    <x v="339"/>
    <x v="3"/>
    <x v="3030"/>
    <x v="0"/>
    <x v="1200"/>
    <n v="35.76"/>
    <x v="7"/>
  </r>
  <r>
    <x v="339"/>
    <x v="3"/>
    <x v="3031"/>
    <x v="0"/>
    <x v="1166"/>
    <n v="30.86"/>
    <x v="3"/>
  </r>
  <r>
    <x v="339"/>
    <x v="3"/>
    <x v="3032"/>
    <x v="0"/>
    <x v="1191"/>
    <n v="35.76"/>
    <x v="0"/>
  </r>
  <r>
    <x v="339"/>
    <x v="3"/>
    <x v="3033"/>
    <x v="0"/>
    <x v="1165"/>
    <n v="35.76"/>
    <x v="1"/>
  </r>
  <r>
    <x v="339"/>
    <x v="3"/>
    <x v="3034"/>
    <x v="0"/>
    <x v="1170"/>
    <n v="35.76"/>
    <x v="4"/>
  </r>
  <r>
    <x v="339"/>
    <x v="3"/>
    <x v="3035"/>
    <x v="0"/>
    <x v="878"/>
    <n v="25.96"/>
    <x v="2"/>
  </r>
  <r>
    <x v="339"/>
    <x v="3"/>
    <x v="3036"/>
    <x v="0"/>
    <x v="1157"/>
    <n v="30.86"/>
    <x v="3"/>
  </r>
  <r>
    <x v="339"/>
    <x v="3"/>
    <x v="3037"/>
    <x v="0"/>
    <x v="1178"/>
    <n v="35.76"/>
    <x v="0"/>
  </r>
  <r>
    <x v="339"/>
    <x v="3"/>
    <x v="3038"/>
    <x v="0"/>
    <x v="1201"/>
    <n v="35.76"/>
    <x v="0"/>
  </r>
  <r>
    <x v="340"/>
    <x v="4"/>
    <x v="3039"/>
    <x v="0"/>
    <x v="1163"/>
    <n v="25.96"/>
    <x v="2"/>
  </r>
  <r>
    <x v="340"/>
    <x v="4"/>
    <x v="3040"/>
    <x v="0"/>
    <x v="1176"/>
    <n v="25.96"/>
    <x v="2"/>
  </r>
  <r>
    <x v="340"/>
    <x v="4"/>
    <x v="3041"/>
    <x v="0"/>
    <x v="1166"/>
    <n v="30.86"/>
    <x v="3"/>
  </r>
  <r>
    <x v="340"/>
    <x v="4"/>
    <x v="3042"/>
    <x v="0"/>
    <x v="1189"/>
    <n v="35.76"/>
    <x v="4"/>
  </r>
  <r>
    <x v="340"/>
    <x v="4"/>
    <x v="3043"/>
    <x v="0"/>
    <x v="1156"/>
    <n v="35.76"/>
    <x v="1"/>
  </r>
  <r>
    <x v="340"/>
    <x v="4"/>
    <x v="3044"/>
    <x v="0"/>
    <x v="1194"/>
    <n v="30.86"/>
    <x v="3"/>
  </r>
  <r>
    <x v="340"/>
    <x v="4"/>
    <x v="3045"/>
    <x v="0"/>
    <x v="1202"/>
    <n v="21.06"/>
    <x v="6"/>
  </r>
  <r>
    <x v="340"/>
    <x v="4"/>
    <x v="3046"/>
    <x v="0"/>
    <x v="1163"/>
    <n v="35.76"/>
    <x v="0"/>
  </r>
  <r>
    <x v="340"/>
    <x v="4"/>
    <x v="3047"/>
    <x v="0"/>
    <x v="1163"/>
    <n v="30.86"/>
    <x v="3"/>
  </r>
  <r>
    <x v="340"/>
    <x v="4"/>
    <x v="3048"/>
    <x v="0"/>
    <x v="1203"/>
    <n v="30.86"/>
    <x v="3"/>
  </r>
  <r>
    <x v="340"/>
    <x v="4"/>
    <x v="3049"/>
    <x v="0"/>
    <x v="1110"/>
    <n v="25.96"/>
    <x v="2"/>
  </r>
  <r>
    <x v="340"/>
    <x v="4"/>
    <x v="3050"/>
    <x v="0"/>
    <x v="1203"/>
    <n v="30.86"/>
    <x v="3"/>
  </r>
  <r>
    <x v="340"/>
    <x v="4"/>
    <x v="3051"/>
    <x v="0"/>
    <x v="1204"/>
    <n v="35.76"/>
    <x v="0"/>
  </r>
  <r>
    <x v="340"/>
    <x v="4"/>
    <x v="3052"/>
    <x v="0"/>
    <x v="1204"/>
    <n v="35.76"/>
    <x v="4"/>
  </r>
  <r>
    <x v="341"/>
    <x v="5"/>
    <x v="3053"/>
    <x v="0"/>
    <x v="1200"/>
    <n v="35.76"/>
    <x v="7"/>
  </r>
  <r>
    <x v="341"/>
    <x v="5"/>
    <x v="3054"/>
    <x v="0"/>
    <x v="1163"/>
    <n v="25.96"/>
    <x v="2"/>
  </r>
  <r>
    <x v="341"/>
    <x v="5"/>
    <x v="3055"/>
    <x v="0"/>
    <x v="1163"/>
    <n v="35.76"/>
    <x v="4"/>
  </r>
  <r>
    <x v="341"/>
    <x v="5"/>
    <x v="3056"/>
    <x v="0"/>
    <x v="1153"/>
    <n v="30.86"/>
    <x v="3"/>
  </r>
  <r>
    <x v="341"/>
    <x v="5"/>
    <x v="3057"/>
    <x v="0"/>
    <x v="1188"/>
    <n v="25.96"/>
    <x v="2"/>
  </r>
  <r>
    <x v="341"/>
    <x v="5"/>
    <x v="3058"/>
    <x v="0"/>
    <x v="1205"/>
    <n v="25.96"/>
    <x v="2"/>
  </r>
  <r>
    <x v="341"/>
    <x v="5"/>
    <x v="3059"/>
    <x v="0"/>
    <x v="1206"/>
    <n v="25.96"/>
    <x v="2"/>
  </r>
  <r>
    <x v="341"/>
    <x v="5"/>
    <x v="3060"/>
    <x v="0"/>
    <x v="1160"/>
    <n v="35.76"/>
    <x v="1"/>
  </r>
  <r>
    <x v="341"/>
    <x v="5"/>
    <x v="3061"/>
    <x v="0"/>
    <x v="1164"/>
    <n v="35.76"/>
    <x v="1"/>
  </r>
  <r>
    <x v="341"/>
    <x v="5"/>
    <x v="3062"/>
    <x v="0"/>
    <x v="1191"/>
    <n v="35.76"/>
    <x v="0"/>
  </r>
  <r>
    <x v="341"/>
    <x v="5"/>
    <x v="3063"/>
    <x v="0"/>
    <x v="1165"/>
    <n v="35.76"/>
    <x v="1"/>
  </r>
  <r>
    <x v="341"/>
    <x v="5"/>
    <x v="3064"/>
    <x v="0"/>
    <x v="1160"/>
    <n v="25.96"/>
    <x v="2"/>
  </r>
  <r>
    <x v="341"/>
    <x v="5"/>
    <x v="3065"/>
    <x v="0"/>
    <x v="1160"/>
    <n v="25.96"/>
    <x v="2"/>
  </r>
  <r>
    <x v="341"/>
    <x v="5"/>
    <x v="3066"/>
    <x v="0"/>
    <x v="1200"/>
    <n v="35.76"/>
    <x v="7"/>
  </r>
  <r>
    <x v="341"/>
    <x v="5"/>
    <x v="3067"/>
    <x v="0"/>
    <x v="1110"/>
    <n v="25.96"/>
    <x v="2"/>
  </r>
  <r>
    <x v="341"/>
    <x v="5"/>
    <x v="3068"/>
    <x v="0"/>
    <x v="507"/>
    <n v="35.76"/>
    <x v="0"/>
  </r>
  <r>
    <x v="341"/>
    <x v="5"/>
    <x v="3069"/>
    <x v="0"/>
    <x v="1178"/>
    <n v="35.76"/>
    <x v="4"/>
  </r>
  <r>
    <x v="341"/>
    <x v="5"/>
    <x v="3070"/>
    <x v="0"/>
    <x v="1158"/>
    <n v="35.76"/>
    <x v="7"/>
  </r>
  <r>
    <x v="342"/>
    <x v="6"/>
    <x v="3071"/>
    <x v="0"/>
    <x v="1153"/>
    <n v="30.86"/>
    <x v="3"/>
  </r>
  <r>
    <x v="342"/>
    <x v="6"/>
    <x v="3072"/>
    <x v="0"/>
    <x v="1152"/>
    <n v="25.96"/>
    <x v="2"/>
  </r>
  <r>
    <x v="342"/>
    <x v="6"/>
    <x v="3073"/>
    <x v="0"/>
    <x v="1207"/>
    <n v="21.06"/>
    <x v="6"/>
  </r>
  <r>
    <x v="342"/>
    <x v="6"/>
    <x v="3074"/>
    <x v="0"/>
    <x v="1168"/>
    <n v="35.76"/>
    <x v="4"/>
  </r>
  <r>
    <x v="342"/>
    <x v="6"/>
    <x v="3075"/>
    <x v="0"/>
    <x v="1156"/>
    <n v="30.86"/>
    <x v="3"/>
  </r>
  <r>
    <x v="342"/>
    <x v="6"/>
    <x v="3076"/>
    <x v="0"/>
    <x v="1157"/>
    <n v="30.86"/>
    <x v="3"/>
  </r>
  <r>
    <x v="342"/>
    <x v="6"/>
    <x v="3077"/>
    <x v="0"/>
    <x v="1163"/>
    <n v="25.96"/>
    <x v="2"/>
  </r>
  <r>
    <x v="342"/>
    <x v="6"/>
    <x v="3078"/>
    <x v="0"/>
    <x v="1163"/>
    <n v="25.96"/>
    <x v="2"/>
  </r>
  <r>
    <x v="342"/>
    <x v="6"/>
    <x v="3079"/>
    <x v="0"/>
    <x v="1178"/>
    <n v="30.86"/>
    <x v="3"/>
  </r>
  <r>
    <x v="342"/>
    <x v="6"/>
    <x v="3080"/>
    <x v="0"/>
    <x v="1179"/>
    <n v="30.86"/>
    <x v="3"/>
  </r>
  <r>
    <x v="342"/>
    <x v="6"/>
    <x v="3081"/>
    <x v="0"/>
    <x v="1208"/>
    <n v="35.76"/>
    <x v="0"/>
  </r>
  <r>
    <x v="342"/>
    <x v="6"/>
    <x v="3082"/>
    <x v="0"/>
    <x v="46"/>
    <n v="35.76"/>
    <x v="7"/>
  </r>
  <r>
    <x v="342"/>
    <x v="6"/>
    <x v="3083"/>
    <x v="0"/>
    <x v="1209"/>
    <n v="35.76"/>
    <x v="0"/>
  </r>
  <r>
    <x v="343"/>
    <x v="0"/>
    <x v="3084"/>
    <x v="0"/>
    <x v="1163"/>
    <n v="25.96"/>
    <x v="2"/>
  </r>
  <r>
    <x v="343"/>
    <x v="0"/>
    <x v="3085"/>
    <x v="0"/>
    <x v="1210"/>
    <n v="35.76"/>
    <x v="1"/>
  </r>
  <r>
    <x v="343"/>
    <x v="0"/>
    <x v="3086"/>
    <x v="0"/>
    <x v="1198"/>
    <n v="25.96"/>
    <x v="2"/>
  </r>
  <r>
    <x v="343"/>
    <x v="0"/>
    <x v="3087"/>
    <x v="0"/>
    <x v="1198"/>
    <n v="21.06"/>
    <x v="6"/>
  </r>
  <r>
    <x v="343"/>
    <x v="0"/>
    <x v="3088"/>
    <x v="0"/>
    <x v="1211"/>
    <n v="30.86"/>
    <x v="3"/>
  </r>
  <r>
    <x v="343"/>
    <x v="0"/>
    <x v="3089"/>
    <x v="0"/>
    <x v="1200"/>
    <n v="35.76"/>
    <x v="7"/>
  </r>
  <r>
    <x v="343"/>
    <x v="0"/>
    <x v="3090"/>
    <x v="0"/>
    <x v="507"/>
    <n v="35.76"/>
    <x v="7"/>
  </r>
  <r>
    <x v="343"/>
    <x v="0"/>
    <x v="3091"/>
    <x v="0"/>
    <x v="507"/>
    <n v="35.76"/>
    <x v="0"/>
  </r>
  <r>
    <x v="343"/>
    <x v="0"/>
    <x v="3092"/>
    <x v="0"/>
    <x v="1212"/>
    <n v="35.76"/>
    <x v="1"/>
  </r>
  <r>
    <x v="343"/>
    <x v="0"/>
    <x v="3093"/>
    <x v="0"/>
    <x v="1212"/>
    <n v="35.76"/>
    <x v="7"/>
  </r>
  <r>
    <x v="343"/>
    <x v="0"/>
    <x v="3094"/>
    <x v="0"/>
    <x v="1160"/>
    <n v="25.96"/>
    <x v="2"/>
  </r>
  <r>
    <x v="343"/>
    <x v="0"/>
    <x v="3095"/>
    <x v="0"/>
    <x v="1160"/>
    <n v="35.76"/>
    <x v="4"/>
  </r>
  <r>
    <x v="343"/>
    <x v="0"/>
    <x v="3096"/>
    <x v="0"/>
    <x v="1202"/>
    <n v="21.06"/>
    <x v="6"/>
  </r>
  <r>
    <x v="343"/>
    <x v="0"/>
    <x v="3097"/>
    <x v="0"/>
    <x v="1213"/>
    <n v="30.86"/>
    <x v="3"/>
  </r>
  <r>
    <x v="343"/>
    <x v="0"/>
    <x v="3098"/>
    <x v="0"/>
    <x v="1214"/>
    <n v="25.96"/>
    <x v="2"/>
  </r>
  <r>
    <x v="344"/>
    <x v="1"/>
    <x v="3099"/>
    <x v="0"/>
    <x v="1200"/>
    <n v="35.76"/>
    <x v="7"/>
  </r>
  <r>
    <x v="344"/>
    <x v="1"/>
    <x v="3100"/>
    <x v="0"/>
    <x v="1163"/>
    <n v="35.76"/>
    <x v="7"/>
  </r>
  <r>
    <x v="344"/>
    <x v="1"/>
    <x v="3101"/>
    <x v="0"/>
    <x v="1163"/>
    <n v="25.96"/>
    <x v="2"/>
  </r>
  <r>
    <x v="344"/>
    <x v="1"/>
    <x v="3102"/>
    <x v="0"/>
    <x v="878"/>
    <n v="30.86"/>
    <x v="3"/>
  </r>
  <r>
    <x v="344"/>
    <x v="1"/>
    <x v="3103"/>
    <x v="0"/>
    <x v="1200"/>
    <n v="30.86"/>
    <x v="3"/>
  </r>
  <r>
    <x v="344"/>
    <x v="1"/>
    <x v="3104"/>
    <x v="0"/>
    <x v="1184"/>
    <n v="35.76"/>
    <x v="7"/>
  </r>
  <r>
    <x v="344"/>
    <x v="1"/>
    <x v="3105"/>
    <x v="0"/>
    <x v="1215"/>
    <n v="25.96"/>
    <x v="2"/>
  </r>
  <r>
    <x v="344"/>
    <x v="1"/>
    <x v="3106"/>
    <x v="0"/>
    <x v="1201"/>
    <n v="35.76"/>
    <x v="1"/>
  </r>
  <r>
    <x v="344"/>
    <x v="1"/>
    <x v="3107"/>
    <x v="0"/>
    <x v="1179"/>
    <n v="35.76"/>
    <x v="1"/>
  </r>
  <r>
    <x v="345"/>
    <x v="2"/>
    <x v="3108"/>
    <x v="0"/>
    <x v="1216"/>
    <n v="25.96"/>
    <x v="2"/>
  </r>
  <r>
    <x v="345"/>
    <x v="2"/>
    <x v="3109"/>
    <x v="0"/>
    <x v="1169"/>
    <n v="25.96"/>
    <x v="2"/>
  </r>
  <r>
    <x v="345"/>
    <x v="2"/>
    <x v="3110"/>
    <x v="0"/>
    <x v="1169"/>
    <n v="30.86"/>
    <x v="3"/>
  </r>
  <r>
    <x v="345"/>
    <x v="2"/>
    <x v="3111"/>
    <x v="0"/>
    <x v="1156"/>
    <n v="35.76"/>
    <x v="1"/>
  </r>
  <r>
    <x v="345"/>
    <x v="2"/>
    <x v="3112"/>
    <x v="0"/>
    <x v="1160"/>
    <n v="25.96"/>
    <x v="2"/>
  </r>
  <r>
    <x v="345"/>
    <x v="2"/>
    <x v="3113"/>
    <x v="0"/>
    <x v="1196"/>
    <n v="35.76"/>
    <x v="1"/>
  </r>
  <r>
    <x v="345"/>
    <x v="2"/>
    <x v="3114"/>
    <x v="0"/>
    <x v="1196"/>
    <n v="35.76"/>
    <x v="0"/>
  </r>
  <r>
    <x v="345"/>
    <x v="2"/>
    <x v="3115"/>
    <x v="0"/>
    <x v="1163"/>
    <n v="35.76"/>
    <x v="1"/>
  </r>
  <r>
    <x v="345"/>
    <x v="2"/>
    <x v="3116"/>
    <x v="0"/>
    <x v="1163"/>
    <n v="30.86"/>
    <x v="3"/>
  </r>
  <r>
    <x v="345"/>
    <x v="2"/>
    <x v="3117"/>
    <x v="0"/>
    <x v="1217"/>
    <n v="30.86"/>
    <x v="3"/>
  </r>
  <r>
    <x v="346"/>
    <x v="3"/>
    <x v="3118"/>
    <x v="0"/>
    <x v="1200"/>
    <n v="35.76"/>
    <x v="7"/>
  </r>
  <r>
    <x v="346"/>
    <x v="3"/>
    <x v="3119"/>
    <x v="0"/>
    <x v="1163"/>
    <n v="25.96"/>
    <x v="2"/>
  </r>
  <r>
    <x v="346"/>
    <x v="3"/>
    <x v="3120"/>
    <x v="0"/>
    <x v="1160"/>
    <n v="25.96"/>
    <x v="2"/>
  </r>
  <r>
    <x v="346"/>
    <x v="3"/>
    <x v="3121"/>
    <x v="0"/>
    <x v="1218"/>
    <n v="30.86"/>
    <x v="3"/>
  </r>
  <r>
    <x v="346"/>
    <x v="3"/>
    <x v="3122"/>
    <x v="0"/>
    <x v="1210"/>
    <n v="35.76"/>
    <x v="1"/>
  </r>
  <r>
    <x v="346"/>
    <x v="3"/>
    <x v="3123"/>
    <x v="0"/>
    <x v="1219"/>
    <n v="30.86"/>
    <x v="3"/>
  </r>
  <r>
    <x v="346"/>
    <x v="3"/>
    <x v="3124"/>
    <x v="0"/>
    <x v="1160"/>
    <n v="25.96"/>
    <x v="2"/>
  </r>
  <r>
    <x v="346"/>
    <x v="3"/>
    <x v="3125"/>
    <x v="0"/>
    <x v="1203"/>
    <n v="30.86"/>
    <x v="3"/>
  </r>
  <r>
    <x v="346"/>
    <x v="3"/>
    <x v="3126"/>
    <x v="0"/>
    <x v="1202"/>
    <n v="21.06"/>
    <x v="6"/>
  </r>
  <r>
    <x v="346"/>
    <x v="3"/>
    <x v="3127"/>
    <x v="0"/>
    <x v="1220"/>
    <n v="35.76"/>
    <x v="7"/>
  </r>
  <r>
    <x v="346"/>
    <x v="3"/>
    <x v="3128"/>
    <x v="0"/>
    <x v="1221"/>
    <n v="35.76"/>
    <x v="0"/>
  </r>
  <r>
    <x v="346"/>
    <x v="3"/>
    <x v="3129"/>
    <x v="0"/>
    <x v="1194"/>
    <n v="30.86"/>
    <x v="3"/>
  </r>
  <r>
    <x v="346"/>
    <x v="3"/>
    <x v="3130"/>
    <x v="0"/>
    <x v="1191"/>
    <n v="35.76"/>
    <x v="0"/>
  </r>
  <r>
    <x v="346"/>
    <x v="3"/>
    <x v="3131"/>
    <x v="0"/>
    <x v="1218"/>
    <n v="21.06"/>
    <x v="6"/>
  </r>
  <r>
    <x v="346"/>
    <x v="3"/>
    <x v="3132"/>
    <x v="0"/>
    <x v="1170"/>
    <n v="25.96"/>
    <x v="2"/>
  </r>
  <r>
    <x v="346"/>
    <x v="3"/>
    <x v="3133"/>
    <x v="0"/>
    <x v="1222"/>
    <n v="30.86"/>
    <x v="3"/>
  </r>
  <r>
    <x v="346"/>
    <x v="3"/>
    <x v="3134"/>
    <x v="0"/>
    <x v="1206"/>
    <n v="25.96"/>
    <x v="2"/>
  </r>
  <r>
    <x v="346"/>
    <x v="3"/>
    <x v="3135"/>
    <x v="0"/>
    <x v="1223"/>
    <n v="25.96"/>
    <x v="2"/>
  </r>
  <r>
    <x v="346"/>
    <x v="3"/>
    <x v="3136"/>
    <x v="0"/>
    <x v="1223"/>
    <n v="25.96"/>
    <x v="2"/>
  </r>
  <r>
    <x v="346"/>
    <x v="3"/>
    <x v="3137"/>
    <x v="0"/>
    <x v="1192"/>
    <n v="35.76"/>
    <x v="0"/>
  </r>
  <r>
    <x v="347"/>
    <x v="4"/>
    <x v="3138"/>
    <x v="0"/>
    <x v="1163"/>
    <n v="25.96"/>
    <x v="2"/>
  </r>
  <r>
    <x v="347"/>
    <x v="4"/>
    <x v="3139"/>
    <x v="0"/>
    <x v="1163"/>
    <n v="25.96"/>
    <x v="2"/>
  </r>
  <r>
    <x v="347"/>
    <x v="4"/>
    <x v="3140"/>
    <x v="0"/>
    <x v="1110"/>
    <n v="25.96"/>
    <x v="2"/>
  </r>
  <r>
    <x v="347"/>
    <x v="4"/>
    <x v="3141"/>
    <x v="0"/>
    <x v="1198"/>
    <n v="25.96"/>
    <x v="2"/>
  </r>
  <r>
    <x v="347"/>
    <x v="4"/>
    <x v="3142"/>
    <x v="0"/>
    <x v="1203"/>
    <n v="30.86"/>
    <x v="3"/>
  </r>
  <r>
    <x v="347"/>
    <x v="4"/>
    <x v="3143"/>
    <x v="0"/>
    <x v="1218"/>
    <n v="30.86"/>
    <x v="3"/>
  </r>
  <r>
    <x v="347"/>
    <x v="4"/>
    <x v="3144"/>
    <x v="0"/>
    <x v="1224"/>
    <n v="35.76"/>
    <x v="4"/>
  </r>
  <r>
    <x v="347"/>
    <x v="4"/>
    <x v="3145"/>
    <x v="0"/>
    <x v="1215"/>
    <n v="25.96"/>
    <x v="2"/>
  </r>
  <r>
    <x v="347"/>
    <x v="4"/>
    <x v="3146"/>
    <x v="0"/>
    <x v="1222"/>
    <n v="30.86"/>
    <x v="3"/>
  </r>
  <r>
    <x v="347"/>
    <x v="4"/>
    <x v="3147"/>
    <x v="0"/>
    <x v="1210"/>
    <n v="35.76"/>
    <x v="1"/>
  </r>
  <r>
    <x v="347"/>
    <x v="4"/>
    <x v="3148"/>
    <x v="0"/>
    <x v="1225"/>
    <n v="30.86"/>
    <x v="3"/>
  </r>
  <r>
    <x v="347"/>
    <x v="4"/>
    <x v="3149"/>
    <x v="0"/>
    <x v="1225"/>
    <n v="21.06"/>
    <x v="6"/>
  </r>
  <r>
    <x v="347"/>
    <x v="4"/>
    <x v="3150"/>
    <x v="0"/>
    <x v="1225"/>
    <n v="35.76"/>
    <x v="4"/>
  </r>
  <r>
    <x v="347"/>
    <x v="4"/>
    <x v="3151"/>
    <x v="0"/>
    <x v="1225"/>
    <n v="35.76"/>
    <x v="4"/>
  </r>
  <r>
    <x v="347"/>
    <x v="4"/>
    <x v="3152"/>
    <x v="0"/>
    <x v="1226"/>
    <n v="35.76"/>
    <x v="4"/>
  </r>
  <r>
    <x v="347"/>
    <x v="4"/>
    <x v="3153"/>
    <x v="0"/>
    <x v="1185"/>
    <n v="35.76"/>
    <x v="4"/>
  </r>
  <r>
    <x v="347"/>
    <x v="4"/>
    <x v="3154"/>
    <x v="0"/>
    <x v="1212"/>
    <n v="35.76"/>
    <x v="1"/>
  </r>
  <r>
    <x v="347"/>
    <x v="4"/>
    <x v="3155"/>
    <x v="0"/>
    <x v="1222"/>
    <n v="30.86"/>
    <x v="3"/>
  </r>
  <r>
    <x v="348"/>
    <x v="5"/>
    <x v="3156"/>
    <x v="0"/>
    <x v="1161"/>
    <n v="35.76"/>
    <x v="7"/>
  </r>
  <r>
    <x v="348"/>
    <x v="5"/>
    <x v="3157"/>
    <x v="0"/>
    <x v="1152"/>
    <n v="25.96"/>
    <x v="2"/>
  </r>
  <r>
    <x v="348"/>
    <x v="5"/>
    <x v="3158"/>
    <x v="0"/>
    <x v="1170"/>
    <n v="25.96"/>
    <x v="2"/>
  </r>
  <r>
    <x v="348"/>
    <x v="5"/>
    <x v="3159"/>
    <x v="0"/>
    <x v="1220"/>
    <n v="35.76"/>
    <x v="7"/>
  </r>
  <r>
    <x v="348"/>
    <x v="5"/>
    <x v="3160"/>
    <x v="0"/>
    <x v="1167"/>
    <n v="25.96"/>
    <x v="2"/>
  </r>
  <r>
    <x v="348"/>
    <x v="5"/>
    <x v="3161"/>
    <x v="0"/>
    <x v="1227"/>
    <n v="35.76"/>
    <x v="1"/>
  </r>
  <r>
    <x v="348"/>
    <x v="5"/>
    <x v="3162"/>
    <x v="0"/>
    <x v="1207"/>
    <n v="30.86"/>
    <x v="3"/>
  </r>
  <r>
    <x v="348"/>
    <x v="5"/>
    <x v="3163"/>
    <x v="0"/>
    <x v="1198"/>
    <n v="25.96"/>
    <x v="2"/>
  </r>
  <r>
    <x v="348"/>
    <x v="5"/>
    <x v="3164"/>
    <x v="0"/>
    <x v="1168"/>
    <n v="35.76"/>
    <x v="4"/>
  </r>
  <r>
    <x v="348"/>
    <x v="5"/>
    <x v="3165"/>
    <x v="0"/>
    <x v="1171"/>
    <n v="25.96"/>
    <x v="2"/>
  </r>
  <r>
    <x v="348"/>
    <x v="5"/>
    <x v="3166"/>
    <x v="0"/>
    <x v="1158"/>
    <n v="35.76"/>
    <x v="7"/>
  </r>
  <r>
    <x v="348"/>
    <x v="5"/>
    <x v="3167"/>
    <x v="0"/>
    <x v="1110"/>
    <n v="25.96"/>
    <x v="2"/>
  </r>
  <r>
    <x v="348"/>
    <x v="5"/>
    <x v="3168"/>
    <x v="0"/>
    <x v="1158"/>
    <n v="35.76"/>
    <x v="7"/>
  </r>
  <r>
    <x v="348"/>
    <x v="5"/>
    <x v="3169"/>
    <x v="0"/>
    <x v="1217"/>
    <n v="30.86"/>
    <x v="3"/>
  </r>
  <r>
    <x v="348"/>
    <x v="5"/>
    <x v="3170"/>
    <x v="0"/>
    <x v="1228"/>
    <n v="35.76"/>
    <x v="7"/>
  </r>
  <r>
    <x v="348"/>
    <x v="5"/>
    <x v="3171"/>
    <x v="0"/>
    <x v="1229"/>
    <n v="35.76"/>
    <x v="0"/>
  </r>
  <r>
    <x v="348"/>
    <x v="5"/>
    <x v="3172"/>
    <x v="0"/>
    <x v="1179"/>
    <n v="35.76"/>
    <x v="4"/>
  </r>
  <r>
    <x v="348"/>
    <x v="5"/>
    <x v="3173"/>
    <x v="0"/>
    <x v="1179"/>
    <n v="35.76"/>
    <x v="1"/>
  </r>
  <r>
    <x v="348"/>
    <x v="5"/>
    <x v="3174"/>
    <x v="0"/>
    <x v="1191"/>
    <n v="35.76"/>
    <x v="0"/>
  </r>
  <r>
    <x v="348"/>
    <x v="5"/>
    <x v="3175"/>
    <x v="0"/>
    <x v="1182"/>
    <n v="35.76"/>
    <x v="4"/>
  </r>
  <r>
    <x v="349"/>
    <x v="6"/>
    <x v="3176"/>
    <x v="0"/>
    <x v="1161"/>
    <n v="35.76"/>
    <x v="7"/>
  </r>
  <r>
    <x v="349"/>
    <x v="6"/>
    <x v="3177"/>
    <x v="0"/>
    <x v="1167"/>
    <n v="25.96"/>
    <x v="2"/>
  </r>
  <r>
    <x v="349"/>
    <x v="6"/>
    <x v="3178"/>
    <x v="0"/>
    <x v="1163"/>
    <n v="35.76"/>
    <x v="7"/>
  </r>
  <r>
    <x v="349"/>
    <x v="6"/>
    <x v="3179"/>
    <x v="0"/>
    <x v="1163"/>
    <n v="25.96"/>
    <x v="2"/>
  </r>
  <r>
    <x v="349"/>
    <x v="6"/>
    <x v="3180"/>
    <x v="0"/>
    <x v="1167"/>
    <n v="25.96"/>
    <x v="2"/>
  </r>
  <r>
    <x v="349"/>
    <x v="6"/>
    <x v="3181"/>
    <x v="0"/>
    <x v="1198"/>
    <n v="25.96"/>
    <x v="2"/>
  </r>
  <r>
    <x v="349"/>
    <x v="6"/>
    <x v="3182"/>
    <x v="0"/>
    <x v="1203"/>
    <n v="30.86"/>
    <x v="3"/>
  </r>
  <r>
    <x v="349"/>
    <x v="6"/>
    <x v="3183"/>
    <x v="0"/>
    <x v="1196"/>
    <n v="35.76"/>
    <x v="0"/>
  </r>
  <r>
    <x v="349"/>
    <x v="6"/>
    <x v="3184"/>
    <x v="0"/>
    <x v="1163"/>
    <n v="25.96"/>
    <x v="2"/>
  </r>
  <r>
    <x v="349"/>
    <x v="6"/>
    <x v="3185"/>
    <x v="0"/>
    <x v="1163"/>
    <n v="25.96"/>
    <x v="2"/>
  </r>
  <r>
    <x v="349"/>
    <x v="6"/>
    <x v="3186"/>
    <x v="0"/>
    <x v="1230"/>
    <n v="21.06"/>
    <x v="6"/>
  </r>
  <r>
    <x v="349"/>
    <x v="6"/>
    <x v="3187"/>
    <x v="0"/>
    <x v="1156"/>
    <n v="35.76"/>
    <x v="7"/>
  </r>
  <r>
    <x v="349"/>
    <x v="6"/>
    <x v="3188"/>
    <x v="0"/>
    <x v="1231"/>
    <n v="35.76"/>
    <x v="7"/>
  </r>
  <r>
    <x v="349"/>
    <x v="6"/>
    <x v="3189"/>
    <x v="0"/>
    <x v="1231"/>
    <n v="35.76"/>
    <x v="1"/>
  </r>
  <r>
    <x v="349"/>
    <x v="6"/>
    <x v="3190"/>
    <x v="0"/>
    <x v="1163"/>
    <n v="25.96"/>
    <x v="2"/>
  </r>
  <r>
    <x v="349"/>
    <x v="6"/>
    <x v="3191"/>
    <x v="0"/>
    <x v="1232"/>
    <n v="25.96"/>
    <x v="2"/>
  </r>
  <r>
    <x v="349"/>
    <x v="6"/>
    <x v="3192"/>
    <x v="0"/>
    <x v="1233"/>
    <n v="35.76"/>
    <x v="1"/>
  </r>
  <r>
    <x v="349"/>
    <x v="6"/>
    <x v="3193"/>
    <x v="0"/>
    <x v="1234"/>
    <n v="35.76"/>
    <x v="4"/>
  </r>
  <r>
    <x v="349"/>
    <x v="6"/>
    <x v="3194"/>
    <x v="0"/>
    <x v="1169"/>
    <n v="35.76"/>
    <x v="0"/>
  </r>
  <r>
    <x v="350"/>
    <x v="0"/>
    <x v="3195"/>
    <x v="0"/>
    <x v="1163"/>
    <n v="25.96"/>
    <x v="2"/>
  </r>
  <r>
    <x v="350"/>
    <x v="0"/>
    <x v="3196"/>
    <x v="0"/>
    <x v="1235"/>
    <n v="35.76"/>
    <x v="0"/>
  </r>
  <r>
    <x v="350"/>
    <x v="0"/>
    <x v="3197"/>
    <x v="0"/>
    <x v="1236"/>
    <n v="35.76"/>
    <x v="7"/>
  </r>
  <r>
    <x v="350"/>
    <x v="0"/>
    <x v="3198"/>
    <x v="0"/>
    <x v="1237"/>
    <n v="21.06"/>
    <x v="6"/>
  </r>
  <r>
    <x v="350"/>
    <x v="0"/>
    <x v="3199"/>
    <x v="0"/>
    <x v="1232"/>
    <n v="25.96"/>
    <x v="2"/>
  </r>
  <r>
    <x v="350"/>
    <x v="0"/>
    <x v="3200"/>
    <x v="0"/>
    <x v="1163"/>
    <n v="30.86"/>
    <x v="3"/>
  </r>
  <r>
    <x v="350"/>
    <x v="0"/>
    <x v="3201"/>
    <x v="0"/>
    <x v="1110"/>
    <n v="25.96"/>
    <x v="2"/>
  </r>
  <r>
    <x v="350"/>
    <x v="0"/>
    <x v="3202"/>
    <x v="0"/>
    <x v="1238"/>
    <n v="25.96"/>
    <x v="2"/>
  </r>
  <r>
    <x v="350"/>
    <x v="0"/>
    <x v="3203"/>
    <x v="0"/>
    <x v="1198"/>
    <n v="25.96"/>
    <x v="2"/>
  </r>
  <r>
    <x v="350"/>
    <x v="0"/>
    <x v="3204"/>
    <x v="0"/>
    <x v="1167"/>
    <n v="25.96"/>
    <x v="2"/>
  </r>
  <r>
    <x v="350"/>
    <x v="0"/>
    <x v="3205"/>
    <x v="0"/>
    <x v="1203"/>
    <n v="25.96"/>
    <x v="2"/>
  </r>
  <r>
    <x v="350"/>
    <x v="0"/>
    <x v="3206"/>
    <x v="0"/>
    <x v="1203"/>
    <n v="25.96"/>
    <x v="2"/>
  </r>
  <r>
    <x v="350"/>
    <x v="0"/>
    <x v="3207"/>
    <x v="0"/>
    <x v="1161"/>
    <n v="35.76"/>
    <x v="7"/>
  </r>
  <r>
    <x v="350"/>
    <x v="0"/>
    <x v="3208"/>
    <x v="0"/>
    <x v="1163"/>
    <n v="25.96"/>
    <x v="2"/>
  </r>
  <r>
    <x v="350"/>
    <x v="0"/>
    <x v="3209"/>
    <x v="0"/>
    <x v="1163"/>
    <n v="25.96"/>
    <x v="2"/>
  </r>
  <r>
    <x v="350"/>
    <x v="0"/>
    <x v="3210"/>
    <x v="0"/>
    <x v="1203"/>
    <n v="25.96"/>
    <x v="2"/>
  </r>
  <r>
    <x v="350"/>
    <x v="0"/>
    <x v="3211"/>
    <x v="0"/>
    <x v="1239"/>
    <n v="35.76"/>
    <x v="4"/>
  </r>
  <r>
    <x v="350"/>
    <x v="0"/>
    <x v="3212"/>
    <x v="0"/>
    <x v="1191"/>
    <n v="35.76"/>
    <x v="0"/>
  </r>
  <r>
    <x v="350"/>
    <x v="0"/>
    <x v="3213"/>
    <x v="0"/>
    <x v="1165"/>
    <n v="35.76"/>
    <x v="1"/>
  </r>
  <r>
    <x v="350"/>
    <x v="0"/>
    <x v="3214"/>
    <x v="0"/>
    <x v="1165"/>
    <n v="35.76"/>
    <x v="0"/>
  </r>
  <r>
    <x v="350"/>
    <x v="0"/>
    <x v="3215"/>
    <x v="0"/>
    <x v="1178"/>
    <n v="35.76"/>
    <x v="4"/>
  </r>
  <r>
    <x v="350"/>
    <x v="0"/>
    <x v="3216"/>
    <x v="0"/>
    <x v="1178"/>
    <n v="35.76"/>
    <x v="4"/>
  </r>
  <r>
    <x v="350"/>
    <x v="0"/>
    <x v="3217"/>
    <x v="0"/>
    <x v="1184"/>
    <n v="35.76"/>
    <x v="7"/>
  </r>
  <r>
    <x v="351"/>
    <x v="1"/>
    <x v="3218"/>
    <x v="0"/>
    <x v="1240"/>
    <n v="35.76"/>
    <x v="1"/>
  </r>
  <r>
    <x v="351"/>
    <x v="1"/>
    <x v="3219"/>
    <x v="0"/>
    <x v="1241"/>
    <n v="25.96"/>
    <x v="2"/>
  </r>
  <r>
    <x v="351"/>
    <x v="1"/>
    <x v="3220"/>
    <x v="0"/>
    <x v="1190"/>
    <n v="25.96"/>
    <x v="2"/>
  </r>
  <r>
    <x v="351"/>
    <x v="1"/>
    <x v="3221"/>
    <x v="0"/>
    <x v="95"/>
    <n v="21.06"/>
    <x v="6"/>
  </r>
  <r>
    <x v="351"/>
    <x v="1"/>
    <x v="3222"/>
    <x v="0"/>
    <x v="1162"/>
    <n v="30.86"/>
    <x v="3"/>
  </r>
  <r>
    <x v="352"/>
    <x v="2"/>
    <x v="3223"/>
    <x v="0"/>
    <x v="1156"/>
    <n v="30.86"/>
    <x v="3"/>
  </r>
  <r>
    <x v="352"/>
    <x v="2"/>
    <x v="3224"/>
    <x v="0"/>
    <x v="1163"/>
    <n v="30.86"/>
    <x v="3"/>
  </r>
  <r>
    <x v="352"/>
    <x v="2"/>
    <x v="3225"/>
    <x v="0"/>
    <x v="1163"/>
    <n v="30.86"/>
    <x v="3"/>
  </r>
  <r>
    <x v="352"/>
    <x v="2"/>
    <x v="3226"/>
    <x v="0"/>
    <x v="1242"/>
    <n v="35.76"/>
    <x v="7"/>
  </r>
  <r>
    <x v="352"/>
    <x v="2"/>
    <x v="3227"/>
    <x v="0"/>
    <x v="1156"/>
    <n v="35.76"/>
    <x v="4"/>
  </r>
  <r>
    <x v="352"/>
    <x v="2"/>
    <x v="3228"/>
    <x v="0"/>
    <x v="1243"/>
    <n v="25.96"/>
    <x v="2"/>
  </r>
  <r>
    <x v="353"/>
    <x v="3"/>
    <x v="3229"/>
    <x v="0"/>
    <x v="1220"/>
    <n v="30.86"/>
    <x v="3"/>
  </r>
  <r>
    <x v="353"/>
    <x v="3"/>
    <x v="3230"/>
    <x v="0"/>
    <x v="1244"/>
    <n v="35.76"/>
    <x v="0"/>
  </r>
  <r>
    <x v="353"/>
    <x v="3"/>
    <x v="3231"/>
    <x v="0"/>
    <x v="1163"/>
    <n v="25.96"/>
    <x v="2"/>
  </r>
  <r>
    <x v="353"/>
    <x v="3"/>
    <x v="3232"/>
    <x v="0"/>
    <x v="1245"/>
    <n v="30.86"/>
    <x v="3"/>
  </r>
  <r>
    <x v="353"/>
    <x v="3"/>
    <x v="3233"/>
    <x v="0"/>
    <x v="1245"/>
    <n v="30.86"/>
    <x v="3"/>
  </r>
  <r>
    <x v="353"/>
    <x v="3"/>
    <x v="3234"/>
    <x v="0"/>
    <x v="1244"/>
    <n v="35.76"/>
    <x v="4"/>
  </r>
  <r>
    <x v="353"/>
    <x v="3"/>
    <x v="3235"/>
    <x v="0"/>
    <x v="1191"/>
    <n v="35.76"/>
    <x v="0"/>
  </r>
  <r>
    <x v="353"/>
    <x v="3"/>
    <x v="3236"/>
    <x v="0"/>
    <x v="1191"/>
    <n v="35.76"/>
    <x v="4"/>
  </r>
  <r>
    <x v="353"/>
    <x v="3"/>
    <x v="3237"/>
    <x v="0"/>
    <x v="1163"/>
    <n v="30.86"/>
    <x v="3"/>
  </r>
  <r>
    <x v="353"/>
    <x v="3"/>
    <x v="3238"/>
    <x v="0"/>
    <x v="1246"/>
    <n v="35.76"/>
    <x v="4"/>
  </r>
  <r>
    <x v="353"/>
    <x v="3"/>
    <x v="3239"/>
    <x v="0"/>
    <x v="1184"/>
    <n v="35.76"/>
    <x v="7"/>
  </r>
  <r>
    <x v="353"/>
    <x v="3"/>
    <x v="3240"/>
    <x v="0"/>
    <x v="1177"/>
    <n v="35.76"/>
    <x v="0"/>
  </r>
  <r>
    <x v="353"/>
    <x v="3"/>
    <x v="3241"/>
    <x v="0"/>
    <x v="1170"/>
    <n v="25.96"/>
    <x v="2"/>
  </r>
  <r>
    <x v="353"/>
    <x v="3"/>
    <x v="3242"/>
    <x v="0"/>
    <x v="1170"/>
    <n v="25.96"/>
    <x v="2"/>
  </r>
  <r>
    <x v="353"/>
    <x v="3"/>
    <x v="3243"/>
    <x v="0"/>
    <x v="1222"/>
    <n v="30.86"/>
    <x v="3"/>
  </r>
  <r>
    <x v="353"/>
    <x v="3"/>
    <x v="3244"/>
    <x v="0"/>
    <x v="1162"/>
    <n v="30.86"/>
    <x v="3"/>
  </r>
  <r>
    <x v="353"/>
    <x v="3"/>
    <x v="3245"/>
    <x v="0"/>
    <x v="1191"/>
    <n v="35.76"/>
    <x v="0"/>
  </r>
  <r>
    <x v="353"/>
    <x v="3"/>
    <x v="3246"/>
    <x v="0"/>
    <x v="878"/>
    <n v="30.86"/>
    <x v="3"/>
  </r>
  <r>
    <x v="353"/>
    <x v="3"/>
    <x v="3247"/>
    <x v="0"/>
    <x v="1179"/>
    <n v="35.76"/>
    <x v="1"/>
  </r>
  <r>
    <x v="353"/>
    <x v="3"/>
    <x v="3248"/>
    <x v="0"/>
    <x v="1247"/>
    <n v="35.76"/>
    <x v="0"/>
  </r>
  <r>
    <x v="353"/>
    <x v="3"/>
    <x v="3249"/>
    <x v="0"/>
    <x v="1179"/>
    <n v="35.76"/>
    <x v="4"/>
  </r>
  <r>
    <x v="353"/>
    <x v="3"/>
    <x v="3250"/>
    <x v="0"/>
    <x v="1156"/>
    <n v="35.76"/>
    <x v="4"/>
  </r>
  <r>
    <x v="354"/>
    <x v="4"/>
    <x v="3251"/>
    <x v="0"/>
    <x v="1153"/>
    <n v="30.86"/>
    <x v="3"/>
  </r>
  <r>
    <x v="354"/>
    <x v="4"/>
    <x v="3252"/>
    <x v="0"/>
    <x v="1152"/>
    <n v="25.96"/>
    <x v="2"/>
  </r>
  <r>
    <x v="354"/>
    <x v="4"/>
    <x v="3253"/>
    <x v="0"/>
    <x v="1152"/>
    <n v="30.86"/>
    <x v="3"/>
  </r>
  <r>
    <x v="354"/>
    <x v="4"/>
    <x v="3254"/>
    <x v="0"/>
    <x v="1237"/>
    <n v="21.06"/>
    <x v="6"/>
  </r>
  <r>
    <x v="354"/>
    <x v="4"/>
    <x v="3255"/>
    <x v="0"/>
    <x v="1170"/>
    <n v="25.96"/>
    <x v="2"/>
  </r>
  <r>
    <x v="354"/>
    <x v="4"/>
    <x v="3256"/>
    <x v="0"/>
    <x v="1152"/>
    <n v="25.96"/>
    <x v="2"/>
  </r>
  <r>
    <x v="354"/>
    <x v="4"/>
    <x v="3257"/>
    <x v="0"/>
    <x v="1184"/>
    <n v="35.76"/>
    <x v="7"/>
  </r>
  <r>
    <x v="354"/>
    <x v="4"/>
    <x v="3258"/>
    <x v="0"/>
    <x v="1161"/>
    <n v="35.76"/>
    <x v="7"/>
  </r>
  <r>
    <x v="354"/>
    <x v="4"/>
    <x v="3259"/>
    <x v="0"/>
    <x v="19"/>
    <n v="25.96"/>
    <x v="2"/>
  </r>
  <r>
    <x v="354"/>
    <x v="4"/>
    <x v="3260"/>
    <x v="0"/>
    <x v="19"/>
    <n v="25.96"/>
    <x v="2"/>
  </r>
  <r>
    <x v="354"/>
    <x v="4"/>
    <x v="3261"/>
    <x v="0"/>
    <x v="1234"/>
    <n v="35.76"/>
    <x v="4"/>
  </r>
  <r>
    <x v="354"/>
    <x v="4"/>
    <x v="3262"/>
    <x v="0"/>
    <x v="1152"/>
    <n v="35.76"/>
    <x v="7"/>
  </r>
  <r>
    <x v="355"/>
    <x v="5"/>
    <x v="3263"/>
    <x v="0"/>
    <x v="1170"/>
    <n v="25.96"/>
    <x v="2"/>
  </r>
  <r>
    <x v="355"/>
    <x v="5"/>
    <x v="3264"/>
    <x v="0"/>
    <x v="1248"/>
    <n v="30.86"/>
    <x v="3"/>
  </r>
  <r>
    <x v="355"/>
    <x v="5"/>
    <x v="3265"/>
    <x v="0"/>
    <x v="1248"/>
    <n v="30.86"/>
    <x v="3"/>
  </r>
  <r>
    <x v="355"/>
    <x v="5"/>
    <x v="3266"/>
    <x v="0"/>
    <x v="1155"/>
    <n v="35.76"/>
    <x v="1"/>
  </r>
  <r>
    <x v="355"/>
    <x v="5"/>
    <x v="3267"/>
    <x v="0"/>
    <x v="1168"/>
    <n v="35.76"/>
    <x v="4"/>
  </r>
  <r>
    <x v="355"/>
    <x v="5"/>
    <x v="3268"/>
    <x v="0"/>
    <x v="1191"/>
    <n v="35.76"/>
    <x v="0"/>
  </r>
  <r>
    <x v="355"/>
    <x v="5"/>
    <x v="3269"/>
    <x v="0"/>
    <x v="1110"/>
    <n v="25.96"/>
    <x v="2"/>
  </r>
  <r>
    <x v="355"/>
    <x v="5"/>
    <x v="3270"/>
    <x v="0"/>
    <x v="1249"/>
    <n v="25.96"/>
    <x v="2"/>
  </r>
  <r>
    <x v="355"/>
    <x v="5"/>
    <x v="3271"/>
    <x v="0"/>
    <x v="1247"/>
    <n v="25.96"/>
    <x v="5"/>
  </r>
  <r>
    <x v="355"/>
    <x v="5"/>
    <x v="3272"/>
    <x v="0"/>
    <x v="1250"/>
    <n v="35.76"/>
    <x v="1"/>
  </r>
  <r>
    <x v="355"/>
    <x v="5"/>
    <x v="3273"/>
    <x v="0"/>
    <x v="1250"/>
    <n v="25.96"/>
    <x v="2"/>
  </r>
  <r>
    <x v="355"/>
    <x v="5"/>
    <x v="3274"/>
    <x v="0"/>
    <x v="1190"/>
    <n v="25.96"/>
    <x v="2"/>
  </r>
  <r>
    <x v="355"/>
    <x v="5"/>
    <x v="3275"/>
    <x v="0"/>
    <x v="1164"/>
    <n v="35.76"/>
    <x v="0"/>
  </r>
  <r>
    <x v="355"/>
    <x v="5"/>
    <x v="3276"/>
    <x v="0"/>
    <x v="1165"/>
    <n v="35.76"/>
    <x v="1"/>
  </r>
  <r>
    <x v="355"/>
    <x v="5"/>
    <x v="3277"/>
    <x v="0"/>
    <x v="1191"/>
    <n v="35.76"/>
    <x v="0"/>
  </r>
  <r>
    <x v="355"/>
    <x v="5"/>
    <x v="3278"/>
    <x v="0"/>
    <x v="1166"/>
    <n v="30.86"/>
    <x v="3"/>
  </r>
  <r>
    <x v="355"/>
    <x v="5"/>
    <x v="3279"/>
    <x v="0"/>
    <x v="1163"/>
    <n v="35.76"/>
    <x v="0"/>
  </r>
  <r>
    <x v="355"/>
    <x v="5"/>
    <x v="3280"/>
    <x v="0"/>
    <x v="1163"/>
    <n v="35.76"/>
    <x v="7"/>
  </r>
  <r>
    <x v="356"/>
    <x v="6"/>
    <x v="3281"/>
    <x v="0"/>
    <x v="1163"/>
    <n v="35.76"/>
    <x v="7"/>
  </r>
  <r>
    <x v="356"/>
    <x v="6"/>
    <x v="3282"/>
    <x v="0"/>
    <x v="1161"/>
    <n v="35.76"/>
    <x v="7"/>
  </r>
  <r>
    <x v="356"/>
    <x v="6"/>
    <x v="3283"/>
    <x v="0"/>
    <x v="1237"/>
    <n v="21.06"/>
    <x v="6"/>
  </r>
  <r>
    <x v="356"/>
    <x v="6"/>
    <x v="3284"/>
    <x v="0"/>
    <x v="1168"/>
    <n v="35.76"/>
    <x v="4"/>
  </r>
  <r>
    <x v="356"/>
    <x v="6"/>
    <x v="3285"/>
    <x v="0"/>
    <x v="1251"/>
    <n v="35.76"/>
    <x v="4"/>
  </r>
  <r>
    <x v="356"/>
    <x v="6"/>
    <x v="3286"/>
    <x v="0"/>
    <x v="1252"/>
    <n v="30.86"/>
    <x v="3"/>
  </r>
  <r>
    <x v="356"/>
    <x v="6"/>
    <x v="3287"/>
    <x v="0"/>
    <x v="1163"/>
    <n v="25.96"/>
    <x v="2"/>
  </r>
  <r>
    <x v="356"/>
    <x v="6"/>
    <x v="3288"/>
    <x v="0"/>
    <x v="1253"/>
    <n v="35.76"/>
    <x v="0"/>
  </r>
  <r>
    <x v="356"/>
    <x v="6"/>
    <x v="3289"/>
    <x v="0"/>
    <x v="1170"/>
    <n v="25.96"/>
    <x v="2"/>
  </r>
  <r>
    <x v="356"/>
    <x v="6"/>
    <x v="3290"/>
    <x v="0"/>
    <x v="1170"/>
    <n v="25.96"/>
    <x v="2"/>
  </r>
  <r>
    <x v="356"/>
    <x v="6"/>
    <x v="3291"/>
    <x v="0"/>
    <x v="1190"/>
    <n v="25.96"/>
    <x v="2"/>
  </r>
  <r>
    <x v="356"/>
    <x v="6"/>
    <x v="3292"/>
    <x v="0"/>
    <x v="1170"/>
    <n v="25.96"/>
    <x v="2"/>
  </r>
  <r>
    <x v="356"/>
    <x v="6"/>
    <x v="3293"/>
    <x v="0"/>
    <x v="1254"/>
    <n v="35.76"/>
    <x v="0"/>
  </r>
  <r>
    <x v="356"/>
    <x v="6"/>
    <x v="3294"/>
    <x v="0"/>
    <x v="1208"/>
    <n v="35.76"/>
    <x v="0"/>
  </r>
  <r>
    <x v="356"/>
    <x v="6"/>
    <x v="3295"/>
    <x v="0"/>
    <x v="1184"/>
    <n v="35.76"/>
    <x v="7"/>
  </r>
  <r>
    <x v="356"/>
    <x v="6"/>
    <x v="3296"/>
    <x v="0"/>
    <x v="1179"/>
    <n v="35.76"/>
    <x v="4"/>
  </r>
  <r>
    <x v="356"/>
    <x v="6"/>
    <x v="3297"/>
    <x v="0"/>
    <x v="1179"/>
    <n v="35.76"/>
    <x v="4"/>
  </r>
  <r>
    <x v="356"/>
    <x v="6"/>
    <x v="3298"/>
    <x v="0"/>
    <x v="1215"/>
    <n v="35.76"/>
    <x v="0"/>
  </r>
  <r>
    <x v="356"/>
    <x v="6"/>
    <x v="3299"/>
    <x v="0"/>
    <x v="46"/>
    <n v="35.76"/>
    <x v="7"/>
  </r>
  <r>
    <x v="357"/>
    <x v="0"/>
    <x v="3300"/>
    <x v="0"/>
    <x v="1163"/>
    <n v="30.86"/>
    <x v="3"/>
  </r>
  <r>
    <x v="357"/>
    <x v="0"/>
    <x v="3301"/>
    <x v="0"/>
    <x v="1163"/>
    <n v="30.86"/>
    <x v="3"/>
  </r>
  <r>
    <x v="357"/>
    <x v="0"/>
    <x v="3302"/>
    <x v="0"/>
    <x v="1161"/>
    <n v="35.76"/>
    <x v="7"/>
  </r>
  <r>
    <x v="357"/>
    <x v="0"/>
    <x v="3303"/>
    <x v="0"/>
    <x v="1255"/>
    <n v="21.06"/>
    <x v="6"/>
  </r>
  <r>
    <x v="357"/>
    <x v="0"/>
    <x v="3304"/>
    <x v="0"/>
    <x v="1162"/>
    <n v="30.86"/>
    <x v="3"/>
  </r>
  <r>
    <x v="357"/>
    <x v="0"/>
    <x v="3305"/>
    <x v="0"/>
    <x v="1110"/>
    <n v="25.96"/>
    <x v="2"/>
  </r>
  <r>
    <x v="357"/>
    <x v="0"/>
    <x v="3306"/>
    <x v="0"/>
    <x v="1110"/>
    <n v="25.96"/>
    <x v="2"/>
  </r>
  <r>
    <x v="357"/>
    <x v="0"/>
    <x v="3307"/>
    <x v="0"/>
    <x v="1163"/>
    <n v="25.96"/>
    <x v="2"/>
  </r>
  <r>
    <x v="357"/>
    <x v="0"/>
    <x v="3308"/>
    <x v="0"/>
    <x v="1191"/>
    <n v="35.76"/>
    <x v="0"/>
  </r>
  <r>
    <x v="357"/>
    <x v="0"/>
    <x v="3309"/>
    <x v="0"/>
    <x v="1110"/>
    <n v="25.96"/>
    <x v="2"/>
  </r>
  <r>
    <x v="357"/>
    <x v="0"/>
    <x v="3310"/>
    <x v="0"/>
    <x v="1156"/>
    <n v="35.76"/>
    <x v="4"/>
  </r>
  <r>
    <x v="357"/>
    <x v="0"/>
    <x v="3311"/>
    <x v="0"/>
    <x v="1170"/>
    <n v="25.96"/>
    <x v="2"/>
  </r>
  <r>
    <x v="357"/>
    <x v="0"/>
    <x v="3312"/>
    <x v="0"/>
    <x v="1191"/>
    <n v="35.76"/>
    <x v="0"/>
  </r>
  <r>
    <x v="357"/>
    <x v="0"/>
    <x v="3313"/>
    <x v="0"/>
    <x v="1256"/>
    <n v="30.86"/>
    <x v="3"/>
  </r>
  <r>
    <x v="357"/>
    <x v="0"/>
    <x v="3314"/>
    <x v="0"/>
    <x v="1170"/>
    <n v="25.96"/>
    <x v="2"/>
  </r>
  <r>
    <x v="357"/>
    <x v="0"/>
    <x v="3315"/>
    <x v="0"/>
    <x v="1190"/>
    <n v="25.96"/>
    <x v="2"/>
  </r>
  <r>
    <x v="357"/>
    <x v="0"/>
    <x v="3316"/>
    <x v="0"/>
    <x v="1257"/>
    <n v="35.76"/>
    <x v="0"/>
  </r>
  <r>
    <x v="358"/>
    <x v="1"/>
    <x v="3317"/>
    <x v="0"/>
    <x v="1184"/>
    <n v="35.76"/>
    <x v="7"/>
  </r>
  <r>
    <x v="358"/>
    <x v="1"/>
    <x v="3318"/>
    <x v="0"/>
    <x v="1190"/>
    <n v="25.96"/>
    <x v="2"/>
  </r>
  <r>
    <x v="358"/>
    <x v="1"/>
    <x v="3319"/>
    <x v="0"/>
    <x v="1198"/>
    <n v="25.96"/>
    <x v="2"/>
  </r>
  <r>
    <x v="358"/>
    <x v="1"/>
    <x v="3320"/>
    <x v="0"/>
    <x v="1254"/>
    <n v="35.76"/>
    <x v="0"/>
  </r>
  <r>
    <x v="358"/>
    <x v="1"/>
    <x v="3321"/>
    <x v="0"/>
    <x v="1152"/>
    <n v="25.96"/>
    <x v="2"/>
  </r>
  <r>
    <x v="358"/>
    <x v="1"/>
    <x v="3322"/>
    <x v="0"/>
    <x v="1157"/>
    <n v="30.86"/>
    <x v="3"/>
  </r>
  <r>
    <x v="358"/>
    <x v="1"/>
    <x v="3323"/>
    <x v="0"/>
    <x v="1184"/>
    <n v="35.76"/>
    <x v="7"/>
  </r>
  <r>
    <x v="358"/>
    <x v="1"/>
    <x v="3324"/>
    <x v="0"/>
    <x v="1258"/>
    <n v="25.96"/>
    <x v="2"/>
  </r>
  <r>
    <x v="359"/>
    <x v="2"/>
    <x v="3325"/>
    <x v="0"/>
    <x v="1163"/>
    <n v="35.76"/>
    <x v="4"/>
  </r>
  <r>
    <x v="359"/>
    <x v="2"/>
    <x v="3326"/>
    <x v="0"/>
    <x v="1189"/>
    <n v="35.76"/>
    <x v="0"/>
  </r>
  <r>
    <x v="359"/>
    <x v="2"/>
    <x v="3327"/>
    <x v="0"/>
    <x v="1217"/>
    <n v="30.86"/>
    <x v="3"/>
  </r>
  <r>
    <x v="359"/>
    <x v="2"/>
    <x v="3328"/>
    <x v="0"/>
    <x v="1152"/>
    <n v="30.86"/>
    <x v="3"/>
  </r>
  <r>
    <x v="359"/>
    <x v="2"/>
    <x v="3329"/>
    <x v="0"/>
    <x v="1152"/>
    <n v="25.96"/>
    <x v="2"/>
  </r>
  <r>
    <x v="359"/>
    <x v="2"/>
    <x v="3330"/>
    <x v="0"/>
    <x v="1190"/>
    <n v="25.96"/>
    <x v="2"/>
  </r>
  <r>
    <x v="360"/>
    <x v="3"/>
    <x v="3331"/>
    <x v="0"/>
    <x v="1161"/>
    <n v="35.76"/>
    <x v="7"/>
  </r>
  <r>
    <x v="360"/>
    <x v="3"/>
    <x v="3332"/>
    <x v="0"/>
    <x v="1244"/>
    <n v="35.76"/>
    <x v="4"/>
  </r>
  <r>
    <x v="360"/>
    <x v="3"/>
    <x v="3333"/>
    <x v="0"/>
    <x v="1244"/>
    <n v="35.76"/>
    <x v="0"/>
  </r>
  <r>
    <x v="360"/>
    <x v="3"/>
    <x v="3334"/>
    <x v="0"/>
    <x v="1227"/>
    <n v="35.76"/>
    <x v="1"/>
  </r>
  <r>
    <x v="360"/>
    <x v="3"/>
    <x v="3335"/>
    <x v="0"/>
    <x v="1259"/>
    <n v="35.76"/>
    <x v="1"/>
  </r>
  <r>
    <x v="360"/>
    <x v="3"/>
    <x v="3336"/>
    <x v="0"/>
    <x v="1184"/>
    <n v="35.76"/>
    <x v="7"/>
  </r>
  <r>
    <x v="360"/>
    <x v="3"/>
    <x v="3337"/>
    <x v="0"/>
    <x v="1191"/>
    <n v="35.76"/>
    <x v="0"/>
  </r>
  <r>
    <x v="360"/>
    <x v="3"/>
    <x v="3338"/>
    <x v="0"/>
    <x v="1167"/>
    <n v="25.96"/>
    <x v="2"/>
  </r>
  <r>
    <x v="360"/>
    <x v="3"/>
    <x v="3339"/>
    <x v="0"/>
    <x v="1196"/>
    <n v="35.76"/>
    <x v="4"/>
  </r>
  <r>
    <x v="360"/>
    <x v="3"/>
    <x v="3340"/>
    <x v="0"/>
    <x v="1191"/>
    <n v="35.76"/>
    <x v="0"/>
  </r>
  <r>
    <x v="360"/>
    <x v="3"/>
    <x v="3341"/>
    <x v="0"/>
    <x v="1164"/>
    <n v="35.76"/>
    <x v="0"/>
  </r>
  <r>
    <x v="360"/>
    <x v="3"/>
    <x v="3342"/>
    <x v="0"/>
    <x v="1158"/>
    <n v="35.76"/>
    <x v="7"/>
  </r>
  <r>
    <x v="360"/>
    <x v="3"/>
    <x v="3343"/>
    <x v="0"/>
    <x v="1158"/>
    <n v="35.76"/>
    <x v="7"/>
  </r>
  <r>
    <x v="360"/>
    <x v="3"/>
    <x v="3344"/>
    <x v="0"/>
    <x v="1170"/>
    <n v="25.96"/>
    <x v="2"/>
  </r>
  <r>
    <x v="360"/>
    <x v="3"/>
    <x v="3345"/>
    <x v="0"/>
    <x v="1256"/>
    <n v="30.86"/>
    <x v="3"/>
  </r>
  <r>
    <x v="360"/>
    <x v="3"/>
    <x v="3346"/>
    <x v="0"/>
    <x v="1198"/>
    <n v="25.96"/>
    <x v="2"/>
  </r>
  <r>
    <x v="360"/>
    <x v="3"/>
    <x v="3347"/>
    <x v="0"/>
    <x v="1198"/>
    <n v="35.76"/>
    <x v="1"/>
  </r>
  <r>
    <x v="360"/>
    <x v="3"/>
    <x v="3348"/>
    <x v="0"/>
    <x v="1198"/>
    <n v="25.96"/>
    <x v="2"/>
  </r>
  <r>
    <x v="360"/>
    <x v="3"/>
    <x v="3349"/>
    <x v="0"/>
    <x v="1179"/>
    <n v="35.76"/>
    <x v="1"/>
  </r>
  <r>
    <x v="360"/>
    <x v="3"/>
    <x v="3350"/>
    <x v="0"/>
    <x v="1178"/>
    <n v="35.76"/>
    <x v="1"/>
  </r>
  <r>
    <x v="360"/>
    <x v="3"/>
    <x v="3351"/>
    <x v="0"/>
    <x v="1162"/>
    <n v="30.86"/>
    <x v="3"/>
  </r>
  <r>
    <x v="360"/>
    <x v="3"/>
    <x v="3352"/>
    <x v="0"/>
    <x v="1257"/>
    <n v="35.76"/>
    <x v="0"/>
  </r>
  <r>
    <x v="361"/>
    <x v="4"/>
    <x v="3353"/>
    <x v="0"/>
    <x v="1161"/>
    <n v="35.76"/>
    <x v="7"/>
  </r>
  <r>
    <x v="361"/>
    <x v="4"/>
    <x v="3354"/>
    <x v="0"/>
    <x v="1163"/>
    <n v="25.96"/>
    <x v="2"/>
  </r>
  <r>
    <x v="361"/>
    <x v="4"/>
    <x v="3355"/>
    <x v="0"/>
    <x v="1187"/>
    <n v="30.86"/>
    <x v="3"/>
  </r>
  <r>
    <x v="361"/>
    <x v="4"/>
    <x v="3356"/>
    <x v="0"/>
    <x v="1163"/>
    <n v="25.96"/>
    <x v="2"/>
  </r>
  <r>
    <x v="361"/>
    <x v="4"/>
    <x v="3357"/>
    <x v="0"/>
    <x v="1163"/>
    <n v="25.96"/>
    <x v="2"/>
  </r>
  <r>
    <x v="361"/>
    <x v="4"/>
    <x v="3358"/>
    <x v="0"/>
    <x v="1260"/>
    <n v="25.96"/>
    <x v="2"/>
  </r>
  <r>
    <x v="361"/>
    <x v="4"/>
    <x v="3359"/>
    <x v="0"/>
    <x v="1222"/>
    <n v="30.86"/>
    <x v="3"/>
  </r>
  <r>
    <x v="361"/>
    <x v="4"/>
    <x v="3360"/>
    <x v="0"/>
    <x v="1176"/>
    <n v="25.96"/>
    <x v="2"/>
  </r>
  <r>
    <x v="361"/>
    <x v="4"/>
    <x v="3361"/>
    <x v="0"/>
    <x v="1167"/>
    <n v="25.96"/>
    <x v="2"/>
  </r>
  <r>
    <x v="361"/>
    <x v="4"/>
    <x v="3362"/>
    <x v="0"/>
    <x v="1167"/>
    <n v="25.96"/>
    <x v="2"/>
  </r>
  <r>
    <x v="361"/>
    <x v="4"/>
    <x v="3363"/>
    <x v="0"/>
    <x v="1110"/>
    <n v="25.96"/>
    <x v="2"/>
  </r>
  <r>
    <x v="361"/>
    <x v="4"/>
    <x v="3364"/>
    <x v="0"/>
    <x v="1189"/>
    <n v="35.76"/>
    <x v="4"/>
  </r>
  <r>
    <x v="361"/>
    <x v="4"/>
    <x v="3365"/>
    <x v="0"/>
    <x v="1167"/>
    <n v="25.96"/>
    <x v="2"/>
  </r>
  <r>
    <x v="361"/>
    <x v="4"/>
    <x v="3366"/>
    <x v="0"/>
    <x v="1234"/>
    <n v="35.76"/>
    <x v="4"/>
  </r>
  <r>
    <x v="361"/>
    <x v="4"/>
    <x v="3367"/>
    <x v="0"/>
    <x v="1174"/>
    <n v="35.76"/>
    <x v="0"/>
  </r>
  <r>
    <x v="361"/>
    <x v="4"/>
    <x v="3368"/>
    <x v="0"/>
    <x v="1246"/>
    <n v="35.76"/>
    <x v="0"/>
  </r>
  <r>
    <x v="362"/>
    <x v="5"/>
    <x v="3369"/>
    <x v="0"/>
    <x v="1163"/>
    <n v="30.86"/>
    <x v="3"/>
  </r>
  <r>
    <x v="362"/>
    <x v="5"/>
    <x v="3370"/>
    <x v="0"/>
    <x v="1167"/>
    <n v="25.96"/>
    <x v="2"/>
  </r>
  <r>
    <x v="362"/>
    <x v="5"/>
    <x v="3371"/>
    <x v="0"/>
    <x v="1198"/>
    <n v="25.96"/>
    <x v="2"/>
  </r>
  <r>
    <x v="362"/>
    <x v="5"/>
    <x v="3372"/>
    <x v="0"/>
    <x v="1198"/>
    <n v="25.96"/>
    <x v="2"/>
  </r>
  <r>
    <x v="362"/>
    <x v="5"/>
    <x v="3373"/>
    <x v="0"/>
    <x v="1261"/>
    <n v="35.76"/>
    <x v="7"/>
  </r>
  <r>
    <x v="362"/>
    <x v="5"/>
    <x v="3374"/>
    <x v="0"/>
    <x v="1248"/>
    <n v="30.86"/>
    <x v="3"/>
  </r>
  <r>
    <x v="362"/>
    <x v="5"/>
    <x v="3375"/>
    <x v="0"/>
    <x v="1184"/>
    <n v="35.76"/>
    <x v="7"/>
  </r>
  <r>
    <x v="362"/>
    <x v="5"/>
    <x v="3376"/>
    <x v="0"/>
    <x v="1262"/>
    <n v="35.76"/>
    <x v="4"/>
  </r>
  <r>
    <x v="362"/>
    <x v="5"/>
    <x v="3377"/>
    <x v="0"/>
    <x v="1198"/>
    <n v="25.96"/>
    <x v="2"/>
  </r>
  <r>
    <x v="362"/>
    <x v="5"/>
    <x v="3378"/>
    <x v="0"/>
    <x v="1167"/>
    <n v="25.96"/>
    <x v="2"/>
  </r>
  <r>
    <x v="362"/>
    <x v="5"/>
    <x v="3379"/>
    <x v="0"/>
    <x v="1110"/>
    <n v="25.96"/>
    <x v="2"/>
  </r>
  <r>
    <x v="362"/>
    <x v="5"/>
    <x v="3380"/>
    <x v="0"/>
    <x v="1191"/>
    <n v="35.76"/>
    <x v="0"/>
  </r>
  <r>
    <x v="362"/>
    <x v="5"/>
    <x v="3381"/>
    <x v="0"/>
    <x v="1164"/>
    <n v="35.76"/>
    <x v="0"/>
  </r>
  <r>
    <x v="362"/>
    <x v="5"/>
    <x v="3382"/>
    <x v="0"/>
    <x v="1165"/>
    <n v="35.76"/>
    <x v="1"/>
  </r>
  <r>
    <x v="362"/>
    <x v="5"/>
    <x v="3383"/>
    <x v="0"/>
    <x v="1222"/>
    <n v="30.86"/>
    <x v="3"/>
  </r>
  <r>
    <x v="362"/>
    <x v="5"/>
    <x v="3384"/>
    <x v="0"/>
    <x v="1263"/>
    <n v="21.06"/>
    <x v="6"/>
  </r>
  <r>
    <x v="362"/>
    <x v="5"/>
    <x v="3385"/>
    <x v="0"/>
    <x v="1191"/>
    <n v="35.76"/>
    <x v="0"/>
  </r>
  <r>
    <x v="362"/>
    <x v="5"/>
    <x v="3386"/>
    <x v="0"/>
    <x v="1158"/>
    <n v="35.76"/>
    <x v="7"/>
  </r>
  <r>
    <x v="362"/>
    <x v="5"/>
    <x v="3387"/>
    <x v="0"/>
    <x v="1264"/>
    <n v="35.76"/>
    <x v="4"/>
  </r>
  <r>
    <x v="363"/>
    <x v="6"/>
    <x v="3388"/>
    <x v="0"/>
    <x v="1210"/>
    <n v="35.76"/>
    <x v="1"/>
  </r>
  <r>
    <x v="363"/>
    <x v="6"/>
    <x v="3389"/>
    <x v="0"/>
    <x v="1207"/>
    <n v="21.06"/>
    <x v="6"/>
  </r>
  <r>
    <x v="363"/>
    <x v="6"/>
    <x v="3390"/>
    <x v="0"/>
    <x v="1207"/>
    <n v="30.86"/>
    <x v="3"/>
  </r>
  <r>
    <x v="363"/>
    <x v="6"/>
    <x v="3391"/>
    <x v="0"/>
    <x v="1163"/>
    <n v="25.96"/>
    <x v="2"/>
  </r>
  <r>
    <x v="363"/>
    <x v="6"/>
    <x v="3392"/>
    <x v="0"/>
    <x v="1163"/>
    <n v="25.96"/>
    <x v="2"/>
  </r>
  <r>
    <x v="363"/>
    <x v="6"/>
    <x v="3393"/>
    <x v="0"/>
    <x v="1198"/>
    <n v="25.96"/>
    <x v="2"/>
  </r>
  <r>
    <x v="363"/>
    <x v="6"/>
    <x v="3394"/>
    <x v="0"/>
    <x v="1265"/>
    <n v="35.76"/>
    <x v="7"/>
  </r>
  <r>
    <x v="363"/>
    <x v="6"/>
    <x v="3395"/>
    <x v="0"/>
    <x v="1215"/>
    <n v="35.76"/>
    <x v="0"/>
  </r>
  <r>
    <x v="363"/>
    <x v="6"/>
    <x v="3396"/>
    <x v="0"/>
    <x v="1216"/>
    <n v="30.86"/>
    <x v="3"/>
  </r>
  <r>
    <x v="363"/>
    <x v="6"/>
    <x v="3397"/>
    <x v="0"/>
    <x v="1163"/>
    <n v="35.76"/>
    <x v="4"/>
  </r>
  <r>
    <x v="363"/>
    <x v="6"/>
    <x v="3398"/>
    <x v="0"/>
    <x v="1158"/>
    <n v="35.76"/>
    <x v="7"/>
  </r>
  <r>
    <x v="363"/>
    <x v="6"/>
    <x v="3399"/>
    <x v="0"/>
    <x v="1153"/>
    <n v="30.86"/>
    <x v="3"/>
  </r>
  <r>
    <x v="364"/>
    <x v="0"/>
    <x v="3400"/>
    <x v="0"/>
    <x v="1161"/>
    <n v="35.76"/>
    <x v="7"/>
  </r>
  <r>
    <x v="364"/>
    <x v="0"/>
    <x v="3401"/>
    <x v="0"/>
    <x v="1110"/>
    <n v="25.96"/>
    <x v="2"/>
  </r>
  <r>
    <x v="364"/>
    <x v="0"/>
    <x v="3402"/>
    <x v="0"/>
    <x v="1110"/>
    <n v="25.96"/>
    <x v="2"/>
  </r>
  <r>
    <x v="364"/>
    <x v="0"/>
    <x v="3403"/>
    <x v="0"/>
    <x v="1163"/>
    <n v="25.96"/>
    <x v="2"/>
  </r>
  <r>
    <x v="364"/>
    <x v="0"/>
    <x v="3404"/>
    <x v="0"/>
    <x v="1155"/>
    <n v="35.76"/>
    <x v="1"/>
  </r>
  <r>
    <x v="364"/>
    <x v="0"/>
    <x v="3405"/>
    <x v="0"/>
    <x v="1266"/>
    <n v="30.86"/>
    <x v="3"/>
  </r>
  <r>
    <x v="364"/>
    <x v="0"/>
    <x v="3406"/>
    <x v="0"/>
    <x v="1266"/>
    <n v="30.86"/>
    <x v="3"/>
  </r>
  <r>
    <x v="364"/>
    <x v="0"/>
    <x v="3407"/>
    <x v="0"/>
    <x v="1262"/>
    <n v="35.76"/>
    <x v="4"/>
  </r>
  <r>
    <x v="364"/>
    <x v="0"/>
    <x v="3408"/>
    <x v="0"/>
    <x v="1189"/>
    <n v="35.76"/>
    <x v="4"/>
  </r>
  <r>
    <x v="364"/>
    <x v="0"/>
    <x v="3409"/>
    <x v="0"/>
    <x v="1157"/>
    <n v="30.86"/>
    <x v="3"/>
  </r>
  <r>
    <x v="364"/>
    <x v="0"/>
    <x v="3410"/>
    <x v="0"/>
    <x v="1210"/>
    <n v="35.76"/>
    <x v="1"/>
  </r>
  <r>
    <x v="364"/>
    <x v="0"/>
    <x v="3411"/>
    <x v="0"/>
    <x v="1260"/>
    <n v="25.96"/>
    <x v="2"/>
  </r>
  <r>
    <x v="364"/>
    <x v="0"/>
    <x v="3412"/>
    <x v="0"/>
    <x v="1184"/>
    <n v="35.76"/>
    <x v="7"/>
  </r>
  <r>
    <x v="364"/>
    <x v="0"/>
    <x v="3413"/>
    <x v="0"/>
    <x v="1191"/>
    <n v="35.76"/>
    <x v="0"/>
  </r>
  <r>
    <x v="364"/>
    <x v="0"/>
    <x v="3414"/>
    <x v="0"/>
    <x v="1164"/>
    <n v="35.76"/>
    <x v="0"/>
  </r>
  <r>
    <x v="364"/>
    <x v="0"/>
    <x v="3415"/>
    <x v="0"/>
    <x v="1191"/>
    <n v="35.76"/>
    <x v="0"/>
  </r>
  <r>
    <x v="364"/>
    <x v="0"/>
    <x v="3416"/>
    <x v="0"/>
    <x v="1165"/>
    <n v="35.76"/>
    <x v="1"/>
  </r>
  <r>
    <x v="365"/>
    <x v="1"/>
    <x v="3417"/>
    <x v="0"/>
    <x v="1207"/>
    <n v="30.86"/>
    <x v="3"/>
  </r>
  <r>
    <x v="365"/>
    <x v="1"/>
    <x v="3418"/>
    <x v="0"/>
    <x v="1162"/>
    <n v="30.86"/>
    <x v="3"/>
  </r>
  <r>
    <x v="365"/>
    <x v="1"/>
    <x v="3419"/>
    <x v="0"/>
    <x v="1163"/>
    <n v="25.96"/>
    <x v="2"/>
  </r>
  <r>
    <x v="365"/>
    <x v="1"/>
    <x v="3420"/>
    <x v="0"/>
    <x v="1190"/>
    <n v="25.96"/>
    <x v="2"/>
  </r>
  <r>
    <x v="365"/>
    <x v="1"/>
    <x v="3421"/>
    <x v="0"/>
    <x v="1190"/>
    <n v="25.96"/>
    <x v="2"/>
  </r>
  <r>
    <x v="365"/>
    <x v="1"/>
    <x v="3422"/>
    <x v="0"/>
    <x v="1267"/>
    <n v="30.86"/>
    <x v="3"/>
  </r>
  <r>
    <x v="365"/>
    <x v="1"/>
    <x v="3423"/>
    <x v="0"/>
    <x v="1110"/>
    <n v="25.96"/>
    <x v="2"/>
  </r>
  <r>
    <x v="365"/>
    <x v="1"/>
    <x v="3424"/>
    <x v="0"/>
    <x v="1162"/>
    <n v="35.76"/>
    <x v="7"/>
  </r>
  <r>
    <x v="366"/>
    <x v="2"/>
    <x v="3425"/>
    <x v="0"/>
    <x v="1268"/>
    <n v="21.06"/>
    <x v="6"/>
  </r>
  <r>
    <x v="366"/>
    <x v="2"/>
    <x v="3426"/>
    <x v="0"/>
    <x v="1269"/>
    <n v="30.86"/>
    <x v="3"/>
  </r>
  <r>
    <x v="366"/>
    <x v="2"/>
    <x v="3427"/>
    <x v="0"/>
    <x v="1184"/>
    <n v="35.76"/>
    <x v="7"/>
  </r>
  <r>
    <x v="366"/>
    <x v="2"/>
    <x v="3428"/>
    <x v="0"/>
    <x v="1163"/>
    <n v="25.96"/>
    <x v="2"/>
  </r>
  <r>
    <x v="366"/>
    <x v="2"/>
    <x v="3429"/>
    <x v="0"/>
    <x v="1153"/>
    <n v="35.76"/>
    <x v="7"/>
  </r>
  <r>
    <x v="366"/>
    <x v="2"/>
    <x v="3430"/>
    <x v="0"/>
    <x v="1110"/>
    <n v="25.96"/>
    <x v="2"/>
  </r>
  <r>
    <x v="366"/>
    <x v="2"/>
    <x v="3431"/>
    <x v="0"/>
    <x v="1217"/>
    <n v="30.86"/>
    <x v="3"/>
  </r>
  <r>
    <x v="366"/>
    <x v="2"/>
    <x v="3432"/>
    <x v="0"/>
    <x v="1270"/>
    <n v="35.76"/>
    <x v="4"/>
  </r>
  <r>
    <x v="367"/>
    <x v="3"/>
    <x v="3433"/>
    <x v="0"/>
    <x v="1271"/>
    <n v="25.96"/>
    <x v="2"/>
  </r>
  <r>
    <x v="367"/>
    <x v="3"/>
    <x v="3434"/>
    <x v="0"/>
    <x v="1271"/>
    <n v="35.76"/>
    <x v="0"/>
  </r>
  <r>
    <x v="367"/>
    <x v="3"/>
    <x v="3435"/>
    <x v="0"/>
    <x v="1153"/>
    <n v="30.86"/>
    <x v="3"/>
  </r>
  <r>
    <x v="367"/>
    <x v="3"/>
    <x v="3436"/>
    <x v="0"/>
    <x v="1210"/>
    <n v="35.76"/>
    <x v="1"/>
  </r>
  <r>
    <x v="367"/>
    <x v="3"/>
    <x v="3437"/>
    <x v="0"/>
    <x v="1272"/>
    <n v="35.76"/>
    <x v="4"/>
  </r>
  <r>
    <x v="367"/>
    <x v="3"/>
    <x v="3438"/>
    <x v="0"/>
    <x v="1273"/>
    <n v="35.76"/>
    <x v="1"/>
  </r>
  <r>
    <x v="367"/>
    <x v="3"/>
    <x v="3439"/>
    <x v="0"/>
    <x v="1171"/>
    <n v="25.96"/>
    <x v="2"/>
  </r>
  <r>
    <x v="367"/>
    <x v="3"/>
    <x v="3440"/>
    <x v="0"/>
    <x v="1170"/>
    <n v="25.96"/>
    <x v="2"/>
  </r>
  <r>
    <x v="367"/>
    <x v="3"/>
    <x v="3441"/>
    <x v="0"/>
    <x v="1212"/>
    <n v="35.76"/>
    <x v="1"/>
  </r>
  <r>
    <x v="367"/>
    <x v="3"/>
    <x v="3442"/>
    <x v="0"/>
    <x v="1191"/>
    <n v="35.76"/>
    <x v="0"/>
  </r>
  <r>
    <x v="367"/>
    <x v="3"/>
    <x v="3443"/>
    <x v="0"/>
    <x v="1165"/>
    <n v="35.76"/>
    <x v="0"/>
  </r>
  <r>
    <x v="367"/>
    <x v="3"/>
    <x v="3444"/>
    <x v="0"/>
    <x v="1274"/>
    <n v="35.76"/>
    <x v="7"/>
  </r>
  <r>
    <x v="367"/>
    <x v="3"/>
    <x v="3445"/>
    <x v="0"/>
    <x v="1274"/>
    <n v="30.86"/>
    <x v="3"/>
  </r>
  <r>
    <x v="367"/>
    <x v="3"/>
    <x v="3446"/>
    <x v="0"/>
    <x v="1170"/>
    <n v="25.96"/>
    <x v="2"/>
  </r>
  <r>
    <x v="367"/>
    <x v="3"/>
    <x v="3447"/>
    <x v="0"/>
    <x v="1257"/>
    <n v="35.76"/>
    <x v="0"/>
  </r>
  <r>
    <x v="367"/>
    <x v="3"/>
    <x v="3448"/>
    <x v="0"/>
    <x v="1257"/>
    <n v="35.76"/>
    <x v="0"/>
  </r>
  <r>
    <x v="367"/>
    <x v="3"/>
    <x v="3449"/>
    <x v="0"/>
    <x v="1157"/>
    <n v="30.86"/>
    <x v="3"/>
  </r>
  <r>
    <x v="368"/>
    <x v="4"/>
    <x v="3450"/>
    <x v="0"/>
    <x v="1170"/>
    <n v="25.96"/>
    <x v="2"/>
  </r>
  <r>
    <x v="368"/>
    <x v="4"/>
    <x v="3451"/>
    <x v="0"/>
    <x v="1163"/>
    <n v="35.76"/>
    <x v="7"/>
  </r>
  <r>
    <x v="368"/>
    <x v="4"/>
    <x v="3452"/>
    <x v="0"/>
    <x v="1275"/>
    <n v="35.76"/>
    <x v="0"/>
  </r>
  <r>
    <x v="368"/>
    <x v="4"/>
    <x v="3453"/>
    <x v="0"/>
    <x v="1170"/>
    <n v="25.96"/>
    <x v="2"/>
  </r>
  <r>
    <x v="368"/>
    <x v="4"/>
    <x v="3454"/>
    <x v="0"/>
    <x v="1170"/>
    <n v="25.96"/>
    <x v="2"/>
  </r>
  <r>
    <x v="368"/>
    <x v="4"/>
    <x v="3455"/>
    <x v="0"/>
    <x v="1171"/>
    <n v="25.96"/>
    <x v="2"/>
  </r>
  <r>
    <x v="368"/>
    <x v="4"/>
    <x v="3456"/>
    <x v="0"/>
    <x v="1276"/>
    <n v="35.76"/>
    <x v="1"/>
  </r>
  <r>
    <x v="368"/>
    <x v="4"/>
    <x v="3457"/>
    <x v="0"/>
    <x v="1276"/>
    <n v="35.76"/>
    <x v="4"/>
  </r>
  <r>
    <x v="368"/>
    <x v="4"/>
    <x v="3458"/>
    <x v="0"/>
    <x v="1210"/>
    <n v="35.76"/>
    <x v="1"/>
  </r>
  <r>
    <x v="368"/>
    <x v="4"/>
    <x v="3459"/>
    <x v="0"/>
    <x v="1184"/>
    <n v="35.76"/>
    <x v="7"/>
  </r>
  <r>
    <x v="368"/>
    <x v="4"/>
    <x v="3460"/>
    <x v="0"/>
    <x v="1157"/>
    <n v="30.86"/>
    <x v="3"/>
  </r>
  <r>
    <x v="368"/>
    <x v="4"/>
    <x v="3461"/>
    <x v="0"/>
    <x v="1209"/>
    <n v="35.76"/>
    <x v="0"/>
  </r>
  <r>
    <x v="368"/>
    <x v="4"/>
    <x v="3462"/>
    <x v="0"/>
    <x v="1185"/>
    <n v="35.76"/>
    <x v="4"/>
  </r>
  <r>
    <x v="369"/>
    <x v="5"/>
    <x v="3463"/>
    <x v="0"/>
    <x v="1277"/>
    <n v="35.76"/>
    <x v="4"/>
  </r>
  <r>
    <x v="369"/>
    <x v="5"/>
    <x v="3464"/>
    <x v="0"/>
    <x v="1161"/>
    <n v="30.86"/>
    <x v="3"/>
  </r>
  <r>
    <x v="369"/>
    <x v="5"/>
    <x v="3465"/>
    <x v="0"/>
    <x v="1161"/>
    <n v="35.76"/>
    <x v="7"/>
  </r>
  <r>
    <x v="369"/>
    <x v="5"/>
    <x v="3466"/>
    <x v="0"/>
    <x v="1163"/>
    <n v="25.96"/>
    <x v="2"/>
  </r>
  <r>
    <x v="369"/>
    <x v="5"/>
    <x v="3467"/>
    <x v="0"/>
    <x v="1163"/>
    <n v="25.96"/>
    <x v="2"/>
  </r>
  <r>
    <x v="369"/>
    <x v="5"/>
    <x v="3468"/>
    <x v="0"/>
    <x v="1278"/>
    <n v="25.96"/>
    <x v="2"/>
  </r>
  <r>
    <x v="369"/>
    <x v="5"/>
    <x v="3469"/>
    <x v="0"/>
    <x v="1279"/>
    <n v="35.76"/>
    <x v="1"/>
  </r>
  <r>
    <x v="369"/>
    <x v="5"/>
    <x v="3470"/>
    <x v="0"/>
    <x v="1280"/>
    <n v="35.76"/>
    <x v="0"/>
  </r>
  <r>
    <x v="369"/>
    <x v="5"/>
    <x v="3471"/>
    <x v="0"/>
    <x v="1199"/>
    <n v="35.76"/>
    <x v="0"/>
  </r>
  <r>
    <x v="369"/>
    <x v="5"/>
    <x v="3472"/>
    <x v="0"/>
    <x v="1281"/>
    <n v="35.76"/>
    <x v="7"/>
  </r>
  <r>
    <x v="369"/>
    <x v="5"/>
    <x v="3473"/>
    <x v="0"/>
    <x v="1191"/>
    <n v="35.76"/>
    <x v="0"/>
  </r>
  <r>
    <x v="369"/>
    <x v="5"/>
    <x v="3474"/>
    <x v="0"/>
    <x v="1165"/>
    <n v="35.76"/>
    <x v="0"/>
  </r>
  <r>
    <x v="369"/>
    <x v="5"/>
    <x v="3475"/>
    <x v="0"/>
    <x v="1170"/>
    <n v="25.96"/>
    <x v="2"/>
  </r>
  <r>
    <x v="369"/>
    <x v="5"/>
    <x v="3476"/>
    <x v="0"/>
    <x v="1264"/>
    <n v="35.76"/>
    <x v="4"/>
  </r>
  <r>
    <x v="369"/>
    <x v="5"/>
    <x v="3477"/>
    <x v="0"/>
    <x v="1282"/>
    <n v="25.96"/>
    <x v="2"/>
  </r>
  <r>
    <x v="369"/>
    <x v="5"/>
    <x v="3478"/>
    <x v="0"/>
    <x v="1158"/>
    <n v="35.76"/>
    <x v="7"/>
  </r>
  <r>
    <x v="369"/>
    <x v="5"/>
    <x v="3479"/>
    <x v="0"/>
    <x v="1170"/>
    <n v="25.96"/>
    <x v="2"/>
  </r>
  <r>
    <x v="370"/>
    <x v="6"/>
    <x v="3480"/>
    <x v="0"/>
    <x v="1161"/>
    <n v="35.76"/>
    <x v="7"/>
  </r>
  <r>
    <x v="370"/>
    <x v="6"/>
    <x v="3481"/>
    <x v="0"/>
    <x v="1153"/>
    <n v="30.86"/>
    <x v="3"/>
  </r>
  <r>
    <x v="370"/>
    <x v="6"/>
    <x v="3482"/>
    <x v="0"/>
    <x v="1163"/>
    <n v="30.86"/>
    <x v="3"/>
  </r>
  <r>
    <x v="370"/>
    <x v="6"/>
    <x v="3483"/>
    <x v="0"/>
    <x v="1168"/>
    <n v="35.76"/>
    <x v="0"/>
  </r>
  <r>
    <x v="370"/>
    <x v="6"/>
    <x v="3484"/>
    <x v="0"/>
    <x v="1207"/>
    <n v="21.06"/>
    <x v="6"/>
  </r>
  <r>
    <x v="370"/>
    <x v="6"/>
    <x v="3485"/>
    <x v="0"/>
    <x v="1283"/>
    <n v="25.96"/>
    <x v="2"/>
  </r>
  <r>
    <x v="370"/>
    <x v="6"/>
    <x v="3486"/>
    <x v="0"/>
    <x v="1284"/>
    <n v="30.86"/>
    <x v="3"/>
  </r>
  <r>
    <x v="370"/>
    <x v="6"/>
    <x v="3487"/>
    <x v="0"/>
    <x v="1167"/>
    <n v="25.96"/>
    <x v="2"/>
  </r>
  <r>
    <x v="370"/>
    <x v="6"/>
    <x v="3488"/>
    <x v="0"/>
    <x v="1191"/>
    <n v="35.76"/>
    <x v="0"/>
  </r>
  <r>
    <x v="370"/>
    <x v="6"/>
    <x v="3489"/>
    <x v="0"/>
    <x v="1285"/>
    <n v="30.86"/>
    <x v="3"/>
  </r>
  <r>
    <x v="370"/>
    <x v="6"/>
    <x v="3490"/>
    <x v="0"/>
    <x v="1194"/>
    <n v="25.96"/>
    <x v="2"/>
  </r>
  <r>
    <x v="370"/>
    <x v="6"/>
    <x v="3491"/>
    <x v="0"/>
    <x v="1158"/>
    <n v="35.76"/>
    <x v="7"/>
  </r>
  <r>
    <x v="371"/>
    <x v="0"/>
    <x v="3492"/>
    <x v="0"/>
    <x v="1170"/>
    <n v="25.96"/>
    <x v="2"/>
  </r>
  <r>
    <x v="371"/>
    <x v="0"/>
    <x v="3493"/>
    <x v="0"/>
    <x v="1286"/>
    <n v="30.86"/>
    <x v="3"/>
  </r>
  <r>
    <x v="371"/>
    <x v="0"/>
    <x v="3494"/>
    <x v="0"/>
    <x v="1271"/>
    <n v="25.96"/>
    <x v="2"/>
  </r>
  <r>
    <x v="371"/>
    <x v="0"/>
    <x v="3495"/>
    <x v="0"/>
    <x v="1287"/>
    <n v="35.76"/>
    <x v="0"/>
  </r>
  <r>
    <x v="371"/>
    <x v="0"/>
    <x v="3496"/>
    <x v="0"/>
    <x v="1207"/>
    <n v="21.06"/>
    <x v="6"/>
  </r>
  <r>
    <x v="371"/>
    <x v="0"/>
    <x v="3497"/>
    <x v="0"/>
    <x v="1170"/>
    <n v="25.96"/>
    <x v="2"/>
  </r>
  <r>
    <x v="371"/>
    <x v="0"/>
    <x v="3498"/>
    <x v="0"/>
    <x v="1110"/>
    <n v="25.96"/>
    <x v="2"/>
  </r>
  <r>
    <x v="371"/>
    <x v="0"/>
    <x v="3499"/>
    <x v="0"/>
    <x v="1288"/>
    <n v="35.76"/>
    <x v="0"/>
  </r>
  <r>
    <x v="371"/>
    <x v="0"/>
    <x v="3500"/>
    <x v="0"/>
    <x v="1288"/>
    <n v="35.76"/>
    <x v="7"/>
  </r>
  <r>
    <x v="371"/>
    <x v="0"/>
    <x v="3501"/>
    <x v="0"/>
    <x v="1170"/>
    <n v="25.96"/>
    <x v="2"/>
  </r>
  <r>
    <x v="371"/>
    <x v="0"/>
    <x v="3502"/>
    <x v="0"/>
    <x v="1165"/>
    <n v="35.76"/>
    <x v="0"/>
  </r>
  <r>
    <x v="371"/>
    <x v="0"/>
    <x v="3503"/>
    <x v="0"/>
    <x v="1191"/>
    <n v="35.76"/>
    <x v="0"/>
  </r>
  <r>
    <x v="371"/>
    <x v="0"/>
    <x v="3504"/>
    <x v="0"/>
    <x v="1165"/>
    <n v="35.76"/>
    <x v="0"/>
  </r>
  <r>
    <x v="371"/>
    <x v="0"/>
    <x v="3505"/>
    <x v="0"/>
    <x v="1170"/>
    <n v="25.96"/>
    <x v="2"/>
  </r>
  <r>
    <x v="371"/>
    <x v="0"/>
    <x v="3506"/>
    <x v="0"/>
    <x v="1276"/>
    <n v="35.76"/>
    <x v="4"/>
  </r>
  <r>
    <x v="371"/>
    <x v="0"/>
    <x v="3507"/>
    <x v="0"/>
    <x v="1289"/>
    <n v="35.76"/>
    <x v="4"/>
  </r>
  <r>
    <x v="371"/>
    <x v="0"/>
    <x v="3508"/>
    <x v="0"/>
    <x v="1289"/>
    <n v="35.76"/>
    <x v="4"/>
  </r>
  <r>
    <x v="371"/>
    <x v="0"/>
    <x v="3509"/>
    <x v="0"/>
    <x v="1290"/>
    <n v="25.96"/>
    <x v="2"/>
  </r>
  <r>
    <x v="371"/>
    <x v="0"/>
    <x v="3510"/>
    <x v="0"/>
    <x v="1167"/>
    <n v="25.96"/>
    <x v="2"/>
  </r>
  <r>
    <x v="371"/>
    <x v="0"/>
    <x v="3511"/>
    <x v="0"/>
    <x v="1191"/>
    <n v="35.76"/>
    <x v="0"/>
  </r>
  <r>
    <x v="371"/>
    <x v="0"/>
    <x v="3512"/>
    <x v="0"/>
    <x v="1165"/>
    <n v="35.76"/>
    <x v="0"/>
  </r>
  <r>
    <x v="371"/>
    <x v="0"/>
    <x v="3513"/>
    <x v="0"/>
    <x v="1291"/>
    <n v="25.96"/>
    <x v="2"/>
  </r>
  <r>
    <x v="371"/>
    <x v="0"/>
    <x v="3514"/>
    <x v="0"/>
    <x v="1214"/>
    <n v="25.96"/>
    <x v="2"/>
  </r>
  <r>
    <x v="372"/>
    <x v="1"/>
    <x v="3515"/>
    <x v="0"/>
    <x v="1163"/>
    <n v="30.86"/>
    <x v="3"/>
  </r>
  <r>
    <x v="372"/>
    <x v="1"/>
    <x v="3516"/>
    <x v="0"/>
    <x v="1158"/>
    <n v="35.76"/>
    <x v="7"/>
  </r>
  <r>
    <x v="372"/>
    <x v="1"/>
    <x v="3517"/>
    <x v="0"/>
    <x v="1167"/>
    <n v="25.96"/>
    <x v="2"/>
  </r>
  <r>
    <x v="372"/>
    <x v="1"/>
    <x v="3518"/>
    <x v="0"/>
    <x v="46"/>
    <n v="35.76"/>
    <x v="7"/>
  </r>
  <r>
    <x v="372"/>
    <x v="1"/>
    <x v="3519"/>
    <x v="0"/>
    <x v="1152"/>
    <n v="30.86"/>
    <x v="3"/>
  </r>
  <r>
    <x v="372"/>
    <x v="1"/>
    <x v="3520"/>
    <x v="0"/>
    <x v="1217"/>
    <n v="30.86"/>
    <x v="3"/>
  </r>
  <r>
    <x v="372"/>
    <x v="1"/>
    <x v="3521"/>
    <x v="0"/>
    <x v="1292"/>
    <n v="35.76"/>
    <x v="7"/>
  </r>
  <r>
    <x v="373"/>
    <x v="2"/>
    <x v="3522"/>
    <x v="0"/>
    <x v="1161"/>
    <n v="35.76"/>
    <x v="7"/>
  </r>
  <r>
    <x v="373"/>
    <x v="2"/>
    <x v="3523"/>
    <x v="0"/>
    <x v="1293"/>
    <n v="30.86"/>
    <x v="3"/>
  </r>
  <r>
    <x v="373"/>
    <x v="2"/>
    <x v="3524"/>
    <x v="0"/>
    <x v="1294"/>
    <n v="35.76"/>
    <x v="0"/>
  </r>
  <r>
    <x v="373"/>
    <x v="2"/>
    <x v="3525"/>
    <x v="0"/>
    <x v="1294"/>
    <n v="35.76"/>
    <x v="1"/>
  </r>
  <r>
    <x v="373"/>
    <x v="2"/>
    <x v="3526"/>
    <x v="0"/>
    <x v="1170"/>
    <n v="25.96"/>
    <x v="2"/>
  </r>
  <r>
    <x v="374"/>
    <x v="3"/>
    <x v="3527"/>
    <x v="0"/>
    <x v="1163"/>
    <n v="25.96"/>
    <x v="2"/>
  </r>
  <r>
    <x v="374"/>
    <x v="3"/>
    <x v="3528"/>
    <x v="0"/>
    <x v="1110"/>
    <n v="25.96"/>
    <x v="2"/>
  </r>
  <r>
    <x v="374"/>
    <x v="3"/>
    <x v="3529"/>
    <x v="0"/>
    <x v="1110"/>
    <n v="25.96"/>
    <x v="2"/>
  </r>
  <r>
    <x v="374"/>
    <x v="3"/>
    <x v="3530"/>
    <x v="0"/>
    <x v="1153"/>
    <n v="30.86"/>
    <x v="3"/>
  </r>
  <r>
    <x v="374"/>
    <x v="3"/>
    <x v="3531"/>
    <x v="0"/>
    <x v="1163"/>
    <n v="25.96"/>
    <x v="2"/>
  </r>
  <r>
    <x v="374"/>
    <x v="3"/>
    <x v="3532"/>
    <x v="0"/>
    <x v="1203"/>
    <n v="25.96"/>
    <x v="2"/>
  </r>
  <r>
    <x v="374"/>
    <x v="3"/>
    <x v="3533"/>
    <x v="0"/>
    <x v="1276"/>
    <n v="35.76"/>
    <x v="4"/>
  </r>
  <r>
    <x v="374"/>
    <x v="3"/>
    <x v="3534"/>
    <x v="0"/>
    <x v="1276"/>
    <n v="35.76"/>
    <x v="4"/>
  </r>
  <r>
    <x v="374"/>
    <x v="3"/>
    <x v="3535"/>
    <x v="0"/>
    <x v="1295"/>
    <n v="35.76"/>
    <x v="0"/>
  </r>
  <r>
    <x v="374"/>
    <x v="3"/>
    <x v="3536"/>
    <x v="0"/>
    <x v="1158"/>
    <n v="35.76"/>
    <x v="7"/>
  </r>
  <r>
    <x v="374"/>
    <x v="3"/>
    <x v="3537"/>
    <x v="0"/>
    <x v="1165"/>
    <n v="35.76"/>
    <x v="0"/>
  </r>
  <r>
    <x v="374"/>
    <x v="3"/>
    <x v="3538"/>
    <x v="0"/>
    <x v="1191"/>
    <n v="35.76"/>
    <x v="0"/>
  </r>
  <r>
    <x v="374"/>
    <x v="3"/>
    <x v="3539"/>
    <x v="0"/>
    <x v="1167"/>
    <n v="25.96"/>
    <x v="2"/>
  </r>
  <r>
    <x v="375"/>
    <x v="4"/>
    <x v="3540"/>
    <x v="0"/>
    <x v="1296"/>
    <n v="30.86"/>
    <x v="3"/>
  </r>
  <r>
    <x v="375"/>
    <x v="4"/>
    <x v="3541"/>
    <x v="0"/>
    <x v="1168"/>
    <n v="35.76"/>
    <x v="0"/>
  </r>
  <r>
    <x v="375"/>
    <x v="4"/>
    <x v="3542"/>
    <x v="0"/>
    <x v="1215"/>
    <n v="35.76"/>
    <x v="0"/>
  </r>
  <r>
    <x v="375"/>
    <x v="4"/>
    <x v="3543"/>
    <x v="0"/>
    <x v="1215"/>
    <n v="25.96"/>
    <x v="2"/>
  </r>
  <r>
    <x v="375"/>
    <x v="4"/>
    <x v="3544"/>
    <x v="0"/>
    <x v="1297"/>
    <n v="35.76"/>
    <x v="1"/>
  </r>
  <r>
    <x v="375"/>
    <x v="4"/>
    <x v="3545"/>
    <x v="0"/>
    <x v="1297"/>
    <n v="35.76"/>
    <x v="1"/>
  </r>
  <r>
    <x v="375"/>
    <x v="4"/>
    <x v="3546"/>
    <x v="0"/>
    <x v="1293"/>
    <n v="30.86"/>
    <x v="3"/>
  </r>
  <r>
    <x v="375"/>
    <x v="4"/>
    <x v="3547"/>
    <x v="0"/>
    <x v="1110"/>
    <n v="25.96"/>
    <x v="2"/>
  </r>
  <r>
    <x v="375"/>
    <x v="4"/>
    <x v="3548"/>
    <x v="0"/>
    <x v="1166"/>
    <n v="30.86"/>
    <x v="3"/>
  </r>
  <r>
    <x v="375"/>
    <x v="4"/>
    <x v="3549"/>
    <x v="0"/>
    <x v="1203"/>
    <n v="25.96"/>
    <x v="2"/>
  </r>
  <r>
    <x v="375"/>
    <x v="4"/>
    <x v="3550"/>
    <x v="0"/>
    <x v="1165"/>
    <n v="35.76"/>
    <x v="0"/>
  </r>
  <r>
    <x v="375"/>
    <x v="4"/>
    <x v="3551"/>
    <x v="0"/>
    <x v="1203"/>
    <n v="21.06"/>
    <x v="6"/>
  </r>
  <r>
    <x v="375"/>
    <x v="4"/>
    <x v="3552"/>
    <x v="0"/>
    <x v="1163"/>
    <n v="35.76"/>
    <x v="4"/>
  </r>
  <r>
    <x v="375"/>
    <x v="4"/>
    <x v="3553"/>
    <x v="0"/>
    <x v="1163"/>
    <n v="35.76"/>
    <x v="4"/>
  </r>
  <r>
    <x v="375"/>
    <x v="4"/>
    <x v="3554"/>
    <x v="0"/>
    <x v="1276"/>
    <n v="35.76"/>
    <x v="4"/>
  </r>
  <r>
    <x v="375"/>
    <x v="4"/>
    <x v="3555"/>
    <x v="0"/>
    <x v="1276"/>
    <n v="35.76"/>
    <x v="4"/>
  </r>
  <r>
    <x v="375"/>
    <x v="4"/>
    <x v="3556"/>
    <x v="0"/>
    <x v="1298"/>
    <n v="35.76"/>
    <x v="0"/>
  </r>
  <r>
    <x v="376"/>
    <x v="5"/>
    <x v="3557"/>
    <x v="0"/>
    <x v="1152"/>
    <n v="25.96"/>
    <x v="2"/>
  </r>
  <r>
    <x v="376"/>
    <x v="5"/>
    <x v="3558"/>
    <x v="0"/>
    <x v="261"/>
    <n v="25.96"/>
    <x v="2"/>
  </r>
  <r>
    <x v="376"/>
    <x v="5"/>
    <x v="3559"/>
    <x v="0"/>
    <x v="1161"/>
    <n v="35.76"/>
    <x v="7"/>
  </r>
  <r>
    <x v="376"/>
    <x v="5"/>
    <x v="3560"/>
    <x v="0"/>
    <x v="19"/>
    <n v="25.96"/>
    <x v="2"/>
  </r>
  <r>
    <x v="376"/>
    <x v="5"/>
    <x v="3561"/>
    <x v="0"/>
    <x v="1227"/>
    <n v="35.76"/>
    <x v="1"/>
  </r>
  <r>
    <x v="376"/>
    <x v="5"/>
    <x v="3562"/>
    <x v="0"/>
    <x v="1110"/>
    <n v="25.96"/>
    <x v="2"/>
  </r>
  <r>
    <x v="376"/>
    <x v="5"/>
    <x v="3563"/>
    <x v="0"/>
    <x v="1299"/>
    <n v="25.96"/>
    <x v="2"/>
  </r>
  <r>
    <x v="376"/>
    <x v="5"/>
    <x v="3564"/>
    <x v="0"/>
    <x v="1295"/>
    <n v="35.76"/>
    <x v="0"/>
  </r>
  <r>
    <x v="376"/>
    <x v="5"/>
    <x v="3565"/>
    <x v="0"/>
    <x v="1300"/>
    <n v="35.76"/>
    <x v="0"/>
  </r>
  <r>
    <x v="376"/>
    <x v="5"/>
    <x v="3566"/>
    <x v="0"/>
    <x v="1191"/>
    <n v="35.76"/>
    <x v="0"/>
  </r>
  <r>
    <x v="376"/>
    <x v="5"/>
    <x v="3567"/>
    <x v="0"/>
    <x v="1167"/>
    <n v="25.96"/>
    <x v="2"/>
  </r>
  <r>
    <x v="376"/>
    <x v="5"/>
    <x v="3568"/>
    <x v="0"/>
    <x v="1158"/>
    <n v="35.76"/>
    <x v="7"/>
  </r>
  <r>
    <x v="376"/>
    <x v="5"/>
    <x v="3569"/>
    <x v="0"/>
    <x v="1158"/>
    <n v="35.76"/>
    <x v="7"/>
  </r>
  <r>
    <x v="376"/>
    <x v="5"/>
    <x v="3570"/>
    <x v="0"/>
    <x v="1152"/>
    <n v="25.96"/>
    <x v="2"/>
  </r>
  <r>
    <x v="376"/>
    <x v="5"/>
    <x v="3571"/>
    <x v="0"/>
    <x v="1110"/>
    <n v="25.96"/>
    <x v="2"/>
  </r>
  <r>
    <x v="376"/>
    <x v="5"/>
    <x v="3572"/>
    <x v="0"/>
    <x v="1275"/>
    <n v="35.76"/>
    <x v="4"/>
  </r>
  <r>
    <x v="376"/>
    <x v="5"/>
    <x v="3573"/>
    <x v="0"/>
    <x v="1219"/>
    <n v="30.86"/>
    <x v="3"/>
  </r>
  <r>
    <x v="376"/>
    <x v="5"/>
    <x v="3574"/>
    <x v="0"/>
    <x v="1222"/>
    <n v="30.86"/>
    <x v="3"/>
  </r>
  <r>
    <x v="376"/>
    <x v="5"/>
    <x v="3575"/>
    <x v="0"/>
    <x v="1301"/>
    <n v="25.96"/>
    <x v="5"/>
  </r>
  <r>
    <x v="376"/>
    <x v="5"/>
    <x v="3576"/>
    <x v="0"/>
    <x v="1302"/>
    <n v="21.06"/>
    <x v="6"/>
  </r>
  <r>
    <x v="376"/>
    <x v="5"/>
    <x v="3577"/>
    <x v="0"/>
    <x v="1303"/>
    <n v="21.06"/>
    <x v="6"/>
  </r>
  <r>
    <x v="377"/>
    <x v="6"/>
    <x v="3578"/>
    <x v="0"/>
    <x v="1304"/>
    <n v="30.86"/>
    <x v="3"/>
  </r>
  <r>
    <x v="377"/>
    <x v="6"/>
    <x v="3579"/>
    <x v="0"/>
    <x v="1152"/>
    <n v="30.86"/>
    <x v="3"/>
  </r>
  <r>
    <x v="377"/>
    <x v="6"/>
    <x v="3580"/>
    <x v="0"/>
    <x v="1293"/>
    <n v="30.86"/>
    <x v="3"/>
  </r>
  <r>
    <x v="377"/>
    <x v="6"/>
    <x v="3581"/>
    <x v="0"/>
    <x v="1305"/>
    <n v="25.96"/>
    <x v="2"/>
  </r>
  <r>
    <x v="377"/>
    <x v="6"/>
    <x v="3582"/>
    <x v="0"/>
    <x v="1110"/>
    <n v="25.96"/>
    <x v="2"/>
  </r>
  <r>
    <x v="377"/>
    <x v="6"/>
    <x v="3583"/>
    <x v="0"/>
    <x v="1306"/>
    <n v="25.96"/>
    <x v="2"/>
  </r>
  <r>
    <x v="377"/>
    <x v="6"/>
    <x v="3584"/>
    <x v="0"/>
    <x v="1152"/>
    <n v="25.96"/>
    <x v="2"/>
  </r>
  <r>
    <x v="377"/>
    <x v="6"/>
    <x v="3585"/>
    <x v="0"/>
    <x v="1290"/>
    <n v="25.96"/>
    <x v="2"/>
  </r>
  <r>
    <x v="377"/>
    <x v="6"/>
    <x v="3586"/>
    <x v="0"/>
    <x v="1290"/>
    <n v="21.06"/>
    <x v="6"/>
  </r>
  <r>
    <x v="377"/>
    <x v="6"/>
    <x v="3587"/>
    <x v="0"/>
    <x v="1307"/>
    <n v="25.96"/>
    <x v="5"/>
  </r>
  <r>
    <x v="377"/>
    <x v="6"/>
    <x v="3588"/>
    <x v="0"/>
    <x v="1308"/>
    <n v="35.76"/>
    <x v="7"/>
  </r>
  <r>
    <x v="377"/>
    <x v="6"/>
    <x v="3589"/>
    <x v="0"/>
    <x v="1161"/>
    <n v="35.76"/>
    <x v="7"/>
  </r>
  <r>
    <x v="377"/>
    <x v="6"/>
    <x v="3590"/>
    <x v="0"/>
    <x v="1170"/>
    <n v="25.96"/>
    <x v="2"/>
  </r>
  <r>
    <x v="377"/>
    <x v="6"/>
    <x v="3591"/>
    <x v="0"/>
    <x v="1276"/>
    <n v="25.96"/>
    <x v="2"/>
  </r>
  <r>
    <x v="377"/>
    <x v="6"/>
    <x v="3592"/>
    <x v="0"/>
    <x v="1158"/>
    <n v="35.76"/>
    <x v="7"/>
  </r>
  <r>
    <x v="377"/>
    <x v="6"/>
    <x v="3593"/>
    <x v="0"/>
    <x v="1309"/>
    <n v="25.96"/>
    <x v="2"/>
  </r>
  <r>
    <x v="377"/>
    <x v="6"/>
    <x v="3594"/>
    <x v="0"/>
    <x v="1233"/>
    <n v="35.76"/>
    <x v="1"/>
  </r>
  <r>
    <x v="377"/>
    <x v="6"/>
    <x v="3595"/>
    <x v="0"/>
    <x v="1310"/>
    <n v="35.76"/>
    <x v="4"/>
  </r>
  <r>
    <x v="377"/>
    <x v="6"/>
    <x v="3596"/>
    <x v="0"/>
    <x v="1158"/>
    <n v="35.76"/>
    <x v="7"/>
  </r>
  <r>
    <x v="377"/>
    <x v="6"/>
    <x v="3597"/>
    <x v="0"/>
    <x v="1298"/>
    <n v="35.76"/>
    <x v="0"/>
  </r>
  <r>
    <x v="378"/>
    <x v="0"/>
    <x v="3598"/>
    <x v="0"/>
    <x v="1163"/>
    <n v="30.86"/>
    <x v="3"/>
  </r>
  <r>
    <x v="378"/>
    <x v="0"/>
    <x v="3599"/>
    <x v="0"/>
    <x v="1163"/>
    <n v="30.86"/>
    <x v="3"/>
  </r>
  <r>
    <x v="378"/>
    <x v="0"/>
    <x v="3600"/>
    <x v="0"/>
    <x v="1306"/>
    <n v="25.96"/>
    <x v="2"/>
  </r>
  <r>
    <x v="378"/>
    <x v="0"/>
    <x v="3601"/>
    <x v="0"/>
    <x v="1110"/>
    <n v="25.96"/>
    <x v="2"/>
  </r>
  <r>
    <x v="378"/>
    <x v="0"/>
    <x v="3602"/>
    <x v="0"/>
    <x v="1110"/>
    <n v="25.96"/>
    <x v="2"/>
  </r>
  <r>
    <x v="378"/>
    <x v="0"/>
    <x v="3603"/>
    <x v="0"/>
    <x v="1311"/>
    <n v="35.76"/>
    <x v="7"/>
  </r>
  <r>
    <x v="378"/>
    <x v="0"/>
    <x v="3604"/>
    <x v="0"/>
    <x v="1163"/>
    <n v="25.96"/>
    <x v="2"/>
  </r>
  <r>
    <x v="378"/>
    <x v="0"/>
    <x v="3605"/>
    <x v="0"/>
    <x v="19"/>
    <n v="35.76"/>
    <x v="0"/>
  </r>
  <r>
    <x v="378"/>
    <x v="0"/>
    <x v="3606"/>
    <x v="0"/>
    <x v="1306"/>
    <n v="25.96"/>
    <x v="2"/>
  </r>
  <r>
    <x v="378"/>
    <x v="0"/>
    <x v="3607"/>
    <x v="0"/>
    <x v="1275"/>
    <n v="35.76"/>
    <x v="0"/>
  </r>
  <r>
    <x v="378"/>
    <x v="0"/>
    <x v="3608"/>
    <x v="0"/>
    <x v="1158"/>
    <n v="35.76"/>
    <x v="7"/>
  </r>
  <r>
    <x v="378"/>
    <x v="0"/>
    <x v="3609"/>
    <x v="0"/>
    <x v="1312"/>
    <n v="35.76"/>
    <x v="7"/>
  </r>
  <r>
    <x v="378"/>
    <x v="0"/>
    <x v="3610"/>
    <x v="0"/>
    <x v="1170"/>
    <n v="25.96"/>
    <x v="2"/>
  </r>
  <r>
    <x v="378"/>
    <x v="0"/>
    <x v="3611"/>
    <x v="0"/>
    <x v="1110"/>
    <n v="35.76"/>
    <x v="0"/>
  </r>
  <r>
    <x v="378"/>
    <x v="0"/>
    <x v="3612"/>
    <x v="0"/>
    <x v="1163"/>
    <n v="35.76"/>
    <x v="7"/>
  </r>
  <r>
    <x v="378"/>
    <x v="0"/>
    <x v="3613"/>
    <x v="0"/>
    <x v="1259"/>
    <n v="35.76"/>
    <x v="1"/>
  </r>
  <r>
    <x v="378"/>
    <x v="0"/>
    <x v="3614"/>
    <x v="0"/>
    <x v="1165"/>
    <n v="35.76"/>
    <x v="0"/>
  </r>
  <r>
    <x v="378"/>
    <x v="0"/>
    <x v="3615"/>
    <x v="0"/>
    <x v="1191"/>
    <n v="35.76"/>
    <x v="0"/>
  </r>
  <r>
    <x v="378"/>
    <x v="0"/>
    <x v="3616"/>
    <x v="0"/>
    <x v="507"/>
    <n v="35.76"/>
    <x v="0"/>
  </r>
  <r>
    <x v="378"/>
    <x v="0"/>
    <x v="3617"/>
    <x v="0"/>
    <x v="1170"/>
    <n v="25.96"/>
    <x v="2"/>
  </r>
  <r>
    <x v="379"/>
    <x v="1"/>
    <x v="3618"/>
    <x v="0"/>
    <x v="1274"/>
    <n v="30.86"/>
    <x v="3"/>
  </r>
  <r>
    <x v="379"/>
    <x v="1"/>
    <x v="3619"/>
    <x v="0"/>
    <x v="1152"/>
    <n v="30.86"/>
    <x v="3"/>
  </r>
  <r>
    <x v="379"/>
    <x v="1"/>
    <x v="3620"/>
    <x v="0"/>
    <x v="1259"/>
    <n v="35.76"/>
    <x v="1"/>
  </r>
  <r>
    <x v="379"/>
    <x v="1"/>
    <x v="3621"/>
    <x v="0"/>
    <x v="1279"/>
    <n v="35.76"/>
    <x v="4"/>
  </r>
  <r>
    <x v="379"/>
    <x v="1"/>
    <x v="3622"/>
    <x v="0"/>
    <x v="1313"/>
    <n v="30.86"/>
    <x v="3"/>
  </r>
  <r>
    <x v="379"/>
    <x v="1"/>
    <x v="3623"/>
    <x v="0"/>
    <x v="1306"/>
    <n v="25.96"/>
    <x v="2"/>
  </r>
  <r>
    <x v="379"/>
    <x v="1"/>
    <x v="3624"/>
    <x v="0"/>
    <x v="1309"/>
    <n v="25.96"/>
    <x v="2"/>
  </r>
  <r>
    <x v="379"/>
    <x v="1"/>
    <x v="3625"/>
    <x v="0"/>
    <x v="1267"/>
    <n v="30.86"/>
    <x v="3"/>
  </r>
  <r>
    <x v="379"/>
    <x v="1"/>
    <x v="3626"/>
    <x v="0"/>
    <x v="1302"/>
    <n v="21.06"/>
    <x v="6"/>
  </r>
  <r>
    <x v="379"/>
    <x v="1"/>
    <x v="3627"/>
    <x v="0"/>
    <x v="1274"/>
    <n v="35.76"/>
    <x v="0"/>
  </r>
  <r>
    <x v="379"/>
    <x v="1"/>
    <x v="3628"/>
    <x v="0"/>
    <x v="1274"/>
    <n v="30.86"/>
    <x v="3"/>
  </r>
  <r>
    <x v="379"/>
    <x v="1"/>
    <x v="3629"/>
    <x v="0"/>
    <x v="1314"/>
    <n v="30.86"/>
    <x v="3"/>
  </r>
  <r>
    <x v="380"/>
    <x v="2"/>
    <x v="3630"/>
    <x v="0"/>
    <x v="1196"/>
    <n v="35.76"/>
    <x v="0"/>
  </r>
  <r>
    <x v="380"/>
    <x v="2"/>
    <x v="3631"/>
    <x v="0"/>
    <x v="1158"/>
    <n v="35.76"/>
    <x v="7"/>
  </r>
  <r>
    <x v="380"/>
    <x v="2"/>
    <x v="3632"/>
    <x v="0"/>
    <x v="1315"/>
    <n v="35.76"/>
    <x v="4"/>
  </r>
  <r>
    <x v="380"/>
    <x v="2"/>
    <x v="3633"/>
    <x v="0"/>
    <x v="1315"/>
    <n v="35.76"/>
    <x v="4"/>
  </r>
  <r>
    <x v="380"/>
    <x v="2"/>
    <x v="3634"/>
    <x v="0"/>
    <x v="1316"/>
    <n v="25.96"/>
    <x v="2"/>
  </r>
  <r>
    <x v="380"/>
    <x v="2"/>
    <x v="3635"/>
    <x v="0"/>
    <x v="1275"/>
    <n v="35.76"/>
    <x v="0"/>
  </r>
</pivotCacheRecords>
</file>

<file path=xl/pivotCache/pivotCacheRecords9.xml><?xml version="1.0" encoding="utf-8"?>
<pivotCacheRecords xmlns="http://schemas.openxmlformats.org/spreadsheetml/2006/main" xmlns:r="http://schemas.openxmlformats.org/officeDocument/2006/relationships" count="388">
  <r>
    <x v="0"/>
    <n v="396.3"/>
    <x v="0"/>
    <x v="0"/>
    <x v="0"/>
  </r>
  <r>
    <x v="1"/>
    <n v="228.1"/>
    <x v="1"/>
    <x v="0"/>
    <x v="0"/>
  </r>
  <r>
    <x v="2"/>
    <n v="349.09999999999997"/>
    <x v="2"/>
    <x v="0"/>
    <x v="0"/>
  </r>
  <r>
    <x v="3"/>
    <n v="135.19999999999999"/>
    <x v="3"/>
    <x v="0"/>
    <x v="0"/>
  </r>
  <r>
    <x v="4"/>
    <n v="338.49999999999994"/>
    <x v="4"/>
    <x v="0"/>
    <x v="0"/>
  </r>
  <r>
    <x v="5"/>
    <n v="170.2"/>
    <x v="5"/>
    <x v="0"/>
    <x v="0"/>
  </r>
  <r>
    <x v="6"/>
    <n v="220.10000000000002"/>
    <x v="6"/>
    <x v="0"/>
    <x v="0"/>
  </r>
  <r>
    <x v="7"/>
    <n v="265.5"/>
    <x v="0"/>
    <x v="0"/>
    <x v="0"/>
  </r>
  <r>
    <x v="8"/>
    <n v="479.4"/>
    <x v="1"/>
    <x v="0"/>
    <x v="0"/>
  </r>
  <r>
    <x v="9"/>
    <n v="231.6"/>
    <x v="2"/>
    <x v="0"/>
    <x v="0"/>
  </r>
  <r>
    <x v="10"/>
    <n v="275.2"/>
    <x v="3"/>
    <x v="0"/>
    <x v="0"/>
  </r>
  <r>
    <x v="11"/>
    <n v="228.10000000000002"/>
    <x v="4"/>
    <x v="0"/>
    <x v="0"/>
  </r>
  <r>
    <x v="12"/>
    <n v="256.2"/>
    <x v="5"/>
    <x v="0"/>
    <x v="0"/>
  </r>
  <r>
    <x v="13"/>
    <n v="397.09999999999997"/>
    <x v="6"/>
    <x v="0"/>
    <x v="0"/>
  </r>
  <r>
    <x v="14"/>
    <n v="107.6"/>
    <x v="0"/>
    <x v="0"/>
    <x v="0"/>
  </r>
  <r>
    <x v="15"/>
    <n v="183.2"/>
    <x v="1"/>
    <x v="0"/>
    <x v="0"/>
  </r>
  <r>
    <x v="16"/>
    <n v="68.900000000000006"/>
    <x v="2"/>
    <x v="0"/>
    <x v="0"/>
  </r>
  <r>
    <x v="17"/>
    <n v="115.6"/>
    <x v="3"/>
    <x v="0"/>
    <x v="0"/>
  </r>
  <r>
    <x v="18"/>
    <n v="219.90000000000003"/>
    <x v="4"/>
    <x v="0"/>
    <x v="0"/>
  </r>
  <r>
    <x v="19"/>
    <n v="213.89999999999998"/>
    <x v="5"/>
    <x v="0"/>
    <x v="0"/>
  </r>
  <r>
    <x v="20"/>
    <n v="205.20000000000005"/>
    <x v="6"/>
    <x v="0"/>
    <x v="0"/>
  </r>
  <r>
    <x v="21"/>
    <n v="189.4"/>
    <x v="0"/>
    <x v="0"/>
    <x v="0"/>
  </r>
  <r>
    <x v="22"/>
    <n v="285.09999999999997"/>
    <x v="1"/>
    <x v="0"/>
    <x v="0"/>
  </r>
  <r>
    <x v="23"/>
    <n v="78.7"/>
    <x v="2"/>
    <x v="0"/>
    <x v="0"/>
  </r>
  <r>
    <x v="24"/>
    <n v="223.60000000000002"/>
    <x v="3"/>
    <x v="0"/>
    <x v="0"/>
  </r>
  <r>
    <x v="25"/>
    <n v="376.7"/>
    <x v="4"/>
    <x v="0"/>
    <x v="0"/>
  </r>
  <r>
    <x v="26"/>
    <n v="271.7"/>
    <x v="5"/>
    <x v="0"/>
    <x v="0"/>
  </r>
  <r>
    <x v="27"/>
    <n v="125.39999999999999"/>
    <x v="6"/>
    <x v="0"/>
    <x v="0"/>
  </r>
  <r>
    <x v="28"/>
    <n v="156.10000000000002"/>
    <x v="0"/>
    <x v="0"/>
    <x v="0"/>
  </r>
  <r>
    <x v="29"/>
    <n v="189.90000000000003"/>
    <x v="1"/>
    <x v="0"/>
    <x v="0"/>
  </r>
  <r>
    <x v="30"/>
    <n v="68.7"/>
    <x v="2"/>
    <x v="0"/>
    <x v="0"/>
  </r>
  <r>
    <x v="31"/>
    <n v="242.8"/>
    <x v="3"/>
    <x v="1"/>
    <x v="0"/>
  </r>
  <r>
    <x v="32"/>
    <n v="136.5"/>
    <x v="4"/>
    <x v="1"/>
    <x v="0"/>
  </r>
  <r>
    <x v="33"/>
    <n v="126.5"/>
    <x v="5"/>
    <x v="1"/>
    <x v="0"/>
  </r>
  <r>
    <x v="34"/>
    <n v="185"/>
    <x v="6"/>
    <x v="1"/>
    <x v="0"/>
  </r>
  <r>
    <x v="35"/>
    <n v="362.1"/>
    <x v="0"/>
    <x v="1"/>
    <x v="0"/>
  </r>
  <r>
    <x v="36"/>
    <n v="140.10000000000002"/>
    <x v="1"/>
    <x v="1"/>
    <x v="0"/>
  </r>
  <r>
    <x v="37"/>
    <n v="241.5"/>
    <x v="2"/>
    <x v="1"/>
    <x v="0"/>
  </r>
  <r>
    <x v="38"/>
    <n v="340.2"/>
    <x v="3"/>
    <x v="1"/>
    <x v="0"/>
  </r>
  <r>
    <x v="39"/>
    <n v="186.10000000000002"/>
    <x v="4"/>
    <x v="1"/>
    <x v="0"/>
  </r>
  <r>
    <x v="40"/>
    <n v="166.4"/>
    <x v="5"/>
    <x v="1"/>
    <x v="0"/>
  </r>
  <r>
    <x v="41"/>
    <n v="169"/>
    <x v="6"/>
    <x v="1"/>
    <x v="0"/>
  </r>
  <r>
    <x v="42"/>
    <n v="67.599999999999994"/>
    <x v="0"/>
    <x v="1"/>
    <x v="0"/>
  </r>
  <r>
    <x v="43"/>
    <n v="302.39999999999998"/>
    <x v="1"/>
    <x v="1"/>
    <x v="0"/>
  </r>
  <r>
    <x v="44"/>
    <n v="434.2999999999999"/>
    <x v="2"/>
    <x v="1"/>
    <x v="0"/>
  </r>
  <r>
    <x v="45"/>
    <n v="150.39999999999998"/>
    <x v="3"/>
    <x v="1"/>
    <x v="0"/>
  </r>
  <r>
    <x v="46"/>
    <n v="276.5"/>
    <x v="4"/>
    <x v="1"/>
    <x v="0"/>
  </r>
  <r>
    <x v="47"/>
    <n v="199.20000000000002"/>
    <x v="5"/>
    <x v="1"/>
    <x v="0"/>
  </r>
  <r>
    <x v="48"/>
    <n v="352.69999999999993"/>
    <x v="6"/>
    <x v="1"/>
    <x v="0"/>
  </r>
  <r>
    <x v="49"/>
    <n v="261.10000000000002"/>
    <x v="0"/>
    <x v="1"/>
    <x v="0"/>
  </r>
  <r>
    <x v="50"/>
    <n v="494.30000000000007"/>
    <x v="1"/>
    <x v="1"/>
    <x v="0"/>
  </r>
  <r>
    <x v="51"/>
    <n v="104.64"/>
    <x v="2"/>
    <x v="1"/>
    <x v="0"/>
  </r>
  <r>
    <x v="52"/>
    <n v="176.46"/>
    <x v="3"/>
    <x v="1"/>
    <x v="0"/>
  </r>
  <r>
    <x v="53"/>
    <n v="173.89999999999998"/>
    <x v="4"/>
    <x v="1"/>
    <x v="0"/>
  </r>
  <r>
    <x v="54"/>
    <n v="272.35999999999996"/>
    <x v="5"/>
    <x v="1"/>
    <x v="0"/>
  </r>
  <r>
    <x v="55"/>
    <n v="121.48"/>
    <x v="6"/>
    <x v="1"/>
    <x v="0"/>
  </r>
  <r>
    <x v="56"/>
    <n v="300.28000000000009"/>
    <x v="0"/>
    <x v="1"/>
    <x v="0"/>
  </r>
  <r>
    <x v="57"/>
    <n v="37.72"/>
    <x v="1"/>
    <x v="1"/>
    <x v="0"/>
  </r>
  <r>
    <x v="58"/>
    <n v="169"/>
    <x v="2"/>
    <x v="1"/>
    <x v="0"/>
  </r>
  <r>
    <x v="59"/>
    <n v="257.65999999999997"/>
    <x v="3"/>
    <x v="1"/>
    <x v="0"/>
  </r>
  <r>
    <x v="60"/>
    <n v="272.35999999999996"/>
    <x v="4"/>
    <x v="1"/>
    <x v="0"/>
  </r>
  <r>
    <x v="61"/>
    <n v="0"/>
    <x v="5"/>
    <x v="2"/>
    <x v="0"/>
  </r>
  <r>
    <x v="62"/>
    <n v="245.72"/>
    <x v="6"/>
    <x v="2"/>
    <x v="0"/>
  </r>
  <r>
    <x v="63"/>
    <n v="114.44"/>
    <x v="0"/>
    <x v="2"/>
    <x v="0"/>
  </r>
  <r>
    <x v="64"/>
    <n v="0"/>
    <x v="1"/>
    <x v="2"/>
    <x v="0"/>
  </r>
  <r>
    <x v="65"/>
    <n v="0"/>
    <x v="2"/>
    <x v="2"/>
    <x v="0"/>
  </r>
  <r>
    <x v="66"/>
    <n v="314.58000000000004"/>
    <x v="3"/>
    <x v="2"/>
    <x v="0"/>
  </r>
  <r>
    <x v="67"/>
    <n v="344.08000000000004"/>
    <x v="4"/>
    <x v="2"/>
    <x v="0"/>
  </r>
  <r>
    <x v="68"/>
    <n v="37.72"/>
    <x v="5"/>
    <x v="2"/>
    <x v="0"/>
  </r>
  <r>
    <x v="69"/>
    <n v="295.38"/>
    <x v="6"/>
    <x v="2"/>
    <x v="0"/>
  </r>
  <r>
    <x v="70"/>
    <n v="148.44"/>
    <x v="0"/>
    <x v="2"/>
    <x v="0"/>
  </r>
  <r>
    <x v="71"/>
    <n v="293.24"/>
    <x v="1"/>
    <x v="2"/>
    <x v="0"/>
  </r>
  <r>
    <x v="72"/>
    <n v="272.35999999999996"/>
    <x v="2"/>
    <x v="2"/>
    <x v="0"/>
  </r>
  <r>
    <x v="73"/>
    <n v="90.82"/>
    <x v="3"/>
    <x v="2"/>
    <x v="0"/>
  </r>
  <r>
    <x v="74"/>
    <n v="403.64"/>
    <x v="4"/>
    <x v="2"/>
    <x v="0"/>
  </r>
  <r>
    <x v="75"/>
    <n v="350.82000000000005"/>
    <x v="5"/>
    <x v="2"/>
    <x v="0"/>
  </r>
  <r>
    <x v="76"/>
    <n v="327.34000000000003"/>
    <x v="6"/>
    <x v="2"/>
    <x v="0"/>
  </r>
  <r>
    <x v="77"/>
    <n v="306.36"/>
    <x v="0"/>
    <x v="2"/>
    <x v="0"/>
  </r>
  <r>
    <x v="78"/>
    <n v="283.43999999999994"/>
    <x v="1"/>
    <x v="2"/>
    <x v="0"/>
  </r>
  <r>
    <x v="79"/>
    <n v="417.84000000000003"/>
    <x v="2"/>
    <x v="2"/>
    <x v="0"/>
  </r>
  <r>
    <x v="80"/>
    <n v="559.0200000000001"/>
    <x v="3"/>
    <x v="2"/>
    <x v="0"/>
  </r>
  <r>
    <x v="81"/>
    <n v="314.89999999999998"/>
    <x v="4"/>
    <x v="2"/>
    <x v="0"/>
  </r>
  <r>
    <x v="82"/>
    <n v="370.82000000000005"/>
    <x v="5"/>
    <x v="2"/>
    <x v="0"/>
  </r>
  <r>
    <x v="83"/>
    <n v="575.4000000000002"/>
    <x v="6"/>
    <x v="2"/>
    <x v="0"/>
  </r>
  <r>
    <x v="84"/>
    <n v="210.14"/>
    <x v="0"/>
    <x v="2"/>
    <x v="0"/>
  </r>
  <r>
    <x v="85"/>
    <n v="254.91999999999996"/>
    <x v="1"/>
    <x v="2"/>
    <x v="0"/>
  </r>
  <r>
    <x v="86"/>
    <n v="526.60000000000014"/>
    <x v="2"/>
    <x v="2"/>
    <x v="0"/>
  </r>
  <r>
    <x v="87"/>
    <n v="365.91999999999996"/>
    <x v="3"/>
    <x v="2"/>
    <x v="0"/>
  </r>
  <r>
    <x v="88"/>
    <n v="372.1"/>
    <x v="4"/>
    <x v="2"/>
    <x v="0"/>
  </r>
  <r>
    <x v="89"/>
    <n v="396.6"/>
    <x v="5"/>
    <x v="2"/>
    <x v="0"/>
  </r>
  <r>
    <x v="90"/>
    <n v="370.82"/>
    <x v="6"/>
    <x v="2"/>
    <x v="0"/>
  </r>
  <r>
    <x v="91"/>
    <n v="499.96000000000004"/>
    <x v="0"/>
    <x v="2"/>
    <x v="0"/>
  </r>
  <r>
    <x v="92"/>
    <n v="386.8"/>
    <x v="1"/>
    <x v="3"/>
    <x v="0"/>
  </r>
  <r>
    <x v="93"/>
    <n v="212.79999999999998"/>
    <x v="2"/>
    <x v="3"/>
    <x v="0"/>
  </r>
  <r>
    <x v="94"/>
    <n v="251.7"/>
    <x v="3"/>
    <x v="3"/>
    <x v="0"/>
  </r>
  <r>
    <x v="95"/>
    <n v="474.18"/>
    <x v="4"/>
    <x v="3"/>
    <x v="0"/>
  </r>
  <r>
    <x v="96"/>
    <n v="310.08"/>
    <x v="5"/>
    <x v="3"/>
    <x v="0"/>
  </r>
  <r>
    <x v="97"/>
    <n v="385.52"/>
    <x v="6"/>
    <x v="3"/>
    <x v="0"/>
  </r>
  <r>
    <x v="98"/>
    <n v="149.4"/>
    <x v="0"/>
    <x v="3"/>
    <x v="0"/>
  </r>
  <r>
    <x v="99"/>
    <n v="136.18"/>
    <x v="1"/>
    <x v="3"/>
    <x v="0"/>
  </r>
  <r>
    <x v="100"/>
    <n v="436.46000000000004"/>
    <x v="2"/>
    <x v="3"/>
    <x v="0"/>
  </r>
  <r>
    <x v="101"/>
    <n v="226.32"/>
    <x v="3"/>
    <x v="3"/>
    <x v="0"/>
  </r>
  <r>
    <x v="102"/>
    <n v="211.61999999999998"/>
    <x v="4"/>
    <x v="3"/>
    <x v="0"/>
  </r>
  <r>
    <x v="103"/>
    <n v="221.42"/>
    <x v="5"/>
    <x v="3"/>
    <x v="0"/>
  </r>
  <r>
    <x v="104"/>
    <n v="379.14"/>
    <x v="6"/>
    <x v="3"/>
    <x v="0"/>
  </r>
  <r>
    <x v="105"/>
    <n v="126.38"/>
    <x v="0"/>
    <x v="3"/>
    <x v="0"/>
  </r>
  <r>
    <x v="106"/>
    <n v="262.56"/>
    <x v="1"/>
    <x v="3"/>
    <x v="0"/>
  </r>
  <r>
    <x v="107"/>
    <n v="408.53999999999996"/>
    <x v="2"/>
    <x v="3"/>
    <x v="0"/>
  </r>
  <r>
    <x v="108"/>
    <n v="323.3"/>
    <x v="3"/>
    <x v="3"/>
    <x v="0"/>
  </r>
  <r>
    <x v="109"/>
    <n v="234.64"/>
    <x v="4"/>
    <x v="3"/>
    <x v="0"/>
  </r>
  <r>
    <x v="110"/>
    <n v="380.61999999999995"/>
    <x v="5"/>
    <x v="3"/>
    <x v="0"/>
  </r>
  <r>
    <x v="111"/>
    <n v="221.42"/>
    <x v="6"/>
    <x v="3"/>
    <x v="0"/>
  </r>
  <r>
    <x v="112"/>
    <n v="403.6400000000001"/>
    <x v="0"/>
    <x v="3"/>
    <x v="0"/>
  </r>
  <r>
    <x v="113"/>
    <n v="169"/>
    <x v="1"/>
    <x v="3"/>
    <x v="0"/>
  </r>
  <r>
    <x v="114"/>
    <n v="178.79999999999998"/>
    <x v="2"/>
    <x v="3"/>
    <x v="0"/>
  </r>
  <r>
    <x v="115"/>
    <n v="221.42"/>
    <x v="3"/>
    <x v="3"/>
    <x v="0"/>
  </r>
  <r>
    <x v="116"/>
    <n v="141.07999999999998"/>
    <x v="4"/>
    <x v="3"/>
    <x v="0"/>
  </r>
  <r>
    <x v="117"/>
    <n v="196.92"/>
    <x v="5"/>
    <x v="3"/>
    <x v="0"/>
  </r>
  <r>
    <x v="118"/>
    <n v="131.28"/>
    <x v="6"/>
    <x v="3"/>
    <x v="0"/>
  </r>
  <r>
    <x v="119"/>
    <n v="159.19999999999999"/>
    <x v="0"/>
    <x v="3"/>
    <x v="0"/>
  </r>
  <r>
    <x v="120"/>
    <n v="287.06"/>
    <x v="1"/>
    <x v="3"/>
    <x v="0"/>
  </r>
  <r>
    <x v="121"/>
    <n v="131.28"/>
    <x v="2"/>
    <x v="3"/>
    <x v="0"/>
  </r>
  <r>
    <x v="122"/>
    <n v="98.46"/>
    <x v="3"/>
    <x v="4"/>
    <x v="0"/>
  </r>
  <r>
    <x v="123"/>
    <n v="192.02"/>
    <x v="4"/>
    <x v="4"/>
    <x v="0"/>
  </r>
  <r>
    <x v="124"/>
    <n v="310.08000000000004"/>
    <x v="5"/>
    <x v="4"/>
    <x v="0"/>
  </r>
  <r>
    <x v="125"/>
    <n v="60.74"/>
    <x v="6"/>
    <x v="4"/>
    <x v="0"/>
  </r>
  <r>
    <x v="126"/>
    <n v="303.7"/>
    <x v="0"/>
    <x v="4"/>
    <x v="0"/>
  </r>
  <r>
    <x v="127"/>
    <n v="164.09999999999997"/>
    <x v="1"/>
    <x v="4"/>
    <x v="0"/>
  </r>
  <r>
    <x v="128"/>
    <n v="346.32"/>
    <x v="2"/>
    <x v="4"/>
    <x v="0"/>
  </r>
  <r>
    <x v="129"/>
    <n v="139.6"/>
    <x v="3"/>
    <x v="4"/>
    <x v="0"/>
  </r>
  <r>
    <x v="130"/>
    <n v="144.5"/>
    <x v="4"/>
    <x v="4"/>
    <x v="0"/>
  </r>
  <r>
    <x v="131"/>
    <n v="83.759999999999991"/>
    <x v="5"/>
    <x v="4"/>
    <x v="0"/>
  </r>
  <r>
    <x v="132"/>
    <n v="116.58"/>
    <x v="6"/>
    <x v="4"/>
    <x v="0"/>
  </r>
  <r>
    <x v="133"/>
    <n v="154.29999999999998"/>
    <x v="0"/>
    <x v="4"/>
    <x v="0"/>
  </r>
  <r>
    <x v="134"/>
    <n v="65.64"/>
    <x v="1"/>
    <x v="4"/>
    <x v="0"/>
  </r>
  <r>
    <x v="135"/>
    <n v="172.42"/>
    <x v="2"/>
    <x v="4"/>
    <x v="0"/>
  </r>
  <r>
    <x v="136"/>
    <n v="32.82"/>
    <x v="3"/>
    <x v="4"/>
    <x v="0"/>
  </r>
  <r>
    <x v="137"/>
    <n v="60.74"/>
    <x v="4"/>
    <x v="4"/>
    <x v="0"/>
  </r>
  <r>
    <x v="138"/>
    <n v="27.92"/>
    <x v="5"/>
    <x v="4"/>
    <x v="0"/>
  </r>
  <r>
    <x v="139"/>
    <n v="312.02"/>
    <x v="6"/>
    <x v="4"/>
    <x v="0"/>
  </r>
  <r>
    <x v="140"/>
    <n v="242.95999999999998"/>
    <x v="0"/>
    <x v="4"/>
    <x v="0"/>
  </r>
  <r>
    <x v="141"/>
    <n v="200.34"/>
    <x v="1"/>
    <x v="4"/>
    <x v="0"/>
  </r>
  <r>
    <x v="142"/>
    <n v="121.47999999999999"/>
    <x v="2"/>
    <x v="4"/>
    <x v="0"/>
  </r>
  <r>
    <x v="143"/>
    <n v="106.78"/>
    <x v="3"/>
    <x v="4"/>
    <x v="0"/>
  </r>
  <r>
    <x v="144"/>
    <n v="339.94"/>
    <x v="4"/>
    <x v="4"/>
    <x v="0"/>
  </r>
  <r>
    <x v="145"/>
    <n v="330.14"/>
    <x v="5"/>
    <x v="4"/>
    <x v="0"/>
  </r>
  <r>
    <x v="146"/>
    <n v="269.40000000000003"/>
    <x v="6"/>
    <x v="4"/>
    <x v="0"/>
  </r>
  <r>
    <x v="147"/>
    <n v="461.41999999999996"/>
    <x v="0"/>
    <x v="4"/>
    <x v="0"/>
  </r>
  <r>
    <x v="148"/>
    <n v="372.76"/>
    <x v="1"/>
    <x v="4"/>
    <x v="0"/>
  </r>
  <r>
    <x v="149"/>
    <n v="78.860000000000014"/>
    <x v="2"/>
    <x v="4"/>
    <x v="0"/>
  </r>
  <r>
    <x v="150"/>
    <n v="321.81999999999994"/>
    <x v="3"/>
    <x v="4"/>
    <x v="0"/>
  </r>
  <r>
    <x v="151"/>
    <n v="650.48000000000013"/>
    <x v="4"/>
    <x v="4"/>
    <x v="0"/>
  </r>
  <r>
    <x v="152"/>
    <n v="633.84"/>
    <x v="5"/>
    <x v="4"/>
    <x v="0"/>
  </r>
  <r>
    <x v="153"/>
    <n v="335.03999999999996"/>
    <x v="6"/>
    <x v="5"/>
    <x v="0"/>
  </r>
  <r>
    <x v="154"/>
    <n v="139.6"/>
    <x v="0"/>
    <x v="5"/>
    <x v="0"/>
  </r>
  <r>
    <x v="155"/>
    <n v="358.06000000000006"/>
    <x v="1"/>
    <x v="5"/>
    <x v="0"/>
  </r>
  <r>
    <x v="156"/>
    <n v="187.12"/>
    <x v="2"/>
    <x v="5"/>
    <x v="0"/>
  </r>
  <r>
    <x v="157"/>
    <n v="392.35999999999996"/>
    <x v="3"/>
    <x v="5"/>
    <x v="0"/>
  </r>
  <r>
    <x v="158"/>
    <n v="247.85999999999996"/>
    <x v="4"/>
    <x v="5"/>
    <x v="0"/>
  </r>
  <r>
    <x v="159"/>
    <n v="279.2"/>
    <x v="5"/>
    <x v="5"/>
    <x v="0"/>
  </r>
  <r>
    <x v="160"/>
    <n v="208.65999999999997"/>
    <x v="6"/>
    <x v="5"/>
    <x v="0"/>
  </r>
  <r>
    <x v="161"/>
    <n v="218.46"/>
    <x v="0"/>
    <x v="5"/>
    <x v="0"/>
  </r>
  <r>
    <x v="162"/>
    <n v="321.82"/>
    <x v="1"/>
    <x v="5"/>
    <x v="0"/>
  </r>
  <r>
    <x v="163"/>
    <n v="443.29999999999995"/>
    <x v="2"/>
    <x v="5"/>
    <x v="0"/>
  </r>
  <r>
    <x v="164"/>
    <n v="377.66"/>
    <x v="3"/>
    <x v="5"/>
    <x v="0"/>
  </r>
  <r>
    <x v="165"/>
    <n v="382.55999999999995"/>
    <x v="4"/>
    <x v="5"/>
    <x v="0"/>
  </r>
  <r>
    <x v="166"/>
    <n v="348.26"/>
    <x v="5"/>
    <x v="5"/>
    <x v="0"/>
  </r>
  <r>
    <x v="167"/>
    <n v="446.72"/>
    <x v="6"/>
    <x v="5"/>
    <x v="0"/>
  </r>
  <r>
    <x v="168"/>
    <n v="120.00000000000001"/>
    <x v="0"/>
    <x v="5"/>
    <x v="0"/>
  </r>
  <r>
    <x v="169"/>
    <n v="312.02"/>
    <x v="1"/>
    <x v="5"/>
    <x v="0"/>
  </r>
  <r>
    <x v="170"/>
    <n v="279.2"/>
    <x v="2"/>
    <x v="5"/>
    <x v="0"/>
  </r>
  <r>
    <x v="171"/>
    <n v="121.47999999999999"/>
    <x v="3"/>
    <x v="5"/>
    <x v="0"/>
  </r>
  <r>
    <x v="172"/>
    <n v="358.06"/>
    <x v="4"/>
    <x v="5"/>
    <x v="0"/>
  </r>
  <r>
    <x v="173"/>
    <n v="190.54"/>
    <x v="5"/>
    <x v="5"/>
    <x v="0"/>
  </r>
  <r>
    <x v="174"/>
    <n v="200.34"/>
    <x v="6"/>
    <x v="5"/>
    <x v="0"/>
  </r>
  <r>
    <x v="175"/>
    <n v="353.15999999999997"/>
    <x v="0"/>
    <x v="5"/>
    <x v="0"/>
  </r>
  <r>
    <x v="176"/>
    <n v="128.32000000000002"/>
    <x v="1"/>
    <x v="5"/>
    <x v="0"/>
  </r>
  <r>
    <x v="177"/>
    <n v="167.51999999999998"/>
    <x v="2"/>
    <x v="5"/>
    <x v="0"/>
  </r>
  <r>
    <x v="178"/>
    <n v="297.32000000000005"/>
    <x v="3"/>
    <x v="5"/>
    <x v="0"/>
  </r>
  <r>
    <x v="179"/>
    <n v="32.82"/>
    <x v="4"/>
    <x v="5"/>
    <x v="0"/>
  </r>
  <r>
    <x v="180"/>
    <n v="111.68"/>
    <x v="5"/>
    <x v="5"/>
    <x v="0"/>
  </r>
  <r>
    <x v="181"/>
    <n v="23.02"/>
    <x v="6"/>
    <x v="5"/>
    <x v="0"/>
  </r>
  <r>
    <x v="182"/>
    <n v="88.66"/>
    <x v="0"/>
    <x v="5"/>
    <x v="0"/>
  </r>
  <r>
    <x v="183"/>
    <n v="143.02000000000001"/>
    <x v="1"/>
    <x v="5"/>
    <x v="0"/>
  </r>
  <r>
    <x v="184"/>
    <n v="293.89999999999998"/>
    <x v="2"/>
    <x v="6"/>
    <x v="0"/>
  </r>
  <r>
    <x v="185"/>
    <n v="233.16000000000003"/>
    <x v="3"/>
    <x v="6"/>
    <x v="0"/>
  </r>
  <r>
    <x v="186"/>
    <n v="513.84"/>
    <x v="4"/>
    <x v="6"/>
    <x v="0"/>
  </r>
  <r>
    <x v="187"/>
    <n v="298.8"/>
    <x v="5"/>
    <x v="6"/>
    <x v="0"/>
  </r>
  <r>
    <x v="188"/>
    <n v="405.58"/>
    <x v="6"/>
    <x v="6"/>
    <x v="0"/>
  </r>
  <r>
    <x v="189"/>
    <n v="274.3"/>
    <x v="0"/>
    <x v="6"/>
    <x v="0"/>
  </r>
  <r>
    <x v="190"/>
    <n v="579.94000000000017"/>
    <x v="1"/>
    <x v="6"/>
    <x v="0"/>
  </r>
  <r>
    <x v="191"/>
    <n v="138.12"/>
    <x v="2"/>
    <x v="6"/>
    <x v="0"/>
  </r>
  <r>
    <x v="192"/>
    <n v="518.74"/>
    <x v="3"/>
    <x v="6"/>
    <x v="0"/>
  </r>
  <r>
    <x v="193"/>
    <n v="289"/>
    <x v="4"/>
    <x v="6"/>
    <x v="0"/>
  </r>
  <r>
    <x v="194"/>
    <n v="242.96"/>
    <x v="5"/>
    <x v="6"/>
    <x v="0"/>
  </r>
  <r>
    <x v="195"/>
    <n v="310.54000000000002"/>
    <x v="6"/>
    <x v="6"/>
    <x v="0"/>
  </r>
  <r>
    <x v="196"/>
    <n v="187.12"/>
    <x v="0"/>
    <x v="6"/>
    <x v="0"/>
  </r>
  <r>
    <x v="197"/>
    <n v="65.64"/>
    <x v="1"/>
    <x v="6"/>
    <x v="0"/>
  </r>
  <r>
    <x v="198"/>
    <n v="147.91999999999999"/>
    <x v="2"/>
    <x v="6"/>
    <x v="0"/>
  </r>
  <r>
    <x v="199"/>
    <n v="336.52000000000004"/>
    <x v="3"/>
    <x v="6"/>
    <x v="0"/>
  </r>
  <r>
    <x v="200"/>
    <n v="661.76"/>
    <x v="4"/>
    <x v="6"/>
    <x v="0"/>
  </r>
  <r>
    <x v="201"/>
    <n v="121.48"/>
    <x v="5"/>
    <x v="6"/>
    <x v="0"/>
  </r>
  <r>
    <x v="202"/>
    <n v="157.72"/>
    <x v="6"/>
    <x v="6"/>
    <x v="0"/>
  </r>
  <r>
    <x v="203"/>
    <n v="195.44000000000005"/>
    <x v="0"/>
    <x v="6"/>
    <x v="0"/>
  </r>
  <r>
    <x v="204"/>
    <n v="428.59999999999991"/>
    <x v="1"/>
    <x v="6"/>
    <x v="0"/>
  </r>
  <r>
    <x v="205"/>
    <n v="679.88"/>
    <x v="2"/>
    <x v="6"/>
    <x v="0"/>
  </r>
  <r>
    <x v="206"/>
    <n v="279.2"/>
    <x v="3"/>
    <x v="6"/>
    <x v="0"/>
  </r>
  <r>
    <x v="207"/>
    <n v="448.2"/>
    <x v="4"/>
    <x v="6"/>
    <x v="0"/>
  </r>
  <r>
    <x v="208"/>
    <n v="279.20000000000005"/>
    <x v="5"/>
    <x v="6"/>
    <x v="0"/>
  </r>
  <r>
    <x v="209"/>
    <n v="261.08"/>
    <x v="6"/>
    <x v="6"/>
    <x v="0"/>
  </r>
  <r>
    <x v="210"/>
    <n v="481.02"/>
    <x v="0"/>
    <x v="6"/>
    <x v="0"/>
  </r>
  <r>
    <x v="211"/>
    <n v="362.9799999999999"/>
    <x v="1"/>
    <x v="6"/>
    <x v="0"/>
  </r>
  <r>
    <x v="212"/>
    <n v="368.85999999999996"/>
    <x v="2"/>
    <x v="6"/>
    <x v="0"/>
  </r>
  <r>
    <x v="213"/>
    <n v="427.14000000000004"/>
    <x v="3"/>
    <x v="6"/>
    <x v="0"/>
  </r>
  <r>
    <x v="214"/>
    <n v="482.49999999999994"/>
    <x v="4"/>
    <x v="7"/>
    <x v="0"/>
  </r>
  <r>
    <x v="215"/>
    <n v="373.75999999999993"/>
    <x v="5"/>
    <x v="7"/>
    <x v="0"/>
  </r>
  <r>
    <x v="216"/>
    <n v="271.38"/>
    <x v="6"/>
    <x v="7"/>
    <x v="0"/>
  </r>
  <r>
    <x v="217"/>
    <n v="267.94"/>
    <x v="0"/>
    <x v="7"/>
    <x v="0"/>
  </r>
  <r>
    <x v="218"/>
    <n v="175.36"/>
    <x v="1"/>
    <x v="7"/>
    <x v="0"/>
  </r>
  <r>
    <x v="219"/>
    <n v="656.4"/>
    <x v="2"/>
    <x v="7"/>
    <x v="0"/>
  </r>
  <r>
    <x v="220"/>
    <n v="399.71999999999997"/>
    <x v="3"/>
    <x v="7"/>
    <x v="0"/>
  </r>
  <r>
    <x v="221"/>
    <n v="584.88"/>
    <x v="4"/>
    <x v="7"/>
    <x v="0"/>
  </r>
  <r>
    <x v="222"/>
    <n v="365.41999999999996"/>
    <x v="5"/>
    <x v="7"/>
    <x v="0"/>
  </r>
  <r>
    <x v="223"/>
    <n v="487.4"/>
    <x v="6"/>
    <x v="7"/>
    <x v="0"/>
  </r>
  <r>
    <x v="224"/>
    <n v="836.65999999999985"/>
    <x v="0"/>
    <x v="7"/>
    <x v="0"/>
  </r>
  <r>
    <x v="225"/>
    <n v="216.01999999999998"/>
    <x v="1"/>
    <x v="7"/>
    <x v="0"/>
  </r>
  <r>
    <x v="226"/>
    <n v="272.83999999999997"/>
    <x v="2"/>
    <x v="7"/>
    <x v="0"/>
  </r>
  <r>
    <x v="227"/>
    <n v="528.05999999999995"/>
    <x v="3"/>
    <x v="7"/>
    <x v="0"/>
  </r>
  <r>
    <x v="228"/>
    <n v="579.9799999999999"/>
    <x v="4"/>
    <x v="7"/>
    <x v="0"/>
  </r>
  <r>
    <x v="229"/>
    <n v="441.84000000000003"/>
    <x v="5"/>
    <x v="7"/>
    <x v="0"/>
  </r>
  <r>
    <x v="230"/>
    <n v="726.45999999999992"/>
    <x v="6"/>
    <x v="7"/>
    <x v="0"/>
  </r>
  <r>
    <x v="231"/>
    <n v="521.69999999999993"/>
    <x v="0"/>
    <x v="7"/>
    <x v="0"/>
  </r>
  <r>
    <x v="232"/>
    <n v="316.93999999999994"/>
    <x v="1"/>
    <x v="7"/>
    <x v="0"/>
  </r>
  <r>
    <x v="233"/>
    <n v="547.66"/>
    <x v="2"/>
    <x v="7"/>
    <x v="0"/>
  </r>
  <r>
    <x v="234"/>
    <n v="615.74"/>
    <x v="3"/>
    <x v="7"/>
    <x v="0"/>
  </r>
  <r>
    <x v="235"/>
    <n v="272.84000000000003"/>
    <x v="4"/>
    <x v="7"/>
    <x v="0"/>
  </r>
  <r>
    <x v="236"/>
    <n v="415.88"/>
    <x v="5"/>
    <x v="7"/>
    <x v="0"/>
  </r>
  <r>
    <x v="237"/>
    <n v="497.19999999999987"/>
    <x v="6"/>
    <x v="7"/>
    <x v="0"/>
  </r>
  <r>
    <x v="238"/>
    <n v="472.69999999999993"/>
    <x v="0"/>
    <x v="7"/>
    <x v="0"/>
  </r>
  <r>
    <x v="239"/>
    <n v="513.3599999999999"/>
    <x v="1"/>
    <x v="7"/>
    <x v="0"/>
  </r>
  <r>
    <x v="240"/>
    <n v="169"/>
    <x v="2"/>
    <x v="7"/>
    <x v="0"/>
  </r>
  <r>
    <x v="241"/>
    <n v="599.58000000000004"/>
    <x v="3"/>
    <x v="7"/>
    <x v="0"/>
  </r>
  <r>
    <x v="242"/>
    <n v="589.78"/>
    <x v="4"/>
    <x v="7"/>
    <x v="0"/>
  </r>
  <r>
    <x v="243"/>
    <n v="523.16"/>
    <x v="5"/>
    <x v="7"/>
    <x v="0"/>
  </r>
  <r>
    <x v="244"/>
    <n v="169"/>
    <x v="6"/>
    <x v="7"/>
    <x v="0"/>
  </r>
  <r>
    <x v="245"/>
    <n v="225.82"/>
    <x v="0"/>
    <x v="8"/>
    <x v="0"/>
  </r>
  <r>
    <x v="246"/>
    <n v="287.53999999999996"/>
    <x v="1"/>
    <x v="8"/>
    <x v="0"/>
  </r>
  <r>
    <x v="247"/>
    <n v="406.07999999999993"/>
    <x v="2"/>
    <x v="8"/>
    <x v="0"/>
  </r>
  <r>
    <x v="248"/>
    <n v="230.71999999999997"/>
    <x v="3"/>
    <x v="8"/>
    <x v="0"/>
  </r>
  <r>
    <x v="249"/>
    <n v="588.31999999999994"/>
    <x v="4"/>
    <x v="8"/>
    <x v="0"/>
  </r>
  <r>
    <x v="250"/>
    <n v="261.58"/>
    <x v="5"/>
    <x v="8"/>
    <x v="0"/>
  </r>
  <r>
    <x v="251"/>
    <n v="230.71999999999997"/>
    <x v="6"/>
    <x v="8"/>
    <x v="0"/>
  </r>
  <r>
    <x v="252"/>
    <n v="394.81999999999994"/>
    <x v="0"/>
    <x v="8"/>
    <x v="0"/>
  </r>
  <r>
    <x v="253"/>
    <n v="539.31999999999994"/>
    <x v="1"/>
    <x v="8"/>
    <x v="0"/>
  </r>
  <r>
    <x v="254"/>
    <n v="204.75999999999996"/>
    <x v="2"/>
    <x v="8"/>
    <x v="0"/>
  </r>
  <r>
    <x v="255"/>
    <n v="342.9"/>
    <x v="3"/>
    <x v="8"/>
    <x v="0"/>
  </r>
  <r>
    <x v="256"/>
    <n v="321.83999999999997"/>
    <x v="4"/>
    <x v="8"/>
    <x v="0"/>
  </r>
  <r>
    <x v="257"/>
    <n v="194.95999999999998"/>
    <x v="5"/>
    <x v="8"/>
    <x v="0"/>
  </r>
  <r>
    <x v="258"/>
    <n v="471.2399999999999"/>
    <x v="6"/>
    <x v="8"/>
    <x v="0"/>
  </r>
  <r>
    <x v="259"/>
    <n v="359.06"/>
    <x v="0"/>
    <x v="8"/>
    <x v="0"/>
  </r>
  <r>
    <x v="260"/>
    <n v="420.78"/>
    <x v="1"/>
    <x v="8"/>
    <x v="0"/>
  </r>
  <r>
    <x v="261"/>
    <n v="297.33999999999997"/>
    <x v="2"/>
    <x v="8"/>
    <x v="0"/>
  </r>
  <r>
    <x v="262"/>
    <n v="204.75999999999996"/>
    <x v="3"/>
    <x v="8"/>
    <x v="0"/>
  </r>
  <r>
    <x v="263"/>
    <n v="368.85999999999996"/>
    <x v="4"/>
    <x v="8"/>
    <x v="0"/>
  </r>
  <r>
    <x v="264"/>
    <n v="138.13999999999999"/>
    <x v="5"/>
    <x v="8"/>
    <x v="0"/>
  </r>
  <r>
    <x v="265"/>
    <n v="261.58"/>
    <x v="6"/>
    <x v="8"/>
    <x v="0"/>
  </r>
  <r>
    <x v="266"/>
    <n v="214.55999999999997"/>
    <x v="0"/>
    <x v="8"/>
    <x v="0"/>
  </r>
  <r>
    <x v="267"/>
    <n v="246.88"/>
    <x v="1"/>
    <x v="8"/>
    <x v="0"/>
  </r>
  <r>
    <x v="268"/>
    <n v="35.76"/>
    <x v="2"/>
    <x v="8"/>
    <x v="0"/>
  </r>
  <r>
    <x v="269"/>
    <n v="373.75999999999993"/>
    <x v="3"/>
    <x v="8"/>
    <x v="0"/>
  </r>
  <r>
    <x v="270"/>
    <n v="333.09999999999997"/>
    <x v="4"/>
    <x v="8"/>
    <x v="0"/>
  </r>
  <r>
    <x v="271"/>
    <n v="0"/>
    <x v="5"/>
    <x v="8"/>
    <x v="0"/>
  </r>
  <r>
    <x v="272"/>
    <n v="204.76"/>
    <x v="6"/>
    <x v="8"/>
    <x v="0"/>
  </r>
  <r>
    <x v="273"/>
    <n v="235.62"/>
    <x v="0"/>
    <x v="8"/>
    <x v="0"/>
  </r>
  <r>
    <x v="274"/>
    <n v="194.95999999999998"/>
    <x v="1"/>
    <x v="8"/>
    <x v="0"/>
  </r>
  <r>
    <x v="275"/>
    <n v="466.34"/>
    <x v="2"/>
    <x v="9"/>
    <x v="0"/>
  </r>
  <r>
    <x v="276"/>
    <n v="272.84000000000003"/>
    <x v="3"/>
    <x v="9"/>
    <x v="0"/>
  </r>
  <r>
    <x v="277"/>
    <n v="425.68"/>
    <x v="4"/>
    <x v="9"/>
    <x v="0"/>
  </r>
  <r>
    <x v="278"/>
    <n v="318.40000000000003"/>
    <x v="5"/>
    <x v="9"/>
    <x v="0"/>
  </r>
  <r>
    <x v="279"/>
    <n v="282.64"/>
    <x v="6"/>
    <x v="9"/>
    <x v="0"/>
  </r>
  <r>
    <x v="280"/>
    <n v="143.04"/>
    <x v="0"/>
    <x v="9"/>
    <x v="0"/>
  </r>
  <r>
    <x v="281"/>
    <n v="185.16"/>
    <x v="1"/>
    <x v="9"/>
    <x v="0"/>
  </r>
  <r>
    <x v="282"/>
    <n v="339.46000000000004"/>
    <x v="2"/>
    <x v="9"/>
    <x v="0"/>
  </r>
  <r>
    <x v="283"/>
    <n v="154.29999999999998"/>
    <x v="3"/>
    <x v="9"/>
    <x v="0"/>
  </r>
  <r>
    <x v="284"/>
    <n v="61.72"/>
    <x v="4"/>
    <x v="9"/>
    <x v="0"/>
  </r>
  <r>
    <x v="285"/>
    <n v="225.81999999999996"/>
    <x v="5"/>
    <x v="9"/>
    <x v="0"/>
  </r>
  <r>
    <x v="286"/>
    <n v="196.42"/>
    <x v="6"/>
    <x v="9"/>
    <x v="0"/>
  </r>
  <r>
    <x v="287"/>
    <n v="266.47999999999996"/>
    <x v="0"/>
    <x v="9"/>
    <x v="0"/>
  </r>
  <r>
    <x v="288"/>
    <n v="334.56"/>
    <x v="1"/>
    <x v="9"/>
    <x v="0"/>
  </r>
  <r>
    <x v="289"/>
    <n v="107.28"/>
    <x v="2"/>
    <x v="9"/>
    <x v="0"/>
  </r>
  <r>
    <x v="290"/>
    <n v="276.27999999999997"/>
    <x v="3"/>
    <x v="9"/>
    <x v="0"/>
  </r>
  <r>
    <x v="291"/>
    <n v="225.81999999999996"/>
    <x v="4"/>
    <x v="9"/>
    <x v="0"/>
  </r>
  <r>
    <x v="292"/>
    <n v="138.13999999999999"/>
    <x v="5"/>
    <x v="9"/>
    <x v="0"/>
  </r>
  <r>
    <x v="293"/>
    <n v="333.09999999999997"/>
    <x v="6"/>
    <x v="9"/>
    <x v="0"/>
  </r>
  <r>
    <x v="294"/>
    <n v="267.94"/>
    <x v="0"/>
    <x v="9"/>
    <x v="0"/>
  </r>
  <r>
    <x v="295"/>
    <n v="477.59999999999985"/>
    <x v="1"/>
    <x v="9"/>
    <x v="0"/>
  </r>
  <r>
    <x v="296"/>
    <n v="240.51999999999998"/>
    <x v="2"/>
    <x v="9"/>
    <x v="0"/>
  </r>
  <r>
    <x v="297"/>
    <n v="313.5"/>
    <x v="3"/>
    <x v="9"/>
    <x v="0"/>
  </r>
  <r>
    <x v="298"/>
    <n v="220.92"/>
    <x v="4"/>
    <x v="9"/>
    <x v="0"/>
  </r>
  <r>
    <x v="299"/>
    <n v="394.82"/>
    <x v="5"/>
    <x v="9"/>
    <x v="0"/>
  </r>
  <r>
    <x v="300"/>
    <n v="56.819999999999993"/>
    <x v="6"/>
    <x v="9"/>
    <x v="0"/>
  </r>
  <r>
    <x v="301"/>
    <n v="237.07999999999998"/>
    <x v="0"/>
    <x v="9"/>
    <x v="0"/>
  </r>
  <r>
    <x v="302"/>
    <n v="261.58"/>
    <x v="1"/>
    <x v="9"/>
    <x v="0"/>
  </r>
  <r>
    <x v="303"/>
    <n v="217.48"/>
    <x v="2"/>
    <x v="9"/>
    <x v="0"/>
  </r>
  <r>
    <x v="304"/>
    <n v="287.54000000000002"/>
    <x v="3"/>
    <x v="9"/>
    <x v="0"/>
  </r>
  <r>
    <x v="305"/>
    <n v="508.46"/>
    <x v="4"/>
    <x v="9"/>
    <x v="0"/>
  </r>
  <r>
    <x v="306"/>
    <n v="0"/>
    <x v="5"/>
    <x v="10"/>
    <x v="1"/>
  </r>
  <r>
    <x v="307"/>
    <n v="282.64"/>
    <x v="6"/>
    <x v="10"/>
    <x v="1"/>
  </r>
  <r>
    <x v="308"/>
    <n v="211.12"/>
    <x v="0"/>
    <x v="10"/>
    <x v="1"/>
  </r>
  <r>
    <x v="309"/>
    <n v="313.5"/>
    <x v="1"/>
    <x v="10"/>
    <x v="1"/>
  </r>
  <r>
    <x v="310"/>
    <n v="97.48"/>
    <x v="2"/>
    <x v="10"/>
    <x v="1"/>
  </r>
  <r>
    <x v="311"/>
    <n v="25.96"/>
    <x v="3"/>
    <x v="10"/>
    <x v="1"/>
  </r>
  <r>
    <x v="312"/>
    <n v="107.28"/>
    <x v="4"/>
    <x v="10"/>
    <x v="1"/>
  </r>
  <r>
    <x v="313"/>
    <n v="128.34"/>
    <x v="5"/>
    <x v="10"/>
    <x v="1"/>
  </r>
  <r>
    <x v="314"/>
    <n v="272.83999999999997"/>
    <x v="6"/>
    <x v="10"/>
    <x v="1"/>
  </r>
  <r>
    <x v="315"/>
    <n v="164.09999999999997"/>
    <x v="0"/>
    <x v="10"/>
    <x v="1"/>
  </r>
  <r>
    <x v="316"/>
    <n v="487.39999999999992"/>
    <x v="1"/>
    <x v="10"/>
    <x v="1"/>
  </r>
  <r>
    <x v="317"/>
    <n v="154.30000000000001"/>
    <x v="2"/>
    <x v="10"/>
    <x v="1"/>
  </r>
  <r>
    <x v="318"/>
    <n v="251.77999999999997"/>
    <x v="3"/>
    <x v="10"/>
    <x v="1"/>
  </r>
  <r>
    <x v="319"/>
    <n v="261.58"/>
    <x v="4"/>
    <x v="10"/>
    <x v="1"/>
  </r>
  <r>
    <x v="320"/>
    <n v="342.9"/>
    <x v="5"/>
    <x v="10"/>
    <x v="1"/>
  </r>
  <r>
    <x v="321"/>
    <n v="328.19999999999993"/>
    <x v="6"/>
    <x v="10"/>
    <x v="1"/>
  </r>
  <r>
    <x v="322"/>
    <n v="312.03999999999996"/>
    <x v="0"/>
    <x v="10"/>
    <x v="1"/>
  </r>
  <r>
    <x v="323"/>
    <n v="138.13999999999999"/>
    <x v="1"/>
    <x v="10"/>
    <x v="1"/>
  </r>
  <r>
    <x v="324"/>
    <n v="0"/>
    <x v="2"/>
    <x v="10"/>
    <x v="1"/>
  </r>
  <r>
    <x v="325"/>
    <n v="313.5"/>
    <x v="3"/>
    <x v="10"/>
    <x v="1"/>
  </r>
  <r>
    <x v="326"/>
    <n v="251.77999999999997"/>
    <x v="4"/>
    <x v="10"/>
    <x v="1"/>
  </r>
  <r>
    <x v="327"/>
    <n v="220.92000000000002"/>
    <x v="5"/>
    <x v="10"/>
    <x v="1"/>
  </r>
  <r>
    <x v="328"/>
    <n v="0"/>
    <x v="6"/>
    <x v="10"/>
    <x v="1"/>
  </r>
  <r>
    <x v="329"/>
    <n v="230.71999999999997"/>
    <x v="0"/>
    <x v="10"/>
    <x v="1"/>
  </r>
  <r>
    <x v="330"/>
    <n v="97.47999999999999"/>
    <x v="1"/>
    <x v="10"/>
    <x v="1"/>
  </r>
  <r>
    <x v="331"/>
    <n v="47.019999999999996"/>
    <x v="2"/>
    <x v="10"/>
    <x v="1"/>
  </r>
  <r>
    <x v="332"/>
    <n v="313.5"/>
    <x v="3"/>
    <x v="10"/>
    <x v="1"/>
  </r>
  <r>
    <x v="333"/>
    <n v="277.74"/>
    <x v="4"/>
    <x v="10"/>
    <x v="1"/>
  </r>
  <r>
    <x v="334"/>
    <n v="103.84"/>
    <x v="5"/>
    <x v="10"/>
    <x v="1"/>
  </r>
  <r>
    <x v="335"/>
    <n v="272.83999999999997"/>
    <x v="6"/>
    <x v="10"/>
    <x v="1"/>
  </r>
  <r>
    <x v="336"/>
    <n v="389.91999999999996"/>
    <x v="0"/>
    <x v="10"/>
    <x v="1"/>
  </r>
  <r>
    <x v="337"/>
    <n v="349.26000000000005"/>
    <x v="1"/>
    <x v="11"/>
    <x v="1"/>
  </r>
  <r>
    <x v="338"/>
    <n v="245.41999999999996"/>
    <x v="2"/>
    <x v="11"/>
    <x v="1"/>
  </r>
  <r>
    <x v="339"/>
    <n v="795.99999999999989"/>
    <x v="3"/>
    <x v="11"/>
    <x v="1"/>
  </r>
  <r>
    <x v="340"/>
    <n v="360.52"/>
    <x v="4"/>
    <x v="11"/>
    <x v="1"/>
  </r>
  <r>
    <x v="341"/>
    <n v="760.24"/>
    <x v="5"/>
    <x v="11"/>
    <x v="1"/>
  </r>
  <r>
    <x v="342"/>
    <n v="394.81999999999994"/>
    <x v="6"/>
    <x v="11"/>
    <x v="1"/>
  </r>
  <r>
    <x v="343"/>
    <n v="508.45999999999992"/>
    <x v="0"/>
    <x v="11"/>
    <x v="1"/>
  </r>
  <r>
    <x v="344"/>
    <n v="212.58000000000004"/>
    <x v="1"/>
    <x v="11"/>
    <x v="1"/>
  </r>
  <r>
    <x v="345"/>
    <n v="297.33999999999997"/>
    <x v="2"/>
    <x v="11"/>
    <x v="1"/>
  </r>
  <r>
    <x v="346"/>
    <n v="662.76"/>
    <x v="3"/>
    <x v="11"/>
    <x v="1"/>
  </r>
  <r>
    <x v="347"/>
    <n v="432.03999999999996"/>
    <x v="4"/>
    <x v="11"/>
    <x v="1"/>
  </r>
  <r>
    <x v="348"/>
    <n v="570.17999999999995"/>
    <x v="5"/>
    <x v="11"/>
    <x v="1"/>
  </r>
  <r>
    <x v="349"/>
    <n v="396.28000000000003"/>
    <x v="6"/>
    <x v="11"/>
    <x v="1"/>
  </r>
  <r>
    <x v="350"/>
    <n v="457.99999999999994"/>
    <x v="0"/>
    <x v="11"/>
    <x v="1"/>
  </r>
  <r>
    <x v="351"/>
    <n v="292.44"/>
    <x v="1"/>
    <x v="11"/>
    <x v="1"/>
  </r>
  <r>
    <x v="352"/>
    <n v="313.5"/>
    <x v="2"/>
    <x v="11"/>
    <x v="1"/>
  </r>
  <r>
    <x v="353"/>
    <n v="592.70000000000005"/>
    <x v="3"/>
    <x v="11"/>
    <x v="1"/>
  </r>
  <r>
    <x v="354"/>
    <n v="555.48"/>
    <x v="4"/>
    <x v="11"/>
    <x v="1"/>
  </r>
  <r>
    <x v="355"/>
    <n v="646.59999999999991"/>
    <x v="5"/>
    <x v="11"/>
    <x v="1"/>
  </r>
  <r>
    <x v="356"/>
    <n v="581.43999999999994"/>
    <x v="6"/>
    <x v="11"/>
    <x v="1"/>
  </r>
  <r>
    <x v="357"/>
    <n v="695.07999999999993"/>
    <x v="0"/>
    <x v="11"/>
    <x v="1"/>
  </r>
  <r>
    <x v="358"/>
    <n v="139.60000000000002"/>
    <x v="1"/>
    <x v="11"/>
    <x v="1"/>
  </r>
  <r>
    <x v="359"/>
    <n v="190.06"/>
    <x v="2"/>
    <x v="11"/>
    <x v="1"/>
  </r>
  <r>
    <x v="360"/>
    <n v="723.01999999999987"/>
    <x v="3"/>
    <x v="11"/>
    <x v="1"/>
  </r>
  <r>
    <x v="361"/>
    <n v="355.61999999999995"/>
    <x v="4"/>
    <x v="11"/>
    <x v="1"/>
  </r>
  <r>
    <x v="362"/>
    <n v="570.17999999999995"/>
    <x v="5"/>
    <x v="11"/>
    <x v="1"/>
  </r>
  <r>
    <x v="363"/>
    <n v="610.83999999999992"/>
    <x v="6"/>
    <x v="11"/>
    <x v="1"/>
  </r>
  <r>
    <x v="364"/>
    <n v="505.01999999999992"/>
    <x v="0"/>
    <x v="11"/>
    <x v="1"/>
  </r>
  <r>
    <x v="365"/>
    <n v="241.98"/>
    <x v="1"/>
    <x v="0"/>
    <x v="1"/>
  </r>
  <r>
    <x v="366"/>
    <n v="185.16000000000003"/>
    <x v="2"/>
    <x v="0"/>
    <x v="1"/>
  </r>
  <r>
    <x v="367"/>
    <n v="737.71999999999991"/>
    <x v="3"/>
    <x v="0"/>
    <x v="1"/>
  </r>
  <r>
    <x v="368"/>
    <n v="474.15999999999991"/>
    <x v="4"/>
    <x v="0"/>
    <x v="1"/>
  </r>
  <r>
    <x v="369"/>
    <n v="591.2399999999999"/>
    <x v="5"/>
    <x v="0"/>
    <x v="1"/>
  </r>
  <r>
    <x v="370"/>
    <n v="370.32"/>
    <x v="6"/>
    <x v="0"/>
    <x v="1"/>
  </r>
  <r>
    <x v="371"/>
    <n v="554.02"/>
    <x v="0"/>
    <x v="0"/>
    <x v="1"/>
  </r>
  <r>
    <x v="372"/>
    <n v="232.18000000000004"/>
    <x v="1"/>
    <x v="0"/>
    <x v="1"/>
  </r>
  <r>
    <x v="373"/>
    <n v="241.98000000000002"/>
    <x v="2"/>
    <x v="0"/>
    <x v="1"/>
  </r>
  <r>
    <x v="374"/>
    <n v="554.02"/>
    <x v="3"/>
    <x v="0"/>
    <x v="1"/>
  </r>
  <r>
    <x v="375"/>
    <n v="420.78"/>
    <x v="4"/>
    <x v="0"/>
    <x v="1"/>
  </r>
  <r>
    <x v="376"/>
    <n v="544.22"/>
    <x v="5"/>
    <x v="0"/>
    <x v="1"/>
  </r>
  <r>
    <x v="377"/>
    <n v="365.42"/>
    <x v="6"/>
    <x v="0"/>
    <x v="1"/>
  </r>
  <r>
    <x v="378"/>
    <n v="704.88000000000011"/>
    <x v="0"/>
    <x v="0"/>
    <x v="1"/>
  </r>
  <r>
    <x v="379"/>
    <n v="225.82"/>
    <x v="1"/>
    <x v="0"/>
    <x v="1"/>
  </r>
  <r>
    <x v="380"/>
    <n v="164.1"/>
    <x v="2"/>
    <x v="0"/>
    <x v="1"/>
  </r>
  <r>
    <x v="381"/>
    <n v="401.17999999999995"/>
    <x v="3"/>
    <x v="0"/>
    <x v="1"/>
  </r>
  <r>
    <x v="382"/>
    <n v="549.11999999999989"/>
    <x v="4"/>
    <x v="0"/>
    <x v="1"/>
  </r>
  <r>
    <x v="383"/>
    <n v="623.55999999999983"/>
    <x v="5"/>
    <x v="0"/>
    <x v="1"/>
  </r>
  <r>
    <x v="384"/>
    <n v="597.59999999999991"/>
    <x v="6"/>
    <x v="0"/>
    <x v="1"/>
  </r>
  <r>
    <x v="385"/>
    <n v="636.79999999999995"/>
    <x v="0"/>
    <x v="0"/>
    <x v="1"/>
  </r>
  <r>
    <x v="386"/>
    <n v="365.42"/>
    <x v="1"/>
    <x v="0"/>
    <x v="1"/>
  </r>
  <r>
    <x v="387"/>
    <n v="204.76"/>
    <x v="2"/>
    <x v="0"/>
    <x v="1"/>
  </r>
</pivotCacheRecords>
</file>

<file path=xl/pivotCache/pivotCacheRecords10.xml><?xml version="1.0" encoding="utf-8"?>
<pivotCacheRecords xmlns="http://schemas.openxmlformats.org/spreadsheetml/2006/main" xmlns:r="http://schemas.openxmlformats.org/officeDocument/2006/relationships" count="3230">
  <r>
    <d v="2024-03-01T00:00:00"/>
    <x v="0"/>
    <x v="0"/>
    <x v="0"/>
    <x v="0"/>
    <x v="0"/>
    <d v="2024-03-01T00:00:00"/>
    <x v="0"/>
    <x v="0"/>
    <x v="0"/>
    <x v="0"/>
    <x v="0"/>
    <x v="0"/>
    <x v="0"/>
  </r>
  <r>
    <d v="2024-03-01T00:00:00"/>
    <x v="0"/>
    <x v="0"/>
    <x v="1"/>
    <x v="0"/>
    <x v="1"/>
    <d v="2024-03-01T00:00:00"/>
    <x v="0"/>
    <x v="0"/>
    <x v="0"/>
    <x v="0"/>
    <x v="1"/>
    <x v="1"/>
    <x v="1"/>
  </r>
  <r>
    <d v="2024-03-01T00:00:00"/>
    <x v="0"/>
    <x v="0"/>
    <x v="1"/>
    <x v="0"/>
    <x v="1"/>
    <d v="2024-03-01T00:00:00"/>
    <x v="0"/>
    <x v="0"/>
    <x v="0"/>
    <x v="0"/>
    <x v="1"/>
    <x v="1"/>
    <x v="1"/>
  </r>
  <r>
    <d v="2024-03-01T00:00:00"/>
    <x v="0"/>
    <x v="0"/>
    <x v="2"/>
    <x v="1"/>
    <x v="2"/>
    <d v="2024-03-01T00:00:00"/>
    <x v="0"/>
    <x v="0"/>
    <x v="0"/>
    <x v="0"/>
    <x v="1"/>
    <x v="1"/>
    <x v="1"/>
  </r>
  <r>
    <d v="2024-03-01T00:00:00"/>
    <x v="0"/>
    <x v="0"/>
    <x v="3"/>
    <x v="0"/>
    <x v="0"/>
    <d v="2024-03-01T00:00:00"/>
    <x v="0"/>
    <x v="0"/>
    <x v="0"/>
    <x v="0"/>
    <x v="1"/>
    <x v="1"/>
    <x v="1"/>
  </r>
  <r>
    <d v="2024-03-01T00:00:00"/>
    <x v="0"/>
    <x v="0"/>
    <x v="4"/>
    <x v="2"/>
    <x v="3"/>
    <d v="2024-03-01T00:00:00"/>
    <x v="0"/>
    <x v="0"/>
    <x v="0"/>
    <x v="0"/>
    <x v="1"/>
    <x v="1"/>
    <x v="1"/>
  </r>
  <r>
    <d v="2024-03-01T00:00:00"/>
    <x v="0"/>
    <x v="0"/>
    <x v="5"/>
    <x v="0"/>
    <x v="1"/>
    <d v="2024-03-01T00:00:00"/>
    <x v="0"/>
    <x v="0"/>
    <x v="0"/>
    <x v="0"/>
    <x v="1"/>
    <x v="1"/>
    <x v="1"/>
  </r>
  <r>
    <d v="2024-03-01T00:00:00"/>
    <x v="0"/>
    <x v="0"/>
    <x v="6"/>
    <x v="2"/>
    <x v="3"/>
    <d v="2024-03-01T00:00:00"/>
    <x v="0"/>
    <x v="0"/>
    <x v="0"/>
    <x v="0"/>
    <x v="1"/>
    <x v="1"/>
    <x v="1"/>
  </r>
  <r>
    <d v="2024-03-01T00:00:00"/>
    <x v="0"/>
    <x v="0"/>
    <x v="7"/>
    <x v="0"/>
    <x v="4"/>
    <d v="2024-03-01T00:00:00"/>
    <x v="0"/>
    <x v="0"/>
    <x v="0"/>
    <x v="0"/>
    <x v="1"/>
    <x v="1"/>
    <x v="1"/>
  </r>
  <r>
    <d v="2024-03-01T00:00:00"/>
    <x v="0"/>
    <x v="0"/>
    <x v="7"/>
    <x v="2"/>
    <x v="3"/>
    <d v="2024-03-01T00:00:00"/>
    <x v="0"/>
    <x v="0"/>
    <x v="0"/>
    <x v="0"/>
    <x v="1"/>
    <x v="1"/>
    <x v="1"/>
  </r>
  <r>
    <d v="2024-03-01T00:00:00"/>
    <x v="0"/>
    <x v="0"/>
    <x v="8"/>
    <x v="2"/>
    <x v="3"/>
    <d v="2024-03-01T00:00:00"/>
    <x v="0"/>
    <x v="0"/>
    <x v="0"/>
    <x v="0"/>
    <x v="1"/>
    <x v="1"/>
    <x v="1"/>
  </r>
  <r>
    <d v="2024-03-02T00:00:00"/>
    <x v="1"/>
    <x v="0"/>
    <x v="9"/>
    <x v="1"/>
    <x v="2"/>
    <d v="2024-03-02T00:00:00"/>
    <x v="1"/>
    <x v="1"/>
    <x v="0"/>
    <x v="0"/>
    <x v="1"/>
    <x v="1"/>
    <x v="1"/>
  </r>
  <r>
    <d v="2024-03-02T00:00:00"/>
    <x v="1"/>
    <x v="1"/>
    <x v="10"/>
    <x v="3"/>
    <x v="0"/>
    <d v="2024-03-02T00:00:00"/>
    <x v="1"/>
    <x v="1"/>
    <x v="0"/>
    <x v="0"/>
    <x v="1"/>
    <x v="1"/>
    <x v="1"/>
  </r>
  <r>
    <d v="2024-03-02T00:00:00"/>
    <x v="1"/>
    <x v="0"/>
    <x v="11"/>
    <x v="2"/>
    <x v="3"/>
    <d v="2024-03-02T00:00:00"/>
    <x v="1"/>
    <x v="1"/>
    <x v="0"/>
    <x v="0"/>
    <x v="1"/>
    <x v="1"/>
    <x v="1"/>
  </r>
  <r>
    <d v="2024-03-02T00:00:00"/>
    <x v="1"/>
    <x v="0"/>
    <x v="12"/>
    <x v="2"/>
    <x v="3"/>
    <d v="2024-03-02T00:00:00"/>
    <x v="1"/>
    <x v="1"/>
    <x v="0"/>
    <x v="0"/>
    <x v="1"/>
    <x v="1"/>
    <x v="1"/>
  </r>
  <r>
    <d v="2024-03-02T00:00:00"/>
    <x v="1"/>
    <x v="0"/>
    <x v="13"/>
    <x v="1"/>
    <x v="2"/>
    <d v="2024-03-02T00:00:00"/>
    <x v="1"/>
    <x v="1"/>
    <x v="0"/>
    <x v="0"/>
    <x v="1"/>
    <x v="1"/>
    <x v="1"/>
  </r>
  <r>
    <d v="2024-03-02T00:00:00"/>
    <x v="1"/>
    <x v="0"/>
    <x v="14"/>
    <x v="2"/>
    <x v="3"/>
    <d v="2024-03-02T00:00:00"/>
    <x v="1"/>
    <x v="1"/>
    <x v="0"/>
    <x v="0"/>
    <x v="1"/>
    <x v="1"/>
    <x v="1"/>
  </r>
  <r>
    <d v="2024-03-02T00:00:00"/>
    <x v="1"/>
    <x v="0"/>
    <x v="3"/>
    <x v="1"/>
    <x v="2"/>
    <d v="2024-03-02T00:00:00"/>
    <x v="1"/>
    <x v="1"/>
    <x v="0"/>
    <x v="0"/>
    <x v="1"/>
    <x v="1"/>
    <x v="1"/>
  </r>
  <r>
    <d v="2024-03-03T00:00:00"/>
    <x v="2"/>
    <x v="1"/>
    <x v="10"/>
    <x v="3"/>
    <x v="0"/>
    <d v="2024-03-03T00:00:00"/>
    <x v="2"/>
    <x v="2"/>
    <x v="0"/>
    <x v="0"/>
    <x v="1"/>
    <x v="1"/>
    <x v="1"/>
  </r>
  <r>
    <d v="2024-03-03T00:00:00"/>
    <x v="2"/>
    <x v="0"/>
    <x v="15"/>
    <x v="0"/>
    <x v="0"/>
    <d v="2024-03-03T00:00:00"/>
    <x v="2"/>
    <x v="2"/>
    <x v="0"/>
    <x v="0"/>
    <x v="1"/>
    <x v="1"/>
    <x v="1"/>
  </r>
  <r>
    <d v="2024-03-03T00:00:00"/>
    <x v="2"/>
    <x v="0"/>
    <x v="16"/>
    <x v="1"/>
    <x v="5"/>
    <d v="2024-03-03T00:00:00"/>
    <x v="2"/>
    <x v="2"/>
    <x v="0"/>
    <x v="0"/>
    <x v="1"/>
    <x v="1"/>
    <x v="1"/>
  </r>
  <r>
    <d v="2024-03-03T00:00:00"/>
    <x v="2"/>
    <x v="0"/>
    <x v="12"/>
    <x v="1"/>
    <x v="2"/>
    <d v="2024-03-03T00:00:00"/>
    <x v="2"/>
    <x v="2"/>
    <x v="0"/>
    <x v="0"/>
    <x v="1"/>
    <x v="1"/>
    <x v="1"/>
  </r>
  <r>
    <d v="2024-03-03T00:00:00"/>
    <x v="2"/>
    <x v="0"/>
    <x v="17"/>
    <x v="0"/>
    <x v="1"/>
    <d v="2024-03-03T00:00:00"/>
    <x v="2"/>
    <x v="2"/>
    <x v="0"/>
    <x v="0"/>
    <x v="1"/>
    <x v="1"/>
    <x v="1"/>
  </r>
  <r>
    <d v="2024-03-03T00:00:00"/>
    <x v="2"/>
    <x v="0"/>
    <x v="18"/>
    <x v="0"/>
    <x v="4"/>
    <d v="2024-03-03T00:00:00"/>
    <x v="2"/>
    <x v="2"/>
    <x v="0"/>
    <x v="0"/>
    <x v="1"/>
    <x v="1"/>
    <x v="1"/>
  </r>
  <r>
    <d v="2024-03-03T00:00:00"/>
    <x v="2"/>
    <x v="0"/>
    <x v="19"/>
    <x v="1"/>
    <x v="5"/>
    <d v="2024-03-03T00:00:00"/>
    <x v="2"/>
    <x v="2"/>
    <x v="0"/>
    <x v="0"/>
    <x v="1"/>
    <x v="1"/>
    <x v="1"/>
  </r>
  <r>
    <d v="2024-03-03T00:00:00"/>
    <x v="2"/>
    <x v="0"/>
    <x v="20"/>
    <x v="2"/>
    <x v="3"/>
    <d v="2024-03-03T00:00:00"/>
    <x v="2"/>
    <x v="2"/>
    <x v="0"/>
    <x v="0"/>
    <x v="1"/>
    <x v="1"/>
    <x v="1"/>
  </r>
  <r>
    <d v="2024-03-03T00:00:00"/>
    <x v="2"/>
    <x v="0"/>
    <x v="20"/>
    <x v="2"/>
    <x v="3"/>
    <d v="2024-03-03T00:00:00"/>
    <x v="2"/>
    <x v="2"/>
    <x v="0"/>
    <x v="0"/>
    <x v="1"/>
    <x v="1"/>
    <x v="1"/>
  </r>
  <r>
    <d v="2024-03-03T00:00:00"/>
    <x v="2"/>
    <x v="0"/>
    <x v="20"/>
    <x v="0"/>
    <x v="1"/>
    <d v="2024-03-03T00:00:00"/>
    <x v="2"/>
    <x v="2"/>
    <x v="0"/>
    <x v="0"/>
    <x v="1"/>
    <x v="1"/>
    <x v="1"/>
  </r>
  <r>
    <d v="2024-03-04T00:00:00"/>
    <x v="3"/>
    <x v="0"/>
    <x v="0"/>
    <x v="0"/>
    <x v="0"/>
    <d v="2024-03-04T00:00:00"/>
    <x v="3"/>
    <x v="3"/>
    <x v="0"/>
    <x v="0"/>
    <x v="1"/>
    <x v="1"/>
    <x v="1"/>
  </r>
  <r>
    <d v="2024-03-04T00:00:00"/>
    <x v="3"/>
    <x v="0"/>
    <x v="21"/>
    <x v="0"/>
    <x v="0"/>
    <d v="2024-03-04T00:00:00"/>
    <x v="3"/>
    <x v="3"/>
    <x v="0"/>
    <x v="0"/>
    <x v="1"/>
    <x v="1"/>
    <x v="1"/>
  </r>
  <r>
    <d v="2024-03-04T00:00:00"/>
    <x v="3"/>
    <x v="0"/>
    <x v="12"/>
    <x v="2"/>
    <x v="3"/>
    <d v="2024-03-04T00:00:00"/>
    <x v="3"/>
    <x v="3"/>
    <x v="0"/>
    <x v="0"/>
    <x v="1"/>
    <x v="1"/>
    <x v="1"/>
  </r>
  <r>
    <d v="2024-03-04T00:00:00"/>
    <x v="3"/>
    <x v="0"/>
    <x v="22"/>
    <x v="4"/>
    <x v="6"/>
    <d v="2024-03-04T00:00:00"/>
    <x v="3"/>
    <x v="3"/>
    <x v="0"/>
    <x v="0"/>
    <x v="1"/>
    <x v="1"/>
    <x v="1"/>
  </r>
  <r>
    <d v="2024-03-05T00:00:00"/>
    <x v="4"/>
    <x v="0"/>
    <x v="0"/>
    <x v="0"/>
    <x v="0"/>
    <d v="2024-03-05T00:00:00"/>
    <x v="4"/>
    <x v="4"/>
    <x v="0"/>
    <x v="0"/>
    <x v="1"/>
    <x v="1"/>
    <x v="1"/>
  </r>
  <r>
    <d v="2024-03-05T00:00:00"/>
    <x v="4"/>
    <x v="0"/>
    <x v="23"/>
    <x v="0"/>
    <x v="0"/>
    <d v="2024-03-05T00:00:00"/>
    <x v="4"/>
    <x v="4"/>
    <x v="0"/>
    <x v="0"/>
    <x v="1"/>
    <x v="1"/>
    <x v="1"/>
  </r>
  <r>
    <d v="2024-03-05T00:00:00"/>
    <x v="4"/>
    <x v="0"/>
    <x v="24"/>
    <x v="0"/>
    <x v="0"/>
    <d v="2024-03-05T00:00:00"/>
    <x v="4"/>
    <x v="4"/>
    <x v="0"/>
    <x v="0"/>
    <x v="1"/>
    <x v="1"/>
    <x v="1"/>
  </r>
  <r>
    <d v="2024-03-05T00:00:00"/>
    <x v="4"/>
    <x v="0"/>
    <x v="25"/>
    <x v="0"/>
    <x v="1"/>
    <d v="2024-03-05T00:00:00"/>
    <x v="4"/>
    <x v="4"/>
    <x v="0"/>
    <x v="0"/>
    <x v="1"/>
    <x v="1"/>
    <x v="1"/>
  </r>
  <r>
    <d v="2024-03-05T00:00:00"/>
    <x v="4"/>
    <x v="0"/>
    <x v="26"/>
    <x v="0"/>
    <x v="4"/>
    <d v="2024-03-05T00:00:00"/>
    <x v="4"/>
    <x v="4"/>
    <x v="0"/>
    <x v="0"/>
    <x v="1"/>
    <x v="1"/>
    <x v="1"/>
  </r>
  <r>
    <d v="2024-03-05T00:00:00"/>
    <x v="4"/>
    <x v="0"/>
    <x v="27"/>
    <x v="0"/>
    <x v="1"/>
    <d v="2024-03-05T00:00:00"/>
    <x v="4"/>
    <x v="4"/>
    <x v="0"/>
    <x v="0"/>
    <x v="1"/>
    <x v="1"/>
    <x v="1"/>
  </r>
  <r>
    <d v="2024-03-05T00:00:00"/>
    <x v="4"/>
    <x v="0"/>
    <x v="8"/>
    <x v="0"/>
    <x v="1"/>
    <d v="2024-03-05T00:00:00"/>
    <x v="4"/>
    <x v="4"/>
    <x v="0"/>
    <x v="0"/>
    <x v="1"/>
    <x v="1"/>
    <x v="1"/>
  </r>
  <r>
    <d v="2024-03-05T00:00:00"/>
    <x v="4"/>
    <x v="0"/>
    <x v="28"/>
    <x v="1"/>
    <x v="5"/>
    <d v="2024-03-05T00:00:00"/>
    <x v="4"/>
    <x v="4"/>
    <x v="0"/>
    <x v="0"/>
    <x v="1"/>
    <x v="1"/>
    <x v="1"/>
  </r>
  <r>
    <d v="2024-03-05T00:00:00"/>
    <x v="4"/>
    <x v="0"/>
    <x v="28"/>
    <x v="0"/>
    <x v="1"/>
    <d v="2024-03-05T00:00:00"/>
    <x v="4"/>
    <x v="4"/>
    <x v="0"/>
    <x v="0"/>
    <x v="1"/>
    <x v="1"/>
    <x v="1"/>
  </r>
  <r>
    <d v="2024-03-06T00:00:00"/>
    <x v="5"/>
    <x v="1"/>
    <x v="10"/>
    <x v="5"/>
    <x v="3"/>
    <d v="2024-03-06T00:00:00"/>
    <x v="5"/>
    <x v="5"/>
    <x v="0"/>
    <x v="0"/>
    <x v="1"/>
    <x v="1"/>
    <x v="1"/>
  </r>
  <r>
    <d v="2024-03-06T00:00:00"/>
    <x v="5"/>
    <x v="0"/>
    <x v="12"/>
    <x v="1"/>
    <x v="2"/>
    <d v="2024-03-06T00:00:00"/>
    <x v="5"/>
    <x v="5"/>
    <x v="0"/>
    <x v="0"/>
    <x v="1"/>
    <x v="1"/>
    <x v="1"/>
  </r>
  <r>
    <d v="2024-03-06T00:00:00"/>
    <x v="5"/>
    <x v="0"/>
    <x v="12"/>
    <x v="1"/>
    <x v="5"/>
    <d v="2024-03-06T00:00:00"/>
    <x v="5"/>
    <x v="5"/>
    <x v="0"/>
    <x v="0"/>
    <x v="1"/>
    <x v="1"/>
    <x v="1"/>
  </r>
  <r>
    <d v="2024-03-06T00:00:00"/>
    <x v="5"/>
    <x v="0"/>
    <x v="29"/>
    <x v="0"/>
    <x v="7"/>
    <d v="2024-03-06T00:00:00"/>
    <x v="5"/>
    <x v="5"/>
    <x v="0"/>
    <x v="0"/>
    <x v="1"/>
    <x v="1"/>
    <x v="1"/>
  </r>
  <r>
    <d v="2024-03-06T00:00:00"/>
    <x v="5"/>
    <x v="0"/>
    <x v="29"/>
    <x v="0"/>
    <x v="7"/>
    <d v="2024-03-06T00:00:00"/>
    <x v="5"/>
    <x v="5"/>
    <x v="0"/>
    <x v="0"/>
    <x v="1"/>
    <x v="1"/>
    <x v="1"/>
  </r>
  <r>
    <d v="2024-03-07T00:00:00"/>
    <x v="6"/>
    <x v="1"/>
    <x v="10"/>
    <x v="3"/>
    <x v="0"/>
    <d v="2024-03-07T00:00:00"/>
    <x v="6"/>
    <x v="6"/>
    <x v="0"/>
    <x v="0"/>
    <x v="1"/>
    <x v="1"/>
    <x v="1"/>
  </r>
  <r>
    <d v="2024-03-07T00:00:00"/>
    <x v="6"/>
    <x v="0"/>
    <x v="30"/>
    <x v="0"/>
    <x v="1"/>
    <d v="2024-03-07T00:00:00"/>
    <x v="6"/>
    <x v="6"/>
    <x v="0"/>
    <x v="0"/>
    <x v="1"/>
    <x v="1"/>
    <x v="1"/>
  </r>
  <r>
    <d v="2024-03-07T00:00:00"/>
    <x v="6"/>
    <x v="0"/>
    <x v="31"/>
    <x v="0"/>
    <x v="0"/>
    <d v="2024-03-07T00:00:00"/>
    <x v="6"/>
    <x v="6"/>
    <x v="0"/>
    <x v="0"/>
    <x v="1"/>
    <x v="1"/>
    <x v="1"/>
  </r>
  <r>
    <d v="2024-03-07T00:00:00"/>
    <x v="6"/>
    <x v="1"/>
    <x v="10"/>
    <x v="3"/>
    <x v="0"/>
    <d v="2024-03-07T00:00:00"/>
    <x v="6"/>
    <x v="6"/>
    <x v="0"/>
    <x v="0"/>
    <x v="1"/>
    <x v="1"/>
    <x v="1"/>
  </r>
  <r>
    <d v="2024-03-07T00:00:00"/>
    <x v="6"/>
    <x v="0"/>
    <x v="32"/>
    <x v="1"/>
    <x v="2"/>
    <d v="2024-03-07T00:00:00"/>
    <x v="6"/>
    <x v="6"/>
    <x v="0"/>
    <x v="0"/>
    <x v="1"/>
    <x v="1"/>
    <x v="1"/>
  </r>
  <r>
    <d v="2024-03-07T00:00:00"/>
    <x v="6"/>
    <x v="0"/>
    <x v="33"/>
    <x v="2"/>
    <x v="3"/>
    <d v="2024-03-07T00:00:00"/>
    <x v="6"/>
    <x v="6"/>
    <x v="0"/>
    <x v="0"/>
    <x v="1"/>
    <x v="1"/>
    <x v="1"/>
  </r>
  <r>
    <d v="2024-03-08T00:00:00"/>
    <x v="0"/>
    <x v="0"/>
    <x v="12"/>
    <x v="1"/>
    <x v="5"/>
    <d v="2024-03-08T00:00:00"/>
    <x v="7"/>
    <x v="0"/>
    <x v="0"/>
    <x v="0"/>
    <x v="1"/>
    <x v="1"/>
    <x v="1"/>
  </r>
  <r>
    <d v="2024-03-08T00:00:00"/>
    <x v="0"/>
    <x v="0"/>
    <x v="34"/>
    <x v="0"/>
    <x v="7"/>
    <d v="2024-03-08T00:00:00"/>
    <x v="7"/>
    <x v="0"/>
    <x v="0"/>
    <x v="0"/>
    <x v="1"/>
    <x v="1"/>
    <x v="1"/>
  </r>
  <r>
    <d v="2024-03-08T00:00:00"/>
    <x v="0"/>
    <x v="0"/>
    <x v="35"/>
    <x v="1"/>
    <x v="2"/>
    <d v="2024-03-08T00:00:00"/>
    <x v="7"/>
    <x v="0"/>
    <x v="0"/>
    <x v="0"/>
    <x v="1"/>
    <x v="1"/>
    <x v="1"/>
  </r>
  <r>
    <d v="2024-03-08T00:00:00"/>
    <x v="0"/>
    <x v="0"/>
    <x v="12"/>
    <x v="1"/>
    <x v="2"/>
    <d v="2024-03-08T00:00:00"/>
    <x v="7"/>
    <x v="0"/>
    <x v="0"/>
    <x v="0"/>
    <x v="1"/>
    <x v="1"/>
    <x v="1"/>
  </r>
  <r>
    <d v="2024-03-08T00:00:00"/>
    <x v="0"/>
    <x v="0"/>
    <x v="33"/>
    <x v="1"/>
    <x v="2"/>
    <d v="2024-03-08T00:00:00"/>
    <x v="7"/>
    <x v="0"/>
    <x v="0"/>
    <x v="0"/>
    <x v="1"/>
    <x v="1"/>
    <x v="1"/>
  </r>
  <r>
    <d v="2024-03-08T00:00:00"/>
    <x v="0"/>
    <x v="0"/>
    <x v="12"/>
    <x v="2"/>
    <x v="3"/>
    <d v="2024-03-08T00:00:00"/>
    <x v="7"/>
    <x v="0"/>
    <x v="0"/>
    <x v="0"/>
    <x v="1"/>
    <x v="1"/>
    <x v="1"/>
  </r>
  <r>
    <d v="2024-03-08T00:00:00"/>
    <x v="0"/>
    <x v="0"/>
    <x v="36"/>
    <x v="0"/>
    <x v="0"/>
    <d v="2024-03-08T00:00:00"/>
    <x v="7"/>
    <x v="0"/>
    <x v="0"/>
    <x v="0"/>
    <x v="1"/>
    <x v="1"/>
    <x v="1"/>
  </r>
  <r>
    <d v="2024-03-08T00:00:00"/>
    <x v="0"/>
    <x v="0"/>
    <x v="37"/>
    <x v="0"/>
    <x v="0"/>
    <d v="2024-03-08T00:00:00"/>
    <x v="7"/>
    <x v="0"/>
    <x v="0"/>
    <x v="0"/>
    <x v="1"/>
    <x v="1"/>
    <x v="1"/>
  </r>
  <r>
    <d v="2024-03-09T00:00:00"/>
    <x v="1"/>
    <x v="1"/>
    <x v="10"/>
    <x v="3"/>
    <x v="1"/>
    <d v="2024-03-09T00:00:00"/>
    <x v="8"/>
    <x v="1"/>
    <x v="0"/>
    <x v="0"/>
    <x v="1"/>
    <x v="1"/>
    <x v="1"/>
  </r>
  <r>
    <d v="2024-03-09T00:00:00"/>
    <x v="1"/>
    <x v="0"/>
    <x v="38"/>
    <x v="4"/>
    <x v="6"/>
    <d v="2024-03-09T00:00:00"/>
    <x v="8"/>
    <x v="1"/>
    <x v="0"/>
    <x v="0"/>
    <x v="1"/>
    <x v="1"/>
    <x v="1"/>
  </r>
  <r>
    <d v="2024-03-09T00:00:00"/>
    <x v="1"/>
    <x v="0"/>
    <x v="39"/>
    <x v="1"/>
    <x v="2"/>
    <d v="2024-03-09T00:00:00"/>
    <x v="8"/>
    <x v="1"/>
    <x v="0"/>
    <x v="0"/>
    <x v="1"/>
    <x v="1"/>
    <x v="1"/>
  </r>
  <r>
    <d v="2024-03-09T00:00:00"/>
    <x v="1"/>
    <x v="0"/>
    <x v="12"/>
    <x v="0"/>
    <x v="7"/>
    <d v="2024-03-09T00:00:00"/>
    <x v="8"/>
    <x v="1"/>
    <x v="0"/>
    <x v="0"/>
    <x v="1"/>
    <x v="1"/>
    <x v="1"/>
  </r>
  <r>
    <d v="2024-03-09T00:00:00"/>
    <x v="1"/>
    <x v="0"/>
    <x v="40"/>
    <x v="1"/>
    <x v="2"/>
    <d v="2024-03-09T00:00:00"/>
    <x v="8"/>
    <x v="1"/>
    <x v="0"/>
    <x v="0"/>
    <x v="1"/>
    <x v="1"/>
    <x v="1"/>
  </r>
  <r>
    <d v="2024-03-09T00:00:00"/>
    <x v="1"/>
    <x v="0"/>
    <x v="40"/>
    <x v="1"/>
    <x v="2"/>
    <d v="2024-03-09T00:00:00"/>
    <x v="8"/>
    <x v="1"/>
    <x v="0"/>
    <x v="0"/>
    <x v="1"/>
    <x v="1"/>
    <x v="1"/>
  </r>
  <r>
    <d v="2024-03-09T00:00:00"/>
    <x v="1"/>
    <x v="0"/>
    <x v="41"/>
    <x v="0"/>
    <x v="0"/>
    <d v="2024-03-09T00:00:00"/>
    <x v="8"/>
    <x v="1"/>
    <x v="0"/>
    <x v="0"/>
    <x v="1"/>
    <x v="1"/>
    <x v="1"/>
  </r>
  <r>
    <d v="2024-03-09T00:00:00"/>
    <x v="1"/>
    <x v="0"/>
    <x v="42"/>
    <x v="2"/>
    <x v="3"/>
    <d v="2024-03-09T00:00:00"/>
    <x v="8"/>
    <x v="1"/>
    <x v="0"/>
    <x v="0"/>
    <x v="1"/>
    <x v="1"/>
    <x v="1"/>
  </r>
  <r>
    <d v="2024-03-09T00:00:00"/>
    <x v="1"/>
    <x v="0"/>
    <x v="43"/>
    <x v="1"/>
    <x v="5"/>
    <d v="2024-03-09T00:00:00"/>
    <x v="8"/>
    <x v="1"/>
    <x v="0"/>
    <x v="0"/>
    <x v="1"/>
    <x v="1"/>
    <x v="1"/>
  </r>
  <r>
    <d v="2024-03-09T00:00:00"/>
    <x v="1"/>
    <x v="0"/>
    <x v="43"/>
    <x v="0"/>
    <x v="7"/>
    <d v="2024-03-09T00:00:00"/>
    <x v="8"/>
    <x v="1"/>
    <x v="0"/>
    <x v="0"/>
    <x v="1"/>
    <x v="1"/>
    <x v="1"/>
  </r>
  <r>
    <d v="2024-03-09T00:00:00"/>
    <x v="1"/>
    <x v="0"/>
    <x v="8"/>
    <x v="2"/>
    <x v="3"/>
    <d v="2024-03-09T00:00:00"/>
    <x v="8"/>
    <x v="1"/>
    <x v="0"/>
    <x v="0"/>
    <x v="1"/>
    <x v="1"/>
    <x v="1"/>
  </r>
  <r>
    <d v="2024-03-09T00:00:00"/>
    <x v="1"/>
    <x v="0"/>
    <x v="44"/>
    <x v="0"/>
    <x v="1"/>
    <d v="2024-03-09T00:00:00"/>
    <x v="8"/>
    <x v="1"/>
    <x v="0"/>
    <x v="0"/>
    <x v="1"/>
    <x v="1"/>
    <x v="1"/>
  </r>
  <r>
    <d v="2024-03-09T00:00:00"/>
    <x v="1"/>
    <x v="0"/>
    <x v="8"/>
    <x v="0"/>
    <x v="7"/>
    <d v="2024-03-09T00:00:00"/>
    <x v="8"/>
    <x v="1"/>
    <x v="0"/>
    <x v="0"/>
    <x v="1"/>
    <x v="1"/>
    <x v="1"/>
  </r>
  <r>
    <d v="2024-03-09T00:00:00"/>
    <x v="1"/>
    <x v="0"/>
    <x v="8"/>
    <x v="0"/>
    <x v="1"/>
    <d v="2024-03-09T00:00:00"/>
    <x v="8"/>
    <x v="1"/>
    <x v="0"/>
    <x v="0"/>
    <x v="1"/>
    <x v="1"/>
    <x v="1"/>
  </r>
  <r>
    <d v="2024-03-10T00:00:00"/>
    <x v="2"/>
    <x v="1"/>
    <x v="10"/>
    <x v="6"/>
    <x v="2"/>
    <d v="2024-03-10T00:00:00"/>
    <x v="9"/>
    <x v="2"/>
    <x v="0"/>
    <x v="0"/>
    <x v="1"/>
    <x v="1"/>
    <x v="1"/>
  </r>
  <r>
    <d v="2024-03-10T00:00:00"/>
    <x v="2"/>
    <x v="1"/>
    <x v="10"/>
    <x v="5"/>
    <x v="3"/>
    <d v="2024-03-10T00:00:00"/>
    <x v="9"/>
    <x v="2"/>
    <x v="0"/>
    <x v="0"/>
    <x v="1"/>
    <x v="1"/>
    <x v="1"/>
  </r>
  <r>
    <d v="2024-03-10T00:00:00"/>
    <x v="2"/>
    <x v="1"/>
    <x v="10"/>
    <x v="3"/>
    <x v="0"/>
    <d v="2024-03-10T00:00:00"/>
    <x v="9"/>
    <x v="2"/>
    <x v="0"/>
    <x v="0"/>
    <x v="1"/>
    <x v="1"/>
    <x v="1"/>
  </r>
  <r>
    <d v="2024-03-10T00:00:00"/>
    <x v="2"/>
    <x v="0"/>
    <x v="45"/>
    <x v="4"/>
    <x v="6"/>
    <d v="2024-03-10T00:00:00"/>
    <x v="9"/>
    <x v="2"/>
    <x v="0"/>
    <x v="0"/>
    <x v="1"/>
    <x v="1"/>
    <x v="1"/>
  </r>
  <r>
    <d v="2024-03-10T00:00:00"/>
    <x v="2"/>
    <x v="1"/>
    <x v="10"/>
    <x v="5"/>
    <x v="3"/>
    <d v="2024-03-10T00:00:00"/>
    <x v="9"/>
    <x v="2"/>
    <x v="0"/>
    <x v="0"/>
    <x v="1"/>
    <x v="1"/>
    <x v="1"/>
  </r>
  <r>
    <d v="2024-03-10T00:00:00"/>
    <x v="2"/>
    <x v="0"/>
    <x v="46"/>
    <x v="0"/>
    <x v="0"/>
    <d v="2024-03-10T00:00:00"/>
    <x v="9"/>
    <x v="2"/>
    <x v="0"/>
    <x v="0"/>
    <x v="1"/>
    <x v="1"/>
    <x v="1"/>
  </r>
  <r>
    <d v="2024-03-10T00:00:00"/>
    <x v="2"/>
    <x v="0"/>
    <x v="46"/>
    <x v="1"/>
    <x v="5"/>
    <d v="2024-03-10T00:00:00"/>
    <x v="9"/>
    <x v="2"/>
    <x v="0"/>
    <x v="0"/>
    <x v="1"/>
    <x v="1"/>
    <x v="1"/>
  </r>
  <r>
    <d v="2024-03-11T00:00:00"/>
    <x v="3"/>
    <x v="1"/>
    <x v="10"/>
    <x v="3"/>
    <x v="0"/>
    <d v="2024-03-11T00:00:00"/>
    <x v="10"/>
    <x v="3"/>
    <x v="0"/>
    <x v="0"/>
    <x v="1"/>
    <x v="1"/>
    <x v="1"/>
  </r>
  <r>
    <d v="2024-03-11T00:00:00"/>
    <x v="3"/>
    <x v="1"/>
    <x v="10"/>
    <x v="3"/>
    <x v="7"/>
    <d v="2024-03-11T00:00:00"/>
    <x v="10"/>
    <x v="3"/>
    <x v="0"/>
    <x v="0"/>
    <x v="1"/>
    <x v="1"/>
    <x v="1"/>
  </r>
  <r>
    <d v="2024-03-11T00:00:00"/>
    <x v="3"/>
    <x v="1"/>
    <x v="10"/>
    <x v="6"/>
    <x v="5"/>
    <d v="2024-03-11T00:00:00"/>
    <x v="10"/>
    <x v="3"/>
    <x v="0"/>
    <x v="0"/>
    <x v="1"/>
    <x v="1"/>
    <x v="1"/>
  </r>
  <r>
    <d v="2024-03-11T00:00:00"/>
    <x v="3"/>
    <x v="1"/>
    <x v="10"/>
    <x v="6"/>
    <x v="2"/>
    <d v="2024-03-11T00:00:00"/>
    <x v="10"/>
    <x v="3"/>
    <x v="0"/>
    <x v="0"/>
    <x v="1"/>
    <x v="1"/>
    <x v="1"/>
  </r>
  <r>
    <d v="2024-03-11T00:00:00"/>
    <x v="3"/>
    <x v="0"/>
    <x v="35"/>
    <x v="0"/>
    <x v="7"/>
    <d v="2024-03-11T00:00:00"/>
    <x v="10"/>
    <x v="3"/>
    <x v="0"/>
    <x v="0"/>
    <x v="1"/>
    <x v="1"/>
    <x v="1"/>
  </r>
  <r>
    <d v="2024-03-11T00:00:00"/>
    <x v="3"/>
    <x v="0"/>
    <x v="47"/>
    <x v="1"/>
    <x v="2"/>
    <d v="2024-03-11T00:00:00"/>
    <x v="10"/>
    <x v="3"/>
    <x v="0"/>
    <x v="0"/>
    <x v="1"/>
    <x v="1"/>
    <x v="1"/>
  </r>
  <r>
    <d v="2024-03-11T00:00:00"/>
    <x v="3"/>
    <x v="0"/>
    <x v="47"/>
    <x v="0"/>
    <x v="0"/>
    <d v="2024-03-11T00:00:00"/>
    <x v="10"/>
    <x v="3"/>
    <x v="0"/>
    <x v="0"/>
    <x v="1"/>
    <x v="1"/>
    <x v="1"/>
  </r>
  <r>
    <d v="2024-03-11T00:00:00"/>
    <x v="3"/>
    <x v="0"/>
    <x v="48"/>
    <x v="1"/>
    <x v="5"/>
    <d v="2024-03-11T00:00:00"/>
    <x v="10"/>
    <x v="3"/>
    <x v="0"/>
    <x v="0"/>
    <x v="1"/>
    <x v="1"/>
    <x v="1"/>
  </r>
  <r>
    <d v="2024-03-12T00:00:00"/>
    <x v="4"/>
    <x v="1"/>
    <x v="10"/>
    <x v="3"/>
    <x v="0"/>
    <d v="2024-03-12T00:00:00"/>
    <x v="11"/>
    <x v="4"/>
    <x v="0"/>
    <x v="0"/>
    <x v="1"/>
    <x v="1"/>
    <x v="1"/>
  </r>
  <r>
    <d v="2024-03-12T00:00:00"/>
    <x v="4"/>
    <x v="0"/>
    <x v="33"/>
    <x v="1"/>
    <x v="2"/>
    <d v="2024-03-12T00:00:00"/>
    <x v="11"/>
    <x v="4"/>
    <x v="0"/>
    <x v="0"/>
    <x v="1"/>
    <x v="1"/>
    <x v="1"/>
  </r>
  <r>
    <d v="2024-03-12T00:00:00"/>
    <x v="4"/>
    <x v="0"/>
    <x v="33"/>
    <x v="1"/>
    <x v="5"/>
    <d v="2024-03-12T00:00:00"/>
    <x v="11"/>
    <x v="4"/>
    <x v="0"/>
    <x v="0"/>
    <x v="1"/>
    <x v="1"/>
    <x v="1"/>
  </r>
  <r>
    <d v="2024-03-12T00:00:00"/>
    <x v="4"/>
    <x v="0"/>
    <x v="49"/>
    <x v="0"/>
    <x v="1"/>
    <d v="2024-03-12T00:00:00"/>
    <x v="11"/>
    <x v="4"/>
    <x v="0"/>
    <x v="0"/>
    <x v="1"/>
    <x v="1"/>
    <x v="1"/>
  </r>
  <r>
    <d v="2024-03-12T00:00:00"/>
    <x v="4"/>
    <x v="0"/>
    <x v="3"/>
    <x v="2"/>
    <x v="3"/>
    <d v="2024-03-12T00:00:00"/>
    <x v="11"/>
    <x v="4"/>
    <x v="0"/>
    <x v="0"/>
    <x v="1"/>
    <x v="1"/>
    <x v="1"/>
  </r>
  <r>
    <d v="2024-03-12T00:00:00"/>
    <x v="4"/>
    <x v="0"/>
    <x v="3"/>
    <x v="1"/>
    <x v="2"/>
    <d v="2024-03-12T00:00:00"/>
    <x v="11"/>
    <x v="4"/>
    <x v="0"/>
    <x v="0"/>
    <x v="1"/>
    <x v="1"/>
    <x v="1"/>
  </r>
  <r>
    <d v="2024-03-12T00:00:00"/>
    <x v="4"/>
    <x v="0"/>
    <x v="50"/>
    <x v="1"/>
    <x v="2"/>
    <d v="2024-03-12T00:00:00"/>
    <x v="11"/>
    <x v="4"/>
    <x v="0"/>
    <x v="0"/>
    <x v="1"/>
    <x v="1"/>
    <x v="1"/>
  </r>
  <r>
    <d v="2024-03-13T00:00:00"/>
    <x v="5"/>
    <x v="0"/>
    <x v="48"/>
    <x v="0"/>
    <x v="1"/>
    <d v="2024-03-13T00:00:00"/>
    <x v="12"/>
    <x v="5"/>
    <x v="0"/>
    <x v="0"/>
    <x v="1"/>
    <x v="1"/>
    <x v="1"/>
  </r>
  <r>
    <d v="2024-03-13T00:00:00"/>
    <x v="5"/>
    <x v="0"/>
    <x v="3"/>
    <x v="1"/>
    <x v="2"/>
    <d v="2024-03-13T00:00:00"/>
    <x v="12"/>
    <x v="5"/>
    <x v="0"/>
    <x v="0"/>
    <x v="1"/>
    <x v="1"/>
    <x v="1"/>
  </r>
  <r>
    <d v="2024-03-13T00:00:00"/>
    <x v="5"/>
    <x v="0"/>
    <x v="51"/>
    <x v="1"/>
    <x v="2"/>
    <d v="2024-03-13T00:00:00"/>
    <x v="12"/>
    <x v="5"/>
    <x v="0"/>
    <x v="0"/>
    <x v="1"/>
    <x v="1"/>
    <x v="1"/>
  </r>
  <r>
    <d v="2024-03-13T00:00:00"/>
    <x v="5"/>
    <x v="0"/>
    <x v="51"/>
    <x v="1"/>
    <x v="2"/>
    <d v="2024-03-13T00:00:00"/>
    <x v="12"/>
    <x v="5"/>
    <x v="0"/>
    <x v="0"/>
    <x v="1"/>
    <x v="1"/>
    <x v="1"/>
  </r>
  <r>
    <d v="2024-03-13T00:00:00"/>
    <x v="5"/>
    <x v="1"/>
    <x v="10"/>
    <x v="7"/>
    <x v="6"/>
    <d v="2024-03-13T00:00:00"/>
    <x v="12"/>
    <x v="5"/>
    <x v="0"/>
    <x v="0"/>
    <x v="1"/>
    <x v="1"/>
    <x v="1"/>
  </r>
  <r>
    <d v="2024-03-13T00:00:00"/>
    <x v="5"/>
    <x v="0"/>
    <x v="52"/>
    <x v="2"/>
    <x v="3"/>
    <d v="2024-03-13T00:00:00"/>
    <x v="12"/>
    <x v="5"/>
    <x v="0"/>
    <x v="0"/>
    <x v="1"/>
    <x v="1"/>
    <x v="1"/>
  </r>
  <r>
    <d v="2024-03-13T00:00:00"/>
    <x v="5"/>
    <x v="0"/>
    <x v="53"/>
    <x v="4"/>
    <x v="6"/>
    <d v="2024-03-13T00:00:00"/>
    <x v="12"/>
    <x v="5"/>
    <x v="0"/>
    <x v="0"/>
    <x v="1"/>
    <x v="1"/>
    <x v="1"/>
  </r>
  <r>
    <d v="2024-03-13T00:00:00"/>
    <x v="5"/>
    <x v="0"/>
    <x v="53"/>
    <x v="4"/>
    <x v="6"/>
    <d v="2024-03-13T00:00:00"/>
    <x v="12"/>
    <x v="5"/>
    <x v="0"/>
    <x v="0"/>
    <x v="1"/>
    <x v="1"/>
    <x v="1"/>
  </r>
  <r>
    <d v="2024-03-13T00:00:00"/>
    <x v="5"/>
    <x v="0"/>
    <x v="54"/>
    <x v="4"/>
    <x v="6"/>
    <d v="2024-03-13T00:00:00"/>
    <x v="12"/>
    <x v="5"/>
    <x v="0"/>
    <x v="0"/>
    <x v="1"/>
    <x v="1"/>
    <x v="1"/>
  </r>
  <r>
    <d v="2024-03-14T00:00:00"/>
    <x v="6"/>
    <x v="1"/>
    <x v="10"/>
    <x v="3"/>
    <x v="0"/>
    <d v="2024-03-14T00:00:00"/>
    <x v="13"/>
    <x v="6"/>
    <x v="0"/>
    <x v="0"/>
    <x v="1"/>
    <x v="1"/>
    <x v="1"/>
  </r>
  <r>
    <d v="2024-03-14T00:00:00"/>
    <x v="6"/>
    <x v="0"/>
    <x v="55"/>
    <x v="0"/>
    <x v="0"/>
    <d v="2024-03-14T00:00:00"/>
    <x v="13"/>
    <x v="6"/>
    <x v="0"/>
    <x v="0"/>
    <x v="1"/>
    <x v="1"/>
    <x v="1"/>
  </r>
  <r>
    <d v="2024-03-14T00:00:00"/>
    <x v="6"/>
    <x v="0"/>
    <x v="55"/>
    <x v="0"/>
    <x v="1"/>
    <d v="2024-03-14T00:00:00"/>
    <x v="13"/>
    <x v="6"/>
    <x v="0"/>
    <x v="0"/>
    <x v="1"/>
    <x v="1"/>
    <x v="1"/>
  </r>
  <r>
    <d v="2024-03-14T00:00:00"/>
    <x v="6"/>
    <x v="0"/>
    <x v="12"/>
    <x v="1"/>
    <x v="5"/>
    <d v="2024-03-14T00:00:00"/>
    <x v="13"/>
    <x v="6"/>
    <x v="0"/>
    <x v="0"/>
    <x v="1"/>
    <x v="1"/>
    <x v="1"/>
  </r>
  <r>
    <d v="2024-03-14T00:00:00"/>
    <x v="6"/>
    <x v="0"/>
    <x v="12"/>
    <x v="1"/>
    <x v="2"/>
    <d v="2024-03-14T00:00:00"/>
    <x v="13"/>
    <x v="6"/>
    <x v="0"/>
    <x v="0"/>
    <x v="1"/>
    <x v="1"/>
    <x v="1"/>
  </r>
  <r>
    <d v="2024-03-14T00:00:00"/>
    <x v="6"/>
    <x v="0"/>
    <x v="56"/>
    <x v="2"/>
    <x v="3"/>
    <d v="2024-03-14T00:00:00"/>
    <x v="13"/>
    <x v="6"/>
    <x v="0"/>
    <x v="0"/>
    <x v="1"/>
    <x v="1"/>
    <x v="1"/>
  </r>
  <r>
    <d v="2024-03-14T00:00:00"/>
    <x v="6"/>
    <x v="0"/>
    <x v="57"/>
    <x v="4"/>
    <x v="6"/>
    <d v="2024-03-14T00:00:00"/>
    <x v="13"/>
    <x v="6"/>
    <x v="0"/>
    <x v="0"/>
    <x v="1"/>
    <x v="1"/>
    <x v="1"/>
  </r>
  <r>
    <d v="2024-03-14T00:00:00"/>
    <x v="6"/>
    <x v="0"/>
    <x v="58"/>
    <x v="0"/>
    <x v="0"/>
    <d v="2024-03-14T00:00:00"/>
    <x v="13"/>
    <x v="6"/>
    <x v="0"/>
    <x v="0"/>
    <x v="1"/>
    <x v="1"/>
    <x v="1"/>
  </r>
  <r>
    <d v="2024-03-14T00:00:00"/>
    <x v="6"/>
    <x v="0"/>
    <x v="59"/>
    <x v="2"/>
    <x v="3"/>
    <d v="2024-03-14T00:00:00"/>
    <x v="13"/>
    <x v="6"/>
    <x v="0"/>
    <x v="0"/>
    <x v="1"/>
    <x v="1"/>
    <x v="1"/>
  </r>
  <r>
    <d v="2024-03-14T00:00:00"/>
    <x v="6"/>
    <x v="0"/>
    <x v="50"/>
    <x v="4"/>
    <x v="6"/>
    <d v="2024-03-14T00:00:00"/>
    <x v="13"/>
    <x v="6"/>
    <x v="0"/>
    <x v="0"/>
    <x v="1"/>
    <x v="1"/>
    <x v="1"/>
  </r>
  <r>
    <d v="2024-03-14T00:00:00"/>
    <x v="6"/>
    <x v="0"/>
    <x v="19"/>
    <x v="0"/>
    <x v="1"/>
    <d v="2024-03-14T00:00:00"/>
    <x v="13"/>
    <x v="6"/>
    <x v="0"/>
    <x v="0"/>
    <x v="1"/>
    <x v="1"/>
    <x v="1"/>
  </r>
  <r>
    <d v="2024-03-14T00:00:00"/>
    <x v="6"/>
    <x v="0"/>
    <x v="12"/>
    <x v="1"/>
    <x v="5"/>
    <d v="2024-03-14T00:00:00"/>
    <x v="13"/>
    <x v="6"/>
    <x v="0"/>
    <x v="0"/>
    <x v="1"/>
    <x v="1"/>
    <x v="1"/>
  </r>
  <r>
    <d v="2024-03-15T00:00:00"/>
    <x v="0"/>
    <x v="1"/>
    <x v="10"/>
    <x v="3"/>
    <x v="0"/>
    <d v="2024-03-15T00:00:00"/>
    <x v="14"/>
    <x v="0"/>
    <x v="0"/>
    <x v="0"/>
    <x v="1"/>
    <x v="1"/>
    <x v="1"/>
  </r>
  <r>
    <d v="2024-03-15T00:00:00"/>
    <x v="0"/>
    <x v="0"/>
    <x v="60"/>
    <x v="0"/>
    <x v="1"/>
    <d v="2024-03-15T00:00:00"/>
    <x v="14"/>
    <x v="0"/>
    <x v="0"/>
    <x v="0"/>
    <x v="1"/>
    <x v="1"/>
    <x v="1"/>
  </r>
  <r>
    <d v="2024-03-15T00:00:00"/>
    <x v="0"/>
    <x v="0"/>
    <x v="12"/>
    <x v="1"/>
    <x v="2"/>
    <d v="2024-03-15T00:00:00"/>
    <x v="14"/>
    <x v="0"/>
    <x v="0"/>
    <x v="0"/>
    <x v="1"/>
    <x v="1"/>
    <x v="1"/>
  </r>
  <r>
    <d v="2024-03-16T00:00:00"/>
    <x v="1"/>
    <x v="0"/>
    <x v="61"/>
    <x v="2"/>
    <x v="3"/>
    <d v="2024-03-16T00:00:00"/>
    <x v="15"/>
    <x v="1"/>
    <x v="0"/>
    <x v="0"/>
    <x v="1"/>
    <x v="1"/>
    <x v="1"/>
  </r>
  <r>
    <d v="2024-03-16T00:00:00"/>
    <x v="1"/>
    <x v="0"/>
    <x v="61"/>
    <x v="1"/>
    <x v="2"/>
    <d v="2024-03-16T00:00:00"/>
    <x v="15"/>
    <x v="1"/>
    <x v="0"/>
    <x v="0"/>
    <x v="1"/>
    <x v="1"/>
    <x v="1"/>
  </r>
  <r>
    <d v="2024-03-16T00:00:00"/>
    <x v="1"/>
    <x v="0"/>
    <x v="8"/>
    <x v="1"/>
    <x v="5"/>
    <d v="2024-03-16T00:00:00"/>
    <x v="15"/>
    <x v="1"/>
    <x v="0"/>
    <x v="0"/>
    <x v="1"/>
    <x v="1"/>
    <x v="1"/>
  </r>
  <r>
    <d v="2024-03-16T00:00:00"/>
    <x v="1"/>
    <x v="0"/>
    <x v="8"/>
    <x v="1"/>
    <x v="5"/>
    <d v="2024-03-16T00:00:00"/>
    <x v="15"/>
    <x v="1"/>
    <x v="0"/>
    <x v="0"/>
    <x v="1"/>
    <x v="1"/>
    <x v="1"/>
  </r>
  <r>
    <d v="2024-03-16T00:00:00"/>
    <x v="1"/>
    <x v="0"/>
    <x v="12"/>
    <x v="1"/>
    <x v="5"/>
    <d v="2024-03-16T00:00:00"/>
    <x v="15"/>
    <x v="1"/>
    <x v="0"/>
    <x v="0"/>
    <x v="1"/>
    <x v="1"/>
    <x v="1"/>
  </r>
  <r>
    <d v="2024-03-16T00:00:00"/>
    <x v="1"/>
    <x v="0"/>
    <x v="62"/>
    <x v="2"/>
    <x v="3"/>
    <d v="2024-03-16T00:00:00"/>
    <x v="15"/>
    <x v="1"/>
    <x v="0"/>
    <x v="0"/>
    <x v="1"/>
    <x v="1"/>
    <x v="1"/>
  </r>
  <r>
    <d v="2024-03-17T00:00:00"/>
    <x v="2"/>
    <x v="1"/>
    <x v="10"/>
    <x v="3"/>
    <x v="0"/>
    <d v="2024-03-17T00:00:00"/>
    <x v="16"/>
    <x v="2"/>
    <x v="0"/>
    <x v="0"/>
    <x v="1"/>
    <x v="1"/>
    <x v="1"/>
  </r>
  <r>
    <d v="2024-03-17T00:00:00"/>
    <x v="2"/>
    <x v="0"/>
    <x v="63"/>
    <x v="1"/>
    <x v="5"/>
    <d v="2024-03-17T00:00:00"/>
    <x v="16"/>
    <x v="2"/>
    <x v="0"/>
    <x v="0"/>
    <x v="1"/>
    <x v="1"/>
    <x v="1"/>
  </r>
  <r>
    <d v="2024-03-18T00:00:00"/>
    <x v="3"/>
    <x v="0"/>
    <x v="64"/>
    <x v="1"/>
    <x v="5"/>
    <d v="2024-03-18T00:00:00"/>
    <x v="17"/>
    <x v="3"/>
    <x v="0"/>
    <x v="0"/>
    <x v="1"/>
    <x v="1"/>
    <x v="1"/>
  </r>
  <r>
    <d v="2024-03-18T00:00:00"/>
    <x v="3"/>
    <x v="0"/>
    <x v="2"/>
    <x v="1"/>
    <x v="2"/>
    <d v="2024-03-18T00:00:00"/>
    <x v="17"/>
    <x v="3"/>
    <x v="0"/>
    <x v="0"/>
    <x v="1"/>
    <x v="1"/>
    <x v="1"/>
  </r>
  <r>
    <d v="2024-03-18T00:00:00"/>
    <x v="3"/>
    <x v="0"/>
    <x v="2"/>
    <x v="1"/>
    <x v="2"/>
    <d v="2024-03-18T00:00:00"/>
    <x v="17"/>
    <x v="3"/>
    <x v="0"/>
    <x v="0"/>
    <x v="1"/>
    <x v="1"/>
    <x v="1"/>
  </r>
  <r>
    <d v="2024-03-18T00:00:00"/>
    <x v="3"/>
    <x v="0"/>
    <x v="2"/>
    <x v="1"/>
    <x v="2"/>
    <d v="2024-03-18T00:00:00"/>
    <x v="17"/>
    <x v="3"/>
    <x v="0"/>
    <x v="0"/>
    <x v="1"/>
    <x v="1"/>
    <x v="1"/>
  </r>
  <r>
    <d v="2024-03-19T00:00:00"/>
    <x v="4"/>
    <x v="1"/>
    <x v="10"/>
    <x v="6"/>
    <x v="5"/>
    <d v="2024-03-19T00:00:00"/>
    <x v="18"/>
    <x v="4"/>
    <x v="0"/>
    <x v="0"/>
    <x v="1"/>
    <x v="1"/>
    <x v="1"/>
  </r>
  <r>
    <d v="2024-03-19T00:00:00"/>
    <x v="4"/>
    <x v="0"/>
    <x v="65"/>
    <x v="0"/>
    <x v="0"/>
    <d v="2024-03-19T00:00:00"/>
    <x v="18"/>
    <x v="4"/>
    <x v="0"/>
    <x v="0"/>
    <x v="1"/>
    <x v="1"/>
    <x v="1"/>
  </r>
  <r>
    <d v="2024-03-19T00:00:00"/>
    <x v="4"/>
    <x v="0"/>
    <x v="65"/>
    <x v="0"/>
    <x v="0"/>
    <d v="2024-03-19T00:00:00"/>
    <x v="18"/>
    <x v="4"/>
    <x v="0"/>
    <x v="0"/>
    <x v="1"/>
    <x v="1"/>
    <x v="1"/>
  </r>
  <r>
    <d v="2024-03-19T00:00:00"/>
    <x v="4"/>
    <x v="0"/>
    <x v="49"/>
    <x v="0"/>
    <x v="1"/>
    <d v="2024-03-19T00:00:00"/>
    <x v="18"/>
    <x v="4"/>
    <x v="0"/>
    <x v="0"/>
    <x v="1"/>
    <x v="1"/>
    <x v="1"/>
  </r>
  <r>
    <d v="2024-03-19T00:00:00"/>
    <x v="4"/>
    <x v="0"/>
    <x v="66"/>
    <x v="2"/>
    <x v="3"/>
    <d v="2024-03-19T00:00:00"/>
    <x v="18"/>
    <x v="4"/>
    <x v="0"/>
    <x v="0"/>
    <x v="1"/>
    <x v="1"/>
    <x v="1"/>
  </r>
  <r>
    <d v="2024-03-19T00:00:00"/>
    <x v="4"/>
    <x v="1"/>
    <x v="10"/>
    <x v="3"/>
    <x v="1"/>
    <d v="2024-03-19T00:00:00"/>
    <x v="18"/>
    <x v="4"/>
    <x v="0"/>
    <x v="0"/>
    <x v="1"/>
    <x v="1"/>
    <x v="1"/>
  </r>
  <r>
    <d v="2024-03-20T00:00:00"/>
    <x v="5"/>
    <x v="0"/>
    <x v="12"/>
    <x v="1"/>
    <x v="5"/>
    <d v="2024-03-20T00:00:00"/>
    <x v="19"/>
    <x v="5"/>
    <x v="0"/>
    <x v="0"/>
    <x v="1"/>
    <x v="1"/>
    <x v="1"/>
  </r>
  <r>
    <d v="2024-03-20T00:00:00"/>
    <x v="5"/>
    <x v="1"/>
    <x v="10"/>
    <x v="3"/>
    <x v="0"/>
    <d v="2024-03-20T00:00:00"/>
    <x v="19"/>
    <x v="5"/>
    <x v="0"/>
    <x v="0"/>
    <x v="1"/>
    <x v="1"/>
    <x v="1"/>
  </r>
  <r>
    <d v="2024-03-20T00:00:00"/>
    <x v="5"/>
    <x v="0"/>
    <x v="49"/>
    <x v="1"/>
    <x v="5"/>
    <d v="2024-03-20T00:00:00"/>
    <x v="19"/>
    <x v="5"/>
    <x v="0"/>
    <x v="0"/>
    <x v="1"/>
    <x v="1"/>
    <x v="1"/>
  </r>
  <r>
    <d v="2024-03-20T00:00:00"/>
    <x v="5"/>
    <x v="0"/>
    <x v="67"/>
    <x v="0"/>
    <x v="7"/>
    <d v="2024-03-20T00:00:00"/>
    <x v="19"/>
    <x v="5"/>
    <x v="0"/>
    <x v="0"/>
    <x v="1"/>
    <x v="1"/>
    <x v="1"/>
  </r>
  <r>
    <d v="2024-03-20T00:00:00"/>
    <x v="5"/>
    <x v="0"/>
    <x v="50"/>
    <x v="0"/>
    <x v="4"/>
    <d v="2024-03-20T00:00:00"/>
    <x v="19"/>
    <x v="5"/>
    <x v="0"/>
    <x v="0"/>
    <x v="1"/>
    <x v="1"/>
    <x v="1"/>
  </r>
  <r>
    <d v="2024-03-20T00:00:00"/>
    <x v="5"/>
    <x v="0"/>
    <x v="68"/>
    <x v="0"/>
    <x v="0"/>
    <d v="2024-03-20T00:00:00"/>
    <x v="19"/>
    <x v="5"/>
    <x v="0"/>
    <x v="0"/>
    <x v="1"/>
    <x v="1"/>
    <x v="1"/>
  </r>
  <r>
    <d v="2024-03-21T00:00:00"/>
    <x v="6"/>
    <x v="1"/>
    <x v="10"/>
    <x v="3"/>
    <x v="7"/>
    <d v="2024-03-21T00:00:00"/>
    <x v="20"/>
    <x v="6"/>
    <x v="0"/>
    <x v="0"/>
    <x v="1"/>
    <x v="1"/>
    <x v="1"/>
  </r>
  <r>
    <d v="2024-03-21T00:00:00"/>
    <x v="6"/>
    <x v="0"/>
    <x v="12"/>
    <x v="1"/>
    <x v="5"/>
    <d v="2024-03-21T00:00:00"/>
    <x v="20"/>
    <x v="6"/>
    <x v="0"/>
    <x v="0"/>
    <x v="1"/>
    <x v="1"/>
    <x v="1"/>
  </r>
  <r>
    <d v="2024-03-21T00:00:00"/>
    <x v="6"/>
    <x v="0"/>
    <x v="12"/>
    <x v="0"/>
    <x v="7"/>
    <d v="2024-03-21T00:00:00"/>
    <x v="20"/>
    <x v="6"/>
    <x v="0"/>
    <x v="0"/>
    <x v="1"/>
    <x v="1"/>
    <x v="1"/>
  </r>
  <r>
    <d v="2024-03-21T00:00:00"/>
    <x v="6"/>
    <x v="1"/>
    <x v="10"/>
    <x v="6"/>
    <x v="2"/>
    <d v="2024-03-21T00:00:00"/>
    <x v="20"/>
    <x v="6"/>
    <x v="0"/>
    <x v="0"/>
    <x v="1"/>
    <x v="1"/>
    <x v="1"/>
  </r>
  <r>
    <d v="2024-03-21T00:00:00"/>
    <x v="6"/>
    <x v="0"/>
    <x v="12"/>
    <x v="1"/>
    <x v="5"/>
    <d v="2024-03-21T00:00:00"/>
    <x v="20"/>
    <x v="6"/>
    <x v="0"/>
    <x v="0"/>
    <x v="1"/>
    <x v="1"/>
    <x v="1"/>
  </r>
  <r>
    <d v="2024-03-21T00:00:00"/>
    <x v="6"/>
    <x v="0"/>
    <x v="69"/>
    <x v="0"/>
    <x v="0"/>
    <d v="2024-03-21T00:00:00"/>
    <x v="20"/>
    <x v="6"/>
    <x v="0"/>
    <x v="0"/>
    <x v="1"/>
    <x v="1"/>
    <x v="1"/>
  </r>
  <r>
    <d v="2024-03-22T00:00:00"/>
    <x v="0"/>
    <x v="0"/>
    <x v="70"/>
    <x v="2"/>
    <x v="3"/>
    <d v="2024-03-22T00:00:00"/>
    <x v="21"/>
    <x v="0"/>
    <x v="0"/>
    <x v="0"/>
    <x v="1"/>
    <x v="1"/>
    <x v="1"/>
  </r>
  <r>
    <d v="2024-03-22T00:00:00"/>
    <x v="0"/>
    <x v="0"/>
    <x v="71"/>
    <x v="2"/>
    <x v="3"/>
    <d v="2024-03-22T00:00:00"/>
    <x v="21"/>
    <x v="0"/>
    <x v="0"/>
    <x v="0"/>
    <x v="1"/>
    <x v="1"/>
    <x v="1"/>
  </r>
  <r>
    <d v="2024-03-22T00:00:00"/>
    <x v="0"/>
    <x v="1"/>
    <x v="10"/>
    <x v="3"/>
    <x v="7"/>
    <d v="2024-03-22T00:00:00"/>
    <x v="21"/>
    <x v="0"/>
    <x v="0"/>
    <x v="0"/>
    <x v="1"/>
    <x v="1"/>
    <x v="1"/>
  </r>
  <r>
    <d v="2024-03-22T00:00:00"/>
    <x v="0"/>
    <x v="0"/>
    <x v="12"/>
    <x v="1"/>
    <x v="2"/>
    <d v="2024-03-22T00:00:00"/>
    <x v="21"/>
    <x v="0"/>
    <x v="0"/>
    <x v="0"/>
    <x v="1"/>
    <x v="1"/>
    <x v="1"/>
  </r>
  <r>
    <d v="2024-03-22T00:00:00"/>
    <x v="0"/>
    <x v="0"/>
    <x v="12"/>
    <x v="4"/>
    <x v="6"/>
    <d v="2024-03-22T00:00:00"/>
    <x v="21"/>
    <x v="0"/>
    <x v="0"/>
    <x v="0"/>
    <x v="1"/>
    <x v="1"/>
    <x v="1"/>
  </r>
  <r>
    <d v="2024-03-22T00:00:00"/>
    <x v="0"/>
    <x v="0"/>
    <x v="50"/>
    <x v="1"/>
    <x v="2"/>
    <d v="2024-03-22T00:00:00"/>
    <x v="21"/>
    <x v="0"/>
    <x v="0"/>
    <x v="0"/>
    <x v="1"/>
    <x v="1"/>
    <x v="1"/>
  </r>
  <r>
    <d v="2024-03-23T00:00:00"/>
    <x v="1"/>
    <x v="0"/>
    <x v="72"/>
    <x v="0"/>
    <x v="0"/>
    <d v="2024-03-23T00:00:00"/>
    <x v="22"/>
    <x v="1"/>
    <x v="0"/>
    <x v="0"/>
    <x v="1"/>
    <x v="1"/>
    <x v="1"/>
  </r>
  <r>
    <d v="2024-03-23T00:00:00"/>
    <x v="1"/>
    <x v="0"/>
    <x v="73"/>
    <x v="2"/>
    <x v="3"/>
    <d v="2024-03-23T00:00:00"/>
    <x v="22"/>
    <x v="1"/>
    <x v="0"/>
    <x v="0"/>
    <x v="1"/>
    <x v="1"/>
    <x v="1"/>
  </r>
  <r>
    <d v="2024-03-23T00:00:00"/>
    <x v="1"/>
    <x v="0"/>
    <x v="74"/>
    <x v="0"/>
    <x v="7"/>
    <d v="2024-03-23T00:00:00"/>
    <x v="22"/>
    <x v="1"/>
    <x v="0"/>
    <x v="0"/>
    <x v="1"/>
    <x v="1"/>
    <x v="1"/>
  </r>
  <r>
    <d v="2024-03-23T00:00:00"/>
    <x v="1"/>
    <x v="0"/>
    <x v="74"/>
    <x v="0"/>
    <x v="4"/>
    <d v="2024-03-23T00:00:00"/>
    <x v="22"/>
    <x v="1"/>
    <x v="0"/>
    <x v="0"/>
    <x v="1"/>
    <x v="1"/>
    <x v="1"/>
  </r>
  <r>
    <d v="2024-03-23T00:00:00"/>
    <x v="1"/>
    <x v="0"/>
    <x v="75"/>
    <x v="2"/>
    <x v="3"/>
    <d v="2024-03-23T00:00:00"/>
    <x v="22"/>
    <x v="1"/>
    <x v="0"/>
    <x v="0"/>
    <x v="1"/>
    <x v="1"/>
    <x v="1"/>
  </r>
  <r>
    <d v="2024-03-23T00:00:00"/>
    <x v="1"/>
    <x v="0"/>
    <x v="76"/>
    <x v="0"/>
    <x v="0"/>
    <d v="2024-03-23T00:00:00"/>
    <x v="22"/>
    <x v="1"/>
    <x v="0"/>
    <x v="0"/>
    <x v="1"/>
    <x v="1"/>
    <x v="1"/>
  </r>
  <r>
    <d v="2024-03-23T00:00:00"/>
    <x v="1"/>
    <x v="0"/>
    <x v="76"/>
    <x v="2"/>
    <x v="3"/>
    <d v="2024-03-23T00:00:00"/>
    <x v="22"/>
    <x v="1"/>
    <x v="0"/>
    <x v="0"/>
    <x v="1"/>
    <x v="1"/>
    <x v="1"/>
  </r>
  <r>
    <d v="2024-03-23T00:00:00"/>
    <x v="1"/>
    <x v="0"/>
    <x v="8"/>
    <x v="1"/>
    <x v="5"/>
    <d v="2024-03-23T00:00:00"/>
    <x v="22"/>
    <x v="1"/>
    <x v="0"/>
    <x v="0"/>
    <x v="1"/>
    <x v="1"/>
    <x v="1"/>
  </r>
  <r>
    <d v="2024-03-24T00:00:00"/>
    <x v="2"/>
    <x v="1"/>
    <x v="10"/>
    <x v="3"/>
    <x v="0"/>
    <d v="2024-03-24T00:00:00"/>
    <x v="23"/>
    <x v="2"/>
    <x v="0"/>
    <x v="0"/>
    <x v="1"/>
    <x v="1"/>
    <x v="1"/>
  </r>
  <r>
    <d v="2024-03-24T00:00:00"/>
    <x v="2"/>
    <x v="0"/>
    <x v="77"/>
    <x v="0"/>
    <x v="0"/>
    <d v="2024-03-24T00:00:00"/>
    <x v="23"/>
    <x v="2"/>
    <x v="0"/>
    <x v="0"/>
    <x v="1"/>
    <x v="1"/>
    <x v="1"/>
  </r>
  <r>
    <d v="2024-03-25T00:00:00"/>
    <x v="3"/>
    <x v="0"/>
    <x v="8"/>
    <x v="0"/>
    <x v="0"/>
    <d v="2024-03-25T00:00:00"/>
    <x v="24"/>
    <x v="3"/>
    <x v="0"/>
    <x v="0"/>
    <x v="1"/>
    <x v="1"/>
    <x v="1"/>
  </r>
  <r>
    <d v="2024-03-25T00:00:00"/>
    <x v="3"/>
    <x v="1"/>
    <x v="10"/>
    <x v="5"/>
    <x v="3"/>
    <d v="2024-03-25T00:00:00"/>
    <x v="24"/>
    <x v="3"/>
    <x v="0"/>
    <x v="0"/>
    <x v="1"/>
    <x v="1"/>
    <x v="1"/>
  </r>
  <r>
    <d v="2024-03-25T00:00:00"/>
    <x v="3"/>
    <x v="0"/>
    <x v="78"/>
    <x v="0"/>
    <x v="0"/>
    <d v="2024-03-25T00:00:00"/>
    <x v="24"/>
    <x v="3"/>
    <x v="0"/>
    <x v="0"/>
    <x v="1"/>
    <x v="1"/>
    <x v="1"/>
  </r>
  <r>
    <d v="2024-03-25T00:00:00"/>
    <x v="3"/>
    <x v="0"/>
    <x v="17"/>
    <x v="0"/>
    <x v="0"/>
    <d v="2024-03-25T00:00:00"/>
    <x v="24"/>
    <x v="3"/>
    <x v="0"/>
    <x v="0"/>
    <x v="1"/>
    <x v="1"/>
    <x v="1"/>
  </r>
  <r>
    <d v="2024-03-25T00:00:00"/>
    <x v="3"/>
    <x v="0"/>
    <x v="24"/>
    <x v="2"/>
    <x v="3"/>
    <d v="2024-03-25T00:00:00"/>
    <x v="24"/>
    <x v="3"/>
    <x v="0"/>
    <x v="0"/>
    <x v="1"/>
    <x v="1"/>
    <x v="1"/>
  </r>
  <r>
    <d v="2024-03-25T00:00:00"/>
    <x v="3"/>
    <x v="0"/>
    <x v="79"/>
    <x v="0"/>
    <x v="7"/>
    <d v="2024-03-25T00:00:00"/>
    <x v="24"/>
    <x v="3"/>
    <x v="0"/>
    <x v="0"/>
    <x v="1"/>
    <x v="1"/>
    <x v="1"/>
  </r>
  <r>
    <d v="2024-03-26T00:00:00"/>
    <x v="4"/>
    <x v="0"/>
    <x v="55"/>
    <x v="0"/>
    <x v="4"/>
    <d v="2024-03-26T00:00:00"/>
    <x v="25"/>
    <x v="4"/>
    <x v="0"/>
    <x v="0"/>
    <x v="1"/>
    <x v="1"/>
    <x v="1"/>
  </r>
  <r>
    <d v="2024-03-26T00:00:00"/>
    <x v="4"/>
    <x v="0"/>
    <x v="55"/>
    <x v="0"/>
    <x v="0"/>
    <d v="2024-03-26T00:00:00"/>
    <x v="25"/>
    <x v="4"/>
    <x v="0"/>
    <x v="0"/>
    <x v="1"/>
    <x v="1"/>
    <x v="1"/>
  </r>
  <r>
    <d v="2024-03-26T00:00:00"/>
    <x v="4"/>
    <x v="0"/>
    <x v="80"/>
    <x v="0"/>
    <x v="0"/>
    <d v="2024-03-26T00:00:00"/>
    <x v="25"/>
    <x v="4"/>
    <x v="0"/>
    <x v="0"/>
    <x v="1"/>
    <x v="1"/>
    <x v="1"/>
  </r>
  <r>
    <d v="2024-03-26T00:00:00"/>
    <x v="4"/>
    <x v="0"/>
    <x v="8"/>
    <x v="1"/>
    <x v="5"/>
    <d v="2024-03-26T00:00:00"/>
    <x v="25"/>
    <x v="4"/>
    <x v="0"/>
    <x v="0"/>
    <x v="1"/>
    <x v="1"/>
    <x v="1"/>
  </r>
  <r>
    <d v="2024-03-26T00:00:00"/>
    <x v="4"/>
    <x v="0"/>
    <x v="2"/>
    <x v="1"/>
    <x v="2"/>
    <d v="2024-03-26T00:00:00"/>
    <x v="25"/>
    <x v="4"/>
    <x v="0"/>
    <x v="0"/>
    <x v="1"/>
    <x v="1"/>
    <x v="1"/>
  </r>
  <r>
    <d v="2024-03-26T00:00:00"/>
    <x v="4"/>
    <x v="0"/>
    <x v="32"/>
    <x v="1"/>
    <x v="5"/>
    <d v="2024-03-26T00:00:00"/>
    <x v="25"/>
    <x v="4"/>
    <x v="0"/>
    <x v="0"/>
    <x v="1"/>
    <x v="1"/>
    <x v="1"/>
  </r>
  <r>
    <d v="2024-03-26T00:00:00"/>
    <x v="4"/>
    <x v="0"/>
    <x v="59"/>
    <x v="1"/>
    <x v="5"/>
    <d v="2024-03-26T00:00:00"/>
    <x v="25"/>
    <x v="4"/>
    <x v="0"/>
    <x v="0"/>
    <x v="1"/>
    <x v="1"/>
    <x v="1"/>
  </r>
  <r>
    <d v="2024-03-26T00:00:00"/>
    <x v="4"/>
    <x v="0"/>
    <x v="50"/>
    <x v="1"/>
    <x v="2"/>
    <d v="2024-03-26T00:00:00"/>
    <x v="25"/>
    <x v="4"/>
    <x v="0"/>
    <x v="0"/>
    <x v="1"/>
    <x v="1"/>
    <x v="1"/>
  </r>
  <r>
    <d v="2024-03-26T00:00:00"/>
    <x v="4"/>
    <x v="0"/>
    <x v="81"/>
    <x v="0"/>
    <x v="0"/>
    <d v="2024-03-26T00:00:00"/>
    <x v="25"/>
    <x v="4"/>
    <x v="0"/>
    <x v="0"/>
    <x v="1"/>
    <x v="1"/>
    <x v="1"/>
  </r>
  <r>
    <d v="2024-03-26T00:00:00"/>
    <x v="4"/>
    <x v="0"/>
    <x v="24"/>
    <x v="0"/>
    <x v="0"/>
    <d v="2024-03-26T00:00:00"/>
    <x v="25"/>
    <x v="4"/>
    <x v="0"/>
    <x v="0"/>
    <x v="1"/>
    <x v="1"/>
    <x v="1"/>
  </r>
  <r>
    <d v="2024-03-26T00:00:00"/>
    <x v="4"/>
    <x v="0"/>
    <x v="8"/>
    <x v="0"/>
    <x v="1"/>
    <d v="2024-03-26T00:00:00"/>
    <x v="25"/>
    <x v="4"/>
    <x v="0"/>
    <x v="0"/>
    <x v="1"/>
    <x v="1"/>
    <x v="1"/>
  </r>
  <r>
    <d v="2024-03-27T00:00:00"/>
    <x v="5"/>
    <x v="0"/>
    <x v="2"/>
    <x v="1"/>
    <x v="5"/>
    <d v="2024-03-27T00:00:00"/>
    <x v="26"/>
    <x v="5"/>
    <x v="0"/>
    <x v="0"/>
    <x v="1"/>
    <x v="1"/>
    <x v="1"/>
  </r>
  <r>
    <d v="2024-03-27T00:00:00"/>
    <x v="5"/>
    <x v="0"/>
    <x v="2"/>
    <x v="2"/>
    <x v="3"/>
    <d v="2024-03-27T00:00:00"/>
    <x v="26"/>
    <x v="5"/>
    <x v="0"/>
    <x v="0"/>
    <x v="1"/>
    <x v="1"/>
    <x v="1"/>
  </r>
  <r>
    <d v="2024-03-27T00:00:00"/>
    <x v="5"/>
    <x v="0"/>
    <x v="82"/>
    <x v="2"/>
    <x v="3"/>
    <d v="2024-03-27T00:00:00"/>
    <x v="26"/>
    <x v="5"/>
    <x v="0"/>
    <x v="0"/>
    <x v="1"/>
    <x v="1"/>
    <x v="1"/>
  </r>
  <r>
    <d v="2024-03-27T00:00:00"/>
    <x v="5"/>
    <x v="0"/>
    <x v="83"/>
    <x v="0"/>
    <x v="1"/>
    <d v="2024-03-27T00:00:00"/>
    <x v="26"/>
    <x v="5"/>
    <x v="0"/>
    <x v="0"/>
    <x v="1"/>
    <x v="1"/>
    <x v="1"/>
  </r>
  <r>
    <d v="2024-03-27T00:00:00"/>
    <x v="5"/>
    <x v="0"/>
    <x v="12"/>
    <x v="0"/>
    <x v="7"/>
    <d v="2024-03-27T00:00:00"/>
    <x v="26"/>
    <x v="5"/>
    <x v="0"/>
    <x v="0"/>
    <x v="1"/>
    <x v="1"/>
    <x v="1"/>
  </r>
  <r>
    <d v="2024-03-27T00:00:00"/>
    <x v="5"/>
    <x v="0"/>
    <x v="12"/>
    <x v="1"/>
    <x v="2"/>
    <d v="2024-03-27T00:00:00"/>
    <x v="26"/>
    <x v="5"/>
    <x v="0"/>
    <x v="0"/>
    <x v="1"/>
    <x v="1"/>
    <x v="1"/>
  </r>
  <r>
    <d v="2024-03-27T00:00:00"/>
    <x v="5"/>
    <x v="0"/>
    <x v="84"/>
    <x v="1"/>
    <x v="5"/>
    <d v="2024-03-27T00:00:00"/>
    <x v="26"/>
    <x v="5"/>
    <x v="0"/>
    <x v="0"/>
    <x v="1"/>
    <x v="1"/>
    <x v="1"/>
  </r>
  <r>
    <d v="2024-03-27T00:00:00"/>
    <x v="5"/>
    <x v="1"/>
    <x v="10"/>
    <x v="3"/>
    <x v="0"/>
    <d v="2024-03-27T00:00:00"/>
    <x v="26"/>
    <x v="5"/>
    <x v="0"/>
    <x v="0"/>
    <x v="1"/>
    <x v="1"/>
    <x v="1"/>
  </r>
  <r>
    <d v="2024-03-28T00:00:00"/>
    <x v="6"/>
    <x v="0"/>
    <x v="85"/>
    <x v="1"/>
    <x v="5"/>
    <d v="2024-03-28T00:00:00"/>
    <x v="27"/>
    <x v="6"/>
    <x v="0"/>
    <x v="0"/>
    <x v="1"/>
    <x v="1"/>
    <x v="1"/>
  </r>
  <r>
    <d v="2024-03-28T00:00:00"/>
    <x v="6"/>
    <x v="0"/>
    <x v="12"/>
    <x v="1"/>
    <x v="5"/>
    <d v="2024-03-28T00:00:00"/>
    <x v="27"/>
    <x v="6"/>
    <x v="0"/>
    <x v="0"/>
    <x v="1"/>
    <x v="1"/>
    <x v="1"/>
  </r>
  <r>
    <d v="2024-03-28T00:00:00"/>
    <x v="6"/>
    <x v="0"/>
    <x v="12"/>
    <x v="1"/>
    <x v="2"/>
    <d v="2024-03-28T00:00:00"/>
    <x v="27"/>
    <x v="6"/>
    <x v="0"/>
    <x v="0"/>
    <x v="1"/>
    <x v="1"/>
    <x v="1"/>
  </r>
  <r>
    <d v="2024-03-28T00:00:00"/>
    <x v="6"/>
    <x v="0"/>
    <x v="86"/>
    <x v="0"/>
    <x v="0"/>
    <d v="2024-03-28T00:00:00"/>
    <x v="27"/>
    <x v="6"/>
    <x v="0"/>
    <x v="0"/>
    <x v="1"/>
    <x v="1"/>
    <x v="1"/>
  </r>
  <r>
    <d v="2024-03-29T00:00:00"/>
    <x v="0"/>
    <x v="0"/>
    <x v="87"/>
    <x v="0"/>
    <x v="0"/>
    <d v="2024-03-29T00:00:00"/>
    <x v="28"/>
    <x v="0"/>
    <x v="0"/>
    <x v="0"/>
    <x v="1"/>
    <x v="1"/>
    <x v="1"/>
  </r>
  <r>
    <d v="2024-03-29T00:00:00"/>
    <x v="0"/>
    <x v="0"/>
    <x v="88"/>
    <x v="0"/>
    <x v="7"/>
    <d v="2024-03-29T00:00:00"/>
    <x v="28"/>
    <x v="0"/>
    <x v="0"/>
    <x v="0"/>
    <x v="1"/>
    <x v="1"/>
    <x v="1"/>
  </r>
  <r>
    <d v="2024-03-29T00:00:00"/>
    <x v="0"/>
    <x v="0"/>
    <x v="88"/>
    <x v="0"/>
    <x v="7"/>
    <d v="2024-03-29T00:00:00"/>
    <x v="28"/>
    <x v="0"/>
    <x v="0"/>
    <x v="0"/>
    <x v="1"/>
    <x v="1"/>
    <x v="1"/>
  </r>
  <r>
    <d v="2024-03-29T00:00:00"/>
    <x v="0"/>
    <x v="1"/>
    <x v="10"/>
    <x v="3"/>
    <x v="7"/>
    <d v="2024-03-29T00:00:00"/>
    <x v="28"/>
    <x v="0"/>
    <x v="0"/>
    <x v="0"/>
    <x v="1"/>
    <x v="1"/>
    <x v="1"/>
  </r>
  <r>
    <d v="2024-03-30T00:00:00"/>
    <x v="1"/>
    <x v="0"/>
    <x v="69"/>
    <x v="0"/>
    <x v="0"/>
    <d v="2024-03-30T00:00:00"/>
    <x v="29"/>
    <x v="1"/>
    <x v="0"/>
    <x v="0"/>
    <x v="1"/>
    <x v="1"/>
    <x v="1"/>
  </r>
  <r>
    <d v="2024-03-30T00:00:00"/>
    <x v="1"/>
    <x v="1"/>
    <x v="10"/>
    <x v="3"/>
    <x v="7"/>
    <d v="2024-03-30T00:00:00"/>
    <x v="29"/>
    <x v="1"/>
    <x v="0"/>
    <x v="0"/>
    <x v="1"/>
    <x v="1"/>
    <x v="1"/>
  </r>
  <r>
    <d v="2024-03-30T00:00:00"/>
    <x v="1"/>
    <x v="0"/>
    <x v="17"/>
    <x v="0"/>
    <x v="0"/>
    <d v="2024-03-30T00:00:00"/>
    <x v="29"/>
    <x v="1"/>
    <x v="0"/>
    <x v="0"/>
    <x v="1"/>
    <x v="1"/>
    <x v="1"/>
  </r>
  <r>
    <d v="2024-03-30T00:00:00"/>
    <x v="1"/>
    <x v="0"/>
    <x v="8"/>
    <x v="0"/>
    <x v="0"/>
    <d v="2024-03-30T00:00:00"/>
    <x v="29"/>
    <x v="1"/>
    <x v="0"/>
    <x v="0"/>
    <x v="1"/>
    <x v="1"/>
    <x v="1"/>
  </r>
  <r>
    <d v="2024-03-30T00:00:00"/>
    <x v="1"/>
    <x v="0"/>
    <x v="8"/>
    <x v="2"/>
    <x v="3"/>
    <d v="2024-03-30T00:00:00"/>
    <x v="29"/>
    <x v="1"/>
    <x v="0"/>
    <x v="0"/>
    <x v="1"/>
    <x v="1"/>
    <x v="1"/>
  </r>
  <r>
    <d v="2024-03-31T00:00:00"/>
    <x v="2"/>
    <x v="0"/>
    <x v="89"/>
    <x v="0"/>
    <x v="7"/>
    <d v="2024-03-31T00:00:00"/>
    <x v="30"/>
    <x v="2"/>
    <x v="0"/>
    <x v="0"/>
    <x v="1"/>
    <x v="1"/>
    <x v="1"/>
  </r>
  <r>
    <d v="2024-03-31T00:00:00"/>
    <x v="2"/>
    <x v="1"/>
    <x v="10"/>
    <x v="6"/>
    <x v="2"/>
    <d v="2024-03-31T00:00:00"/>
    <x v="30"/>
    <x v="2"/>
    <x v="0"/>
    <x v="0"/>
    <x v="1"/>
    <x v="1"/>
    <x v="1"/>
  </r>
  <r>
    <d v="2024-04-01T00:00:00"/>
    <x v="3"/>
    <x v="0"/>
    <x v="3"/>
    <x v="1"/>
    <x v="2"/>
    <d v="2024-04-01T00:00:00"/>
    <x v="31"/>
    <x v="3"/>
    <x v="1"/>
    <x v="0"/>
    <x v="1"/>
    <x v="1"/>
    <x v="1"/>
  </r>
  <r>
    <d v="2024-04-01T00:00:00"/>
    <x v="3"/>
    <x v="0"/>
    <x v="3"/>
    <x v="2"/>
    <x v="3"/>
    <d v="2024-04-01T00:00:00"/>
    <x v="31"/>
    <x v="3"/>
    <x v="1"/>
    <x v="0"/>
    <x v="1"/>
    <x v="1"/>
    <x v="1"/>
  </r>
  <r>
    <d v="2024-04-01T00:00:00"/>
    <x v="3"/>
    <x v="0"/>
    <x v="3"/>
    <x v="2"/>
    <x v="3"/>
    <d v="2024-04-01T00:00:00"/>
    <x v="31"/>
    <x v="3"/>
    <x v="1"/>
    <x v="0"/>
    <x v="1"/>
    <x v="1"/>
    <x v="1"/>
  </r>
  <r>
    <d v="2024-04-01T00:00:00"/>
    <x v="3"/>
    <x v="0"/>
    <x v="8"/>
    <x v="2"/>
    <x v="3"/>
    <d v="2024-04-01T00:00:00"/>
    <x v="31"/>
    <x v="3"/>
    <x v="1"/>
    <x v="0"/>
    <x v="1"/>
    <x v="1"/>
    <x v="1"/>
  </r>
  <r>
    <d v="2024-04-01T00:00:00"/>
    <x v="3"/>
    <x v="1"/>
    <x v="10"/>
    <x v="3"/>
    <x v="7"/>
    <d v="2024-04-01T00:00:00"/>
    <x v="31"/>
    <x v="3"/>
    <x v="1"/>
    <x v="0"/>
    <x v="1"/>
    <x v="1"/>
    <x v="1"/>
  </r>
  <r>
    <d v="2024-04-01T00:00:00"/>
    <x v="3"/>
    <x v="0"/>
    <x v="24"/>
    <x v="2"/>
    <x v="3"/>
    <d v="2024-04-01T00:00:00"/>
    <x v="31"/>
    <x v="3"/>
    <x v="1"/>
    <x v="0"/>
    <x v="1"/>
    <x v="1"/>
    <x v="1"/>
  </r>
  <r>
    <d v="2024-04-01T00:00:00"/>
    <x v="3"/>
    <x v="0"/>
    <x v="90"/>
    <x v="0"/>
    <x v="1"/>
    <d v="2024-04-01T00:00:00"/>
    <x v="31"/>
    <x v="3"/>
    <x v="1"/>
    <x v="0"/>
    <x v="1"/>
    <x v="1"/>
    <x v="1"/>
  </r>
  <r>
    <d v="2024-04-02T00:00:00"/>
    <x v="4"/>
    <x v="0"/>
    <x v="0"/>
    <x v="0"/>
    <x v="0"/>
    <d v="2024-04-02T00:00:00"/>
    <x v="32"/>
    <x v="4"/>
    <x v="1"/>
    <x v="0"/>
    <x v="1"/>
    <x v="1"/>
    <x v="1"/>
  </r>
  <r>
    <d v="2024-04-02T00:00:00"/>
    <x v="4"/>
    <x v="0"/>
    <x v="2"/>
    <x v="1"/>
    <x v="2"/>
    <d v="2024-04-02T00:00:00"/>
    <x v="32"/>
    <x v="4"/>
    <x v="1"/>
    <x v="0"/>
    <x v="1"/>
    <x v="1"/>
    <x v="1"/>
  </r>
  <r>
    <d v="2024-04-02T00:00:00"/>
    <x v="4"/>
    <x v="0"/>
    <x v="2"/>
    <x v="1"/>
    <x v="5"/>
    <d v="2024-04-02T00:00:00"/>
    <x v="32"/>
    <x v="4"/>
    <x v="1"/>
    <x v="0"/>
    <x v="1"/>
    <x v="1"/>
    <x v="1"/>
  </r>
  <r>
    <d v="2024-04-02T00:00:00"/>
    <x v="4"/>
    <x v="1"/>
    <x v="10"/>
    <x v="3"/>
    <x v="7"/>
    <d v="2024-04-02T00:00:00"/>
    <x v="32"/>
    <x v="4"/>
    <x v="1"/>
    <x v="0"/>
    <x v="1"/>
    <x v="1"/>
    <x v="1"/>
  </r>
  <r>
    <d v="2024-04-03T00:00:00"/>
    <x v="5"/>
    <x v="0"/>
    <x v="2"/>
    <x v="1"/>
    <x v="5"/>
    <d v="2024-04-03T00:00:00"/>
    <x v="33"/>
    <x v="5"/>
    <x v="1"/>
    <x v="0"/>
    <x v="1"/>
    <x v="1"/>
    <x v="1"/>
  </r>
  <r>
    <d v="2024-04-03T00:00:00"/>
    <x v="5"/>
    <x v="0"/>
    <x v="2"/>
    <x v="1"/>
    <x v="2"/>
    <d v="2024-04-03T00:00:00"/>
    <x v="33"/>
    <x v="5"/>
    <x v="1"/>
    <x v="0"/>
    <x v="1"/>
    <x v="1"/>
    <x v="1"/>
  </r>
  <r>
    <d v="2024-04-03T00:00:00"/>
    <x v="5"/>
    <x v="0"/>
    <x v="12"/>
    <x v="0"/>
    <x v="7"/>
    <d v="2024-04-03T00:00:00"/>
    <x v="33"/>
    <x v="5"/>
    <x v="1"/>
    <x v="0"/>
    <x v="1"/>
    <x v="1"/>
    <x v="1"/>
  </r>
  <r>
    <d v="2024-04-03T00:00:00"/>
    <x v="5"/>
    <x v="1"/>
    <x v="10"/>
    <x v="6"/>
    <x v="5"/>
    <d v="2024-04-03T00:00:00"/>
    <x v="33"/>
    <x v="5"/>
    <x v="1"/>
    <x v="0"/>
    <x v="1"/>
    <x v="1"/>
    <x v="1"/>
  </r>
  <r>
    <d v="2024-04-04T00:00:00"/>
    <x v="6"/>
    <x v="0"/>
    <x v="91"/>
    <x v="0"/>
    <x v="0"/>
    <d v="2024-04-04T00:00:00"/>
    <x v="34"/>
    <x v="6"/>
    <x v="1"/>
    <x v="0"/>
    <x v="1"/>
    <x v="1"/>
    <x v="1"/>
  </r>
  <r>
    <d v="2024-04-04T00:00:00"/>
    <x v="6"/>
    <x v="0"/>
    <x v="92"/>
    <x v="0"/>
    <x v="0"/>
    <d v="2024-04-04T00:00:00"/>
    <x v="34"/>
    <x v="6"/>
    <x v="1"/>
    <x v="0"/>
    <x v="1"/>
    <x v="1"/>
    <x v="1"/>
  </r>
  <r>
    <d v="2024-04-04T00:00:00"/>
    <x v="6"/>
    <x v="0"/>
    <x v="93"/>
    <x v="0"/>
    <x v="7"/>
    <d v="2024-04-04T00:00:00"/>
    <x v="34"/>
    <x v="6"/>
    <x v="1"/>
    <x v="0"/>
    <x v="1"/>
    <x v="1"/>
    <x v="1"/>
  </r>
  <r>
    <d v="2024-04-04T00:00:00"/>
    <x v="6"/>
    <x v="0"/>
    <x v="94"/>
    <x v="1"/>
    <x v="5"/>
    <d v="2024-04-04T00:00:00"/>
    <x v="34"/>
    <x v="6"/>
    <x v="1"/>
    <x v="0"/>
    <x v="1"/>
    <x v="1"/>
    <x v="1"/>
  </r>
  <r>
    <d v="2024-04-04T00:00:00"/>
    <x v="6"/>
    <x v="1"/>
    <x v="10"/>
    <x v="3"/>
    <x v="0"/>
    <d v="2024-04-04T00:00:00"/>
    <x v="34"/>
    <x v="6"/>
    <x v="1"/>
    <x v="0"/>
    <x v="1"/>
    <x v="1"/>
    <x v="1"/>
  </r>
  <r>
    <d v="2024-04-05T00:00:00"/>
    <x v="0"/>
    <x v="0"/>
    <x v="95"/>
    <x v="1"/>
    <x v="2"/>
    <d v="2024-04-05T00:00:00"/>
    <x v="35"/>
    <x v="0"/>
    <x v="1"/>
    <x v="0"/>
    <x v="1"/>
    <x v="1"/>
    <x v="1"/>
  </r>
  <r>
    <d v="2024-04-05T00:00:00"/>
    <x v="0"/>
    <x v="0"/>
    <x v="12"/>
    <x v="1"/>
    <x v="2"/>
    <d v="2024-04-05T00:00:00"/>
    <x v="35"/>
    <x v="0"/>
    <x v="1"/>
    <x v="0"/>
    <x v="1"/>
    <x v="1"/>
    <x v="1"/>
  </r>
  <r>
    <d v="2024-04-05T00:00:00"/>
    <x v="0"/>
    <x v="0"/>
    <x v="96"/>
    <x v="1"/>
    <x v="5"/>
    <d v="2024-04-05T00:00:00"/>
    <x v="35"/>
    <x v="0"/>
    <x v="1"/>
    <x v="0"/>
    <x v="1"/>
    <x v="1"/>
    <x v="1"/>
  </r>
  <r>
    <d v="2024-04-05T00:00:00"/>
    <x v="0"/>
    <x v="0"/>
    <x v="97"/>
    <x v="2"/>
    <x v="3"/>
    <d v="2024-04-05T00:00:00"/>
    <x v="35"/>
    <x v="0"/>
    <x v="1"/>
    <x v="0"/>
    <x v="1"/>
    <x v="1"/>
    <x v="1"/>
  </r>
  <r>
    <d v="2024-04-05T00:00:00"/>
    <x v="0"/>
    <x v="0"/>
    <x v="98"/>
    <x v="0"/>
    <x v="0"/>
    <d v="2024-04-05T00:00:00"/>
    <x v="35"/>
    <x v="0"/>
    <x v="1"/>
    <x v="0"/>
    <x v="1"/>
    <x v="1"/>
    <x v="1"/>
  </r>
  <r>
    <d v="2024-04-05T00:00:00"/>
    <x v="0"/>
    <x v="0"/>
    <x v="98"/>
    <x v="1"/>
    <x v="5"/>
    <d v="2024-04-05T00:00:00"/>
    <x v="35"/>
    <x v="0"/>
    <x v="1"/>
    <x v="0"/>
    <x v="1"/>
    <x v="1"/>
    <x v="1"/>
  </r>
  <r>
    <d v="2024-04-05T00:00:00"/>
    <x v="0"/>
    <x v="1"/>
    <x v="10"/>
    <x v="3"/>
    <x v="0"/>
    <d v="2024-04-05T00:00:00"/>
    <x v="35"/>
    <x v="0"/>
    <x v="1"/>
    <x v="0"/>
    <x v="1"/>
    <x v="1"/>
    <x v="1"/>
  </r>
  <r>
    <d v="2024-04-05T00:00:00"/>
    <x v="0"/>
    <x v="1"/>
    <x v="10"/>
    <x v="3"/>
    <x v="7"/>
    <d v="2024-04-05T00:00:00"/>
    <x v="35"/>
    <x v="0"/>
    <x v="1"/>
    <x v="0"/>
    <x v="1"/>
    <x v="1"/>
    <x v="1"/>
  </r>
  <r>
    <d v="2024-04-05T00:00:00"/>
    <x v="0"/>
    <x v="1"/>
    <x v="10"/>
    <x v="6"/>
    <x v="2"/>
    <d v="2024-04-05T00:00:00"/>
    <x v="35"/>
    <x v="0"/>
    <x v="1"/>
    <x v="0"/>
    <x v="1"/>
    <x v="1"/>
    <x v="1"/>
  </r>
  <r>
    <d v="2024-04-05T00:00:00"/>
    <x v="0"/>
    <x v="1"/>
    <x v="10"/>
    <x v="3"/>
    <x v="4"/>
    <d v="2024-04-05T00:00:00"/>
    <x v="35"/>
    <x v="0"/>
    <x v="1"/>
    <x v="0"/>
    <x v="1"/>
    <x v="1"/>
    <x v="1"/>
  </r>
  <r>
    <d v="2024-04-05T00:00:00"/>
    <x v="0"/>
    <x v="0"/>
    <x v="2"/>
    <x v="4"/>
    <x v="6"/>
    <d v="2024-04-05T00:00:00"/>
    <x v="35"/>
    <x v="0"/>
    <x v="1"/>
    <x v="0"/>
    <x v="1"/>
    <x v="1"/>
    <x v="1"/>
  </r>
  <r>
    <d v="2024-04-06T00:00:00"/>
    <x v="1"/>
    <x v="0"/>
    <x v="99"/>
    <x v="2"/>
    <x v="3"/>
    <d v="2024-04-06T00:00:00"/>
    <x v="36"/>
    <x v="1"/>
    <x v="1"/>
    <x v="0"/>
    <x v="1"/>
    <x v="1"/>
    <x v="1"/>
  </r>
  <r>
    <d v="2024-04-06T00:00:00"/>
    <x v="1"/>
    <x v="0"/>
    <x v="40"/>
    <x v="0"/>
    <x v="7"/>
    <d v="2024-04-06T00:00:00"/>
    <x v="36"/>
    <x v="1"/>
    <x v="1"/>
    <x v="0"/>
    <x v="1"/>
    <x v="1"/>
    <x v="1"/>
  </r>
  <r>
    <d v="2024-04-06T00:00:00"/>
    <x v="1"/>
    <x v="0"/>
    <x v="40"/>
    <x v="1"/>
    <x v="2"/>
    <d v="2024-04-06T00:00:00"/>
    <x v="36"/>
    <x v="1"/>
    <x v="1"/>
    <x v="0"/>
    <x v="1"/>
    <x v="1"/>
    <x v="1"/>
  </r>
  <r>
    <d v="2024-04-06T00:00:00"/>
    <x v="1"/>
    <x v="0"/>
    <x v="8"/>
    <x v="0"/>
    <x v="0"/>
    <d v="2024-04-06T00:00:00"/>
    <x v="36"/>
    <x v="1"/>
    <x v="1"/>
    <x v="0"/>
    <x v="1"/>
    <x v="1"/>
    <x v="1"/>
  </r>
  <r>
    <d v="2024-04-07T00:00:00"/>
    <x v="2"/>
    <x v="0"/>
    <x v="91"/>
    <x v="0"/>
    <x v="0"/>
    <d v="2024-04-07T00:00:00"/>
    <x v="37"/>
    <x v="2"/>
    <x v="1"/>
    <x v="0"/>
    <x v="1"/>
    <x v="1"/>
    <x v="1"/>
  </r>
  <r>
    <d v="2024-04-07T00:00:00"/>
    <x v="2"/>
    <x v="0"/>
    <x v="40"/>
    <x v="0"/>
    <x v="7"/>
    <d v="2024-04-07T00:00:00"/>
    <x v="37"/>
    <x v="2"/>
    <x v="1"/>
    <x v="0"/>
    <x v="1"/>
    <x v="1"/>
    <x v="1"/>
  </r>
  <r>
    <d v="2024-04-07T00:00:00"/>
    <x v="2"/>
    <x v="0"/>
    <x v="40"/>
    <x v="0"/>
    <x v="7"/>
    <d v="2024-04-07T00:00:00"/>
    <x v="37"/>
    <x v="2"/>
    <x v="1"/>
    <x v="0"/>
    <x v="1"/>
    <x v="1"/>
    <x v="1"/>
  </r>
  <r>
    <d v="2024-04-07T00:00:00"/>
    <x v="2"/>
    <x v="0"/>
    <x v="100"/>
    <x v="1"/>
    <x v="5"/>
    <d v="2024-04-07T00:00:00"/>
    <x v="37"/>
    <x v="2"/>
    <x v="1"/>
    <x v="0"/>
    <x v="1"/>
    <x v="1"/>
    <x v="1"/>
  </r>
  <r>
    <d v="2024-04-07T00:00:00"/>
    <x v="2"/>
    <x v="0"/>
    <x v="100"/>
    <x v="4"/>
    <x v="6"/>
    <d v="2024-04-07T00:00:00"/>
    <x v="37"/>
    <x v="2"/>
    <x v="1"/>
    <x v="0"/>
    <x v="1"/>
    <x v="1"/>
    <x v="1"/>
  </r>
  <r>
    <d v="2024-04-07T00:00:00"/>
    <x v="2"/>
    <x v="0"/>
    <x v="101"/>
    <x v="0"/>
    <x v="1"/>
    <d v="2024-04-07T00:00:00"/>
    <x v="37"/>
    <x v="2"/>
    <x v="1"/>
    <x v="0"/>
    <x v="1"/>
    <x v="1"/>
    <x v="1"/>
  </r>
  <r>
    <d v="2024-04-07T00:00:00"/>
    <x v="2"/>
    <x v="0"/>
    <x v="101"/>
    <x v="2"/>
    <x v="3"/>
    <d v="2024-04-07T00:00:00"/>
    <x v="37"/>
    <x v="2"/>
    <x v="1"/>
    <x v="0"/>
    <x v="1"/>
    <x v="1"/>
    <x v="1"/>
  </r>
  <r>
    <d v="2024-04-08T00:00:00"/>
    <x v="3"/>
    <x v="0"/>
    <x v="102"/>
    <x v="2"/>
    <x v="3"/>
    <d v="2024-04-08T00:00:00"/>
    <x v="38"/>
    <x v="3"/>
    <x v="1"/>
    <x v="0"/>
    <x v="1"/>
    <x v="1"/>
    <x v="1"/>
  </r>
  <r>
    <d v="2024-04-08T00:00:00"/>
    <x v="3"/>
    <x v="0"/>
    <x v="103"/>
    <x v="0"/>
    <x v="7"/>
    <d v="2024-04-08T00:00:00"/>
    <x v="38"/>
    <x v="3"/>
    <x v="1"/>
    <x v="0"/>
    <x v="1"/>
    <x v="1"/>
    <x v="1"/>
  </r>
  <r>
    <d v="2024-04-08T00:00:00"/>
    <x v="3"/>
    <x v="0"/>
    <x v="12"/>
    <x v="1"/>
    <x v="2"/>
    <d v="2024-04-08T00:00:00"/>
    <x v="38"/>
    <x v="3"/>
    <x v="1"/>
    <x v="0"/>
    <x v="1"/>
    <x v="1"/>
    <x v="1"/>
  </r>
  <r>
    <d v="2024-04-08T00:00:00"/>
    <x v="3"/>
    <x v="0"/>
    <x v="104"/>
    <x v="0"/>
    <x v="7"/>
    <d v="2024-04-08T00:00:00"/>
    <x v="38"/>
    <x v="3"/>
    <x v="1"/>
    <x v="0"/>
    <x v="1"/>
    <x v="1"/>
    <x v="1"/>
  </r>
  <r>
    <d v="2024-04-08T00:00:00"/>
    <x v="3"/>
    <x v="1"/>
    <x v="10"/>
    <x v="7"/>
    <x v="6"/>
    <d v="2024-04-08T00:00:00"/>
    <x v="38"/>
    <x v="3"/>
    <x v="1"/>
    <x v="0"/>
    <x v="1"/>
    <x v="1"/>
    <x v="1"/>
  </r>
  <r>
    <d v="2024-04-08T00:00:00"/>
    <x v="3"/>
    <x v="1"/>
    <x v="10"/>
    <x v="5"/>
    <x v="3"/>
    <d v="2024-04-08T00:00:00"/>
    <x v="38"/>
    <x v="3"/>
    <x v="1"/>
    <x v="0"/>
    <x v="1"/>
    <x v="1"/>
    <x v="1"/>
  </r>
  <r>
    <d v="2024-04-08T00:00:00"/>
    <x v="3"/>
    <x v="0"/>
    <x v="17"/>
    <x v="0"/>
    <x v="0"/>
    <d v="2024-04-08T00:00:00"/>
    <x v="38"/>
    <x v="3"/>
    <x v="1"/>
    <x v="0"/>
    <x v="1"/>
    <x v="1"/>
    <x v="1"/>
  </r>
  <r>
    <d v="2024-04-08T00:00:00"/>
    <x v="3"/>
    <x v="0"/>
    <x v="105"/>
    <x v="1"/>
    <x v="2"/>
    <d v="2024-04-08T00:00:00"/>
    <x v="38"/>
    <x v="3"/>
    <x v="1"/>
    <x v="0"/>
    <x v="1"/>
    <x v="1"/>
    <x v="1"/>
  </r>
  <r>
    <d v="2024-04-08T00:00:00"/>
    <x v="3"/>
    <x v="0"/>
    <x v="24"/>
    <x v="2"/>
    <x v="3"/>
    <d v="2024-04-08T00:00:00"/>
    <x v="38"/>
    <x v="3"/>
    <x v="1"/>
    <x v="0"/>
    <x v="1"/>
    <x v="1"/>
    <x v="1"/>
  </r>
  <r>
    <d v="2024-04-08T00:00:00"/>
    <x v="3"/>
    <x v="0"/>
    <x v="106"/>
    <x v="0"/>
    <x v="7"/>
    <d v="2024-04-08T00:00:00"/>
    <x v="38"/>
    <x v="3"/>
    <x v="1"/>
    <x v="0"/>
    <x v="1"/>
    <x v="1"/>
    <x v="1"/>
  </r>
  <r>
    <d v="2024-04-09T00:00:00"/>
    <x v="4"/>
    <x v="1"/>
    <x v="10"/>
    <x v="3"/>
    <x v="7"/>
    <d v="2024-04-09T00:00:00"/>
    <x v="39"/>
    <x v="4"/>
    <x v="1"/>
    <x v="0"/>
    <x v="1"/>
    <x v="1"/>
    <x v="1"/>
  </r>
  <r>
    <d v="2024-04-09T00:00:00"/>
    <x v="4"/>
    <x v="1"/>
    <x v="10"/>
    <x v="6"/>
    <x v="2"/>
    <d v="2024-04-09T00:00:00"/>
    <x v="39"/>
    <x v="4"/>
    <x v="1"/>
    <x v="0"/>
    <x v="1"/>
    <x v="1"/>
    <x v="1"/>
  </r>
  <r>
    <d v="2024-04-09T00:00:00"/>
    <x v="4"/>
    <x v="0"/>
    <x v="91"/>
    <x v="0"/>
    <x v="0"/>
    <d v="2024-04-09T00:00:00"/>
    <x v="39"/>
    <x v="4"/>
    <x v="1"/>
    <x v="0"/>
    <x v="1"/>
    <x v="1"/>
    <x v="1"/>
  </r>
  <r>
    <d v="2024-04-09T00:00:00"/>
    <x v="4"/>
    <x v="0"/>
    <x v="107"/>
    <x v="0"/>
    <x v="1"/>
    <d v="2024-04-09T00:00:00"/>
    <x v="39"/>
    <x v="4"/>
    <x v="1"/>
    <x v="0"/>
    <x v="1"/>
    <x v="1"/>
    <x v="1"/>
  </r>
  <r>
    <d v="2024-04-09T00:00:00"/>
    <x v="4"/>
    <x v="0"/>
    <x v="49"/>
    <x v="0"/>
    <x v="1"/>
    <d v="2024-04-09T00:00:00"/>
    <x v="39"/>
    <x v="4"/>
    <x v="1"/>
    <x v="0"/>
    <x v="1"/>
    <x v="1"/>
    <x v="1"/>
  </r>
  <r>
    <d v="2024-04-10T00:00:00"/>
    <x v="5"/>
    <x v="1"/>
    <x v="10"/>
    <x v="7"/>
    <x v="6"/>
    <d v="2024-04-10T00:00:00"/>
    <x v="40"/>
    <x v="5"/>
    <x v="1"/>
    <x v="0"/>
    <x v="1"/>
    <x v="1"/>
    <x v="1"/>
  </r>
  <r>
    <d v="2024-04-10T00:00:00"/>
    <x v="5"/>
    <x v="1"/>
    <x v="10"/>
    <x v="3"/>
    <x v="1"/>
    <d v="2024-04-10T00:00:00"/>
    <x v="40"/>
    <x v="5"/>
    <x v="1"/>
    <x v="0"/>
    <x v="1"/>
    <x v="1"/>
    <x v="1"/>
  </r>
  <r>
    <d v="2024-04-10T00:00:00"/>
    <x v="5"/>
    <x v="0"/>
    <x v="108"/>
    <x v="4"/>
    <x v="6"/>
    <d v="2024-04-10T00:00:00"/>
    <x v="40"/>
    <x v="5"/>
    <x v="1"/>
    <x v="0"/>
    <x v="1"/>
    <x v="1"/>
    <x v="1"/>
  </r>
  <r>
    <d v="2024-04-10T00:00:00"/>
    <x v="5"/>
    <x v="0"/>
    <x v="8"/>
    <x v="0"/>
    <x v="7"/>
    <d v="2024-04-10T00:00:00"/>
    <x v="40"/>
    <x v="5"/>
    <x v="1"/>
    <x v="0"/>
    <x v="1"/>
    <x v="1"/>
    <x v="1"/>
  </r>
  <r>
    <d v="2024-04-10T00:00:00"/>
    <x v="5"/>
    <x v="0"/>
    <x v="109"/>
    <x v="0"/>
    <x v="0"/>
    <d v="2024-04-10T00:00:00"/>
    <x v="40"/>
    <x v="5"/>
    <x v="1"/>
    <x v="0"/>
    <x v="1"/>
    <x v="1"/>
    <x v="1"/>
  </r>
  <r>
    <d v="2024-04-11T00:00:00"/>
    <x v="6"/>
    <x v="0"/>
    <x v="110"/>
    <x v="1"/>
    <x v="2"/>
    <d v="2024-04-11T00:00:00"/>
    <x v="41"/>
    <x v="6"/>
    <x v="1"/>
    <x v="0"/>
    <x v="1"/>
    <x v="1"/>
    <x v="1"/>
  </r>
  <r>
    <d v="2024-04-11T00:00:00"/>
    <x v="6"/>
    <x v="0"/>
    <x v="110"/>
    <x v="1"/>
    <x v="2"/>
    <d v="2024-04-11T00:00:00"/>
    <x v="41"/>
    <x v="6"/>
    <x v="1"/>
    <x v="0"/>
    <x v="1"/>
    <x v="1"/>
    <x v="1"/>
  </r>
  <r>
    <d v="2024-04-11T00:00:00"/>
    <x v="6"/>
    <x v="0"/>
    <x v="17"/>
    <x v="0"/>
    <x v="0"/>
    <d v="2024-04-11T00:00:00"/>
    <x v="41"/>
    <x v="6"/>
    <x v="1"/>
    <x v="0"/>
    <x v="1"/>
    <x v="1"/>
    <x v="1"/>
  </r>
  <r>
    <d v="2024-04-11T00:00:00"/>
    <x v="6"/>
    <x v="0"/>
    <x v="106"/>
    <x v="0"/>
    <x v="7"/>
    <d v="2024-04-11T00:00:00"/>
    <x v="41"/>
    <x v="6"/>
    <x v="1"/>
    <x v="0"/>
    <x v="1"/>
    <x v="1"/>
    <x v="1"/>
  </r>
  <r>
    <d v="2024-04-11T00:00:00"/>
    <x v="6"/>
    <x v="0"/>
    <x v="24"/>
    <x v="2"/>
    <x v="3"/>
    <d v="2024-04-11T00:00:00"/>
    <x v="41"/>
    <x v="6"/>
    <x v="1"/>
    <x v="0"/>
    <x v="1"/>
    <x v="1"/>
    <x v="1"/>
  </r>
  <r>
    <d v="2024-04-12T00:00:00"/>
    <x v="0"/>
    <x v="0"/>
    <x v="19"/>
    <x v="0"/>
    <x v="1"/>
    <d v="2024-04-12T00:00:00"/>
    <x v="42"/>
    <x v="0"/>
    <x v="1"/>
    <x v="0"/>
    <x v="1"/>
    <x v="1"/>
    <x v="1"/>
  </r>
  <r>
    <d v="2024-04-12T00:00:00"/>
    <x v="0"/>
    <x v="0"/>
    <x v="8"/>
    <x v="1"/>
    <x v="5"/>
    <d v="2024-04-12T00:00:00"/>
    <x v="42"/>
    <x v="0"/>
    <x v="1"/>
    <x v="0"/>
    <x v="1"/>
    <x v="1"/>
    <x v="1"/>
  </r>
  <r>
    <d v="2024-04-13T00:00:00"/>
    <x v="1"/>
    <x v="0"/>
    <x v="8"/>
    <x v="0"/>
    <x v="0"/>
    <d v="2024-04-13T00:00:00"/>
    <x v="43"/>
    <x v="1"/>
    <x v="1"/>
    <x v="0"/>
    <x v="1"/>
    <x v="1"/>
    <x v="1"/>
  </r>
  <r>
    <d v="2024-04-13T00:00:00"/>
    <x v="1"/>
    <x v="0"/>
    <x v="12"/>
    <x v="1"/>
    <x v="2"/>
    <d v="2024-04-13T00:00:00"/>
    <x v="43"/>
    <x v="1"/>
    <x v="1"/>
    <x v="0"/>
    <x v="1"/>
    <x v="1"/>
    <x v="1"/>
  </r>
  <r>
    <d v="2024-04-13T00:00:00"/>
    <x v="1"/>
    <x v="1"/>
    <x v="10"/>
    <x v="3"/>
    <x v="1"/>
    <d v="2024-04-13T00:00:00"/>
    <x v="43"/>
    <x v="1"/>
    <x v="1"/>
    <x v="0"/>
    <x v="1"/>
    <x v="1"/>
    <x v="1"/>
  </r>
  <r>
    <d v="2024-04-13T00:00:00"/>
    <x v="1"/>
    <x v="1"/>
    <x v="10"/>
    <x v="3"/>
    <x v="1"/>
    <d v="2024-04-13T00:00:00"/>
    <x v="43"/>
    <x v="1"/>
    <x v="1"/>
    <x v="0"/>
    <x v="1"/>
    <x v="1"/>
    <x v="1"/>
  </r>
  <r>
    <d v="2024-04-13T00:00:00"/>
    <x v="1"/>
    <x v="0"/>
    <x v="111"/>
    <x v="0"/>
    <x v="7"/>
    <d v="2024-04-13T00:00:00"/>
    <x v="43"/>
    <x v="1"/>
    <x v="1"/>
    <x v="0"/>
    <x v="1"/>
    <x v="1"/>
    <x v="1"/>
  </r>
  <r>
    <d v="2024-04-13T00:00:00"/>
    <x v="1"/>
    <x v="0"/>
    <x v="111"/>
    <x v="0"/>
    <x v="0"/>
    <d v="2024-04-13T00:00:00"/>
    <x v="43"/>
    <x v="1"/>
    <x v="1"/>
    <x v="0"/>
    <x v="1"/>
    <x v="1"/>
    <x v="1"/>
  </r>
  <r>
    <d v="2024-04-13T00:00:00"/>
    <x v="1"/>
    <x v="0"/>
    <x v="112"/>
    <x v="0"/>
    <x v="7"/>
    <d v="2024-04-13T00:00:00"/>
    <x v="43"/>
    <x v="1"/>
    <x v="1"/>
    <x v="0"/>
    <x v="1"/>
    <x v="1"/>
    <x v="1"/>
  </r>
  <r>
    <d v="2024-04-13T00:00:00"/>
    <x v="1"/>
    <x v="0"/>
    <x v="12"/>
    <x v="0"/>
    <x v="7"/>
    <d v="2024-04-13T00:00:00"/>
    <x v="43"/>
    <x v="1"/>
    <x v="1"/>
    <x v="0"/>
    <x v="1"/>
    <x v="1"/>
    <x v="1"/>
  </r>
  <r>
    <d v="2024-04-14T00:00:00"/>
    <x v="2"/>
    <x v="1"/>
    <x v="10"/>
    <x v="3"/>
    <x v="0"/>
    <d v="2024-04-14T00:00:00"/>
    <x v="44"/>
    <x v="2"/>
    <x v="1"/>
    <x v="0"/>
    <x v="1"/>
    <x v="1"/>
    <x v="1"/>
  </r>
  <r>
    <d v="2024-04-14T00:00:00"/>
    <x v="2"/>
    <x v="0"/>
    <x v="113"/>
    <x v="0"/>
    <x v="7"/>
    <d v="2024-04-14T00:00:00"/>
    <x v="44"/>
    <x v="2"/>
    <x v="1"/>
    <x v="0"/>
    <x v="1"/>
    <x v="1"/>
    <x v="1"/>
  </r>
  <r>
    <d v="2024-04-14T00:00:00"/>
    <x v="2"/>
    <x v="1"/>
    <x v="10"/>
    <x v="6"/>
    <x v="5"/>
    <d v="2024-04-14T00:00:00"/>
    <x v="44"/>
    <x v="2"/>
    <x v="1"/>
    <x v="0"/>
    <x v="1"/>
    <x v="1"/>
    <x v="1"/>
  </r>
  <r>
    <d v="2024-04-14T00:00:00"/>
    <x v="2"/>
    <x v="1"/>
    <x v="10"/>
    <x v="6"/>
    <x v="5"/>
    <d v="2024-04-14T00:00:00"/>
    <x v="44"/>
    <x v="2"/>
    <x v="1"/>
    <x v="0"/>
    <x v="1"/>
    <x v="1"/>
    <x v="1"/>
  </r>
  <r>
    <d v="2024-04-14T00:00:00"/>
    <x v="2"/>
    <x v="1"/>
    <x v="10"/>
    <x v="5"/>
    <x v="3"/>
    <d v="2024-04-14T00:00:00"/>
    <x v="44"/>
    <x v="2"/>
    <x v="1"/>
    <x v="0"/>
    <x v="1"/>
    <x v="1"/>
    <x v="1"/>
  </r>
  <r>
    <d v="2024-04-14T00:00:00"/>
    <x v="2"/>
    <x v="0"/>
    <x v="114"/>
    <x v="1"/>
    <x v="5"/>
    <d v="2024-04-14T00:00:00"/>
    <x v="44"/>
    <x v="2"/>
    <x v="1"/>
    <x v="0"/>
    <x v="1"/>
    <x v="1"/>
    <x v="1"/>
  </r>
  <r>
    <d v="2024-04-14T00:00:00"/>
    <x v="2"/>
    <x v="0"/>
    <x v="12"/>
    <x v="1"/>
    <x v="2"/>
    <d v="2024-04-14T00:00:00"/>
    <x v="44"/>
    <x v="2"/>
    <x v="1"/>
    <x v="0"/>
    <x v="1"/>
    <x v="1"/>
    <x v="1"/>
  </r>
  <r>
    <d v="2024-04-14T00:00:00"/>
    <x v="2"/>
    <x v="0"/>
    <x v="12"/>
    <x v="1"/>
    <x v="2"/>
    <d v="2024-04-14T00:00:00"/>
    <x v="44"/>
    <x v="2"/>
    <x v="1"/>
    <x v="0"/>
    <x v="1"/>
    <x v="1"/>
    <x v="1"/>
  </r>
  <r>
    <d v="2024-04-14T00:00:00"/>
    <x v="2"/>
    <x v="0"/>
    <x v="12"/>
    <x v="1"/>
    <x v="2"/>
    <d v="2024-04-14T00:00:00"/>
    <x v="44"/>
    <x v="2"/>
    <x v="1"/>
    <x v="0"/>
    <x v="1"/>
    <x v="1"/>
    <x v="1"/>
  </r>
  <r>
    <d v="2024-04-14T00:00:00"/>
    <x v="2"/>
    <x v="0"/>
    <x v="17"/>
    <x v="0"/>
    <x v="7"/>
    <d v="2024-04-14T00:00:00"/>
    <x v="44"/>
    <x v="2"/>
    <x v="1"/>
    <x v="0"/>
    <x v="1"/>
    <x v="1"/>
    <x v="1"/>
  </r>
  <r>
    <d v="2024-04-14T00:00:00"/>
    <x v="2"/>
    <x v="0"/>
    <x v="12"/>
    <x v="1"/>
    <x v="5"/>
    <d v="2024-04-14T00:00:00"/>
    <x v="44"/>
    <x v="2"/>
    <x v="1"/>
    <x v="0"/>
    <x v="1"/>
    <x v="1"/>
    <x v="1"/>
  </r>
  <r>
    <d v="2024-04-14T00:00:00"/>
    <x v="2"/>
    <x v="0"/>
    <x v="19"/>
    <x v="0"/>
    <x v="0"/>
    <d v="2024-04-14T00:00:00"/>
    <x v="44"/>
    <x v="2"/>
    <x v="1"/>
    <x v="0"/>
    <x v="1"/>
    <x v="1"/>
    <x v="1"/>
  </r>
  <r>
    <d v="2024-04-14T00:00:00"/>
    <x v="2"/>
    <x v="0"/>
    <x v="115"/>
    <x v="0"/>
    <x v="7"/>
    <d v="2024-04-14T00:00:00"/>
    <x v="44"/>
    <x v="2"/>
    <x v="1"/>
    <x v="0"/>
    <x v="1"/>
    <x v="1"/>
    <x v="1"/>
  </r>
  <r>
    <d v="2024-04-15T00:00:00"/>
    <x v="3"/>
    <x v="0"/>
    <x v="64"/>
    <x v="1"/>
    <x v="2"/>
    <d v="2024-04-15T00:00:00"/>
    <x v="45"/>
    <x v="3"/>
    <x v="1"/>
    <x v="0"/>
    <x v="1"/>
    <x v="1"/>
    <x v="1"/>
  </r>
  <r>
    <d v="2024-04-15T00:00:00"/>
    <x v="3"/>
    <x v="0"/>
    <x v="2"/>
    <x v="1"/>
    <x v="2"/>
    <d v="2024-04-15T00:00:00"/>
    <x v="45"/>
    <x v="3"/>
    <x v="1"/>
    <x v="0"/>
    <x v="1"/>
    <x v="1"/>
    <x v="1"/>
  </r>
  <r>
    <d v="2024-04-15T00:00:00"/>
    <x v="3"/>
    <x v="0"/>
    <x v="3"/>
    <x v="2"/>
    <x v="3"/>
    <d v="2024-04-15T00:00:00"/>
    <x v="45"/>
    <x v="3"/>
    <x v="1"/>
    <x v="0"/>
    <x v="1"/>
    <x v="1"/>
    <x v="1"/>
  </r>
  <r>
    <d v="2024-04-15T00:00:00"/>
    <x v="3"/>
    <x v="0"/>
    <x v="8"/>
    <x v="2"/>
    <x v="3"/>
    <d v="2024-04-15T00:00:00"/>
    <x v="45"/>
    <x v="3"/>
    <x v="1"/>
    <x v="0"/>
    <x v="1"/>
    <x v="1"/>
    <x v="1"/>
  </r>
  <r>
    <d v="2024-04-15T00:00:00"/>
    <x v="3"/>
    <x v="1"/>
    <x v="10"/>
    <x v="7"/>
    <x v="6"/>
    <d v="2024-04-15T00:00:00"/>
    <x v="45"/>
    <x v="3"/>
    <x v="1"/>
    <x v="0"/>
    <x v="1"/>
    <x v="1"/>
    <x v="1"/>
  </r>
  <r>
    <d v="2024-04-16T00:00:00"/>
    <x v="4"/>
    <x v="1"/>
    <x v="10"/>
    <x v="5"/>
    <x v="3"/>
    <d v="2024-04-16T00:00:00"/>
    <x v="46"/>
    <x v="4"/>
    <x v="1"/>
    <x v="0"/>
    <x v="1"/>
    <x v="1"/>
    <x v="1"/>
  </r>
  <r>
    <d v="2024-04-16T00:00:00"/>
    <x v="4"/>
    <x v="0"/>
    <x v="116"/>
    <x v="2"/>
    <x v="3"/>
    <d v="2024-04-16T00:00:00"/>
    <x v="46"/>
    <x v="4"/>
    <x v="1"/>
    <x v="0"/>
    <x v="1"/>
    <x v="1"/>
    <x v="1"/>
  </r>
  <r>
    <d v="2024-04-16T00:00:00"/>
    <x v="4"/>
    <x v="0"/>
    <x v="117"/>
    <x v="0"/>
    <x v="4"/>
    <d v="2024-04-16T00:00:00"/>
    <x v="46"/>
    <x v="4"/>
    <x v="1"/>
    <x v="0"/>
    <x v="1"/>
    <x v="1"/>
    <x v="1"/>
  </r>
  <r>
    <d v="2024-04-16T00:00:00"/>
    <x v="4"/>
    <x v="0"/>
    <x v="64"/>
    <x v="1"/>
    <x v="5"/>
    <d v="2024-04-16T00:00:00"/>
    <x v="46"/>
    <x v="4"/>
    <x v="1"/>
    <x v="0"/>
    <x v="1"/>
    <x v="1"/>
    <x v="1"/>
  </r>
  <r>
    <d v="2024-04-16T00:00:00"/>
    <x v="4"/>
    <x v="0"/>
    <x v="118"/>
    <x v="1"/>
    <x v="2"/>
    <d v="2024-04-16T00:00:00"/>
    <x v="46"/>
    <x v="4"/>
    <x v="1"/>
    <x v="0"/>
    <x v="1"/>
    <x v="1"/>
    <x v="1"/>
  </r>
  <r>
    <d v="2024-04-16T00:00:00"/>
    <x v="4"/>
    <x v="0"/>
    <x v="24"/>
    <x v="2"/>
    <x v="3"/>
    <d v="2024-04-16T00:00:00"/>
    <x v="46"/>
    <x v="4"/>
    <x v="1"/>
    <x v="0"/>
    <x v="1"/>
    <x v="1"/>
    <x v="1"/>
  </r>
  <r>
    <d v="2024-04-16T00:00:00"/>
    <x v="4"/>
    <x v="0"/>
    <x v="8"/>
    <x v="0"/>
    <x v="7"/>
    <d v="2024-04-16T00:00:00"/>
    <x v="46"/>
    <x v="4"/>
    <x v="1"/>
    <x v="0"/>
    <x v="1"/>
    <x v="1"/>
    <x v="1"/>
  </r>
  <r>
    <d v="2024-04-16T00:00:00"/>
    <x v="4"/>
    <x v="0"/>
    <x v="50"/>
    <x v="0"/>
    <x v="4"/>
    <d v="2024-04-16T00:00:00"/>
    <x v="46"/>
    <x v="4"/>
    <x v="1"/>
    <x v="0"/>
    <x v="1"/>
    <x v="1"/>
    <x v="1"/>
  </r>
  <r>
    <d v="2024-04-17T00:00:00"/>
    <x v="5"/>
    <x v="0"/>
    <x v="12"/>
    <x v="1"/>
    <x v="2"/>
    <d v="2024-04-17T00:00:00"/>
    <x v="47"/>
    <x v="5"/>
    <x v="1"/>
    <x v="0"/>
    <x v="1"/>
    <x v="1"/>
    <x v="1"/>
  </r>
  <r>
    <d v="2024-04-17T00:00:00"/>
    <x v="5"/>
    <x v="0"/>
    <x v="119"/>
    <x v="4"/>
    <x v="6"/>
    <d v="2024-04-17T00:00:00"/>
    <x v="47"/>
    <x v="5"/>
    <x v="1"/>
    <x v="0"/>
    <x v="1"/>
    <x v="1"/>
    <x v="1"/>
  </r>
  <r>
    <d v="2024-04-17T00:00:00"/>
    <x v="5"/>
    <x v="1"/>
    <x v="10"/>
    <x v="3"/>
    <x v="7"/>
    <d v="2024-04-17T00:00:00"/>
    <x v="47"/>
    <x v="5"/>
    <x v="1"/>
    <x v="0"/>
    <x v="1"/>
    <x v="1"/>
    <x v="1"/>
  </r>
  <r>
    <d v="2024-04-17T00:00:00"/>
    <x v="5"/>
    <x v="0"/>
    <x v="120"/>
    <x v="0"/>
    <x v="7"/>
    <d v="2024-04-17T00:00:00"/>
    <x v="47"/>
    <x v="5"/>
    <x v="1"/>
    <x v="0"/>
    <x v="1"/>
    <x v="1"/>
    <x v="1"/>
  </r>
  <r>
    <d v="2024-04-17T00:00:00"/>
    <x v="5"/>
    <x v="0"/>
    <x v="120"/>
    <x v="0"/>
    <x v="7"/>
    <d v="2024-04-17T00:00:00"/>
    <x v="47"/>
    <x v="5"/>
    <x v="1"/>
    <x v="0"/>
    <x v="1"/>
    <x v="1"/>
    <x v="1"/>
  </r>
  <r>
    <d v="2024-04-17T00:00:00"/>
    <x v="5"/>
    <x v="0"/>
    <x v="121"/>
    <x v="1"/>
    <x v="5"/>
    <d v="2024-04-17T00:00:00"/>
    <x v="47"/>
    <x v="5"/>
    <x v="1"/>
    <x v="0"/>
    <x v="1"/>
    <x v="1"/>
    <x v="1"/>
  </r>
  <r>
    <d v="2024-04-18T00:00:00"/>
    <x v="6"/>
    <x v="0"/>
    <x v="2"/>
    <x v="1"/>
    <x v="2"/>
    <d v="2024-04-18T00:00:00"/>
    <x v="48"/>
    <x v="6"/>
    <x v="1"/>
    <x v="0"/>
    <x v="1"/>
    <x v="1"/>
    <x v="1"/>
  </r>
  <r>
    <d v="2024-04-18T00:00:00"/>
    <x v="6"/>
    <x v="0"/>
    <x v="2"/>
    <x v="1"/>
    <x v="2"/>
    <d v="2024-04-18T00:00:00"/>
    <x v="48"/>
    <x v="6"/>
    <x v="1"/>
    <x v="0"/>
    <x v="1"/>
    <x v="1"/>
    <x v="1"/>
  </r>
  <r>
    <d v="2024-04-18T00:00:00"/>
    <x v="6"/>
    <x v="0"/>
    <x v="122"/>
    <x v="2"/>
    <x v="3"/>
    <d v="2024-04-18T00:00:00"/>
    <x v="48"/>
    <x v="6"/>
    <x v="1"/>
    <x v="0"/>
    <x v="1"/>
    <x v="1"/>
    <x v="1"/>
  </r>
  <r>
    <d v="2024-04-18T00:00:00"/>
    <x v="6"/>
    <x v="0"/>
    <x v="122"/>
    <x v="1"/>
    <x v="5"/>
    <d v="2024-04-18T00:00:00"/>
    <x v="48"/>
    <x v="6"/>
    <x v="1"/>
    <x v="0"/>
    <x v="1"/>
    <x v="1"/>
    <x v="1"/>
  </r>
  <r>
    <d v="2024-04-18T00:00:00"/>
    <x v="6"/>
    <x v="0"/>
    <x v="123"/>
    <x v="0"/>
    <x v="7"/>
    <d v="2024-04-18T00:00:00"/>
    <x v="48"/>
    <x v="6"/>
    <x v="1"/>
    <x v="0"/>
    <x v="1"/>
    <x v="1"/>
    <x v="1"/>
  </r>
  <r>
    <d v="2024-04-18T00:00:00"/>
    <x v="6"/>
    <x v="0"/>
    <x v="123"/>
    <x v="0"/>
    <x v="0"/>
    <d v="2024-04-18T00:00:00"/>
    <x v="48"/>
    <x v="6"/>
    <x v="1"/>
    <x v="0"/>
    <x v="1"/>
    <x v="1"/>
    <x v="1"/>
  </r>
  <r>
    <d v="2024-04-18T00:00:00"/>
    <x v="6"/>
    <x v="0"/>
    <x v="69"/>
    <x v="0"/>
    <x v="0"/>
    <d v="2024-04-18T00:00:00"/>
    <x v="48"/>
    <x v="6"/>
    <x v="1"/>
    <x v="0"/>
    <x v="1"/>
    <x v="1"/>
    <x v="1"/>
  </r>
  <r>
    <d v="2024-04-18T00:00:00"/>
    <x v="6"/>
    <x v="0"/>
    <x v="85"/>
    <x v="0"/>
    <x v="7"/>
    <d v="2024-04-18T00:00:00"/>
    <x v="48"/>
    <x v="6"/>
    <x v="1"/>
    <x v="0"/>
    <x v="1"/>
    <x v="1"/>
    <x v="1"/>
  </r>
  <r>
    <d v="2024-04-18T00:00:00"/>
    <x v="6"/>
    <x v="0"/>
    <x v="24"/>
    <x v="0"/>
    <x v="1"/>
    <d v="2024-04-18T00:00:00"/>
    <x v="48"/>
    <x v="6"/>
    <x v="1"/>
    <x v="0"/>
    <x v="1"/>
    <x v="1"/>
    <x v="1"/>
  </r>
  <r>
    <d v="2024-04-18T00:00:00"/>
    <x v="6"/>
    <x v="0"/>
    <x v="8"/>
    <x v="0"/>
    <x v="1"/>
    <d v="2024-04-18T00:00:00"/>
    <x v="48"/>
    <x v="6"/>
    <x v="1"/>
    <x v="0"/>
    <x v="1"/>
    <x v="1"/>
    <x v="1"/>
  </r>
  <r>
    <d v="2024-04-19T00:00:00"/>
    <x v="0"/>
    <x v="0"/>
    <x v="0"/>
    <x v="0"/>
    <x v="0"/>
    <d v="2024-04-19T00:00:00"/>
    <x v="49"/>
    <x v="0"/>
    <x v="1"/>
    <x v="0"/>
    <x v="1"/>
    <x v="1"/>
    <x v="1"/>
  </r>
  <r>
    <d v="2024-04-19T00:00:00"/>
    <x v="0"/>
    <x v="0"/>
    <x v="40"/>
    <x v="2"/>
    <x v="3"/>
    <d v="2024-04-19T00:00:00"/>
    <x v="49"/>
    <x v="0"/>
    <x v="1"/>
    <x v="0"/>
    <x v="1"/>
    <x v="1"/>
    <x v="1"/>
  </r>
  <r>
    <d v="2024-04-19T00:00:00"/>
    <x v="0"/>
    <x v="0"/>
    <x v="40"/>
    <x v="0"/>
    <x v="7"/>
    <d v="2024-04-19T00:00:00"/>
    <x v="49"/>
    <x v="0"/>
    <x v="1"/>
    <x v="0"/>
    <x v="1"/>
    <x v="1"/>
    <x v="1"/>
  </r>
  <r>
    <d v="2024-04-19T00:00:00"/>
    <x v="0"/>
    <x v="0"/>
    <x v="124"/>
    <x v="0"/>
    <x v="1"/>
    <d v="2024-04-19T00:00:00"/>
    <x v="49"/>
    <x v="0"/>
    <x v="1"/>
    <x v="0"/>
    <x v="1"/>
    <x v="1"/>
    <x v="1"/>
  </r>
  <r>
    <d v="2024-04-19T00:00:00"/>
    <x v="0"/>
    <x v="0"/>
    <x v="124"/>
    <x v="0"/>
    <x v="7"/>
    <d v="2024-04-19T00:00:00"/>
    <x v="49"/>
    <x v="0"/>
    <x v="1"/>
    <x v="0"/>
    <x v="1"/>
    <x v="1"/>
    <x v="1"/>
  </r>
  <r>
    <d v="2024-04-19T00:00:00"/>
    <x v="0"/>
    <x v="0"/>
    <x v="24"/>
    <x v="0"/>
    <x v="4"/>
    <d v="2024-04-19T00:00:00"/>
    <x v="49"/>
    <x v="0"/>
    <x v="1"/>
    <x v="0"/>
    <x v="1"/>
    <x v="1"/>
    <x v="1"/>
  </r>
  <r>
    <d v="2024-04-19T00:00:00"/>
    <x v="0"/>
    <x v="0"/>
    <x v="8"/>
    <x v="2"/>
    <x v="3"/>
    <d v="2024-04-19T00:00:00"/>
    <x v="49"/>
    <x v="0"/>
    <x v="1"/>
    <x v="0"/>
    <x v="1"/>
    <x v="1"/>
    <x v="1"/>
  </r>
  <r>
    <d v="2024-04-20T00:00:00"/>
    <x v="1"/>
    <x v="1"/>
    <x v="10"/>
    <x v="5"/>
    <x v="3"/>
    <d v="2024-04-20T00:00:00"/>
    <x v="50"/>
    <x v="1"/>
    <x v="1"/>
    <x v="0"/>
    <x v="1"/>
    <x v="1"/>
    <x v="1"/>
  </r>
  <r>
    <d v="2024-04-20T00:00:00"/>
    <x v="1"/>
    <x v="0"/>
    <x v="125"/>
    <x v="2"/>
    <x v="3"/>
    <d v="2024-04-20T00:00:00"/>
    <x v="50"/>
    <x v="1"/>
    <x v="1"/>
    <x v="0"/>
    <x v="1"/>
    <x v="1"/>
    <x v="1"/>
  </r>
  <r>
    <d v="2024-04-20T00:00:00"/>
    <x v="1"/>
    <x v="0"/>
    <x v="125"/>
    <x v="2"/>
    <x v="3"/>
    <d v="2024-04-20T00:00:00"/>
    <x v="50"/>
    <x v="1"/>
    <x v="1"/>
    <x v="0"/>
    <x v="1"/>
    <x v="1"/>
    <x v="1"/>
  </r>
  <r>
    <d v="2024-04-20T00:00:00"/>
    <x v="1"/>
    <x v="0"/>
    <x v="118"/>
    <x v="1"/>
    <x v="2"/>
    <d v="2024-04-20T00:00:00"/>
    <x v="50"/>
    <x v="1"/>
    <x v="1"/>
    <x v="0"/>
    <x v="1"/>
    <x v="1"/>
    <x v="1"/>
  </r>
  <r>
    <d v="2024-04-20T00:00:00"/>
    <x v="1"/>
    <x v="0"/>
    <x v="118"/>
    <x v="2"/>
    <x v="3"/>
    <d v="2024-04-20T00:00:00"/>
    <x v="50"/>
    <x v="1"/>
    <x v="1"/>
    <x v="0"/>
    <x v="1"/>
    <x v="1"/>
    <x v="1"/>
  </r>
  <r>
    <d v="2024-04-20T00:00:00"/>
    <x v="1"/>
    <x v="0"/>
    <x v="118"/>
    <x v="0"/>
    <x v="1"/>
    <d v="2024-04-20T00:00:00"/>
    <x v="50"/>
    <x v="1"/>
    <x v="1"/>
    <x v="0"/>
    <x v="1"/>
    <x v="1"/>
    <x v="1"/>
  </r>
  <r>
    <d v="2024-04-20T00:00:00"/>
    <x v="1"/>
    <x v="0"/>
    <x v="40"/>
    <x v="0"/>
    <x v="7"/>
    <d v="2024-04-20T00:00:00"/>
    <x v="50"/>
    <x v="1"/>
    <x v="1"/>
    <x v="0"/>
    <x v="1"/>
    <x v="1"/>
    <x v="1"/>
  </r>
  <r>
    <d v="2024-04-20T00:00:00"/>
    <x v="1"/>
    <x v="0"/>
    <x v="8"/>
    <x v="2"/>
    <x v="3"/>
    <d v="2024-04-20T00:00:00"/>
    <x v="50"/>
    <x v="1"/>
    <x v="1"/>
    <x v="0"/>
    <x v="1"/>
    <x v="1"/>
    <x v="1"/>
  </r>
  <r>
    <d v="2024-04-20T00:00:00"/>
    <x v="1"/>
    <x v="0"/>
    <x v="12"/>
    <x v="8"/>
    <x v="3"/>
    <d v="2024-04-20T00:00:00"/>
    <x v="50"/>
    <x v="1"/>
    <x v="1"/>
    <x v="0"/>
    <x v="1"/>
    <x v="1"/>
    <x v="1"/>
  </r>
  <r>
    <d v="2024-04-20T00:00:00"/>
    <x v="1"/>
    <x v="0"/>
    <x v="126"/>
    <x v="8"/>
    <x v="3"/>
    <d v="2024-04-20T00:00:00"/>
    <x v="50"/>
    <x v="1"/>
    <x v="1"/>
    <x v="0"/>
    <x v="1"/>
    <x v="1"/>
    <x v="1"/>
  </r>
  <r>
    <d v="2024-04-20T00:00:00"/>
    <x v="1"/>
    <x v="1"/>
    <x v="10"/>
    <x v="9"/>
    <x v="4"/>
    <d v="2024-04-20T00:00:00"/>
    <x v="50"/>
    <x v="1"/>
    <x v="1"/>
    <x v="0"/>
    <x v="1"/>
    <x v="1"/>
    <x v="1"/>
  </r>
  <r>
    <d v="2024-04-20T00:00:00"/>
    <x v="1"/>
    <x v="0"/>
    <x v="127"/>
    <x v="10"/>
    <x v="7"/>
    <d v="2024-04-20T00:00:00"/>
    <x v="50"/>
    <x v="1"/>
    <x v="1"/>
    <x v="0"/>
    <x v="1"/>
    <x v="1"/>
    <x v="1"/>
  </r>
  <r>
    <d v="2024-04-20T00:00:00"/>
    <x v="1"/>
    <x v="0"/>
    <x v="127"/>
    <x v="10"/>
    <x v="7"/>
    <d v="2024-04-20T00:00:00"/>
    <x v="50"/>
    <x v="1"/>
    <x v="1"/>
    <x v="0"/>
    <x v="1"/>
    <x v="1"/>
    <x v="1"/>
  </r>
  <r>
    <d v="2024-04-20T00:00:00"/>
    <x v="1"/>
    <x v="0"/>
    <x v="128"/>
    <x v="10"/>
    <x v="0"/>
    <d v="2024-04-20T00:00:00"/>
    <x v="50"/>
    <x v="1"/>
    <x v="1"/>
    <x v="0"/>
    <x v="1"/>
    <x v="1"/>
    <x v="1"/>
  </r>
  <r>
    <d v="2024-04-21T00:00:00"/>
    <x v="2"/>
    <x v="0"/>
    <x v="0"/>
    <x v="10"/>
    <x v="0"/>
    <d v="2024-04-21T00:00:00"/>
    <x v="51"/>
    <x v="2"/>
    <x v="1"/>
    <x v="0"/>
    <x v="1"/>
    <x v="1"/>
    <x v="1"/>
  </r>
  <r>
    <d v="2024-04-21T00:00:00"/>
    <x v="2"/>
    <x v="0"/>
    <x v="99"/>
    <x v="11"/>
    <x v="2"/>
    <d v="2024-04-21T00:00:00"/>
    <x v="51"/>
    <x v="2"/>
    <x v="1"/>
    <x v="0"/>
    <x v="1"/>
    <x v="1"/>
    <x v="1"/>
  </r>
  <r>
    <d v="2024-04-21T00:00:00"/>
    <x v="2"/>
    <x v="1"/>
    <x v="10"/>
    <x v="9"/>
    <x v="7"/>
    <d v="2024-04-21T00:00:00"/>
    <x v="51"/>
    <x v="2"/>
    <x v="1"/>
    <x v="0"/>
    <x v="1"/>
    <x v="1"/>
    <x v="1"/>
  </r>
  <r>
    <d v="2024-04-22T00:00:00"/>
    <x v="3"/>
    <x v="0"/>
    <x v="12"/>
    <x v="11"/>
    <x v="2"/>
    <d v="2024-04-22T00:00:00"/>
    <x v="52"/>
    <x v="3"/>
    <x v="1"/>
    <x v="0"/>
    <x v="1"/>
    <x v="1"/>
    <x v="1"/>
  </r>
  <r>
    <d v="2024-04-22T00:00:00"/>
    <x v="3"/>
    <x v="0"/>
    <x v="129"/>
    <x v="8"/>
    <x v="3"/>
    <d v="2024-04-22T00:00:00"/>
    <x v="52"/>
    <x v="3"/>
    <x v="1"/>
    <x v="0"/>
    <x v="1"/>
    <x v="1"/>
    <x v="1"/>
  </r>
  <r>
    <d v="2024-04-22T00:00:00"/>
    <x v="3"/>
    <x v="1"/>
    <x v="10"/>
    <x v="9"/>
    <x v="0"/>
    <d v="2024-04-22T00:00:00"/>
    <x v="52"/>
    <x v="3"/>
    <x v="1"/>
    <x v="0"/>
    <x v="1"/>
    <x v="1"/>
    <x v="1"/>
  </r>
  <r>
    <d v="2024-04-22T00:00:00"/>
    <x v="3"/>
    <x v="0"/>
    <x v="8"/>
    <x v="10"/>
    <x v="0"/>
    <d v="2024-04-22T00:00:00"/>
    <x v="52"/>
    <x v="3"/>
    <x v="1"/>
    <x v="0"/>
    <x v="1"/>
    <x v="1"/>
    <x v="1"/>
  </r>
  <r>
    <d v="2024-04-22T00:00:00"/>
    <x v="3"/>
    <x v="1"/>
    <x v="10"/>
    <x v="9"/>
    <x v="7"/>
    <d v="2024-04-22T00:00:00"/>
    <x v="52"/>
    <x v="3"/>
    <x v="1"/>
    <x v="0"/>
    <x v="1"/>
    <x v="1"/>
    <x v="1"/>
  </r>
  <r>
    <d v="2024-04-23T00:00:00"/>
    <x v="4"/>
    <x v="0"/>
    <x v="25"/>
    <x v="10"/>
    <x v="7"/>
    <d v="2024-04-23T00:00:00"/>
    <x v="53"/>
    <x v="4"/>
    <x v="1"/>
    <x v="0"/>
    <x v="1"/>
    <x v="1"/>
    <x v="1"/>
  </r>
  <r>
    <d v="2024-04-23T00:00:00"/>
    <x v="4"/>
    <x v="0"/>
    <x v="24"/>
    <x v="8"/>
    <x v="3"/>
    <d v="2024-04-23T00:00:00"/>
    <x v="53"/>
    <x v="4"/>
    <x v="1"/>
    <x v="0"/>
    <x v="1"/>
    <x v="1"/>
    <x v="1"/>
  </r>
  <r>
    <d v="2024-04-23T00:00:00"/>
    <x v="4"/>
    <x v="0"/>
    <x v="8"/>
    <x v="10"/>
    <x v="7"/>
    <d v="2024-04-23T00:00:00"/>
    <x v="53"/>
    <x v="4"/>
    <x v="1"/>
    <x v="0"/>
    <x v="1"/>
    <x v="1"/>
    <x v="1"/>
  </r>
  <r>
    <d v="2024-04-23T00:00:00"/>
    <x v="4"/>
    <x v="0"/>
    <x v="130"/>
    <x v="8"/>
    <x v="3"/>
    <d v="2024-04-23T00:00:00"/>
    <x v="53"/>
    <x v="4"/>
    <x v="1"/>
    <x v="0"/>
    <x v="1"/>
    <x v="1"/>
    <x v="1"/>
  </r>
  <r>
    <d v="2024-04-23T00:00:00"/>
    <x v="4"/>
    <x v="0"/>
    <x v="130"/>
    <x v="8"/>
    <x v="3"/>
    <d v="2024-04-23T00:00:00"/>
    <x v="53"/>
    <x v="4"/>
    <x v="1"/>
    <x v="0"/>
    <x v="1"/>
    <x v="1"/>
    <x v="1"/>
  </r>
  <r>
    <d v="2024-04-24T00:00:00"/>
    <x v="5"/>
    <x v="0"/>
    <x v="0"/>
    <x v="10"/>
    <x v="0"/>
    <d v="2024-04-24T00:00:00"/>
    <x v="54"/>
    <x v="5"/>
    <x v="1"/>
    <x v="0"/>
    <x v="1"/>
    <x v="1"/>
    <x v="1"/>
  </r>
  <r>
    <d v="2024-04-24T00:00:00"/>
    <x v="5"/>
    <x v="0"/>
    <x v="131"/>
    <x v="8"/>
    <x v="3"/>
    <d v="2024-04-24T00:00:00"/>
    <x v="54"/>
    <x v="5"/>
    <x v="1"/>
    <x v="0"/>
    <x v="1"/>
    <x v="1"/>
    <x v="1"/>
  </r>
  <r>
    <d v="2024-04-24T00:00:00"/>
    <x v="5"/>
    <x v="0"/>
    <x v="132"/>
    <x v="8"/>
    <x v="3"/>
    <d v="2024-04-24T00:00:00"/>
    <x v="54"/>
    <x v="5"/>
    <x v="1"/>
    <x v="0"/>
    <x v="1"/>
    <x v="1"/>
    <x v="1"/>
  </r>
  <r>
    <d v="2024-04-24T00:00:00"/>
    <x v="5"/>
    <x v="0"/>
    <x v="133"/>
    <x v="8"/>
    <x v="3"/>
    <d v="2024-04-24T00:00:00"/>
    <x v="54"/>
    <x v="5"/>
    <x v="1"/>
    <x v="0"/>
    <x v="1"/>
    <x v="1"/>
    <x v="1"/>
  </r>
  <r>
    <d v="2024-04-24T00:00:00"/>
    <x v="5"/>
    <x v="0"/>
    <x v="59"/>
    <x v="8"/>
    <x v="3"/>
    <d v="2024-04-24T00:00:00"/>
    <x v="54"/>
    <x v="5"/>
    <x v="1"/>
    <x v="0"/>
    <x v="1"/>
    <x v="1"/>
    <x v="1"/>
  </r>
  <r>
    <d v="2024-04-24T00:00:00"/>
    <x v="5"/>
    <x v="0"/>
    <x v="8"/>
    <x v="8"/>
    <x v="3"/>
    <d v="2024-04-24T00:00:00"/>
    <x v="54"/>
    <x v="5"/>
    <x v="1"/>
    <x v="0"/>
    <x v="1"/>
    <x v="1"/>
    <x v="1"/>
  </r>
  <r>
    <d v="2024-04-24T00:00:00"/>
    <x v="5"/>
    <x v="0"/>
    <x v="134"/>
    <x v="8"/>
    <x v="3"/>
    <d v="2024-04-24T00:00:00"/>
    <x v="54"/>
    <x v="5"/>
    <x v="1"/>
    <x v="0"/>
    <x v="1"/>
    <x v="1"/>
    <x v="1"/>
  </r>
  <r>
    <d v="2024-04-24T00:00:00"/>
    <x v="5"/>
    <x v="0"/>
    <x v="134"/>
    <x v="10"/>
    <x v="7"/>
    <d v="2024-04-24T00:00:00"/>
    <x v="54"/>
    <x v="5"/>
    <x v="1"/>
    <x v="0"/>
    <x v="1"/>
    <x v="1"/>
    <x v="1"/>
  </r>
  <r>
    <d v="2024-04-25T00:00:00"/>
    <x v="6"/>
    <x v="0"/>
    <x v="135"/>
    <x v="11"/>
    <x v="2"/>
    <d v="2024-04-25T00:00:00"/>
    <x v="55"/>
    <x v="6"/>
    <x v="1"/>
    <x v="0"/>
    <x v="1"/>
    <x v="1"/>
    <x v="1"/>
  </r>
  <r>
    <d v="2024-04-25T00:00:00"/>
    <x v="6"/>
    <x v="0"/>
    <x v="8"/>
    <x v="10"/>
    <x v="0"/>
    <d v="2024-04-25T00:00:00"/>
    <x v="55"/>
    <x v="6"/>
    <x v="1"/>
    <x v="0"/>
    <x v="1"/>
    <x v="1"/>
    <x v="1"/>
  </r>
  <r>
    <d v="2024-04-25T00:00:00"/>
    <x v="6"/>
    <x v="0"/>
    <x v="12"/>
    <x v="11"/>
    <x v="2"/>
    <d v="2024-04-25T00:00:00"/>
    <x v="55"/>
    <x v="6"/>
    <x v="1"/>
    <x v="0"/>
    <x v="1"/>
    <x v="1"/>
    <x v="1"/>
  </r>
  <r>
    <d v="2024-04-25T00:00:00"/>
    <x v="6"/>
    <x v="0"/>
    <x v="12"/>
    <x v="11"/>
    <x v="2"/>
    <d v="2024-04-25T00:00:00"/>
    <x v="55"/>
    <x v="6"/>
    <x v="1"/>
    <x v="0"/>
    <x v="1"/>
    <x v="1"/>
    <x v="1"/>
  </r>
  <r>
    <d v="2024-04-26T00:00:00"/>
    <x v="0"/>
    <x v="0"/>
    <x v="0"/>
    <x v="10"/>
    <x v="0"/>
    <d v="2024-04-26T00:00:00"/>
    <x v="56"/>
    <x v="0"/>
    <x v="1"/>
    <x v="0"/>
    <x v="1"/>
    <x v="1"/>
    <x v="1"/>
  </r>
  <r>
    <d v="2024-04-26T00:00:00"/>
    <x v="0"/>
    <x v="0"/>
    <x v="136"/>
    <x v="10"/>
    <x v="0"/>
    <d v="2024-04-26T00:00:00"/>
    <x v="56"/>
    <x v="0"/>
    <x v="1"/>
    <x v="0"/>
    <x v="1"/>
    <x v="1"/>
    <x v="1"/>
  </r>
  <r>
    <d v="2024-04-26T00:00:00"/>
    <x v="0"/>
    <x v="0"/>
    <x v="137"/>
    <x v="10"/>
    <x v="7"/>
    <d v="2024-04-26T00:00:00"/>
    <x v="56"/>
    <x v="0"/>
    <x v="1"/>
    <x v="0"/>
    <x v="1"/>
    <x v="1"/>
    <x v="1"/>
  </r>
  <r>
    <d v="2024-04-26T00:00:00"/>
    <x v="0"/>
    <x v="0"/>
    <x v="12"/>
    <x v="11"/>
    <x v="2"/>
    <d v="2024-04-26T00:00:00"/>
    <x v="56"/>
    <x v="0"/>
    <x v="1"/>
    <x v="0"/>
    <x v="1"/>
    <x v="1"/>
    <x v="1"/>
  </r>
  <r>
    <d v="2024-04-26T00:00:00"/>
    <x v="0"/>
    <x v="0"/>
    <x v="12"/>
    <x v="11"/>
    <x v="2"/>
    <d v="2024-04-26T00:00:00"/>
    <x v="56"/>
    <x v="0"/>
    <x v="1"/>
    <x v="0"/>
    <x v="1"/>
    <x v="1"/>
    <x v="1"/>
  </r>
  <r>
    <d v="2024-04-26T00:00:00"/>
    <x v="0"/>
    <x v="0"/>
    <x v="138"/>
    <x v="11"/>
    <x v="5"/>
    <d v="2024-04-26T00:00:00"/>
    <x v="56"/>
    <x v="0"/>
    <x v="1"/>
    <x v="0"/>
    <x v="1"/>
    <x v="1"/>
    <x v="1"/>
  </r>
  <r>
    <d v="2024-04-26T00:00:00"/>
    <x v="0"/>
    <x v="0"/>
    <x v="139"/>
    <x v="11"/>
    <x v="2"/>
    <d v="2024-04-26T00:00:00"/>
    <x v="56"/>
    <x v="0"/>
    <x v="1"/>
    <x v="0"/>
    <x v="1"/>
    <x v="1"/>
    <x v="1"/>
  </r>
  <r>
    <d v="2024-04-26T00:00:00"/>
    <x v="0"/>
    <x v="0"/>
    <x v="8"/>
    <x v="10"/>
    <x v="1"/>
    <d v="2024-04-26T00:00:00"/>
    <x v="56"/>
    <x v="0"/>
    <x v="1"/>
    <x v="0"/>
    <x v="1"/>
    <x v="1"/>
    <x v="1"/>
  </r>
  <r>
    <d v="2024-04-26T00:00:00"/>
    <x v="0"/>
    <x v="0"/>
    <x v="8"/>
    <x v="10"/>
    <x v="4"/>
    <d v="2024-04-26T00:00:00"/>
    <x v="56"/>
    <x v="0"/>
    <x v="1"/>
    <x v="0"/>
    <x v="1"/>
    <x v="1"/>
    <x v="1"/>
  </r>
  <r>
    <d v="2024-04-27T00:00:00"/>
    <x v="1"/>
    <x v="0"/>
    <x v="8"/>
    <x v="10"/>
    <x v="7"/>
    <d v="2024-04-27T00:00:00"/>
    <x v="57"/>
    <x v="1"/>
    <x v="1"/>
    <x v="0"/>
    <x v="1"/>
    <x v="1"/>
    <x v="1"/>
  </r>
  <r>
    <d v="2024-04-28T00:00:00"/>
    <x v="2"/>
    <x v="0"/>
    <x v="0"/>
    <x v="10"/>
    <x v="0"/>
    <d v="2024-04-28T00:00:00"/>
    <x v="41"/>
    <x v="2"/>
    <x v="1"/>
    <x v="0"/>
    <x v="1"/>
    <x v="1"/>
    <x v="1"/>
  </r>
  <r>
    <d v="2024-04-28T00:00:00"/>
    <x v="2"/>
    <x v="0"/>
    <x v="140"/>
    <x v="10"/>
    <x v="7"/>
    <d v="2024-04-28T00:00:00"/>
    <x v="41"/>
    <x v="2"/>
    <x v="1"/>
    <x v="0"/>
    <x v="1"/>
    <x v="1"/>
    <x v="1"/>
  </r>
  <r>
    <d v="2024-04-28T00:00:00"/>
    <x v="2"/>
    <x v="0"/>
    <x v="12"/>
    <x v="11"/>
    <x v="2"/>
    <d v="2024-04-28T00:00:00"/>
    <x v="41"/>
    <x v="2"/>
    <x v="1"/>
    <x v="0"/>
    <x v="1"/>
    <x v="1"/>
    <x v="1"/>
  </r>
  <r>
    <d v="2024-04-28T00:00:00"/>
    <x v="2"/>
    <x v="0"/>
    <x v="12"/>
    <x v="11"/>
    <x v="2"/>
    <d v="2024-04-28T00:00:00"/>
    <x v="41"/>
    <x v="2"/>
    <x v="1"/>
    <x v="0"/>
    <x v="1"/>
    <x v="1"/>
    <x v="1"/>
  </r>
  <r>
    <d v="2024-04-28T00:00:00"/>
    <x v="2"/>
    <x v="0"/>
    <x v="19"/>
    <x v="10"/>
    <x v="0"/>
    <d v="2024-04-28T00:00:00"/>
    <x v="41"/>
    <x v="2"/>
    <x v="1"/>
    <x v="0"/>
    <x v="1"/>
    <x v="1"/>
    <x v="1"/>
  </r>
  <r>
    <d v="2024-04-29T00:00:00"/>
    <x v="3"/>
    <x v="0"/>
    <x v="141"/>
    <x v="11"/>
    <x v="5"/>
    <d v="2024-04-29T00:00:00"/>
    <x v="58"/>
    <x v="3"/>
    <x v="1"/>
    <x v="0"/>
    <x v="1"/>
    <x v="1"/>
    <x v="1"/>
  </r>
  <r>
    <d v="2024-04-29T00:00:00"/>
    <x v="3"/>
    <x v="0"/>
    <x v="2"/>
    <x v="11"/>
    <x v="2"/>
    <d v="2024-04-29T00:00:00"/>
    <x v="58"/>
    <x v="3"/>
    <x v="1"/>
    <x v="0"/>
    <x v="1"/>
    <x v="1"/>
    <x v="1"/>
  </r>
  <r>
    <d v="2024-04-29T00:00:00"/>
    <x v="3"/>
    <x v="0"/>
    <x v="2"/>
    <x v="11"/>
    <x v="5"/>
    <d v="2024-04-29T00:00:00"/>
    <x v="58"/>
    <x v="3"/>
    <x v="1"/>
    <x v="0"/>
    <x v="1"/>
    <x v="1"/>
    <x v="1"/>
  </r>
  <r>
    <d v="2024-04-29T00:00:00"/>
    <x v="3"/>
    <x v="0"/>
    <x v="141"/>
    <x v="11"/>
    <x v="5"/>
    <d v="2024-04-29T00:00:00"/>
    <x v="58"/>
    <x v="3"/>
    <x v="1"/>
    <x v="0"/>
    <x v="1"/>
    <x v="1"/>
    <x v="1"/>
  </r>
  <r>
    <d v="2024-04-29T00:00:00"/>
    <x v="3"/>
    <x v="0"/>
    <x v="141"/>
    <x v="8"/>
    <x v="3"/>
    <d v="2024-04-29T00:00:00"/>
    <x v="58"/>
    <x v="3"/>
    <x v="1"/>
    <x v="0"/>
    <x v="1"/>
    <x v="1"/>
    <x v="1"/>
  </r>
  <r>
    <d v="2024-04-29T00:00:00"/>
    <x v="3"/>
    <x v="0"/>
    <x v="140"/>
    <x v="10"/>
    <x v="7"/>
    <d v="2024-04-29T00:00:00"/>
    <x v="58"/>
    <x v="3"/>
    <x v="1"/>
    <x v="0"/>
    <x v="1"/>
    <x v="1"/>
    <x v="1"/>
  </r>
  <r>
    <d v="2024-04-29T00:00:00"/>
    <x v="3"/>
    <x v="0"/>
    <x v="134"/>
    <x v="10"/>
    <x v="7"/>
    <d v="2024-04-29T00:00:00"/>
    <x v="58"/>
    <x v="3"/>
    <x v="1"/>
    <x v="0"/>
    <x v="1"/>
    <x v="1"/>
    <x v="1"/>
  </r>
  <r>
    <d v="2024-04-30T00:00:00"/>
    <x v="4"/>
    <x v="0"/>
    <x v="142"/>
    <x v="10"/>
    <x v="0"/>
    <d v="2024-04-30T00:00:00"/>
    <x v="59"/>
    <x v="4"/>
    <x v="1"/>
    <x v="0"/>
    <x v="1"/>
    <x v="1"/>
    <x v="1"/>
  </r>
  <r>
    <d v="2024-04-30T00:00:00"/>
    <x v="4"/>
    <x v="0"/>
    <x v="142"/>
    <x v="8"/>
    <x v="3"/>
    <d v="2024-04-30T00:00:00"/>
    <x v="59"/>
    <x v="4"/>
    <x v="1"/>
    <x v="0"/>
    <x v="1"/>
    <x v="1"/>
    <x v="1"/>
  </r>
  <r>
    <d v="2024-04-30T00:00:00"/>
    <x v="4"/>
    <x v="0"/>
    <x v="142"/>
    <x v="11"/>
    <x v="2"/>
    <d v="2024-04-30T00:00:00"/>
    <x v="59"/>
    <x v="4"/>
    <x v="1"/>
    <x v="0"/>
    <x v="1"/>
    <x v="1"/>
    <x v="1"/>
  </r>
  <r>
    <d v="2024-04-30T00:00:00"/>
    <x v="4"/>
    <x v="0"/>
    <x v="142"/>
    <x v="10"/>
    <x v="7"/>
    <d v="2024-04-30T00:00:00"/>
    <x v="59"/>
    <x v="4"/>
    <x v="1"/>
    <x v="0"/>
    <x v="1"/>
    <x v="1"/>
    <x v="1"/>
  </r>
  <r>
    <d v="2024-05-02T00:00:00"/>
    <x v="6"/>
    <x v="0"/>
    <x v="143"/>
    <x v="11"/>
    <x v="2"/>
    <d v="2024-05-02T00:00:00"/>
    <x v="60"/>
    <x v="6"/>
    <x v="2"/>
    <x v="0"/>
    <x v="1"/>
    <x v="1"/>
    <x v="1"/>
  </r>
  <r>
    <d v="2024-05-02T00:00:00"/>
    <x v="6"/>
    <x v="1"/>
    <x v="10"/>
    <x v="9"/>
    <x v="0"/>
    <d v="2024-05-02T00:00:00"/>
    <x v="60"/>
    <x v="6"/>
    <x v="2"/>
    <x v="0"/>
    <x v="1"/>
    <x v="1"/>
    <x v="1"/>
  </r>
  <r>
    <d v="2024-05-02T00:00:00"/>
    <x v="6"/>
    <x v="0"/>
    <x v="133"/>
    <x v="8"/>
    <x v="3"/>
    <d v="2024-05-02T00:00:00"/>
    <x v="60"/>
    <x v="6"/>
    <x v="2"/>
    <x v="0"/>
    <x v="1"/>
    <x v="1"/>
    <x v="1"/>
  </r>
  <r>
    <d v="2024-05-02T00:00:00"/>
    <x v="6"/>
    <x v="0"/>
    <x v="144"/>
    <x v="10"/>
    <x v="7"/>
    <d v="2024-05-02T00:00:00"/>
    <x v="60"/>
    <x v="6"/>
    <x v="2"/>
    <x v="0"/>
    <x v="1"/>
    <x v="1"/>
    <x v="1"/>
  </r>
  <r>
    <d v="2024-05-02T00:00:00"/>
    <x v="6"/>
    <x v="0"/>
    <x v="24"/>
    <x v="8"/>
    <x v="3"/>
    <d v="2024-05-02T00:00:00"/>
    <x v="60"/>
    <x v="6"/>
    <x v="2"/>
    <x v="0"/>
    <x v="1"/>
    <x v="1"/>
    <x v="1"/>
  </r>
  <r>
    <d v="2024-05-02T00:00:00"/>
    <x v="6"/>
    <x v="0"/>
    <x v="145"/>
    <x v="10"/>
    <x v="0"/>
    <d v="2024-05-02T00:00:00"/>
    <x v="60"/>
    <x v="6"/>
    <x v="2"/>
    <x v="0"/>
    <x v="1"/>
    <x v="1"/>
    <x v="1"/>
  </r>
  <r>
    <d v="2024-05-02T00:00:00"/>
    <x v="6"/>
    <x v="0"/>
    <x v="145"/>
    <x v="10"/>
    <x v="7"/>
    <d v="2024-05-02T00:00:00"/>
    <x v="60"/>
    <x v="6"/>
    <x v="2"/>
    <x v="0"/>
    <x v="1"/>
    <x v="1"/>
    <x v="1"/>
  </r>
  <r>
    <d v="2024-05-03T00:00:00"/>
    <x v="0"/>
    <x v="1"/>
    <x v="10"/>
    <x v="9"/>
    <x v="0"/>
    <d v="2024-05-03T00:00:00"/>
    <x v="61"/>
    <x v="0"/>
    <x v="2"/>
    <x v="0"/>
    <x v="1"/>
    <x v="1"/>
    <x v="1"/>
  </r>
  <r>
    <d v="2024-05-03T00:00:00"/>
    <x v="0"/>
    <x v="0"/>
    <x v="146"/>
    <x v="10"/>
    <x v="0"/>
    <d v="2024-05-03T00:00:00"/>
    <x v="61"/>
    <x v="0"/>
    <x v="2"/>
    <x v="0"/>
    <x v="1"/>
    <x v="1"/>
    <x v="1"/>
  </r>
  <r>
    <d v="2024-05-03T00:00:00"/>
    <x v="0"/>
    <x v="0"/>
    <x v="147"/>
    <x v="10"/>
    <x v="0"/>
    <d v="2024-05-03T00:00:00"/>
    <x v="61"/>
    <x v="0"/>
    <x v="2"/>
    <x v="0"/>
    <x v="1"/>
    <x v="1"/>
    <x v="1"/>
  </r>
  <r>
    <d v="2024-05-06T00:00:00"/>
    <x v="3"/>
    <x v="0"/>
    <x v="148"/>
    <x v="11"/>
    <x v="2"/>
    <d v="2024-05-06T00:00:00"/>
    <x v="62"/>
    <x v="3"/>
    <x v="2"/>
    <x v="0"/>
    <x v="1"/>
    <x v="1"/>
    <x v="1"/>
  </r>
  <r>
    <d v="2024-05-06T00:00:00"/>
    <x v="3"/>
    <x v="0"/>
    <x v="149"/>
    <x v="10"/>
    <x v="7"/>
    <d v="2024-05-06T00:00:00"/>
    <x v="62"/>
    <x v="3"/>
    <x v="2"/>
    <x v="0"/>
    <x v="1"/>
    <x v="1"/>
    <x v="1"/>
  </r>
  <r>
    <d v="2024-05-06T00:00:00"/>
    <x v="3"/>
    <x v="0"/>
    <x v="149"/>
    <x v="8"/>
    <x v="3"/>
    <d v="2024-05-06T00:00:00"/>
    <x v="62"/>
    <x v="3"/>
    <x v="2"/>
    <x v="0"/>
    <x v="1"/>
    <x v="1"/>
    <x v="1"/>
  </r>
  <r>
    <d v="2024-05-06T00:00:00"/>
    <x v="3"/>
    <x v="0"/>
    <x v="150"/>
    <x v="11"/>
    <x v="2"/>
    <d v="2024-05-06T00:00:00"/>
    <x v="62"/>
    <x v="3"/>
    <x v="2"/>
    <x v="0"/>
    <x v="1"/>
    <x v="1"/>
    <x v="1"/>
  </r>
  <r>
    <d v="2024-05-06T00:00:00"/>
    <x v="3"/>
    <x v="0"/>
    <x v="141"/>
    <x v="11"/>
    <x v="5"/>
    <d v="2024-05-06T00:00:00"/>
    <x v="62"/>
    <x v="3"/>
    <x v="2"/>
    <x v="0"/>
    <x v="1"/>
    <x v="1"/>
    <x v="1"/>
  </r>
  <r>
    <d v="2024-05-06T00:00:00"/>
    <x v="3"/>
    <x v="1"/>
    <x v="10"/>
    <x v="12"/>
    <x v="2"/>
    <d v="2024-05-06T00:00:00"/>
    <x v="62"/>
    <x v="3"/>
    <x v="2"/>
    <x v="0"/>
    <x v="1"/>
    <x v="1"/>
    <x v="1"/>
  </r>
  <r>
    <d v="2024-05-06T00:00:00"/>
    <x v="3"/>
    <x v="0"/>
    <x v="148"/>
    <x v="11"/>
    <x v="5"/>
    <d v="2024-05-06T00:00:00"/>
    <x v="62"/>
    <x v="3"/>
    <x v="2"/>
    <x v="0"/>
    <x v="1"/>
    <x v="1"/>
    <x v="1"/>
  </r>
  <r>
    <d v="2024-05-06T00:00:00"/>
    <x v="3"/>
    <x v="0"/>
    <x v="151"/>
    <x v="10"/>
    <x v="7"/>
    <d v="2024-05-06T00:00:00"/>
    <x v="62"/>
    <x v="3"/>
    <x v="2"/>
    <x v="0"/>
    <x v="1"/>
    <x v="1"/>
    <x v="1"/>
  </r>
  <r>
    <d v="2024-05-07T00:00:00"/>
    <x v="4"/>
    <x v="0"/>
    <x v="148"/>
    <x v="10"/>
    <x v="4"/>
    <d v="2024-05-07T00:00:00"/>
    <x v="63"/>
    <x v="4"/>
    <x v="2"/>
    <x v="0"/>
    <x v="1"/>
    <x v="1"/>
    <x v="1"/>
  </r>
  <r>
    <d v="2024-05-07T00:00:00"/>
    <x v="4"/>
    <x v="0"/>
    <x v="141"/>
    <x v="11"/>
    <x v="5"/>
    <d v="2024-05-07T00:00:00"/>
    <x v="63"/>
    <x v="4"/>
    <x v="2"/>
    <x v="0"/>
    <x v="1"/>
    <x v="1"/>
    <x v="1"/>
  </r>
  <r>
    <d v="2024-05-07T00:00:00"/>
    <x v="4"/>
    <x v="0"/>
    <x v="77"/>
    <x v="11"/>
    <x v="5"/>
    <d v="2024-05-07T00:00:00"/>
    <x v="63"/>
    <x v="4"/>
    <x v="2"/>
    <x v="0"/>
    <x v="1"/>
    <x v="1"/>
    <x v="1"/>
  </r>
  <r>
    <d v="2024-05-07T00:00:00"/>
    <x v="4"/>
    <x v="0"/>
    <x v="152"/>
    <x v="11"/>
    <x v="2"/>
    <d v="2024-05-07T00:00:00"/>
    <x v="63"/>
    <x v="4"/>
    <x v="2"/>
    <x v="0"/>
    <x v="1"/>
    <x v="1"/>
    <x v="1"/>
  </r>
  <r>
    <d v="2024-05-07T00:00:00"/>
    <x v="4"/>
    <x v="0"/>
    <x v="153"/>
    <x v="10"/>
    <x v="7"/>
    <d v="2024-05-07T00:00:00"/>
    <x v="63"/>
    <x v="4"/>
    <x v="2"/>
    <x v="0"/>
    <x v="1"/>
    <x v="1"/>
    <x v="1"/>
  </r>
  <r>
    <d v="2024-05-07T00:00:00"/>
    <x v="4"/>
    <x v="0"/>
    <x v="153"/>
    <x v="10"/>
    <x v="0"/>
    <d v="2024-05-07T00:00:00"/>
    <x v="63"/>
    <x v="4"/>
    <x v="2"/>
    <x v="0"/>
    <x v="1"/>
    <x v="1"/>
    <x v="1"/>
  </r>
  <r>
    <d v="2024-05-07T00:00:00"/>
    <x v="4"/>
    <x v="1"/>
    <x v="10"/>
    <x v="13"/>
    <x v="3"/>
    <d v="2024-05-07T00:00:00"/>
    <x v="63"/>
    <x v="4"/>
    <x v="2"/>
    <x v="0"/>
    <x v="1"/>
    <x v="1"/>
    <x v="1"/>
  </r>
  <r>
    <d v="2024-05-07T00:00:00"/>
    <x v="4"/>
    <x v="0"/>
    <x v="154"/>
    <x v="10"/>
    <x v="7"/>
    <d v="2024-05-07T00:00:00"/>
    <x v="63"/>
    <x v="4"/>
    <x v="2"/>
    <x v="0"/>
    <x v="1"/>
    <x v="1"/>
    <x v="1"/>
  </r>
  <r>
    <d v="2024-05-08T00:00:00"/>
    <x v="5"/>
    <x v="0"/>
    <x v="0"/>
    <x v="10"/>
    <x v="0"/>
    <d v="2024-05-08T00:00:00"/>
    <x v="57"/>
    <x v="5"/>
    <x v="2"/>
    <x v="0"/>
    <x v="1"/>
    <x v="1"/>
    <x v="1"/>
  </r>
  <r>
    <d v="2024-05-09T00:00:00"/>
    <x v="6"/>
    <x v="0"/>
    <x v="155"/>
    <x v="10"/>
    <x v="7"/>
    <d v="2024-05-09T00:00:00"/>
    <x v="64"/>
    <x v="6"/>
    <x v="2"/>
    <x v="0"/>
    <x v="1"/>
    <x v="1"/>
    <x v="1"/>
  </r>
  <r>
    <d v="2024-05-09T00:00:00"/>
    <x v="6"/>
    <x v="0"/>
    <x v="156"/>
    <x v="11"/>
    <x v="2"/>
    <d v="2024-05-09T00:00:00"/>
    <x v="64"/>
    <x v="6"/>
    <x v="2"/>
    <x v="0"/>
    <x v="1"/>
    <x v="1"/>
    <x v="1"/>
  </r>
  <r>
    <d v="2024-05-09T00:00:00"/>
    <x v="6"/>
    <x v="0"/>
    <x v="156"/>
    <x v="10"/>
    <x v="0"/>
    <d v="2024-05-09T00:00:00"/>
    <x v="64"/>
    <x v="6"/>
    <x v="2"/>
    <x v="0"/>
    <x v="1"/>
    <x v="1"/>
    <x v="1"/>
  </r>
  <r>
    <d v="2024-05-09T00:00:00"/>
    <x v="6"/>
    <x v="0"/>
    <x v="118"/>
    <x v="11"/>
    <x v="2"/>
    <d v="2024-05-09T00:00:00"/>
    <x v="64"/>
    <x v="6"/>
    <x v="2"/>
    <x v="0"/>
    <x v="1"/>
    <x v="1"/>
    <x v="1"/>
  </r>
  <r>
    <d v="2024-05-09T00:00:00"/>
    <x v="6"/>
    <x v="0"/>
    <x v="157"/>
    <x v="11"/>
    <x v="2"/>
    <d v="2024-05-09T00:00:00"/>
    <x v="64"/>
    <x v="6"/>
    <x v="2"/>
    <x v="0"/>
    <x v="1"/>
    <x v="1"/>
    <x v="1"/>
  </r>
  <r>
    <d v="2024-05-09T00:00:00"/>
    <x v="6"/>
    <x v="0"/>
    <x v="143"/>
    <x v="8"/>
    <x v="3"/>
    <d v="2024-05-09T00:00:00"/>
    <x v="64"/>
    <x v="6"/>
    <x v="2"/>
    <x v="0"/>
    <x v="1"/>
    <x v="1"/>
    <x v="1"/>
  </r>
  <r>
    <d v="2024-05-10T00:00:00"/>
    <x v="0"/>
    <x v="1"/>
    <x v="10"/>
    <x v="9"/>
    <x v="0"/>
    <d v="2024-05-10T00:00:00"/>
    <x v="65"/>
    <x v="0"/>
    <x v="2"/>
    <x v="0"/>
    <x v="1"/>
    <x v="1"/>
    <x v="1"/>
  </r>
  <r>
    <d v="2024-05-10T00:00:00"/>
    <x v="0"/>
    <x v="0"/>
    <x v="158"/>
    <x v="10"/>
    <x v="0"/>
    <d v="2024-05-10T00:00:00"/>
    <x v="65"/>
    <x v="0"/>
    <x v="2"/>
    <x v="0"/>
    <x v="1"/>
    <x v="1"/>
    <x v="1"/>
  </r>
  <r>
    <d v="2024-05-10T00:00:00"/>
    <x v="0"/>
    <x v="1"/>
    <x v="10"/>
    <x v="13"/>
    <x v="3"/>
    <d v="2024-05-10T00:00:00"/>
    <x v="65"/>
    <x v="0"/>
    <x v="2"/>
    <x v="0"/>
    <x v="1"/>
    <x v="1"/>
    <x v="1"/>
  </r>
  <r>
    <d v="2024-05-11T00:00:00"/>
    <x v="1"/>
    <x v="0"/>
    <x v="69"/>
    <x v="10"/>
    <x v="0"/>
    <d v="2024-05-11T00:00:00"/>
    <x v="66"/>
    <x v="1"/>
    <x v="2"/>
    <x v="0"/>
    <x v="1"/>
    <x v="1"/>
    <x v="1"/>
  </r>
  <r>
    <d v="2024-05-11T00:00:00"/>
    <x v="1"/>
    <x v="1"/>
    <x v="10"/>
    <x v="9"/>
    <x v="0"/>
    <d v="2024-05-11T00:00:00"/>
    <x v="66"/>
    <x v="1"/>
    <x v="2"/>
    <x v="0"/>
    <x v="1"/>
    <x v="1"/>
    <x v="1"/>
  </r>
  <r>
    <d v="2024-05-11T00:00:00"/>
    <x v="1"/>
    <x v="0"/>
    <x v="8"/>
    <x v="8"/>
    <x v="3"/>
    <d v="2024-05-11T00:00:00"/>
    <x v="66"/>
    <x v="1"/>
    <x v="2"/>
    <x v="0"/>
    <x v="1"/>
    <x v="1"/>
    <x v="1"/>
  </r>
  <r>
    <d v="2024-05-11T00:00:00"/>
    <x v="1"/>
    <x v="0"/>
    <x v="26"/>
    <x v="10"/>
    <x v="4"/>
    <d v="2024-05-11T00:00:00"/>
    <x v="66"/>
    <x v="1"/>
    <x v="2"/>
    <x v="0"/>
    <x v="1"/>
    <x v="1"/>
    <x v="1"/>
  </r>
  <r>
    <d v="2024-05-11T00:00:00"/>
    <x v="1"/>
    <x v="0"/>
    <x v="40"/>
    <x v="10"/>
    <x v="7"/>
    <d v="2024-05-11T00:00:00"/>
    <x v="66"/>
    <x v="1"/>
    <x v="2"/>
    <x v="0"/>
    <x v="1"/>
    <x v="1"/>
    <x v="1"/>
  </r>
  <r>
    <d v="2024-05-11T00:00:00"/>
    <x v="1"/>
    <x v="0"/>
    <x v="12"/>
    <x v="8"/>
    <x v="3"/>
    <d v="2024-05-11T00:00:00"/>
    <x v="66"/>
    <x v="1"/>
    <x v="2"/>
    <x v="0"/>
    <x v="1"/>
    <x v="1"/>
    <x v="1"/>
  </r>
  <r>
    <d v="2024-05-11T00:00:00"/>
    <x v="1"/>
    <x v="0"/>
    <x v="115"/>
    <x v="10"/>
    <x v="7"/>
    <d v="2024-05-11T00:00:00"/>
    <x v="66"/>
    <x v="1"/>
    <x v="2"/>
    <x v="0"/>
    <x v="1"/>
    <x v="1"/>
    <x v="1"/>
  </r>
  <r>
    <d v="2024-05-11T00:00:00"/>
    <x v="1"/>
    <x v="0"/>
    <x v="159"/>
    <x v="10"/>
    <x v="0"/>
    <d v="2024-05-11T00:00:00"/>
    <x v="66"/>
    <x v="1"/>
    <x v="2"/>
    <x v="0"/>
    <x v="1"/>
    <x v="1"/>
    <x v="1"/>
  </r>
  <r>
    <d v="2024-05-12T00:00:00"/>
    <x v="2"/>
    <x v="0"/>
    <x v="0"/>
    <x v="10"/>
    <x v="0"/>
    <d v="2024-05-12T00:00:00"/>
    <x v="54"/>
    <x v="2"/>
    <x v="2"/>
    <x v="0"/>
    <x v="1"/>
    <x v="1"/>
    <x v="1"/>
  </r>
  <r>
    <d v="2024-05-12T00:00:00"/>
    <x v="2"/>
    <x v="0"/>
    <x v="160"/>
    <x v="10"/>
    <x v="0"/>
    <d v="2024-05-12T00:00:00"/>
    <x v="54"/>
    <x v="2"/>
    <x v="2"/>
    <x v="0"/>
    <x v="1"/>
    <x v="1"/>
    <x v="1"/>
  </r>
  <r>
    <d v="2024-05-12T00:00:00"/>
    <x v="2"/>
    <x v="0"/>
    <x v="161"/>
    <x v="11"/>
    <x v="2"/>
    <d v="2024-05-12T00:00:00"/>
    <x v="54"/>
    <x v="2"/>
    <x v="2"/>
    <x v="0"/>
    <x v="1"/>
    <x v="1"/>
    <x v="1"/>
  </r>
  <r>
    <d v="2024-05-12T00:00:00"/>
    <x v="2"/>
    <x v="0"/>
    <x v="77"/>
    <x v="10"/>
    <x v="0"/>
    <d v="2024-05-12T00:00:00"/>
    <x v="54"/>
    <x v="2"/>
    <x v="2"/>
    <x v="0"/>
    <x v="1"/>
    <x v="1"/>
    <x v="1"/>
  </r>
  <r>
    <d v="2024-05-12T00:00:00"/>
    <x v="2"/>
    <x v="0"/>
    <x v="162"/>
    <x v="8"/>
    <x v="3"/>
    <d v="2024-05-12T00:00:00"/>
    <x v="54"/>
    <x v="2"/>
    <x v="2"/>
    <x v="0"/>
    <x v="1"/>
    <x v="1"/>
    <x v="1"/>
  </r>
  <r>
    <d v="2024-05-12T00:00:00"/>
    <x v="2"/>
    <x v="0"/>
    <x v="163"/>
    <x v="8"/>
    <x v="3"/>
    <d v="2024-05-12T00:00:00"/>
    <x v="54"/>
    <x v="2"/>
    <x v="2"/>
    <x v="0"/>
    <x v="1"/>
    <x v="1"/>
    <x v="1"/>
  </r>
  <r>
    <d v="2024-05-12T00:00:00"/>
    <x v="2"/>
    <x v="0"/>
    <x v="12"/>
    <x v="8"/>
    <x v="3"/>
    <d v="2024-05-12T00:00:00"/>
    <x v="54"/>
    <x v="2"/>
    <x v="2"/>
    <x v="0"/>
    <x v="1"/>
    <x v="1"/>
    <x v="1"/>
  </r>
  <r>
    <d v="2024-05-12T00:00:00"/>
    <x v="2"/>
    <x v="0"/>
    <x v="8"/>
    <x v="8"/>
    <x v="3"/>
    <d v="2024-05-12T00:00:00"/>
    <x v="54"/>
    <x v="2"/>
    <x v="2"/>
    <x v="0"/>
    <x v="1"/>
    <x v="1"/>
    <x v="1"/>
  </r>
  <r>
    <d v="2024-05-13T00:00:00"/>
    <x v="3"/>
    <x v="0"/>
    <x v="164"/>
    <x v="8"/>
    <x v="3"/>
    <d v="2024-05-13T00:00:00"/>
    <x v="67"/>
    <x v="3"/>
    <x v="2"/>
    <x v="0"/>
    <x v="1"/>
    <x v="1"/>
    <x v="1"/>
  </r>
  <r>
    <d v="2024-05-13T00:00:00"/>
    <x v="3"/>
    <x v="1"/>
    <x v="10"/>
    <x v="12"/>
    <x v="2"/>
    <d v="2024-05-13T00:00:00"/>
    <x v="67"/>
    <x v="3"/>
    <x v="2"/>
    <x v="0"/>
    <x v="1"/>
    <x v="1"/>
    <x v="1"/>
  </r>
  <r>
    <d v="2024-05-14T00:00:00"/>
    <x v="4"/>
    <x v="0"/>
    <x v="12"/>
    <x v="11"/>
    <x v="2"/>
    <d v="2024-05-14T00:00:00"/>
    <x v="68"/>
    <x v="4"/>
    <x v="2"/>
    <x v="0"/>
    <x v="1"/>
    <x v="1"/>
    <x v="1"/>
  </r>
  <r>
    <d v="2024-05-14T00:00:00"/>
    <x v="4"/>
    <x v="0"/>
    <x v="12"/>
    <x v="10"/>
    <x v="7"/>
    <d v="2024-05-14T00:00:00"/>
    <x v="68"/>
    <x v="4"/>
    <x v="2"/>
    <x v="0"/>
    <x v="1"/>
    <x v="1"/>
    <x v="1"/>
  </r>
  <r>
    <d v="2024-05-14T00:00:00"/>
    <x v="4"/>
    <x v="0"/>
    <x v="165"/>
    <x v="10"/>
    <x v="0"/>
    <d v="2024-05-14T00:00:00"/>
    <x v="68"/>
    <x v="4"/>
    <x v="2"/>
    <x v="0"/>
    <x v="1"/>
    <x v="1"/>
    <x v="1"/>
  </r>
  <r>
    <d v="2024-05-14T00:00:00"/>
    <x v="4"/>
    <x v="0"/>
    <x v="165"/>
    <x v="10"/>
    <x v="7"/>
    <d v="2024-05-14T00:00:00"/>
    <x v="68"/>
    <x v="4"/>
    <x v="2"/>
    <x v="0"/>
    <x v="1"/>
    <x v="1"/>
    <x v="1"/>
  </r>
  <r>
    <d v="2024-05-14T00:00:00"/>
    <x v="4"/>
    <x v="0"/>
    <x v="25"/>
    <x v="10"/>
    <x v="7"/>
    <d v="2024-05-14T00:00:00"/>
    <x v="68"/>
    <x v="4"/>
    <x v="2"/>
    <x v="0"/>
    <x v="1"/>
    <x v="1"/>
    <x v="1"/>
  </r>
  <r>
    <d v="2024-05-14T00:00:00"/>
    <x v="4"/>
    <x v="0"/>
    <x v="8"/>
    <x v="8"/>
    <x v="3"/>
    <d v="2024-05-14T00:00:00"/>
    <x v="68"/>
    <x v="4"/>
    <x v="2"/>
    <x v="0"/>
    <x v="1"/>
    <x v="1"/>
    <x v="1"/>
  </r>
  <r>
    <d v="2024-05-14T00:00:00"/>
    <x v="4"/>
    <x v="0"/>
    <x v="40"/>
    <x v="11"/>
    <x v="2"/>
    <d v="2024-05-14T00:00:00"/>
    <x v="68"/>
    <x v="4"/>
    <x v="2"/>
    <x v="0"/>
    <x v="1"/>
    <x v="1"/>
    <x v="1"/>
  </r>
  <r>
    <d v="2024-05-14T00:00:00"/>
    <x v="4"/>
    <x v="0"/>
    <x v="166"/>
    <x v="8"/>
    <x v="3"/>
    <d v="2024-05-14T00:00:00"/>
    <x v="68"/>
    <x v="4"/>
    <x v="2"/>
    <x v="0"/>
    <x v="1"/>
    <x v="1"/>
    <x v="1"/>
  </r>
  <r>
    <d v="2024-05-14T00:00:00"/>
    <x v="4"/>
    <x v="0"/>
    <x v="166"/>
    <x v="10"/>
    <x v="7"/>
    <d v="2024-05-14T00:00:00"/>
    <x v="68"/>
    <x v="4"/>
    <x v="2"/>
    <x v="0"/>
    <x v="1"/>
    <x v="1"/>
    <x v="1"/>
  </r>
  <r>
    <d v="2024-05-14T00:00:00"/>
    <x v="4"/>
    <x v="0"/>
    <x v="167"/>
    <x v="10"/>
    <x v="1"/>
    <d v="2024-05-14T00:00:00"/>
    <x v="68"/>
    <x v="4"/>
    <x v="2"/>
    <x v="0"/>
    <x v="1"/>
    <x v="1"/>
    <x v="1"/>
  </r>
  <r>
    <d v="2024-05-15T00:00:00"/>
    <x v="5"/>
    <x v="0"/>
    <x v="168"/>
    <x v="10"/>
    <x v="0"/>
    <d v="2024-05-15T00:00:00"/>
    <x v="69"/>
    <x v="5"/>
    <x v="2"/>
    <x v="0"/>
    <x v="1"/>
    <x v="1"/>
    <x v="1"/>
  </r>
  <r>
    <d v="2024-05-15T00:00:00"/>
    <x v="5"/>
    <x v="0"/>
    <x v="12"/>
    <x v="14"/>
    <x v="6"/>
    <d v="2024-05-15T00:00:00"/>
    <x v="69"/>
    <x v="5"/>
    <x v="2"/>
    <x v="0"/>
    <x v="1"/>
    <x v="1"/>
    <x v="1"/>
  </r>
  <r>
    <d v="2024-05-15T00:00:00"/>
    <x v="5"/>
    <x v="0"/>
    <x v="12"/>
    <x v="11"/>
    <x v="2"/>
    <d v="2024-05-15T00:00:00"/>
    <x v="69"/>
    <x v="5"/>
    <x v="2"/>
    <x v="0"/>
    <x v="1"/>
    <x v="1"/>
    <x v="1"/>
  </r>
  <r>
    <d v="2024-05-15T00:00:00"/>
    <x v="5"/>
    <x v="0"/>
    <x v="2"/>
    <x v="11"/>
    <x v="2"/>
    <d v="2024-05-15T00:00:00"/>
    <x v="69"/>
    <x v="5"/>
    <x v="2"/>
    <x v="0"/>
    <x v="1"/>
    <x v="1"/>
    <x v="1"/>
  </r>
  <r>
    <d v="2024-05-15T00:00:00"/>
    <x v="5"/>
    <x v="0"/>
    <x v="164"/>
    <x v="8"/>
    <x v="3"/>
    <d v="2024-05-15T00:00:00"/>
    <x v="69"/>
    <x v="5"/>
    <x v="2"/>
    <x v="0"/>
    <x v="1"/>
    <x v="1"/>
    <x v="1"/>
  </r>
  <r>
    <d v="2024-05-15T00:00:00"/>
    <x v="5"/>
    <x v="1"/>
    <x v="10"/>
    <x v="12"/>
    <x v="2"/>
    <d v="2024-05-15T00:00:00"/>
    <x v="69"/>
    <x v="5"/>
    <x v="2"/>
    <x v="0"/>
    <x v="1"/>
    <x v="1"/>
    <x v="1"/>
  </r>
  <r>
    <d v="2024-05-15T00:00:00"/>
    <x v="5"/>
    <x v="0"/>
    <x v="169"/>
    <x v="11"/>
    <x v="5"/>
    <d v="2024-05-15T00:00:00"/>
    <x v="69"/>
    <x v="5"/>
    <x v="2"/>
    <x v="0"/>
    <x v="1"/>
    <x v="1"/>
    <x v="1"/>
  </r>
  <r>
    <d v="2024-05-15T00:00:00"/>
    <x v="5"/>
    <x v="0"/>
    <x v="12"/>
    <x v="11"/>
    <x v="5"/>
    <d v="2024-05-15T00:00:00"/>
    <x v="69"/>
    <x v="5"/>
    <x v="2"/>
    <x v="0"/>
    <x v="1"/>
    <x v="1"/>
    <x v="1"/>
  </r>
  <r>
    <d v="2024-05-15T00:00:00"/>
    <x v="5"/>
    <x v="0"/>
    <x v="170"/>
    <x v="14"/>
    <x v="6"/>
    <d v="2024-05-15T00:00:00"/>
    <x v="69"/>
    <x v="5"/>
    <x v="2"/>
    <x v="0"/>
    <x v="1"/>
    <x v="1"/>
    <x v="1"/>
  </r>
  <r>
    <d v="2024-05-15T00:00:00"/>
    <x v="5"/>
    <x v="0"/>
    <x v="171"/>
    <x v="10"/>
    <x v="7"/>
    <d v="2024-05-15T00:00:00"/>
    <x v="69"/>
    <x v="5"/>
    <x v="2"/>
    <x v="0"/>
    <x v="1"/>
    <x v="1"/>
    <x v="1"/>
  </r>
  <r>
    <d v="2024-05-16T00:00:00"/>
    <x v="6"/>
    <x v="0"/>
    <x v="97"/>
    <x v="8"/>
    <x v="3"/>
    <d v="2024-05-16T00:00:00"/>
    <x v="70"/>
    <x v="6"/>
    <x v="2"/>
    <x v="0"/>
    <x v="1"/>
    <x v="1"/>
    <x v="1"/>
  </r>
  <r>
    <d v="2024-05-16T00:00:00"/>
    <x v="6"/>
    <x v="0"/>
    <x v="172"/>
    <x v="8"/>
    <x v="3"/>
    <d v="2024-05-16T00:00:00"/>
    <x v="70"/>
    <x v="6"/>
    <x v="2"/>
    <x v="0"/>
    <x v="1"/>
    <x v="1"/>
    <x v="1"/>
  </r>
  <r>
    <d v="2024-05-16T00:00:00"/>
    <x v="6"/>
    <x v="1"/>
    <x v="10"/>
    <x v="9"/>
    <x v="0"/>
    <d v="2024-05-16T00:00:00"/>
    <x v="70"/>
    <x v="6"/>
    <x v="2"/>
    <x v="0"/>
    <x v="1"/>
    <x v="1"/>
    <x v="1"/>
  </r>
  <r>
    <d v="2024-05-16T00:00:00"/>
    <x v="6"/>
    <x v="1"/>
    <x v="10"/>
    <x v="9"/>
    <x v="7"/>
    <d v="2024-05-16T00:00:00"/>
    <x v="70"/>
    <x v="6"/>
    <x v="2"/>
    <x v="0"/>
    <x v="1"/>
    <x v="1"/>
    <x v="1"/>
  </r>
  <r>
    <d v="2024-05-16T00:00:00"/>
    <x v="6"/>
    <x v="0"/>
    <x v="173"/>
    <x v="8"/>
    <x v="3"/>
    <d v="2024-05-16T00:00:00"/>
    <x v="70"/>
    <x v="6"/>
    <x v="2"/>
    <x v="0"/>
    <x v="1"/>
    <x v="1"/>
    <x v="1"/>
  </r>
  <r>
    <d v="2024-05-16T00:00:00"/>
    <x v="6"/>
    <x v="0"/>
    <x v="174"/>
    <x v="10"/>
    <x v="1"/>
    <d v="2024-05-16T00:00:00"/>
    <x v="70"/>
    <x v="6"/>
    <x v="2"/>
    <x v="0"/>
    <x v="1"/>
    <x v="1"/>
    <x v="1"/>
  </r>
  <r>
    <d v="2024-05-16T00:00:00"/>
    <x v="6"/>
    <x v="0"/>
    <x v="69"/>
    <x v="10"/>
    <x v="0"/>
    <d v="2024-05-16T00:00:00"/>
    <x v="70"/>
    <x v="6"/>
    <x v="2"/>
    <x v="0"/>
    <x v="1"/>
    <x v="1"/>
    <x v="1"/>
  </r>
  <r>
    <d v="2024-05-16T00:00:00"/>
    <x v="6"/>
    <x v="0"/>
    <x v="175"/>
    <x v="10"/>
    <x v="1"/>
    <d v="2024-05-16T00:00:00"/>
    <x v="70"/>
    <x v="6"/>
    <x v="2"/>
    <x v="0"/>
    <x v="1"/>
    <x v="1"/>
    <x v="1"/>
  </r>
  <r>
    <d v="2024-05-16T00:00:00"/>
    <x v="6"/>
    <x v="0"/>
    <x v="175"/>
    <x v="10"/>
    <x v="0"/>
    <d v="2024-05-16T00:00:00"/>
    <x v="70"/>
    <x v="6"/>
    <x v="2"/>
    <x v="0"/>
    <x v="1"/>
    <x v="1"/>
    <x v="1"/>
  </r>
  <r>
    <d v="2024-05-17T00:00:00"/>
    <x v="0"/>
    <x v="0"/>
    <x v="33"/>
    <x v="11"/>
    <x v="2"/>
    <d v="2024-05-17T00:00:00"/>
    <x v="71"/>
    <x v="0"/>
    <x v="2"/>
    <x v="0"/>
    <x v="1"/>
    <x v="1"/>
    <x v="1"/>
  </r>
  <r>
    <d v="2024-05-17T00:00:00"/>
    <x v="0"/>
    <x v="0"/>
    <x v="164"/>
    <x v="8"/>
    <x v="3"/>
    <d v="2024-05-17T00:00:00"/>
    <x v="71"/>
    <x v="0"/>
    <x v="2"/>
    <x v="0"/>
    <x v="1"/>
    <x v="1"/>
    <x v="1"/>
  </r>
  <r>
    <d v="2024-05-17T00:00:00"/>
    <x v="0"/>
    <x v="1"/>
    <x v="10"/>
    <x v="13"/>
    <x v="3"/>
    <d v="2024-05-17T00:00:00"/>
    <x v="71"/>
    <x v="0"/>
    <x v="2"/>
    <x v="0"/>
    <x v="1"/>
    <x v="1"/>
    <x v="1"/>
  </r>
  <r>
    <d v="2024-05-17T00:00:00"/>
    <x v="0"/>
    <x v="0"/>
    <x v="12"/>
    <x v="8"/>
    <x v="3"/>
    <d v="2024-05-17T00:00:00"/>
    <x v="71"/>
    <x v="0"/>
    <x v="2"/>
    <x v="0"/>
    <x v="1"/>
    <x v="1"/>
    <x v="1"/>
  </r>
  <r>
    <d v="2024-05-17T00:00:00"/>
    <x v="0"/>
    <x v="0"/>
    <x v="8"/>
    <x v="10"/>
    <x v="7"/>
    <d v="2024-05-17T00:00:00"/>
    <x v="71"/>
    <x v="0"/>
    <x v="2"/>
    <x v="0"/>
    <x v="1"/>
    <x v="1"/>
    <x v="1"/>
  </r>
  <r>
    <d v="2024-05-17T00:00:00"/>
    <x v="0"/>
    <x v="0"/>
    <x v="176"/>
    <x v="10"/>
    <x v="7"/>
    <d v="2024-05-17T00:00:00"/>
    <x v="71"/>
    <x v="0"/>
    <x v="2"/>
    <x v="0"/>
    <x v="1"/>
    <x v="1"/>
    <x v="1"/>
  </r>
  <r>
    <d v="2024-05-17T00:00:00"/>
    <x v="0"/>
    <x v="0"/>
    <x v="177"/>
    <x v="11"/>
    <x v="2"/>
    <d v="2024-05-17T00:00:00"/>
    <x v="71"/>
    <x v="0"/>
    <x v="2"/>
    <x v="0"/>
    <x v="1"/>
    <x v="1"/>
    <x v="1"/>
  </r>
  <r>
    <d v="2024-05-17T00:00:00"/>
    <x v="0"/>
    <x v="0"/>
    <x v="178"/>
    <x v="10"/>
    <x v="0"/>
    <d v="2024-05-17T00:00:00"/>
    <x v="71"/>
    <x v="0"/>
    <x v="2"/>
    <x v="0"/>
    <x v="1"/>
    <x v="1"/>
    <x v="1"/>
  </r>
  <r>
    <d v="2024-05-17T00:00:00"/>
    <x v="0"/>
    <x v="0"/>
    <x v="179"/>
    <x v="10"/>
    <x v="0"/>
    <d v="2024-05-17T00:00:00"/>
    <x v="71"/>
    <x v="0"/>
    <x v="2"/>
    <x v="0"/>
    <x v="1"/>
    <x v="1"/>
    <x v="1"/>
  </r>
  <r>
    <d v="2024-05-18T00:00:00"/>
    <x v="1"/>
    <x v="0"/>
    <x v="180"/>
    <x v="10"/>
    <x v="7"/>
    <d v="2024-05-18T00:00:00"/>
    <x v="72"/>
    <x v="1"/>
    <x v="2"/>
    <x v="0"/>
    <x v="1"/>
    <x v="1"/>
    <x v="1"/>
  </r>
  <r>
    <d v="2024-05-18T00:00:00"/>
    <x v="1"/>
    <x v="0"/>
    <x v="181"/>
    <x v="8"/>
    <x v="3"/>
    <d v="2024-05-18T00:00:00"/>
    <x v="72"/>
    <x v="1"/>
    <x v="2"/>
    <x v="0"/>
    <x v="1"/>
    <x v="1"/>
    <x v="1"/>
  </r>
  <r>
    <d v="2024-05-18T00:00:00"/>
    <x v="1"/>
    <x v="0"/>
    <x v="172"/>
    <x v="8"/>
    <x v="3"/>
    <d v="2024-05-18T00:00:00"/>
    <x v="72"/>
    <x v="1"/>
    <x v="2"/>
    <x v="0"/>
    <x v="1"/>
    <x v="1"/>
    <x v="1"/>
  </r>
  <r>
    <d v="2024-05-18T00:00:00"/>
    <x v="1"/>
    <x v="0"/>
    <x v="97"/>
    <x v="8"/>
    <x v="3"/>
    <d v="2024-05-18T00:00:00"/>
    <x v="72"/>
    <x v="1"/>
    <x v="2"/>
    <x v="0"/>
    <x v="1"/>
    <x v="1"/>
    <x v="1"/>
  </r>
  <r>
    <d v="2024-05-18T00:00:00"/>
    <x v="1"/>
    <x v="0"/>
    <x v="40"/>
    <x v="8"/>
    <x v="3"/>
    <d v="2024-05-18T00:00:00"/>
    <x v="72"/>
    <x v="1"/>
    <x v="2"/>
    <x v="0"/>
    <x v="1"/>
    <x v="1"/>
    <x v="1"/>
  </r>
  <r>
    <d v="2024-05-18T00:00:00"/>
    <x v="1"/>
    <x v="0"/>
    <x v="8"/>
    <x v="10"/>
    <x v="0"/>
    <d v="2024-05-18T00:00:00"/>
    <x v="72"/>
    <x v="1"/>
    <x v="2"/>
    <x v="0"/>
    <x v="1"/>
    <x v="1"/>
    <x v="1"/>
  </r>
  <r>
    <d v="2024-05-18T00:00:00"/>
    <x v="1"/>
    <x v="1"/>
    <x v="10"/>
    <x v="9"/>
    <x v="7"/>
    <d v="2024-05-18T00:00:00"/>
    <x v="72"/>
    <x v="1"/>
    <x v="2"/>
    <x v="0"/>
    <x v="1"/>
    <x v="1"/>
    <x v="1"/>
  </r>
  <r>
    <d v="2024-05-19T00:00:00"/>
    <x v="2"/>
    <x v="0"/>
    <x v="182"/>
    <x v="11"/>
    <x v="2"/>
    <d v="2024-05-19T00:00:00"/>
    <x v="73"/>
    <x v="2"/>
    <x v="2"/>
    <x v="0"/>
    <x v="1"/>
    <x v="1"/>
    <x v="1"/>
  </r>
  <r>
    <d v="2024-05-19T00:00:00"/>
    <x v="2"/>
    <x v="0"/>
    <x v="183"/>
    <x v="10"/>
    <x v="7"/>
    <d v="2024-05-19T00:00:00"/>
    <x v="73"/>
    <x v="2"/>
    <x v="2"/>
    <x v="0"/>
    <x v="1"/>
    <x v="1"/>
    <x v="1"/>
  </r>
  <r>
    <d v="2024-05-19T00:00:00"/>
    <x v="2"/>
    <x v="1"/>
    <x v="10"/>
    <x v="4"/>
    <x v="6"/>
    <d v="2024-05-19T00:00:00"/>
    <x v="73"/>
    <x v="2"/>
    <x v="2"/>
    <x v="0"/>
    <x v="1"/>
    <x v="1"/>
    <x v="1"/>
  </r>
  <r>
    <d v="2024-05-19T00:00:00"/>
    <x v="2"/>
    <x v="0"/>
    <x v="184"/>
    <x v="8"/>
    <x v="3"/>
    <d v="2024-05-19T00:00:00"/>
    <x v="73"/>
    <x v="2"/>
    <x v="2"/>
    <x v="0"/>
    <x v="1"/>
    <x v="1"/>
    <x v="1"/>
  </r>
  <r>
    <d v="2024-05-19T00:00:00"/>
    <x v="2"/>
    <x v="0"/>
    <x v="12"/>
    <x v="11"/>
    <x v="2"/>
    <d v="2024-05-19T00:00:00"/>
    <x v="73"/>
    <x v="2"/>
    <x v="2"/>
    <x v="0"/>
    <x v="1"/>
    <x v="1"/>
    <x v="1"/>
  </r>
  <r>
    <d v="2024-05-19T00:00:00"/>
    <x v="2"/>
    <x v="0"/>
    <x v="185"/>
    <x v="8"/>
    <x v="3"/>
    <d v="2024-05-19T00:00:00"/>
    <x v="73"/>
    <x v="2"/>
    <x v="2"/>
    <x v="0"/>
    <x v="1"/>
    <x v="1"/>
    <x v="1"/>
  </r>
  <r>
    <d v="2024-05-19T00:00:00"/>
    <x v="2"/>
    <x v="0"/>
    <x v="186"/>
    <x v="8"/>
    <x v="3"/>
    <d v="2024-05-19T00:00:00"/>
    <x v="73"/>
    <x v="2"/>
    <x v="2"/>
    <x v="0"/>
    <x v="1"/>
    <x v="1"/>
    <x v="1"/>
  </r>
  <r>
    <d v="2024-05-19T00:00:00"/>
    <x v="2"/>
    <x v="0"/>
    <x v="186"/>
    <x v="14"/>
    <x v="6"/>
    <d v="2024-05-19T00:00:00"/>
    <x v="73"/>
    <x v="2"/>
    <x v="2"/>
    <x v="0"/>
    <x v="1"/>
    <x v="1"/>
    <x v="1"/>
  </r>
  <r>
    <d v="2024-05-19T00:00:00"/>
    <x v="2"/>
    <x v="0"/>
    <x v="186"/>
    <x v="10"/>
    <x v="1"/>
    <d v="2024-05-19T00:00:00"/>
    <x v="73"/>
    <x v="2"/>
    <x v="2"/>
    <x v="0"/>
    <x v="1"/>
    <x v="1"/>
    <x v="1"/>
  </r>
  <r>
    <d v="2024-05-19T00:00:00"/>
    <x v="2"/>
    <x v="0"/>
    <x v="187"/>
    <x v="10"/>
    <x v="7"/>
    <d v="2024-05-19T00:00:00"/>
    <x v="73"/>
    <x v="2"/>
    <x v="2"/>
    <x v="0"/>
    <x v="1"/>
    <x v="1"/>
    <x v="1"/>
  </r>
  <r>
    <d v="2024-05-19T00:00:00"/>
    <x v="2"/>
    <x v="0"/>
    <x v="188"/>
    <x v="10"/>
    <x v="7"/>
    <d v="2024-05-19T00:00:00"/>
    <x v="73"/>
    <x v="2"/>
    <x v="2"/>
    <x v="0"/>
    <x v="1"/>
    <x v="1"/>
    <x v="1"/>
  </r>
  <r>
    <d v="2024-05-19T00:00:00"/>
    <x v="2"/>
    <x v="0"/>
    <x v="189"/>
    <x v="10"/>
    <x v="7"/>
    <d v="2024-05-19T00:00:00"/>
    <x v="73"/>
    <x v="2"/>
    <x v="2"/>
    <x v="0"/>
    <x v="1"/>
    <x v="1"/>
    <x v="1"/>
  </r>
  <r>
    <d v="2024-05-20T00:00:00"/>
    <x v="3"/>
    <x v="0"/>
    <x v="190"/>
    <x v="8"/>
    <x v="3"/>
    <d v="2024-05-20T00:00:00"/>
    <x v="74"/>
    <x v="3"/>
    <x v="2"/>
    <x v="0"/>
    <x v="1"/>
    <x v="1"/>
    <x v="1"/>
  </r>
  <r>
    <d v="2024-05-20T00:00:00"/>
    <x v="3"/>
    <x v="0"/>
    <x v="191"/>
    <x v="10"/>
    <x v="0"/>
    <d v="2024-05-20T00:00:00"/>
    <x v="74"/>
    <x v="3"/>
    <x v="2"/>
    <x v="0"/>
    <x v="1"/>
    <x v="1"/>
    <x v="1"/>
  </r>
  <r>
    <d v="2024-05-20T00:00:00"/>
    <x v="3"/>
    <x v="0"/>
    <x v="0"/>
    <x v="10"/>
    <x v="0"/>
    <d v="2024-05-20T00:00:00"/>
    <x v="74"/>
    <x v="3"/>
    <x v="2"/>
    <x v="0"/>
    <x v="1"/>
    <x v="1"/>
    <x v="1"/>
  </r>
  <r>
    <d v="2024-05-20T00:00:00"/>
    <x v="3"/>
    <x v="0"/>
    <x v="143"/>
    <x v="11"/>
    <x v="2"/>
    <d v="2024-05-20T00:00:00"/>
    <x v="74"/>
    <x v="3"/>
    <x v="2"/>
    <x v="0"/>
    <x v="1"/>
    <x v="1"/>
    <x v="1"/>
  </r>
  <r>
    <d v="2024-05-20T00:00:00"/>
    <x v="3"/>
    <x v="0"/>
    <x v="2"/>
    <x v="11"/>
    <x v="2"/>
    <d v="2024-05-20T00:00:00"/>
    <x v="74"/>
    <x v="3"/>
    <x v="2"/>
    <x v="0"/>
    <x v="1"/>
    <x v="1"/>
    <x v="1"/>
  </r>
  <r>
    <d v="2024-05-20T00:00:00"/>
    <x v="3"/>
    <x v="0"/>
    <x v="192"/>
    <x v="8"/>
    <x v="3"/>
    <d v="2024-05-20T00:00:00"/>
    <x v="74"/>
    <x v="3"/>
    <x v="2"/>
    <x v="0"/>
    <x v="1"/>
    <x v="1"/>
    <x v="1"/>
  </r>
  <r>
    <d v="2024-05-20T00:00:00"/>
    <x v="3"/>
    <x v="0"/>
    <x v="192"/>
    <x v="10"/>
    <x v="7"/>
    <d v="2024-05-20T00:00:00"/>
    <x v="74"/>
    <x v="3"/>
    <x v="2"/>
    <x v="0"/>
    <x v="1"/>
    <x v="1"/>
    <x v="1"/>
  </r>
  <r>
    <d v="2024-05-20T00:00:00"/>
    <x v="3"/>
    <x v="1"/>
    <x v="10"/>
    <x v="12"/>
    <x v="2"/>
    <d v="2024-05-20T00:00:00"/>
    <x v="74"/>
    <x v="3"/>
    <x v="2"/>
    <x v="0"/>
    <x v="1"/>
    <x v="1"/>
    <x v="1"/>
  </r>
  <r>
    <d v="2024-05-20T00:00:00"/>
    <x v="3"/>
    <x v="0"/>
    <x v="120"/>
    <x v="10"/>
    <x v="0"/>
    <d v="2024-05-20T00:00:00"/>
    <x v="74"/>
    <x v="3"/>
    <x v="2"/>
    <x v="0"/>
    <x v="1"/>
    <x v="1"/>
    <x v="1"/>
  </r>
  <r>
    <d v="2024-05-20T00:00:00"/>
    <x v="3"/>
    <x v="0"/>
    <x v="193"/>
    <x v="10"/>
    <x v="0"/>
    <d v="2024-05-20T00:00:00"/>
    <x v="74"/>
    <x v="3"/>
    <x v="2"/>
    <x v="0"/>
    <x v="1"/>
    <x v="1"/>
    <x v="1"/>
  </r>
  <r>
    <d v="2024-05-20T00:00:00"/>
    <x v="3"/>
    <x v="0"/>
    <x v="194"/>
    <x v="8"/>
    <x v="3"/>
    <d v="2024-05-20T00:00:00"/>
    <x v="74"/>
    <x v="3"/>
    <x v="2"/>
    <x v="0"/>
    <x v="1"/>
    <x v="1"/>
    <x v="1"/>
  </r>
  <r>
    <d v="2024-05-20T00:00:00"/>
    <x v="3"/>
    <x v="0"/>
    <x v="194"/>
    <x v="10"/>
    <x v="4"/>
    <d v="2024-05-20T00:00:00"/>
    <x v="74"/>
    <x v="3"/>
    <x v="2"/>
    <x v="0"/>
    <x v="1"/>
    <x v="1"/>
    <x v="1"/>
  </r>
  <r>
    <d v="2024-05-20T00:00:00"/>
    <x v="3"/>
    <x v="0"/>
    <x v="195"/>
    <x v="11"/>
    <x v="5"/>
    <d v="2024-05-20T00:00:00"/>
    <x v="74"/>
    <x v="3"/>
    <x v="2"/>
    <x v="0"/>
    <x v="1"/>
    <x v="1"/>
    <x v="1"/>
  </r>
  <r>
    <d v="2024-05-20T00:00:00"/>
    <x v="3"/>
    <x v="0"/>
    <x v="12"/>
    <x v="8"/>
    <x v="3"/>
    <d v="2024-05-20T00:00:00"/>
    <x v="74"/>
    <x v="3"/>
    <x v="2"/>
    <x v="0"/>
    <x v="1"/>
    <x v="1"/>
    <x v="1"/>
  </r>
  <r>
    <d v="2024-05-21T00:00:00"/>
    <x v="4"/>
    <x v="0"/>
    <x v="196"/>
    <x v="10"/>
    <x v="0"/>
    <d v="2024-05-21T00:00:00"/>
    <x v="75"/>
    <x v="4"/>
    <x v="2"/>
    <x v="0"/>
    <x v="1"/>
    <x v="1"/>
    <x v="1"/>
  </r>
  <r>
    <d v="2024-05-21T00:00:00"/>
    <x v="4"/>
    <x v="1"/>
    <x v="10"/>
    <x v="12"/>
    <x v="2"/>
    <d v="2024-05-21T00:00:00"/>
    <x v="75"/>
    <x v="4"/>
    <x v="2"/>
    <x v="0"/>
    <x v="1"/>
    <x v="1"/>
    <x v="1"/>
  </r>
  <r>
    <d v="2024-05-21T00:00:00"/>
    <x v="4"/>
    <x v="1"/>
    <x v="10"/>
    <x v="13"/>
    <x v="3"/>
    <d v="2024-05-21T00:00:00"/>
    <x v="75"/>
    <x v="4"/>
    <x v="2"/>
    <x v="0"/>
    <x v="1"/>
    <x v="1"/>
    <x v="1"/>
  </r>
  <r>
    <d v="2024-05-21T00:00:00"/>
    <x v="4"/>
    <x v="1"/>
    <x v="10"/>
    <x v="9"/>
    <x v="4"/>
    <d v="2024-05-21T00:00:00"/>
    <x v="75"/>
    <x v="4"/>
    <x v="2"/>
    <x v="0"/>
    <x v="1"/>
    <x v="1"/>
    <x v="1"/>
  </r>
  <r>
    <d v="2024-05-21T00:00:00"/>
    <x v="4"/>
    <x v="1"/>
    <x v="10"/>
    <x v="9"/>
    <x v="0"/>
    <d v="2024-05-21T00:00:00"/>
    <x v="75"/>
    <x v="4"/>
    <x v="2"/>
    <x v="0"/>
    <x v="1"/>
    <x v="1"/>
    <x v="1"/>
  </r>
  <r>
    <d v="2024-05-21T00:00:00"/>
    <x v="4"/>
    <x v="0"/>
    <x v="197"/>
    <x v="10"/>
    <x v="0"/>
    <d v="2024-05-21T00:00:00"/>
    <x v="75"/>
    <x v="4"/>
    <x v="2"/>
    <x v="0"/>
    <x v="1"/>
    <x v="1"/>
    <x v="1"/>
  </r>
  <r>
    <d v="2024-05-21T00:00:00"/>
    <x v="4"/>
    <x v="0"/>
    <x v="12"/>
    <x v="14"/>
    <x v="6"/>
    <d v="2024-05-21T00:00:00"/>
    <x v="75"/>
    <x v="4"/>
    <x v="2"/>
    <x v="0"/>
    <x v="1"/>
    <x v="1"/>
    <x v="1"/>
  </r>
  <r>
    <d v="2024-05-21T00:00:00"/>
    <x v="4"/>
    <x v="0"/>
    <x v="198"/>
    <x v="10"/>
    <x v="7"/>
    <d v="2024-05-21T00:00:00"/>
    <x v="75"/>
    <x v="4"/>
    <x v="2"/>
    <x v="0"/>
    <x v="1"/>
    <x v="1"/>
    <x v="1"/>
  </r>
  <r>
    <d v="2024-05-21T00:00:00"/>
    <x v="4"/>
    <x v="0"/>
    <x v="199"/>
    <x v="10"/>
    <x v="7"/>
    <d v="2024-05-21T00:00:00"/>
    <x v="75"/>
    <x v="4"/>
    <x v="2"/>
    <x v="0"/>
    <x v="1"/>
    <x v="1"/>
    <x v="1"/>
  </r>
  <r>
    <d v="2024-05-22T00:00:00"/>
    <x v="5"/>
    <x v="0"/>
    <x v="200"/>
    <x v="10"/>
    <x v="7"/>
    <d v="2024-05-22T00:00:00"/>
    <x v="76"/>
    <x v="5"/>
    <x v="2"/>
    <x v="0"/>
    <x v="1"/>
    <x v="1"/>
    <x v="1"/>
  </r>
  <r>
    <d v="2024-05-22T00:00:00"/>
    <x v="5"/>
    <x v="0"/>
    <x v="191"/>
    <x v="8"/>
    <x v="3"/>
    <d v="2024-05-22T00:00:00"/>
    <x v="76"/>
    <x v="5"/>
    <x v="2"/>
    <x v="0"/>
    <x v="1"/>
    <x v="1"/>
    <x v="1"/>
  </r>
  <r>
    <d v="2024-05-22T00:00:00"/>
    <x v="5"/>
    <x v="0"/>
    <x v="141"/>
    <x v="11"/>
    <x v="5"/>
    <d v="2024-05-22T00:00:00"/>
    <x v="76"/>
    <x v="5"/>
    <x v="2"/>
    <x v="0"/>
    <x v="1"/>
    <x v="1"/>
    <x v="1"/>
  </r>
  <r>
    <d v="2024-05-22T00:00:00"/>
    <x v="5"/>
    <x v="0"/>
    <x v="97"/>
    <x v="8"/>
    <x v="3"/>
    <d v="2024-05-22T00:00:00"/>
    <x v="76"/>
    <x v="5"/>
    <x v="2"/>
    <x v="0"/>
    <x v="1"/>
    <x v="1"/>
    <x v="1"/>
  </r>
  <r>
    <d v="2024-05-22T00:00:00"/>
    <x v="5"/>
    <x v="0"/>
    <x v="12"/>
    <x v="11"/>
    <x v="2"/>
    <d v="2024-05-22T00:00:00"/>
    <x v="76"/>
    <x v="5"/>
    <x v="2"/>
    <x v="0"/>
    <x v="1"/>
    <x v="1"/>
    <x v="1"/>
  </r>
  <r>
    <d v="2024-05-22T00:00:00"/>
    <x v="5"/>
    <x v="0"/>
    <x v="8"/>
    <x v="8"/>
    <x v="3"/>
    <d v="2024-05-22T00:00:00"/>
    <x v="76"/>
    <x v="5"/>
    <x v="2"/>
    <x v="0"/>
    <x v="1"/>
    <x v="1"/>
    <x v="1"/>
  </r>
  <r>
    <d v="2024-05-22T00:00:00"/>
    <x v="5"/>
    <x v="0"/>
    <x v="134"/>
    <x v="10"/>
    <x v="7"/>
    <d v="2024-05-22T00:00:00"/>
    <x v="76"/>
    <x v="5"/>
    <x v="2"/>
    <x v="0"/>
    <x v="1"/>
    <x v="1"/>
    <x v="1"/>
  </r>
  <r>
    <d v="2024-05-22T00:00:00"/>
    <x v="5"/>
    <x v="0"/>
    <x v="180"/>
    <x v="10"/>
    <x v="1"/>
    <d v="2024-05-22T00:00:00"/>
    <x v="76"/>
    <x v="5"/>
    <x v="2"/>
    <x v="0"/>
    <x v="1"/>
    <x v="1"/>
    <x v="1"/>
  </r>
  <r>
    <d v="2024-05-22T00:00:00"/>
    <x v="5"/>
    <x v="0"/>
    <x v="180"/>
    <x v="10"/>
    <x v="7"/>
    <d v="2024-05-22T00:00:00"/>
    <x v="76"/>
    <x v="5"/>
    <x v="2"/>
    <x v="0"/>
    <x v="1"/>
    <x v="1"/>
    <x v="1"/>
  </r>
  <r>
    <d v="2024-05-23T00:00:00"/>
    <x v="6"/>
    <x v="0"/>
    <x v="201"/>
    <x v="10"/>
    <x v="7"/>
    <d v="2024-05-23T00:00:00"/>
    <x v="77"/>
    <x v="6"/>
    <x v="2"/>
    <x v="0"/>
    <x v="1"/>
    <x v="1"/>
    <x v="1"/>
  </r>
  <r>
    <d v="2024-05-23T00:00:00"/>
    <x v="6"/>
    <x v="0"/>
    <x v="202"/>
    <x v="14"/>
    <x v="6"/>
    <d v="2024-05-23T00:00:00"/>
    <x v="77"/>
    <x v="6"/>
    <x v="2"/>
    <x v="0"/>
    <x v="1"/>
    <x v="1"/>
    <x v="1"/>
  </r>
  <r>
    <d v="2024-05-23T00:00:00"/>
    <x v="6"/>
    <x v="0"/>
    <x v="180"/>
    <x v="10"/>
    <x v="7"/>
    <d v="2024-05-23T00:00:00"/>
    <x v="77"/>
    <x v="6"/>
    <x v="2"/>
    <x v="0"/>
    <x v="1"/>
    <x v="1"/>
    <x v="1"/>
  </r>
  <r>
    <d v="2024-05-23T00:00:00"/>
    <x v="6"/>
    <x v="0"/>
    <x v="203"/>
    <x v="10"/>
    <x v="7"/>
    <d v="2024-05-23T00:00:00"/>
    <x v="77"/>
    <x v="6"/>
    <x v="2"/>
    <x v="0"/>
    <x v="1"/>
    <x v="1"/>
    <x v="1"/>
  </r>
  <r>
    <d v="2024-05-23T00:00:00"/>
    <x v="6"/>
    <x v="0"/>
    <x v="77"/>
    <x v="10"/>
    <x v="0"/>
    <d v="2024-05-23T00:00:00"/>
    <x v="77"/>
    <x v="6"/>
    <x v="2"/>
    <x v="0"/>
    <x v="1"/>
    <x v="1"/>
    <x v="1"/>
  </r>
  <r>
    <d v="2024-05-23T00:00:00"/>
    <x v="6"/>
    <x v="0"/>
    <x v="153"/>
    <x v="10"/>
    <x v="7"/>
    <d v="2024-05-23T00:00:00"/>
    <x v="77"/>
    <x v="6"/>
    <x v="2"/>
    <x v="0"/>
    <x v="1"/>
    <x v="1"/>
    <x v="1"/>
  </r>
  <r>
    <d v="2024-05-23T00:00:00"/>
    <x v="6"/>
    <x v="0"/>
    <x v="153"/>
    <x v="10"/>
    <x v="0"/>
    <d v="2024-05-23T00:00:00"/>
    <x v="77"/>
    <x v="6"/>
    <x v="2"/>
    <x v="0"/>
    <x v="1"/>
    <x v="1"/>
    <x v="1"/>
  </r>
  <r>
    <d v="2024-05-23T00:00:00"/>
    <x v="6"/>
    <x v="0"/>
    <x v="204"/>
    <x v="11"/>
    <x v="5"/>
    <d v="2024-05-23T00:00:00"/>
    <x v="77"/>
    <x v="6"/>
    <x v="2"/>
    <x v="0"/>
    <x v="1"/>
    <x v="1"/>
    <x v="1"/>
  </r>
  <r>
    <d v="2024-05-23T00:00:00"/>
    <x v="6"/>
    <x v="0"/>
    <x v="134"/>
    <x v="10"/>
    <x v="7"/>
    <d v="2024-05-23T00:00:00"/>
    <x v="77"/>
    <x v="6"/>
    <x v="2"/>
    <x v="0"/>
    <x v="1"/>
    <x v="1"/>
    <x v="1"/>
  </r>
  <r>
    <d v="2024-05-23T00:00:00"/>
    <x v="6"/>
    <x v="0"/>
    <x v="205"/>
    <x v="10"/>
    <x v="7"/>
    <d v="2024-05-23T00:00:00"/>
    <x v="77"/>
    <x v="6"/>
    <x v="2"/>
    <x v="0"/>
    <x v="1"/>
    <x v="1"/>
    <x v="1"/>
  </r>
  <r>
    <d v="2024-05-23T00:00:00"/>
    <x v="6"/>
    <x v="0"/>
    <x v="206"/>
    <x v="10"/>
    <x v="7"/>
    <d v="2024-05-23T00:00:00"/>
    <x v="77"/>
    <x v="6"/>
    <x v="2"/>
    <x v="0"/>
    <x v="1"/>
    <x v="1"/>
    <x v="1"/>
  </r>
  <r>
    <d v="2024-05-23T00:00:00"/>
    <x v="6"/>
    <x v="0"/>
    <x v="207"/>
    <x v="10"/>
    <x v="7"/>
    <d v="2024-05-23T00:00:00"/>
    <x v="77"/>
    <x v="6"/>
    <x v="2"/>
    <x v="0"/>
    <x v="1"/>
    <x v="1"/>
    <x v="1"/>
  </r>
  <r>
    <d v="2024-05-23T00:00:00"/>
    <x v="6"/>
    <x v="0"/>
    <x v="207"/>
    <x v="10"/>
    <x v="0"/>
    <d v="2024-05-23T00:00:00"/>
    <x v="77"/>
    <x v="6"/>
    <x v="2"/>
    <x v="0"/>
    <x v="1"/>
    <x v="1"/>
    <x v="1"/>
  </r>
  <r>
    <d v="2024-05-23T00:00:00"/>
    <x v="6"/>
    <x v="0"/>
    <x v="208"/>
    <x v="8"/>
    <x v="3"/>
    <d v="2024-05-23T00:00:00"/>
    <x v="77"/>
    <x v="6"/>
    <x v="2"/>
    <x v="0"/>
    <x v="1"/>
    <x v="1"/>
    <x v="1"/>
  </r>
  <r>
    <d v="2024-05-23T00:00:00"/>
    <x v="6"/>
    <x v="1"/>
    <x v="10"/>
    <x v="9"/>
    <x v="1"/>
    <d v="2024-05-23T00:00:00"/>
    <x v="77"/>
    <x v="6"/>
    <x v="2"/>
    <x v="0"/>
    <x v="1"/>
    <x v="1"/>
    <x v="1"/>
  </r>
  <r>
    <d v="2024-05-24T00:00:00"/>
    <x v="0"/>
    <x v="0"/>
    <x v="141"/>
    <x v="11"/>
    <x v="5"/>
    <d v="2024-05-24T00:00:00"/>
    <x v="78"/>
    <x v="0"/>
    <x v="2"/>
    <x v="0"/>
    <x v="1"/>
    <x v="1"/>
    <x v="1"/>
  </r>
  <r>
    <d v="2024-05-24T00:00:00"/>
    <x v="0"/>
    <x v="0"/>
    <x v="12"/>
    <x v="11"/>
    <x v="2"/>
    <d v="2024-05-24T00:00:00"/>
    <x v="78"/>
    <x v="0"/>
    <x v="2"/>
    <x v="0"/>
    <x v="1"/>
    <x v="1"/>
    <x v="1"/>
  </r>
  <r>
    <d v="2024-05-24T00:00:00"/>
    <x v="0"/>
    <x v="0"/>
    <x v="81"/>
    <x v="10"/>
    <x v="1"/>
    <d v="2024-05-24T00:00:00"/>
    <x v="78"/>
    <x v="0"/>
    <x v="2"/>
    <x v="0"/>
    <x v="1"/>
    <x v="1"/>
    <x v="1"/>
  </r>
  <r>
    <d v="2024-05-24T00:00:00"/>
    <x v="0"/>
    <x v="0"/>
    <x v="209"/>
    <x v="11"/>
    <x v="5"/>
    <d v="2024-05-24T00:00:00"/>
    <x v="78"/>
    <x v="0"/>
    <x v="2"/>
    <x v="0"/>
    <x v="1"/>
    <x v="1"/>
    <x v="1"/>
  </r>
  <r>
    <d v="2024-05-24T00:00:00"/>
    <x v="0"/>
    <x v="0"/>
    <x v="210"/>
    <x v="8"/>
    <x v="3"/>
    <d v="2024-05-24T00:00:00"/>
    <x v="78"/>
    <x v="0"/>
    <x v="2"/>
    <x v="0"/>
    <x v="1"/>
    <x v="1"/>
    <x v="1"/>
  </r>
  <r>
    <d v="2024-05-25T00:00:00"/>
    <x v="1"/>
    <x v="1"/>
    <x v="10"/>
    <x v="12"/>
    <x v="2"/>
    <d v="2024-05-25T00:00:00"/>
    <x v="79"/>
    <x v="1"/>
    <x v="2"/>
    <x v="0"/>
    <x v="1"/>
    <x v="1"/>
    <x v="1"/>
  </r>
  <r>
    <d v="2024-05-25T00:00:00"/>
    <x v="1"/>
    <x v="0"/>
    <x v="211"/>
    <x v="10"/>
    <x v="0"/>
    <d v="2024-05-25T00:00:00"/>
    <x v="79"/>
    <x v="1"/>
    <x v="2"/>
    <x v="0"/>
    <x v="1"/>
    <x v="1"/>
    <x v="1"/>
  </r>
  <r>
    <d v="2024-05-25T00:00:00"/>
    <x v="1"/>
    <x v="0"/>
    <x v="212"/>
    <x v="8"/>
    <x v="3"/>
    <d v="2024-05-25T00:00:00"/>
    <x v="79"/>
    <x v="1"/>
    <x v="2"/>
    <x v="0"/>
    <x v="1"/>
    <x v="1"/>
    <x v="1"/>
  </r>
  <r>
    <d v="2024-05-25T00:00:00"/>
    <x v="1"/>
    <x v="0"/>
    <x v="213"/>
    <x v="8"/>
    <x v="3"/>
    <d v="2024-05-25T00:00:00"/>
    <x v="79"/>
    <x v="1"/>
    <x v="2"/>
    <x v="0"/>
    <x v="1"/>
    <x v="1"/>
    <x v="1"/>
  </r>
  <r>
    <d v="2024-05-25T00:00:00"/>
    <x v="1"/>
    <x v="0"/>
    <x v="40"/>
    <x v="8"/>
    <x v="3"/>
    <d v="2024-05-25T00:00:00"/>
    <x v="79"/>
    <x v="1"/>
    <x v="2"/>
    <x v="0"/>
    <x v="1"/>
    <x v="1"/>
    <x v="1"/>
  </r>
  <r>
    <d v="2024-05-25T00:00:00"/>
    <x v="1"/>
    <x v="0"/>
    <x v="40"/>
    <x v="11"/>
    <x v="2"/>
    <d v="2024-05-25T00:00:00"/>
    <x v="79"/>
    <x v="1"/>
    <x v="2"/>
    <x v="0"/>
    <x v="1"/>
    <x v="1"/>
    <x v="1"/>
  </r>
  <r>
    <d v="2024-05-26T00:00:00"/>
    <x v="2"/>
    <x v="0"/>
    <x v="0"/>
    <x v="10"/>
    <x v="0"/>
    <d v="2024-05-26T00:00:00"/>
    <x v="80"/>
    <x v="2"/>
    <x v="2"/>
    <x v="0"/>
    <x v="1"/>
    <x v="1"/>
    <x v="1"/>
  </r>
  <r>
    <d v="2024-05-26T00:00:00"/>
    <x v="2"/>
    <x v="0"/>
    <x v="214"/>
    <x v="8"/>
    <x v="3"/>
    <d v="2024-05-26T00:00:00"/>
    <x v="80"/>
    <x v="2"/>
    <x v="2"/>
    <x v="0"/>
    <x v="1"/>
    <x v="1"/>
    <x v="1"/>
  </r>
  <r>
    <d v="2024-05-26T00:00:00"/>
    <x v="2"/>
    <x v="0"/>
    <x v="215"/>
    <x v="11"/>
    <x v="5"/>
    <d v="2024-05-26T00:00:00"/>
    <x v="80"/>
    <x v="2"/>
    <x v="2"/>
    <x v="0"/>
    <x v="1"/>
    <x v="1"/>
    <x v="1"/>
  </r>
  <r>
    <d v="2024-05-26T00:00:00"/>
    <x v="2"/>
    <x v="0"/>
    <x v="216"/>
    <x v="8"/>
    <x v="3"/>
    <d v="2024-05-26T00:00:00"/>
    <x v="80"/>
    <x v="2"/>
    <x v="2"/>
    <x v="0"/>
    <x v="1"/>
    <x v="1"/>
    <x v="1"/>
  </r>
  <r>
    <d v="2024-05-26T00:00:00"/>
    <x v="2"/>
    <x v="0"/>
    <x v="217"/>
    <x v="10"/>
    <x v="7"/>
    <d v="2024-05-26T00:00:00"/>
    <x v="80"/>
    <x v="2"/>
    <x v="2"/>
    <x v="0"/>
    <x v="1"/>
    <x v="1"/>
    <x v="1"/>
  </r>
  <r>
    <d v="2024-05-26T00:00:00"/>
    <x v="2"/>
    <x v="0"/>
    <x v="218"/>
    <x v="10"/>
    <x v="1"/>
    <d v="2024-05-26T00:00:00"/>
    <x v="80"/>
    <x v="2"/>
    <x v="2"/>
    <x v="0"/>
    <x v="1"/>
    <x v="1"/>
    <x v="1"/>
  </r>
  <r>
    <d v="2024-05-26T00:00:00"/>
    <x v="2"/>
    <x v="0"/>
    <x v="218"/>
    <x v="11"/>
    <x v="2"/>
    <d v="2024-05-26T00:00:00"/>
    <x v="80"/>
    <x v="2"/>
    <x v="2"/>
    <x v="0"/>
    <x v="1"/>
    <x v="1"/>
    <x v="1"/>
  </r>
  <r>
    <d v="2024-05-26T00:00:00"/>
    <x v="2"/>
    <x v="0"/>
    <x v="219"/>
    <x v="10"/>
    <x v="0"/>
    <d v="2024-05-26T00:00:00"/>
    <x v="80"/>
    <x v="2"/>
    <x v="2"/>
    <x v="0"/>
    <x v="1"/>
    <x v="1"/>
    <x v="1"/>
  </r>
  <r>
    <d v="2024-05-26T00:00:00"/>
    <x v="2"/>
    <x v="0"/>
    <x v="220"/>
    <x v="10"/>
    <x v="1"/>
    <d v="2024-05-26T00:00:00"/>
    <x v="80"/>
    <x v="2"/>
    <x v="2"/>
    <x v="0"/>
    <x v="1"/>
    <x v="1"/>
    <x v="1"/>
  </r>
  <r>
    <d v="2024-05-26T00:00:00"/>
    <x v="2"/>
    <x v="0"/>
    <x v="220"/>
    <x v="10"/>
    <x v="7"/>
    <d v="2024-05-26T00:00:00"/>
    <x v="80"/>
    <x v="2"/>
    <x v="2"/>
    <x v="0"/>
    <x v="1"/>
    <x v="1"/>
    <x v="1"/>
  </r>
  <r>
    <d v="2024-05-26T00:00:00"/>
    <x v="2"/>
    <x v="0"/>
    <x v="221"/>
    <x v="11"/>
    <x v="5"/>
    <d v="2024-05-26T00:00:00"/>
    <x v="80"/>
    <x v="2"/>
    <x v="2"/>
    <x v="0"/>
    <x v="1"/>
    <x v="1"/>
    <x v="1"/>
  </r>
  <r>
    <d v="2024-05-26T00:00:00"/>
    <x v="2"/>
    <x v="0"/>
    <x v="222"/>
    <x v="10"/>
    <x v="7"/>
    <d v="2024-05-26T00:00:00"/>
    <x v="80"/>
    <x v="2"/>
    <x v="2"/>
    <x v="0"/>
    <x v="1"/>
    <x v="1"/>
    <x v="1"/>
  </r>
  <r>
    <d v="2024-05-26T00:00:00"/>
    <x v="2"/>
    <x v="0"/>
    <x v="221"/>
    <x v="10"/>
    <x v="0"/>
    <d v="2024-05-26T00:00:00"/>
    <x v="80"/>
    <x v="2"/>
    <x v="2"/>
    <x v="0"/>
    <x v="1"/>
    <x v="1"/>
    <x v="1"/>
  </r>
  <r>
    <d v="2024-05-26T00:00:00"/>
    <x v="2"/>
    <x v="0"/>
    <x v="223"/>
    <x v="10"/>
    <x v="7"/>
    <d v="2024-05-26T00:00:00"/>
    <x v="80"/>
    <x v="2"/>
    <x v="2"/>
    <x v="0"/>
    <x v="1"/>
    <x v="1"/>
    <x v="1"/>
  </r>
  <r>
    <d v="2024-05-27T00:00:00"/>
    <x v="3"/>
    <x v="0"/>
    <x v="12"/>
    <x v="11"/>
    <x v="2"/>
    <d v="2024-05-27T00:00:00"/>
    <x v="81"/>
    <x v="3"/>
    <x v="2"/>
    <x v="0"/>
    <x v="1"/>
    <x v="1"/>
    <x v="1"/>
  </r>
  <r>
    <d v="2024-05-27T00:00:00"/>
    <x v="3"/>
    <x v="0"/>
    <x v="224"/>
    <x v="8"/>
    <x v="3"/>
    <d v="2024-05-27T00:00:00"/>
    <x v="81"/>
    <x v="3"/>
    <x v="2"/>
    <x v="0"/>
    <x v="1"/>
    <x v="1"/>
    <x v="1"/>
  </r>
  <r>
    <d v="2024-05-27T00:00:00"/>
    <x v="3"/>
    <x v="0"/>
    <x v="224"/>
    <x v="10"/>
    <x v="4"/>
    <d v="2024-05-27T00:00:00"/>
    <x v="81"/>
    <x v="3"/>
    <x v="2"/>
    <x v="0"/>
    <x v="1"/>
    <x v="1"/>
    <x v="1"/>
  </r>
  <r>
    <d v="2024-05-27T00:00:00"/>
    <x v="3"/>
    <x v="0"/>
    <x v="225"/>
    <x v="11"/>
    <x v="2"/>
    <d v="2024-05-27T00:00:00"/>
    <x v="81"/>
    <x v="3"/>
    <x v="2"/>
    <x v="0"/>
    <x v="1"/>
    <x v="1"/>
    <x v="1"/>
  </r>
  <r>
    <d v="2024-05-27T00:00:00"/>
    <x v="3"/>
    <x v="0"/>
    <x v="203"/>
    <x v="10"/>
    <x v="0"/>
    <d v="2024-05-27T00:00:00"/>
    <x v="81"/>
    <x v="3"/>
    <x v="2"/>
    <x v="0"/>
    <x v="1"/>
    <x v="1"/>
    <x v="1"/>
  </r>
  <r>
    <d v="2024-05-27T00:00:00"/>
    <x v="3"/>
    <x v="0"/>
    <x v="226"/>
    <x v="11"/>
    <x v="2"/>
    <d v="2024-05-27T00:00:00"/>
    <x v="81"/>
    <x v="3"/>
    <x v="2"/>
    <x v="0"/>
    <x v="1"/>
    <x v="1"/>
    <x v="1"/>
  </r>
  <r>
    <d v="2024-05-27T00:00:00"/>
    <x v="3"/>
    <x v="0"/>
    <x v="227"/>
    <x v="10"/>
    <x v="0"/>
    <d v="2024-05-27T00:00:00"/>
    <x v="81"/>
    <x v="3"/>
    <x v="2"/>
    <x v="0"/>
    <x v="1"/>
    <x v="1"/>
    <x v="1"/>
  </r>
  <r>
    <d v="2024-05-27T00:00:00"/>
    <x v="3"/>
    <x v="0"/>
    <x v="228"/>
    <x v="10"/>
    <x v="0"/>
    <d v="2024-05-27T00:00:00"/>
    <x v="81"/>
    <x v="3"/>
    <x v="2"/>
    <x v="0"/>
    <x v="1"/>
    <x v="1"/>
    <x v="1"/>
  </r>
  <r>
    <d v="2024-05-27T00:00:00"/>
    <x v="3"/>
    <x v="0"/>
    <x v="192"/>
    <x v="8"/>
    <x v="3"/>
    <d v="2024-05-27T00:00:00"/>
    <x v="81"/>
    <x v="3"/>
    <x v="2"/>
    <x v="0"/>
    <x v="1"/>
    <x v="1"/>
    <x v="1"/>
  </r>
  <r>
    <d v="2024-05-27T00:00:00"/>
    <x v="3"/>
    <x v="0"/>
    <x v="206"/>
    <x v="10"/>
    <x v="7"/>
    <d v="2024-05-27T00:00:00"/>
    <x v="81"/>
    <x v="3"/>
    <x v="2"/>
    <x v="0"/>
    <x v="1"/>
    <x v="1"/>
    <x v="1"/>
  </r>
  <r>
    <d v="2024-05-28T00:00:00"/>
    <x v="4"/>
    <x v="0"/>
    <x v="12"/>
    <x v="8"/>
    <x v="3"/>
    <d v="2024-05-28T00:00:00"/>
    <x v="82"/>
    <x v="4"/>
    <x v="2"/>
    <x v="0"/>
    <x v="1"/>
    <x v="1"/>
    <x v="1"/>
  </r>
  <r>
    <d v="2024-05-28T00:00:00"/>
    <x v="4"/>
    <x v="0"/>
    <x v="97"/>
    <x v="8"/>
    <x v="3"/>
    <d v="2024-05-28T00:00:00"/>
    <x v="82"/>
    <x v="4"/>
    <x v="2"/>
    <x v="0"/>
    <x v="1"/>
    <x v="1"/>
    <x v="1"/>
  </r>
  <r>
    <d v="2024-05-28T00:00:00"/>
    <x v="4"/>
    <x v="0"/>
    <x v="229"/>
    <x v="10"/>
    <x v="7"/>
    <d v="2024-05-28T00:00:00"/>
    <x v="82"/>
    <x v="4"/>
    <x v="2"/>
    <x v="0"/>
    <x v="1"/>
    <x v="1"/>
    <x v="1"/>
  </r>
  <r>
    <d v="2024-05-28T00:00:00"/>
    <x v="4"/>
    <x v="0"/>
    <x v="230"/>
    <x v="10"/>
    <x v="7"/>
    <d v="2024-05-28T00:00:00"/>
    <x v="82"/>
    <x v="4"/>
    <x v="2"/>
    <x v="0"/>
    <x v="1"/>
    <x v="1"/>
    <x v="1"/>
  </r>
  <r>
    <d v="2024-05-28T00:00:00"/>
    <x v="4"/>
    <x v="0"/>
    <x v="194"/>
    <x v="10"/>
    <x v="4"/>
    <d v="2024-05-28T00:00:00"/>
    <x v="82"/>
    <x v="4"/>
    <x v="2"/>
    <x v="0"/>
    <x v="1"/>
    <x v="1"/>
    <x v="1"/>
  </r>
  <r>
    <d v="2024-05-28T00:00:00"/>
    <x v="4"/>
    <x v="0"/>
    <x v="141"/>
    <x v="11"/>
    <x v="5"/>
    <d v="2024-05-28T00:00:00"/>
    <x v="82"/>
    <x v="4"/>
    <x v="2"/>
    <x v="0"/>
    <x v="1"/>
    <x v="1"/>
    <x v="1"/>
  </r>
  <r>
    <d v="2024-05-28T00:00:00"/>
    <x v="4"/>
    <x v="1"/>
    <x v="10"/>
    <x v="9"/>
    <x v="7"/>
    <d v="2024-05-28T00:00:00"/>
    <x v="82"/>
    <x v="4"/>
    <x v="2"/>
    <x v="0"/>
    <x v="1"/>
    <x v="1"/>
    <x v="1"/>
  </r>
  <r>
    <d v="2024-05-28T00:00:00"/>
    <x v="4"/>
    <x v="0"/>
    <x v="231"/>
    <x v="11"/>
    <x v="2"/>
    <d v="2024-05-28T00:00:00"/>
    <x v="82"/>
    <x v="4"/>
    <x v="2"/>
    <x v="0"/>
    <x v="1"/>
    <x v="1"/>
    <x v="1"/>
  </r>
  <r>
    <d v="2024-05-28T00:00:00"/>
    <x v="4"/>
    <x v="0"/>
    <x v="231"/>
    <x v="10"/>
    <x v="0"/>
    <d v="2024-05-28T00:00:00"/>
    <x v="82"/>
    <x v="4"/>
    <x v="2"/>
    <x v="0"/>
    <x v="1"/>
    <x v="1"/>
    <x v="1"/>
  </r>
  <r>
    <d v="2024-05-28T00:00:00"/>
    <x v="4"/>
    <x v="0"/>
    <x v="8"/>
    <x v="8"/>
    <x v="3"/>
    <d v="2024-05-28T00:00:00"/>
    <x v="82"/>
    <x v="4"/>
    <x v="2"/>
    <x v="0"/>
    <x v="1"/>
    <x v="1"/>
    <x v="1"/>
  </r>
  <r>
    <d v="2024-05-28T00:00:00"/>
    <x v="4"/>
    <x v="0"/>
    <x v="12"/>
    <x v="11"/>
    <x v="2"/>
    <d v="2024-05-28T00:00:00"/>
    <x v="82"/>
    <x v="4"/>
    <x v="2"/>
    <x v="0"/>
    <x v="1"/>
    <x v="1"/>
    <x v="1"/>
  </r>
  <r>
    <d v="2024-05-29T00:00:00"/>
    <x v="5"/>
    <x v="0"/>
    <x v="232"/>
    <x v="10"/>
    <x v="0"/>
    <d v="2024-05-29T00:00:00"/>
    <x v="83"/>
    <x v="5"/>
    <x v="2"/>
    <x v="0"/>
    <x v="1"/>
    <x v="1"/>
    <x v="1"/>
  </r>
  <r>
    <d v="2024-05-29T00:00:00"/>
    <x v="5"/>
    <x v="1"/>
    <x v="10"/>
    <x v="9"/>
    <x v="0"/>
    <d v="2024-05-29T00:00:00"/>
    <x v="83"/>
    <x v="5"/>
    <x v="2"/>
    <x v="0"/>
    <x v="1"/>
    <x v="1"/>
    <x v="1"/>
  </r>
  <r>
    <d v="2024-05-29T00:00:00"/>
    <x v="5"/>
    <x v="0"/>
    <x v="233"/>
    <x v="10"/>
    <x v="1"/>
    <d v="2024-05-29T00:00:00"/>
    <x v="83"/>
    <x v="5"/>
    <x v="2"/>
    <x v="0"/>
    <x v="1"/>
    <x v="1"/>
    <x v="1"/>
  </r>
  <r>
    <d v="2024-05-29T00:00:00"/>
    <x v="5"/>
    <x v="0"/>
    <x v="234"/>
    <x v="11"/>
    <x v="2"/>
    <d v="2024-05-29T00:00:00"/>
    <x v="83"/>
    <x v="5"/>
    <x v="2"/>
    <x v="0"/>
    <x v="1"/>
    <x v="1"/>
    <x v="1"/>
  </r>
  <r>
    <d v="2024-05-29T00:00:00"/>
    <x v="5"/>
    <x v="0"/>
    <x v="235"/>
    <x v="10"/>
    <x v="0"/>
    <d v="2024-05-29T00:00:00"/>
    <x v="83"/>
    <x v="5"/>
    <x v="2"/>
    <x v="0"/>
    <x v="1"/>
    <x v="1"/>
    <x v="1"/>
  </r>
  <r>
    <d v="2024-05-29T00:00:00"/>
    <x v="5"/>
    <x v="0"/>
    <x v="236"/>
    <x v="10"/>
    <x v="7"/>
    <d v="2024-05-29T00:00:00"/>
    <x v="83"/>
    <x v="5"/>
    <x v="2"/>
    <x v="0"/>
    <x v="1"/>
    <x v="1"/>
    <x v="1"/>
  </r>
  <r>
    <d v="2024-05-29T00:00:00"/>
    <x v="5"/>
    <x v="0"/>
    <x v="237"/>
    <x v="10"/>
    <x v="0"/>
    <d v="2024-05-29T00:00:00"/>
    <x v="83"/>
    <x v="5"/>
    <x v="2"/>
    <x v="0"/>
    <x v="1"/>
    <x v="1"/>
    <x v="1"/>
  </r>
  <r>
    <d v="2024-05-29T00:00:00"/>
    <x v="5"/>
    <x v="0"/>
    <x v="238"/>
    <x v="11"/>
    <x v="5"/>
    <d v="2024-05-29T00:00:00"/>
    <x v="83"/>
    <x v="5"/>
    <x v="2"/>
    <x v="0"/>
    <x v="1"/>
    <x v="1"/>
    <x v="1"/>
  </r>
  <r>
    <d v="2024-05-29T00:00:00"/>
    <x v="5"/>
    <x v="0"/>
    <x v="238"/>
    <x v="10"/>
    <x v="0"/>
    <d v="2024-05-29T00:00:00"/>
    <x v="83"/>
    <x v="5"/>
    <x v="2"/>
    <x v="0"/>
    <x v="1"/>
    <x v="1"/>
    <x v="1"/>
  </r>
  <r>
    <d v="2024-05-29T00:00:00"/>
    <x v="5"/>
    <x v="0"/>
    <x v="239"/>
    <x v="10"/>
    <x v="1"/>
    <d v="2024-05-29T00:00:00"/>
    <x v="83"/>
    <x v="5"/>
    <x v="2"/>
    <x v="0"/>
    <x v="1"/>
    <x v="1"/>
    <x v="1"/>
  </r>
  <r>
    <d v="2024-05-29T00:00:00"/>
    <x v="5"/>
    <x v="0"/>
    <x v="240"/>
    <x v="10"/>
    <x v="4"/>
    <d v="2024-05-29T00:00:00"/>
    <x v="83"/>
    <x v="5"/>
    <x v="2"/>
    <x v="0"/>
    <x v="1"/>
    <x v="1"/>
    <x v="1"/>
  </r>
  <r>
    <d v="2024-05-30T00:00:00"/>
    <x v="6"/>
    <x v="0"/>
    <x v="241"/>
    <x v="10"/>
    <x v="7"/>
    <d v="2024-05-30T00:00:00"/>
    <x v="84"/>
    <x v="6"/>
    <x v="2"/>
    <x v="0"/>
    <x v="1"/>
    <x v="1"/>
    <x v="1"/>
  </r>
  <r>
    <d v="2024-05-30T00:00:00"/>
    <x v="6"/>
    <x v="0"/>
    <x v="241"/>
    <x v="10"/>
    <x v="0"/>
    <d v="2024-05-30T00:00:00"/>
    <x v="84"/>
    <x v="6"/>
    <x v="2"/>
    <x v="0"/>
    <x v="1"/>
    <x v="1"/>
    <x v="1"/>
  </r>
  <r>
    <d v="2024-05-30T00:00:00"/>
    <x v="6"/>
    <x v="0"/>
    <x v="242"/>
    <x v="8"/>
    <x v="3"/>
    <d v="2024-05-30T00:00:00"/>
    <x v="84"/>
    <x v="6"/>
    <x v="2"/>
    <x v="0"/>
    <x v="1"/>
    <x v="1"/>
    <x v="1"/>
  </r>
  <r>
    <d v="2024-05-30T00:00:00"/>
    <x v="6"/>
    <x v="0"/>
    <x v="0"/>
    <x v="10"/>
    <x v="0"/>
    <d v="2024-05-30T00:00:00"/>
    <x v="84"/>
    <x v="6"/>
    <x v="2"/>
    <x v="0"/>
    <x v="1"/>
    <x v="1"/>
    <x v="1"/>
  </r>
  <r>
    <d v="2024-05-30T00:00:00"/>
    <x v="6"/>
    <x v="0"/>
    <x v="97"/>
    <x v="8"/>
    <x v="3"/>
    <d v="2024-05-30T00:00:00"/>
    <x v="84"/>
    <x v="6"/>
    <x v="2"/>
    <x v="0"/>
    <x v="1"/>
    <x v="1"/>
    <x v="1"/>
  </r>
  <r>
    <d v="2024-05-30T00:00:00"/>
    <x v="6"/>
    <x v="0"/>
    <x v="243"/>
    <x v="14"/>
    <x v="6"/>
    <d v="2024-05-30T00:00:00"/>
    <x v="84"/>
    <x v="6"/>
    <x v="2"/>
    <x v="0"/>
    <x v="1"/>
    <x v="1"/>
    <x v="1"/>
  </r>
  <r>
    <d v="2024-05-30T00:00:00"/>
    <x v="6"/>
    <x v="0"/>
    <x v="12"/>
    <x v="14"/>
    <x v="6"/>
    <d v="2024-05-30T00:00:00"/>
    <x v="84"/>
    <x v="6"/>
    <x v="2"/>
    <x v="0"/>
    <x v="1"/>
    <x v="1"/>
    <x v="1"/>
  </r>
  <r>
    <d v="2024-05-30T00:00:00"/>
    <x v="6"/>
    <x v="0"/>
    <x v="206"/>
    <x v="10"/>
    <x v="7"/>
    <d v="2024-05-30T00:00:00"/>
    <x v="84"/>
    <x v="6"/>
    <x v="2"/>
    <x v="0"/>
    <x v="1"/>
    <x v="1"/>
    <x v="1"/>
  </r>
  <r>
    <d v="2024-05-30T00:00:00"/>
    <x v="6"/>
    <x v="0"/>
    <x v="244"/>
    <x v="10"/>
    <x v="0"/>
    <d v="2024-05-30T00:00:00"/>
    <x v="84"/>
    <x v="6"/>
    <x v="2"/>
    <x v="0"/>
    <x v="1"/>
    <x v="1"/>
    <x v="1"/>
  </r>
  <r>
    <d v="2024-05-30T00:00:00"/>
    <x v="6"/>
    <x v="0"/>
    <x v="8"/>
    <x v="10"/>
    <x v="1"/>
    <d v="2024-05-30T00:00:00"/>
    <x v="84"/>
    <x v="6"/>
    <x v="2"/>
    <x v="0"/>
    <x v="1"/>
    <x v="1"/>
    <x v="1"/>
  </r>
  <r>
    <d v="2024-05-30T00:00:00"/>
    <x v="6"/>
    <x v="0"/>
    <x v="8"/>
    <x v="8"/>
    <x v="3"/>
    <d v="2024-05-30T00:00:00"/>
    <x v="84"/>
    <x v="6"/>
    <x v="2"/>
    <x v="0"/>
    <x v="1"/>
    <x v="1"/>
    <x v="1"/>
  </r>
  <r>
    <d v="2024-05-31T00:00:00"/>
    <x v="0"/>
    <x v="0"/>
    <x v="245"/>
    <x v="8"/>
    <x v="3"/>
    <d v="2024-05-31T00:00:00"/>
    <x v="85"/>
    <x v="0"/>
    <x v="2"/>
    <x v="0"/>
    <x v="1"/>
    <x v="1"/>
    <x v="1"/>
  </r>
  <r>
    <d v="2024-05-31T00:00:00"/>
    <x v="0"/>
    <x v="0"/>
    <x v="246"/>
    <x v="10"/>
    <x v="0"/>
    <d v="2024-05-31T00:00:00"/>
    <x v="85"/>
    <x v="0"/>
    <x v="2"/>
    <x v="0"/>
    <x v="1"/>
    <x v="1"/>
    <x v="1"/>
  </r>
  <r>
    <d v="2024-05-31T00:00:00"/>
    <x v="0"/>
    <x v="1"/>
    <x v="10"/>
    <x v="9"/>
    <x v="0"/>
    <d v="2024-05-31T00:00:00"/>
    <x v="85"/>
    <x v="0"/>
    <x v="2"/>
    <x v="0"/>
    <x v="1"/>
    <x v="1"/>
    <x v="1"/>
  </r>
  <r>
    <d v="2024-05-31T00:00:00"/>
    <x v="0"/>
    <x v="0"/>
    <x v="247"/>
    <x v="10"/>
    <x v="1"/>
    <d v="2024-05-31T00:00:00"/>
    <x v="85"/>
    <x v="0"/>
    <x v="2"/>
    <x v="0"/>
    <x v="1"/>
    <x v="1"/>
    <x v="1"/>
  </r>
  <r>
    <d v="2024-05-31T00:00:00"/>
    <x v="0"/>
    <x v="0"/>
    <x v="248"/>
    <x v="10"/>
    <x v="4"/>
    <d v="2024-05-31T00:00:00"/>
    <x v="85"/>
    <x v="0"/>
    <x v="2"/>
    <x v="0"/>
    <x v="1"/>
    <x v="1"/>
    <x v="1"/>
  </r>
  <r>
    <d v="2024-05-31T00:00:00"/>
    <x v="0"/>
    <x v="0"/>
    <x v="249"/>
    <x v="8"/>
    <x v="3"/>
    <d v="2024-05-31T00:00:00"/>
    <x v="85"/>
    <x v="0"/>
    <x v="2"/>
    <x v="0"/>
    <x v="1"/>
    <x v="1"/>
    <x v="1"/>
  </r>
  <r>
    <d v="2024-05-31T00:00:00"/>
    <x v="0"/>
    <x v="0"/>
    <x v="250"/>
    <x v="10"/>
    <x v="0"/>
    <d v="2024-05-31T00:00:00"/>
    <x v="85"/>
    <x v="0"/>
    <x v="2"/>
    <x v="0"/>
    <x v="1"/>
    <x v="1"/>
    <x v="1"/>
  </r>
  <r>
    <d v="2024-05-31T00:00:00"/>
    <x v="0"/>
    <x v="0"/>
    <x v="180"/>
    <x v="10"/>
    <x v="7"/>
    <d v="2024-05-31T00:00:00"/>
    <x v="85"/>
    <x v="0"/>
    <x v="2"/>
    <x v="0"/>
    <x v="1"/>
    <x v="1"/>
    <x v="1"/>
  </r>
  <r>
    <d v="2024-05-31T00:00:00"/>
    <x v="0"/>
    <x v="0"/>
    <x v="134"/>
    <x v="8"/>
    <x v="3"/>
    <d v="2024-05-31T00:00:00"/>
    <x v="85"/>
    <x v="0"/>
    <x v="2"/>
    <x v="0"/>
    <x v="1"/>
    <x v="1"/>
    <x v="1"/>
  </r>
  <r>
    <d v="2024-05-31T00:00:00"/>
    <x v="0"/>
    <x v="0"/>
    <x v="134"/>
    <x v="10"/>
    <x v="0"/>
    <d v="2024-05-31T00:00:00"/>
    <x v="85"/>
    <x v="0"/>
    <x v="2"/>
    <x v="0"/>
    <x v="1"/>
    <x v="1"/>
    <x v="1"/>
  </r>
  <r>
    <d v="2024-05-31T00:00:00"/>
    <x v="0"/>
    <x v="0"/>
    <x v="206"/>
    <x v="10"/>
    <x v="7"/>
    <d v="2024-05-31T00:00:00"/>
    <x v="85"/>
    <x v="0"/>
    <x v="2"/>
    <x v="0"/>
    <x v="1"/>
    <x v="1"/>
    <x v="1"/>
  </r>
  <r>
    <d v="2024-05-31T00:00:00"/>
    <x v="0"/>
    <x v="0"/>
    <x v="206"/>
    <x v="8"/>
    <x v="3"/>
    <d v="2024-05-31T00:00:00"/>
    <x v="85"/>
    <x v="0"/>
    <x v="2"/>
    <x v="0"/>
    <x v="1"/>
    <x v="1"/>
    <x v="1"/>
  </r>
  <r>
    <d v="2024-05-31T00:00:00"/>
    <x v="0"/>
    <x v="0"/>
    <x v="206"/>
    <x v="11"/>
    <x v="5"/>
    <d v="2024-05-31T00:00:00"/>
    <x v="85"/>
    <x v="0"/>
    <x v="2"/>
    <x v="0"/>
    <x v="1"/>
    <x v="1"/>
    <x v="1"/>
  </r>
  <r>
    <d v="2024-06-01T00:00:00"/>
    <x v="1"/>
    <x v="0"/>
    <x v="141"/>
    <x v="11"/>
    <x v="5"/>
    <d v="2024-06-01T00:00:00"/>
    <x v="86"/>
    <x v="1"/>
    <x v="3"/>
    <x v="0"/>
    <x v="1"/>
    <x v="1"/>
    <x v="1"/>
  </r>
  <r>
    <d v="2024-06-01T00:00:00"/>
    <x v="1"/>
    <x v="0"/>
    <x v="232"/>
    <x v="10"/>
    <x v="0"/>
    <d v="2024-06-01T00:00:00"/>
    <x v="86"/>
    <x v="1"/>
    <x v="3"/>
    <x v="0"/>
    <x v="1"/>
    <x v="1"/>
    <x v="1"/>
  </r>
  <r>
    <d v="2024-06-01T00:00:00"/>
    <x v="1"/>
    <x v="0"/>
    <x v="250"/>
    <x v="10"/>
    <x v="0"/>
    <d v="2024-06-01T00:00:00"/>
    <x v="86"/>
    <x v="1"/>
    <x v="3"/>
    <x v="0"/>
    <x v="1"/>
    <x v="1"/>
    <x v="1"/>
  </r>
  <r>
    <d v="2024-06-01T00:00:00"/>
    <x v="1"/>
    <x v="0"/>
    <x v="97"/>
    <x v="8"/>
    <x v="3"/>
    <d v="2024-06-01T00:00:00"/>
    <x v="86"/>
    <x v="1"/>
    <x v="3"/>
    <x v="0"/>
    <x v="1"/>
    <x v="1"/>
    <x v="1"/>
  </r>
  <r>
    <d v="2024-06-01T00:00:00"/>
    <x v="1"/>
    <x v="0"/>
    <x v="251"/>
    <x v="8"/>
    <x v="3"/>
    <d v="2024-06-01T00:00:00"/>
    <x v="86"/>
    <x v="1"/>
    <x v="3"/>
    <x v="0"/>
    <x v="1"/>
    <x v="1"/>
    <x v="1"/>
  </r>
  <r>
    <d v="2024-06-01T00:00:00"/>
    <x v="1"/>
    <x v="0"/>
    <x v="154"/>
    <x v="10"/>
    <x v="7"/>
    <d v="2024-06-01T00:00:00"/>
    <x v="86"/>
    <x v="1"/>
    <x v="3"/>
    <x v="0"/>
    <x v="1"/>
    <x v="1"/>
    <x v="1"/>
  </r>
  <r>
    <d v="2024-06-01T00:00:00"/>
    <x v="1"/>
    <x v="1"/>
    <x v="10"/>
    <x v="9"/>
    <x v="4"/>
    <d v="2024-06-01T00:00:00"/>
    <x v="86"/>
    <x v="1"/>
    <x v="3"/>
    <x v="0"/>
    <x v="1"/>
    <x v="1"/>
    <x v="1"/>
  </r>
  <r>
    <d v="2024-06-01T00:00:00"/>
    <x v="1"/>
    <x v="0"/>
    <x v="252"/>
    <x v="10"/>
    <x v="4"/>
    <d v="2024-06-01T00:00:00"/>
    <x v="86"/>
    <x v="1"/>
    <x v="3"/>
    <x v="0"/>
    <x v="1"/>
    <x v="1"/>
    <x v="1"/>
  </r>
  <r>
    <d v="2024-06-01T00:00:00"/>
    <x v="1"/>
    <x v="0"/>
    <x v="8"/>
    <x v="8"/>
    <x v="3"/>
    <d v="2024-06-01T00:00:00"/>
    <x v="86"/>
    <x v="1"/>
    <x v="3"/>
    <x v="0"/>
    <x v="1"/>
    <x v="1"/>
    <x v="1"/>
  </r>
  <r>
    <d v="2024-06-02T00:00:00"/>
    <x v="2"/>
    <x v="0"/>
    <x v="8"/>
    <x v="10"/>
    <x v="0"/>
    <d v="2024-06-02T00:00:00"/>
    <x v="87"/>
    <x v="2"/>
    <x v="3"/>
    <x v="0"/>
    <x v="1"/>
    <x v="1"/>
    <x v="1"/>
  </r>
  <r>
    <d v="2024-06-02T00:00:00"/>
    <x v="2"/>
    <x v="0"/>
    <x v="40"/>
    <x v="8"/>
    <x v="3"/>
    <d v="2024-06-02T00:00:00"/>
    <x v="87"/>
    <x v="2"/>
    <x v="3"/>
    <x v="0"/>
    <x v="1"/>
    <x v="1"/>
    <x v="1"/>
  </r>
  <r>
    <d v="2024-06-02T00:00:00"/>
    <x v="2"/>
    <x v="0"/>
    <x v="40"/>
    <x v="10"/>
    <x v="7"/>
    <d v="2024-06-02T00:00:00"/>
    <x v="87"/>
    <x v="2"/>
    <x v="3"/>
    <x v="0"/>
    <x v="1"/>
    <x v="1"/>
    <x v="1"/>
  </r>
  <r>
    <d v="2024-06-02T00:00:00"/>
    <x v="2"/>
    <x v="0"/>
    <x v="97"/>
    <x v="8"/>
    <x v="3"/>
    <d v="2024-06-02T00:00:00"/>
    <x v="87"/>
    <x v="2"/>
    <x v="3"/>
    <x v="0"/>
    <x v="1"/>
    <x v="1"/>
    <x v="1"/>
  </r>
  <r>
    <d v="2024-06-02T00:00:00"/>
    <x v="2"/>
    <x v="0"/>
    <x v="253"/>
    <x v="10"/>
    <x v="0"/>
    <d v="2024-06-02T00:00:00"/>
    <x v="87"/>
    <x v="2"/>
    <x v="3"/>
    <x v="0"/>
    <x v="1"/>
    <x v="1"/>
    <x v="1"/>
  </r>
  <r>
    <d v="2024-06-02T00:00:00"/>
    <x v="2"/>
    <x v="1"/>
    <x v="10"/>
    <x v="13"/>
    <x v="3"/>
    <d v="2024-06-02T00:00:00"/>
    <x v="87"/>
    <x v="2"/>
    <x v="3"/>
    <x v="0"/>
    <x v="1"/>
    <x v="1"/>
    <x v="1"/>
  </r>
  <r>
    <d v="2024-06-03T00:00:00"/>
    <x v="3"/>
    <x v="0"/>
    <x v="0"/>
    <x v="10"/>
    <x v="0"/>
    <d v="2024-06-03T00:00:00"/>
    <x v="88"/>
    <x v="3"/>
    <x v="3"/>
    <x v="0"/>
    <x v="1"/>
    <x v="1"/>
    <x v="1"/>
  </r>
  <r>
    <d v="2024-06-03T00:00:00"/>
    <x v="3"/>
    <x v="0"/>
    <x v="191"/>
    <x v="10"/>
    <x v="0"/>
    <d v="2024-06-03T00:00:00"/>
    <x v="88"/>
    <x v="3"/>
    <x v="3"/>
    <x v="0"/>
    <x v="1"/>
    <x v="1"/>
    <x v="1"/>
  </r>
  <r>
    <d v="2024-06-03T00:00:00"/>
    <x v="3"/>
    <x v="0"/>
    <x v="25"/>
    <x v="10"/>
    <x v="7"/>
    <d v="2024-06-03T00:00:00"/>
    <x v="88"/>
    <x v="3"/>
    <x v="3"/>
    <x v="0"/>
    <x v="1"/>
    <x v="1"/>
    <x v="1"/>
  </r>
  <r>
    <d v="2024-06-03T00:00:00"/>
    <x v="3"/>
    <x v="0"/>
    <x v="24"/>
    <x v="8"/>
    <x v="3"/>
    <d v="2024-06-03T00:00:00"/>
    <x v="88"/>
    <x v="3"/>
    <x v="3"/>
    <x v="0"/>
    <x v="1"/>
    <x v="1"/>
    <x v="1"/>
  </r>
  <r>
    <d v="2024-06-03T00:00:00"/>
    <x v="3"/>
    <x v="0"/>
    <x v="8"/>
    <x v="10"/>
    <x v="0"/>
    <d v="2024-06-03T00:00:00"/>
    <x v="88"/>
    <x v="3"/>
    <x v="3"/>
    <x v="0"/>
    <x v="1"/>
    <x v="1"/>
    <x v="1"/>
  </r>
  <r>
    <d v="2024-06-03T00:00:00"/>
    <x v="3"/>
    <x v="1"/>
    <x v="10"/>
    <x v="13"/>
    <x v="3"/>
    <d v="2024-06-03T00:00:00"/>
    <x v="88"/>
    <x v="3"/>
    <x v="3"/>
    <x v="0"/>
    <x v="1"/>
    <x v="1"/>
    <x v="1"/>
  </r>
  <r>
    <d v="2024-06-04T00:00:00"/>
    <x v="4"/>
    <x v="0"/>
    <x v="141"/>
    <x v="11"/>
    <x v="5"/>
    <d v="2024-06-04T00:00:00"/>
    <x v="89"/>
    <x v="4"/>
    <x v="3"/>
    <x v="0"/>
    <x v="1"/>
    <x v="1"/>
    <x v="1"/>
  </r>
  <r>
    <d v="2024-06-04T00:00:00"/>
    <x v="4"/>
    <x v="0"/>
    <x v="97"/>
    <x v="8"/>
    <x v="3"/>
    <d v="2024-06-04T00:00:00"/>
    <x v="89"/>
    <x v="4"/>
    <x v="3"/>
    <x v="0"/>
    <x v="1"/>
    <x v="1"/>
    <x v="1"/>
  </r>
  <r>
    <d v="2024-06-04T00:00:00"/>
    <x v="4"/>
    <x v="0"/>
    <x v="254"/>
    <x v="10"/>
    <x v="0"/>
    <d v="2024-06-04T00:00:00"/>
    <x v="89"/>
    <x v="4"/>
    <x v="3"/>
    <x v="0"/>
    <x v="1"/>
    <x v="1"/>
    <x v="1"/>
  </r>
  <r>
    <d v="2024-06-04T00:00:00"/>
    <x v="4"/>
    <x v="0"/>
    <x v="254"/>
    <x v="10"/>
    <x v="1"/>
    <d v="2024-06-04T00:00:00"/>
    <x v="89"/>
    <x v="4"/>
    <x v="3"/>
    <x v="0"/>
    <x v="1"/>
    <x v="1"/>
    <x v="1"/>
  </r>
  <r>
    <d v="2024-06-04T00:00:00"/>
    <x v="4"/>
    <x v="0"/>
    <x v="255"/>
    <x v="10"/>
    <x v="0"/>
    <d v="2024-06-04T00:00:00"/>
    <x v="89"/>
    <x v="4"/>
    <x v="3"/>
    <x v="0"/>
    <x v="1"/>
    <x v="1"/>
    <x v="1"/>
  </r>
  <r>
    <d v="2024-06-04T00:00:00"/>
    <x v="4"/>
    <x v="0"/>
    <x v="192"/>
    <x v="11"/>
    <x v="5"/>
    <d v="2024-06-04T00:00:00"/>
    <x v="89"/>
    <x v="4"/>
    <x v="3"/>
    <x v="0"/>
    <x v="1"/>
    <x v="1"/>
    <x v="1"/>
  </r>
  <r>
    <d v="2024-06-04T00:00:00"/>
    <x v="4"/>
    <x v="0"/>
    <x v="192"/>
    <x v="10"/>
    <x v="7"/>
    <d v="2024-06-04T00:00:00"/>
    <x v="89"/>
    <x v="4"/>
    <x v="3"/>
    <x v="0"/>
    <x v="1"/>
    <x v="1"/>
    <x v="1"/>
  </r>
  <r>
    <d v="2024-06-04T00:00:00"/>
    <x v="4"/>
    <x v="0"/>
    <x v="256"/>
    <x v="10"/>
    <x v="1"/>
    <d v="2024-06-04T00:00:00"/>
    <x v="89"/>
    <x v="4"/>
    <x v="3"/>
    <x v="0"/>
    <x v="1"/>
    <x v="1"/>
    <x v="1"/>
  </r>
  <r>
    <d v="2024-06-04T00:00:00"/>
    <x v="4"/>
    <x v="0"/>
    <x v="257"/>
    <x v="10"/>
    <x v="7"/>
    <d v="2024-06-04T00:00:00"/>
    <x v="89"/>
    <x v="4"/>
    <x v="3"/>
    <x v="0"/>
    <x v="1"/>
    <x v="1"/>
    <x v="1"/>
  </r>
  <r>
    <d v="2024-06-04T00:00:00"/>
    <x v="4"/>
    <x v="0"/>
    <x v="258"/>
    <x v="11"/>
    <x v="5"/>
    <d v="2024-06-04T00:00:00"/>
    <x v="89"/>
    <x v="4"/>
    <x v="3"/>
    <x v="0"/>
    <x v="1"/>
    <x v="1"/>
    <x v="1"/>
  </r>
  <r>
    <d v="2024-06-04T00:00:00"/>
    <x v="4"/>
    <x v="0"/>
    <x v="259"/>
    <x v="8"/>
    <x v="3"/>
    <d v="2024-06-04T00:00:00"/>
    <x v="89"/>
    <x v="4"/>
    <x v="3"/>
    <x v="0"/>
    <x v="1"/>
    <x v="1"/>
    <x v="1"/>
  </r>
  <r>
    <d v="2024-06-04T00:00:00"/>
    <x v="4"/>
    <x v="0"/>
    <x v="260"/>
    <x v="8"/>
    <x v="3"/>
    <d v="2024-06-04T00:00:00"/>
    <x v="89"/>
    <x v="4"/>
    <x v="3"/>
    <x v="0"/>
    <x v="1"/>
    <x v="1"/>
    <x v="1"/>
  </r>
  <r>
    <d v="2024-06-05T00:00:00"/>
    <x v="5"/>
    <x v="0"/>
    <x v="261"/>
    <x v="10"/>
    <x v="7"/>
    <d v="2024-06-05T00:00:00"/>
    <x v="90"/>
    <x v="5"/>
    <x v="3"/>
    <x v="0"/>
    <x v="1"/>
    <x v="1"/>
    <x v="1"/>
  </r>
  <r>
    <d v="2024-06-05T00:00:00"/>
    <x v="5"/>
    <x v="0"/>
    <x v="262"/>
    <x v="11"/>
    <x v="2"/>
    <d v="2024-06-05T00:00:00"/>
    <x v="90"/>
    <x v="5"/>
    <x v="3"/>
    <x v="0"/>
    <x v="1"/>
    <x v="1"/>
    <x v="1"/>
  </r>
  <r>
    <d v="2024-06-05T00:00:00"/>
    <x v="5"/>
    <x v="0"/>
    <x v="0"/>
    <x v="10"/>
    <x v="0"/>
    <d v="2024-06-05T00:00:00"/>
    <x v="90"/>
    <x v="5"/>
    <x v="3"/>
    <x v="0"/>
    <x v="1"/>
    <x v="1"/>
    <x v="1"/>
  </r>
  <r>
    <d v="2024-06-05T00:00:00"/>
    <x v="5"/>
    <x v="0"/>
    <x v="97"/>
    <x v="8"/>
    <x v="3"/>
    <d v="2024-06-05T00:00:00"/>
    <x v="90"/>
    <x v="5"/>
    <x v="3"/>
    <x v="0"/>
    <x v="1"/>
    <x v="1"/>
    <x v="1"/>
  </r>
  <r>
    <d v="2024-06-05T00:00:00"/>
    <x v="5"/>
    <x v="0"/>
    <x v="263"/>
    <x v="8"/>
    <x v="3"/>
    <d v="2024-06-05T00:00:00"/>
    <x v="90"/>
    <x v="5"/>
    <x v="3"/>
    <x v="0"/>
    <x v="1"/>
    <x v="1"/>
    <x v="1"/>
  </r>
  <r>
    <d v="2024-06-05T00:00:00"/>
    <x v="5"/>
    <x v="0"/>
    <x v="264"/>
    <x v="10"/>
    <x v="0"/>
    <d v="2024-06-05T00:00:00"/>
    <x v="90"/>
    <x v="5"/>
    <x v="3"/>
    <x v="0"/>
    <x v="1"/>
    <x v="1"/>
    <x v="1"/>
  </r>
  <r>
    <d v="2024-06-05T00:00:00"/>
    <x v="5"/>
    <x v="0"/>
    <x v="220"/>
    <x v="10"/>
    <x v="4"/>
    <d v="2024-06-05T00:00:00"/>
    <x v="90"/>
    <x v="5"/>
    <x v="3"/>
    <x v="0"/>
    <x v="1"/>
    <x v="1"/>
    <x v="1"/>
  </r>
  <r>
    <d v="2024-06-05T00:00:00"/>
    <x v="5"/>
    <x v="0"/>
    <x v="220"/>
    <x v="11"/>
    <x v="5"/>
    <d v="2024-06-05T00:00:00"/>
    <x v="90"/>
    <x v="5"/>
    <x v="3"/>
    <x v="0"/>
    <x v="1"/>
    <x v="1"/>
    <x v="1"/>
  </r>
  <r>
    <d v="2024-06-06T00:00:00"/>
    <x v="6"/>
    <x v="0"/>
    <x v="97"/>
    <x v="8"/>
    <x v="3"/>
    <d v="2024-06-06T00:00:00"/>
    <x v="91"/>
    <x v="6"/>
    <x v="3"/>
    <x v="0"/>
    <x v="1"/>
    <x v="1"/>
    <x v="1"/>
  </r>
  <r>
    <d v="2024-06-06T00:00:00"/>
    <x v="6"/>
    <x v="0"/>
    <x v="0"/>
    <x v="10"/>
    <x v="0"/>
    <d v="2024-06-06T00:00:00"/>
    <x v="91"/>
    <x v="6"/>
    <x v="3"/>
    <x v="0"/>
    <x v="1"/>
    <x v="1"/>
    <x v="1"/>
  </r>
  <r>
    <d v="2024-06-06T00:00:00"/>
    <x v="6"/>
    <x v="0"/>
    <x v="265"/>
    <x v="11"/>
    <x v="2"/>
    <d v="2024-06-06T00:00:00"/>
    <x v="91"/>
    <x v="6"/>
    <x v="3"/>
    <x v="0"/>
    <x v="1"/>
    <x v="1"/>
    <x v="1"/>
  </r>
  <r>
    <d v="2024-06-06T00:00:00"/>
    <x v="6"/>
    <x v="0"/>
    <x v="224"/>
    <x v="8"/>
    <x v="3"/>
    <d v="2024-06-06T00:00:00"/>
    <x v="91"/>
    <x v="6"/>
    <x v="3"/>
    <x v="0"/>
    <x v="1"/>
    <x v="1"/>
    <x v="1"/>
  </r>
  <r>
    <d v="2024-06-06T00:00:00"/>
    <x v="6"/>
    <x v="0"/>
    <x v="266"/>
    <x v="10"/>
    <x v="7"/>
    <d v="2024-06-06T00:00:00"/>
    <x v="91"/>
    <x v="6"/>
    <x v="3"/>
    <x v="0"/>
    <x v="1"/>
    <x v="1"/>
    <x v="1"/>
  </r>
  <r>
    <d v="2024-06-06T00:00:00"/>
    <x v="6"/>
    <x v="0"/>
    <x v="267"/>
    <x v="10"/>
    <x v="0"/>
    <d v="2024-06-06T00:00:00"/>
    <x v="91"/>
    <x v="6"/>
    <x v="3"/>
    <x v="0"/>
    <x v="1"/>
    <x v="1"/>
    <x v="1"/>
  </r>
  <r>
    <d v="2024-06-06T00:00:00"/>
    <x v="6"/>
    <x v="0"/>
    <x v="206"/>
    <x v="10"/>
    <x v="7"/>
    <d v="2024-06-06T00:00:00"/>
    <x v="91"/>
    <x v="6"/>
    <x v="3"/>
    <x v="0"/>
    <x v="1"/>
    <x v="1"/>
    <x v="1"/>
  </r>
  <r>
    <d v="2024-06-06T00:00:00"/>
    <x v="6"/>
    <x v="0"/>
    <x v="206"/>
    <x v="8"/>
    <x v="3"/>
    <d v="2024-06-06T00:00:00"/>
    <x v="91"/>
    <x v="6"/>
    <x v="3"/>
    <x v="0"/>
    <x v="1"/>
    <x v="1"/>
    <x v="1"/>
  </r>
  <r>
    <d v="2024-06-07T00:00:00"/>
    <x v="0"/>
    <x v="0"/>
    <x v="268"/>
    <x v="10"/>
    <x v="7"/>
    <d v="2024-06-07T00:00:00"/>
    <x v="55"/>
    <x v="0"/>
    <x v="3"/>
    <x v="0"/>
    <x v="1"/>
    <x v="1"/>
    <x v="1"/>
  </r>
  <r>
    <d v="2024-06-07T00:00:00"/>
    <x v="0"/>
    <x v="0"/>
    <x v="269"/>
    <x v="14"/>
    <x v="6"/>
    <d v="2024-06-07T00:00:00"/>
    <x v="55"/>
    <x v="0"/>
    <x v="3"/>
    <x v="0"/>
    <x v="1"/>
    <x v="1"/>
    <x v="1"/>
  </r>
  <r>
    <d v="2024-06-07T00:00:00"/>
    <x v="0"/>
    <x v="0"/>
    <x v="164"/>
    <x v="8"/>
    <x v="3"/>
    <d v="2024-06-07T00:00:00"/>
    <x v="55"/>
    <x v="0"/>
    <x v="3"/>
    <x v="0"/>
    <x v="1"/>
    <x v="1"/>
    <x v="1"/>
  </r>
  <r>
    <d v="2024-06-07T00:00:00"/>
    <x v="0"/>
    <x v="0"/>
    <x v="270"/>
    <x v="11"/>
    <x v="5"/>
    <d v="2024-06-07T00:00:00"/>
    <x v="55"/>
    <x v="0"/>
    <x v="3"/>
    <x v="0"/>
    <x v="1"/>
    <x v="1"/>
    <x v="1"/>
  </r>
  <r>
    <d v="2024-06-08T00:00:00"/>
    <x v="1"/>
    <x v="0"/>
    <x v="271"/>
    <x v="11"/>
    <x v="5"/>
    <d v="2024-06-08T00:00:00"/>
    <x v="92"/>
    <x v="1"/>
    <x v="3"/>
    <x v="0"/>
    <x v="1"/>
    <x v="1"/>
    <x v="1"/>
  </r>
  <r>
    <d v="2024-06-08T00:00:00"/>
    <x v="1"/>
    <x v="0"/>
    <x v="97"/>
    <x v="8"/>
    <x v="3"/>
    <d v="2024-06-08T00:00:00"/>
    <x v="92"/>
    <x v="1"/>
    <x v="3"/>
    <x v="0"/>
    <x v="1"/>
    <x v="1"/>
    <x v="1"/>
  </r>
  <r>
    <d v="2024-06-08T00:00:00"/>
    <x v="1"/>
    <x v="0"/>
    <x v="134"/>
    <x v="10"/>
    <x v="7"/>
    <d v="2024-06-08T00:00:00"/>
    <x v="92"/>
    <x v="1"/>
    <x v="3"/>
    <x v="0"/>
    <x v="1"/>
    <x v="1"/>
    <x v="1"/>
  </r>
  <r>
    <d v="2024-06-09T00:00:00"/>
    <x v="2"/>
    <x v="0"/>
    <x v="97"/>
    <x v="10"/>
    <x v="0"/>
    <d v="2024-06-09T00:00:00"/>
    <x v="93"/>
    <x v="2"/>
    <x v="3"/>
    <x v="0"/>
    <x v="1"/>
    <x v="1"/>
    <x v="1"/>
  </r>
  <r>
    <d v="2024-06-09T00:00:00"/>
    <x v="2"/>
    <x v="0"/>
    <x v="272"/>
    <x v="10"/>
    <x v="0"/>
    <d v="2024-06-09T00:00:00"/>
    <x v="93"/>
    <x v="2"/>
    <x v="3"/>
    <x v="0"/>
    <x v="1"/>
    <x v="1"/>
    <x v="1"/>
  </r>
  <r>
    <d v="2024-06-09T00:00:00"/>
    <x v="2"/>
    <x v="0"/>
    <x v="273"/>
    <x v="10"/>
    <x v="7"/>
    <d v="2024-06-09T00:00:00"/>
    <x v="93"/>
    <x v="2"/>
    <x v="3"/>
    <x v="0"/>
    <x v="1"/>
    <x v="1"/>
    <x v="1"/>
  </r>
  <r>
    <d v="2024-06-09T00:00:00"/>
    <x v="2"/>
    <x v="0"/>
    <x v="141"/>
    <x v="11"/>
    <x v="5"/>
    <d v="2024-06-09T00:00:00"/>
    <x v="93"/>
    <x v="2"/>
    <x v="3"/>
    <x v="0"/>
    <x v="1"/>
    <x v="1"/>
    <x v="1"/>
  </r>
  <r>
    <d v="2024-06-09T00:00:00"/>
    <x v="2"/>
    <x v="0"/>
    <x v="274"/>
    <x v="14"/>
    <x v="6"/>
    <d v="2024-06-09T00:00:00"/>
    <x v="93"/>
    <x v="2"/>
    <x v="3"/>
    <x v="0"/>
    <x v="1"/>
    <x v="1"/>
    <x v="1"/>
  </r>
  <r>
    <d v="2024-06-09T00:00:00"/>
    <x v="2"/>
    <x v="0"/>
    <x v="275"/>
    <x v="10"/>
    <x v="7"/>
    <d v="2024-06-09T00:00:00"/>
    <x v="93"/>
    <x v="2"/>
    <x v="3"/>
    <x v="0"/>
    <x v="1"/>
    <x v="1"/>
    <x v="1"/>
  </r>
  <r>
    <d v="2024-06-09T00:00:00"/>
    <x v="2"/>
    <x v="0"/>
    <x v="276"/>
    <x v="8"/>
    <x v="3"/>
    <d v="2024-06-09T00:00:00"/>
    <x v="93"/>
    <x v="2"/>
    <x v="3"/>
    <x v="0"/>
    <x v="1"/>
    <x v="1"/>
    <x v="1"/>
  </r>
  <r>
    <d v="2024-06-09T00:00:00"/>
    <x v="2"/>
    <x v="0"/>
    <x v="276"/>
    <x v="10"/>
    <x v="0"/>
    <d v="2024-06-09T00:00:00"/>
    <x v="93"/>
    <x v="2"/>
    <x v="3"/>
    <x v="0"/>
    <x v="1"/>
    <x v="1"/>
    <x v="1"/>
  </r>
  <r>
    <d v="2024-06-09T00:00:00"/>
    <x v="2"/>
    <x v="0"/>
    <x v="277"/>
    <x v="11"/>
    <x v="5"/>
    <d v="2024-06-09T00:00:00"/>
    <x v="93"/>
    <x v="2"/>
    <x v="3"/>
    <x v="0"/>
    <x v="1"/>
    <x v="1"/>
    <x v="1"/>
  </r>
  <r>
    <d v="2024-06-09T00:00:00"/>
    <x v="2"/>
    <x v="0"/>
    <x v="278"/>
    <x v="10"/>
    <x v="7"/>
    <d v="2024-06-09T00:00:00"/>
    <x v="93"/>
    <x v="2"/>
    <x v="3"/>
    <x v="0"/>
    <x v="1"/>
    <x v="1"/>
    <x v="1"/>
  </r>
  <r>
    <d v="2024-06-09T00:00:00"/>
    <x v="2"/>
    <x v="0"/>
    <x v="279"/>
    <x v="8"/>
    <x v="3"/>
    <d v="2024-06-09T00:00:00"/>
    <x v="93"/>
    <x v="2"/>
    <x v="3"/>
    <x v="0"/>
    <x v="1"/>
    <x v="1"/>
    <x v="1"/>
  </r>
  <r>
    <d v="2024-06-09T00:00:00"/>
    <x v="2"/>
    <x v="0"/>
    <x v="280"/>
    <x v="11"/>
    <x v="2"/>
    <d v="2024-06-09T00:00:00"/>
    <x v="93"/>
    <x v="2"/>
    <x v="3"/>
    <x v="0"/>
    <x v="1"/>
    <x v="1"/>
    <x v="1"/>
  </r>
  <r>
    <d v="2024-06-10T00:00:00"/>
    <x v="3"/>
    <x v="0"/>
    <x v="281"/>
    <x v="10"/>
    <x v="7"/>
    <d v="2024-06-10T00:00:00"/>
    <x v="94"/>
    <x v="3"/>
    <x v="3"/>
    <x v="0"/>
    <x v="1"/>
    <x v="1"/>
    <x v="1"/>
  </r>
  <r>
    <d v="2024-06-10T00:00:00"/>
    <x v="3"/>
    <x v="0"/>
    <x v="97"/>
    <x v="10"/>
    <x v="0"/>
    <d v="2024-06-10T00:00:00"/>
    <x v="94"/>
    <x v="3"/>
    <x v="3"/>
    <x v="0"/>
    <x v="1"/>
    <x v="1"/>
    <x v="1"/>
  </r>
  <r>
    <d v="2024-06-10T00:00:00"/>
    <x v="3"/>
    <x v="0"/>
    <x v="282"/>
    <x v="10"/>
    <x v="1"/>
    <d v="2024-06-10T00:00:00"/>
    <x v="94"/>
    <x v="3"/>
    <x v="3"/>
    <x v="0"/>
    <x v="1"/>
    <x v="1"/>
    <x v="1"/>
  </r>
  <r>
    <d v="2024-06-10T00:00:00"/>
    <x v="3"/>
    <x v="0"/>
    <x v="283"/>
    <x v="10"/>
    <x v="0"/>
    <d v="2024-06-10T00:00:00"/>
    <x v="94"/>
    <x v="3"/>
    <x v="3"/>
    <x v="0"/>
    <x v="1"/>
    <x v="1"/>
    <x v="1"/>
  </r>
  <r>
    <d v="2024-06-11T00:00:00"/>
    <x v="4"/>
    <x v="0"/>
    <x v="284"/>
    <x v="8"/>
    <x v="3"/>
    <d v="2024-06-11T00:00:00"/>
    <x v="95"/>
    <x v="4"/>
    <x v="3"/>
    <x v="0"/>
    <x v="1"/>
    <x v="1"/>
    <x v="1"/>
  </r>
  <r>
    <d v="2024-06-11T00:00:00"/>
    <x v="4"/>
    <x v="0"/>
    <x v="285"/>
    <x v="10"/>
    <x v="0"/>
    <d v="2024-06-11T00:00:00"/>
    <x v="95"/>
    <x v="4"/>
    <x v="3"/>
    <x v="0"/>
    <x v="1"/>
    <x v="1"/>
    <x v="1"/>
  </r>
  <r>
    <d v="2024-06-11T00:00:00"/>
    <x v="4"/>
    <x v="0"/>
    <x v="286"/>
    <x v="10"/>
    <x v="1"/>
    <d v="2024-06-11T00:00:00"/>
    <x v="95"/>
    <x v="4"/>
    <x v="3"/>
    <x v="0"/>
    <x v="1"/>
    <x v="1"/>
    <x v="1"/>
  </r>
  <r>
    <d v="2024-06-11T00:00:00"/>
    <x v="4"/>
    <x v="0"/>
    <x v="287"/>
    <x v="8"/>
    <x v="3"/>
    <d v="2024-06-11T00:00:00"/>
    <x v="95"/>
    <x v="4"/>
    <x v="3"/>
    <x v="0"/>
    <x v="1"/>
    <x v="1"/>
    <x v="1"/>
  </r>
  <r>
    <d v="2024-06-12T00:00:00"/>
    <x v="5"/>
    <x v="0"/>
    <x v="288"/>
    <x v="10"/>
    <x v="1"/>
    <d v="2024-06-12T00:00:00"/>
    <x v="96"/>
    <x v="5"/>
    <x v="3"/>
    <x v="0"/>
    <x v="1"/>
    <x v="1"/>
    <x v="1"/>
  </r>
  <r>
    <d v="2024-06-12T00:00:00"/>
    <x v="5"/>
    <x v="0"/>
    <x v="289"/>
    <x v="10"/>
    <x v="7"/>
    <d v="2024-06-12T00:00:00"/>
    <x v="96"/>
    <x v="5"/>
    <x v="3"/>
    <x v="0"/>
    <x v="1"/>
    <x v="1"/>
    <x v="1"/>
  </r>
  <r>
    <d v="2024-06-12T00:00:00"/>
    <x v="5"/>
    <x v="0"/>
    <x v="283"/>
    <x v="10"/>
    <x v="0"/>
    <d v="2024-06-12T00:00:00"/>
    <x v="96"/>
    <x v="5"/>
    <x v="3"/>
    <x v="0"/>
    <x v="1"/>
    <x v="1"/>
    <x v="1"/>
  </r>
  <r>
    <d v="2024-06-12T00:00:00"/>
    <x v="5"/>
    <x v="0"/>
    <x v="290"/>
    <x v="10"/>
    <x v="0"/>
    <d v="2024-06-12T00:00:00"/>
    <x v="96"/>
    <x v="5"/>
    <x v="3"/>
    <x v="0"/>
    <x v="1"/>
    <x v="1"/>
    <x v="1"/>
  </r>
  <r>
    <d v="2024-06-12T00:00:00"/>
    <x v="5"/>
    <x v="0"/>
    <x v="256"/>
    <x v="10"/>
    <x v="1"/>
    <d v="2024-06-12T00:00:00"/>
    <x v="96"/>
    <x v="5"/>
    <x v="3"/>
    <x v="0"/>
    <x v="1"/>
    <x v="1"/>
    <x v="1"/>
  </r>
  <r>
    <d v="2024-06-12T00:00:00"/>
    <x v="5"/>
    <x v="0"/>
    <x v="291"/>
    <x v="8"/>
    <x v="3"/>
    <d v="2024-06-12T00:00:00"/>
    <x v="96"/>
    <x v="5"/>
    <x v="3"/>
    <x v="0"/>
    <x v="1"/>
    <x v="1"/>
    <x v="1"/>
  </r>
  <r>
    <d v="2024-06-13T00:00:00"/>
    <x v="6"/>
    <x v="0"/>
    <x v="292"/>
    <x v="11"/>
    <x v="2"/>
    <d v="2024-06-13T00:00:00"/>
    <x v="97"/>
    <x v="6"/>
    <x v="3"/>
    <x v="0"/>
    <x v="1"/>
    <x v="1"/>
    <x v="1"/>
  </r>
  <r>
    <d v="2024-06-13T00:00:00"/>
    <x v="6"/>
    <x v="0"/>
    <x v="97"/>
    <x v="10"/>
    <x v="0"/>
    <d v="2024-06-13T00:00:00"/>
    <x v="97"/>
    <x v="6"/>
    <x v="3"/>
    <x v="0"/>
    <x v="1"/>
    <x v="1"/>
    <x v="1"/>
  </r>
  <r>
    <d v="2024-06-13T00:00:00"/>
    <x v="6"/>
    <x v="0"/>
    <x v="293"/>
    <x v="8"/>
    <x v="3"/>
    <d v="2024-06-13T00:00:00"/>
    <x v="97"/>
    <x v="6"/>
    <x v="3"/>
    <x v="0"/>
    <x v="1"/>
    <x v="1"/>
    <x v="1"/>
  </r>
  <r>
    <d v="2024-06-13T00:00:00"/>
    <x v="6"/>
    <x v="0"/>
    <x v="141"/>
    <x v="11"/>
    <x v="5"/>
    <d v="2024-06-13T00:00:00"/>
    <x v="97"/>
    <x v="6"/>
    <x v="3"/>
    <x v="0"/>
    <x v="1"/>
    <x v="1"/>
    <x v="1"/>
  </r>
  <r>
    <d v="2024-06-13T00:00:00"/>
    <x v="6"/>
    <x v="0"/>
    <x v="294"/>
    <x v="8"/>
    <x v="3"/>
    <d v="2024-06-13T00:00:00"/>
    <x v="97"/>
    <x v="6"/>
    <x v="3"/>
    <x v="0"/>
    <x v="1"/>
    <x v="1"/>
    <x v="1"/>
  </r>
  <r>
    <d v="2024-06-13T00:00:00"/>
    <x v="6"/>
    <x v="0"/>
    <x v="295"/>
    <x v="10"/>
    <x v="1"/>
    <d v="2024-06-13T00:00:00"/>
    <x v="97"/>
    <x v="6"/>
    <x v="3"/>
    <x v="0"/>
    <x v="1"/>
    <x v="1"/>
    <x v="1"/>
  </r>
  <r>
    <d v="2024-06-13T00:00:00"/>
    <x v="6"/>
    <x v="0"/>
    <x v="296"/>
    <x v="10"/>
    <x v="0"/>
    <d v="2024-06-13T00:00:00"/>
    <x v="97"/>
    <x v="6"/>
    <x v="3"/>
    <x v="0"/>
    <x v="1"/>
    <x v="1"/>
    <x v="1"/>
  </r>
  <r>
    <d v="2024-06-13T00:00:00"/>
    <x v="6"/>
    <x v="0"/>
    <x v="12"/>
    <x v="8"/>
    <x v="3"/>
    <d v="2024-06-13T00:00:00"/>
    <x v="97"/>
    <x v="6"/>
    <x v="3"/>
    <x v="0"/>
    <x v="1"/>
    <x v="1"/>
    <x v="1"/>
  </r>
  <r>
    <d v="2024-06-13T00:00:00"/>
    <x v="6"/>
    <x v="0"/>
    <x v="12"/>
    <x v="14"/>
    <x v="6"/>
    <d v="2024-06-13T00:00:00"/>
    <x v="97"/>
    <x v="6"/>
    <x v="3"/>
    <x v="0"/>
    <x v="1"/>
    <x v="1"/>
    <x v="1"/>
  </r>
  <r>
    <d v="2024-06-13T00:00:00"/>
    <x v="6"/>
    <x v="0"/>
    <x v="295"/>
    <x v="14"/>
    <x v="6"/>
    <d v="2024-06-13T00:00:00"/>
    <x v="97"/>
    <x v="6"/>
    <x v="3"/>
    <x v="0"/>
    <x v="1"/>
    <x v="1"/>
    <x v="1"/>
  </r>
  <r>
    <d v="2024-06-13T00:00:00"/>
    <x v="6"/>
    <x v="0"/>
    <x v="8"/>
    <x v="8"/>
    <x v="3"/>
    <d v="2024-06-13T00:00:00"/>
    <x v="97"/>
    <x v="6"/>
    <x v="3"/>
    <x v="0"/>
    <x v="1"/>
    <x v="1"/>
    <x v="1"/>
  </r>
  <r>
    <d v="2024-06-14T00:00:00"/>
    <x v="0"/>
    <x v="0"/>
    <x v="141"/>
    <x v="11"/>
    <x v="5"/>
    <d v="2024-06-14T00:00:00"/>
    <x v="98"/>
    <x v="0"/>
    <x v="3"/>
    <x v="0"/>
    <x v="1"/>
    <x v="1"/>
    <x v="1"/>
  </r>
  <r>
    <d v="2024-06-14T00:00:00"/>
    <x v="0"/>
    <x v="0"/>
    <x v="297"/>
    <x v="11"/>
    <x v="2"/>
    <d v="2024-06-14T00:00:00"/>
    <x v="98"/>
    <x v="0"/>
    <x v="3"/>
    <x v="0"/>
    <x v="1"/>
    <x v="1"/>
    <x v="1"/>
  </r>
  <r>
    <d v="2024-06-14T00:00:00"/>
    <x v="0"/>
    <x v="0"/>
    <x v="97"/>
    <x v="10"/>
    <x v="0"/>
    <d v="2024-06-14T00:00:00"/>
    <x v="98"/>
    <x v="0"/>
    <x v="3"/>
    <x v="0"/>
    <x v="1"/>
    <x v="1"/>
    <x v="1"/>
  </r>
  <r>
    <d v="2024-06-14T00:00:00"/>
    <x v="0"/>
    <x v="0"/>
    <x v="298"/>
    <x v="8"/>
    <x v="3"/>
    <d v="2024-06-14T00:00:00"/>
    <x v="98"/>
    <x v="0"/>
    <x v="3"/>
    <x v="0"/>
    <x v="1"/>
    <x v="1"/>
    <x v="1"/>
  </r>
  <r>
    <d v="2024-06-15T00:00:00"/>
    <x v="1"/>
    <x v="0"/>
    <x v="299"/>
    <x v="10"/>
    <x v="7"/>
    <d v="2024-06-15T00:00:00"/>
    <x v="99"/>
    <x v="1"/>
    <x v="3"/>
    <x v="0"/>
    <x v="1"/>
    <x v="1"/>
    <x v="1"/>
  </r>
  <r>
    <d v="2024-06-15T00:00:00"/>
    <x v="1"/>
    <x v="0"/>
    <x v="300"/>
    <x v="10"/>
    <x v="0"/>
    <d v="2024-06-15T00:00:00"/>
    <x v="99"/>
    <x v="1"/>
    <x v="3"/>
    <x v="0"/>
    <x v="1"/>
    <x v="1"/>
    <x v="1"/>
  </r>
  <r>
    <d v="2024-06-15T00:00:00"/>
    <x v="1"/>
    <x v="0"/>
    <x v="300"/>
    <x v="8"/>
    <x v="3"/>
    <d v="2024-06-15T00:00:00"/>
    <x v="99"/>
    <x v="1"/>
    <x v="3"/>
    <x v="0"/>
    <x v="1"/>
    <x v="1"/>
    <x v="1"/>
  </r>
  <r>
    <d v="2024-06-15T00:00:00"/>
    <x v="1"/>
    <x v="0"/>
    <x v="300"/>
    <x v="14"/>
    <x v="6"/>
    <d v="2024-06-15T00:00:00"/>
    <x v="99"/>
    <x v="1"/>
    <x v="3"/>
    <x v="0"/>
    <x v="1"/>
    <x v="1"/>
    <x v="1"/>
  </r>
  <r>
    <d v="2024-06-15T00:00:00"/>
    <x v="1"/>
    <x v="0"/>
    <x v="300"/>
    <x v="10"/>
    <x v="4"/>
    <d v="2024-06-15T00:00:00"/>
    <x v="99"/>
    <x v="1"/>
    <x v="3"/>
    <x v="0"/>
    <x v="1"/>
    <x v="1"/>
    <x v="1"/>
  </r>
  <r>
    <d v="2024-06-15T00:00:00"/>
    <x v="1"/>
    <x v="0"/>
    <x v="301"/>
    <x v="8"/>
    <x v="3"/>
    <d v="2024-06-15T00:00:00"/>
    <x v="99"/>
    <x v="1"/>
    <x v="3"/>
    <x v="0"/>
    <x v="1"/>
    <x v="1"/>
    <x v="1"/>
  </r>
  <r>
    <d v="2024-06-15T00:00:00"/>
    <x v="1"/>
    <x v="0"/>
    <x v="302"/>
    <x v="11"/>
    <x v="2"/>
    <d v="2024-06-15T00:00:00"/>
    <x v="99"/>
    <x v="1"/>
    <x v="3"/>
    <x v="0"/>
    <x v="1"/>
    <x v="1"/>
    <x v="1"/>
  </r>
  <r>
    <d v="2024-06-16T00:00:00"/>
    <x v="2"/>
    <x v="0"/>
    <x v="59"/>
    <x v="8"/>
    <x v="3"/>
    <d v="2024-06-16T00:00:00"/>
    <x v="90"/>
    <x v="2"/>
    <x v="3"/>
    <x v="0"/>
    <x v="1"/>
    <x v="1"/>
    <x v="1"/>
  </r>
  <r>
    <d v="2024-06-16T00:00:00"/>
    <x v="2"/>
    <x v="0"/>
    <x v="303"/>
    <x v="10"/>
    <x v="0"/>
    <d v="2024-06-16T00:00:00"/>
    <x v="90"/>
    <x v="2"/>
    <x v="3"/>
    <x v="0"/>
    <x v="1"/>
    <x v="1"/>
    <x v="1"/>
  </r>
  <r>
    <d v="2024-06-16T00:00:00"/>
    <x v="2"/>
    <x v="0"/>
    <x v="303"/>
    <x v="10"/>
    <x v="1"/>
    <d v="2024-06-16T00:00:00"/>
    <x v="90"/>
    <x v="2"/>
    <x v="3"/>
    <x v="0"/>
    <x v="1"/>
    <x v="1"/>
    <x v="1"/>
  </r>
  <r>
    <d v="2024-06-16T00:00:00"/>
    <x v="2"/>
    <x v="0"/>
    <x v="276"/>
    <x v="8"/>
    <x v="3"/>
    <d v="2024-06-16T00:00:00"/>
    <x v="90"/>
    <x v="2"/>
    <x v="3"/>
    <x v="0"/>
    <x v="1"/>
    <x v="1"/>
    <x v="1"/>
  </r>
  <r>
    <d v="2024-06-16T00:00:00"/>
    <x v="2"/>
    <x v="0"/>
    <x v="274"/>
    <x v="14"/>
    <x v="6"/>
    <d v="2024-06-16T00:00:00"/>
    <x v="90"/>
    <x v="2"/>
    <x v="3"/>
    <x v="0"/>
    <x v="1"/>
    <x v="1"/>
    <x v="1"/>
  </r>
  <r>
    <d v="2024-06-16T00:00:00"/>
    <x v="2"/>
    <x v="0"/>
    <x v="304"/>
    <x v="8"/>
    <x v="3"/>
    <d v="2024-06-16T00:00:00"/>
    <x v="90"/>
    <x v="2"/>
    <x v="3"/>
    <x v="0"/>
    <x v="1"/>
    <x v="1"/>
    <x v="1"/>
  </r>
  <r>
    <d v="2024-06-16T00:00:00"/>
    <x v="2"/>
    <x v="0"/>
    <x v="305"/>
    <x v="10"/>
    <x v="1"/>
    <d v="2024-06-16T00:00:00"/>
    <x v="90"/>
    <x v="2"/>
    <x v="3"/>
    <x v="0"/>
    <x v="1"/>
    <x v="1"/>
    <x v="1"/>
  </r>
  <r>
    <d v="2024-06-16T00:00:00"/>
    <x v="2"/>
    <x v="0"/>
    <x v="306"/>
    <x v="10"/>
    <x v="1"/>
    <d v="2024-06-16T00:00:00"/>
    <x v="90"/>
    <x v="2"/>
    <x v="3"/>
    <x v="0"/>
    <x v="1"/>
    <x v="1"/>
    <x v="1"/>
  </r>
  <r>
    <d v="2024-06-17T00:00:00"/>
    <x v="3"/>
    <x v="0"/>
    <x v="307"/>
    <x v="11"/>
    <x v="2"/>
    <d v="2024-06-17T00:00:00"/>
    <x v="100"/>
    <x v="3"/>
    <x v="3"/>
    <x v="0"/>
    <x v="1"/>
    <x v="1"/>
    <x v="1"/>
  </r>
  <r>
    <d v="2024-06-17T00:00:00"/>
    <x v="3"/>
    <x v="0"/>
    <x v="308"/>
    <x v="11"/>
    <x v="5"/>
    <d v="2024-06-17T00:00:00"/>
    <x v="100"/>
    <x v="3"/>
    <x v="3"/>
    <x v="0"/>
    <x v="1"/>
    <x v="1"/>
    <x v="1"/>
  </r>
  <r>
    <d v="2024-06-17T00:00:00"/>
    <x v="3"/>
    <x v="0"/>
    <x v="42"/>
    <x v="10"/>
    <x v="7"/>
    <d v="2024-06-17T00:00:00"/>
    <x v="100"/>
    <x v="3"/>
    <x v="3"/>
    <x v="0"/>
    <x v="1"/>
    <x v="1"/>
    <x v="1"/>
  </r>
  <r>
    <d v="2024-06-17T00:00:00"/>
    <x v="3"/>
    <x v="0"/>
    <x v="164"/>
    <x v="10"/>
    <x v="7"/>
    <d v="2024-06-17T00:00:00"/>
    <x v="100"/>
    <x v="3"/>
    <x v="3"/>
    <x v="0"/>
    <x v="1"/>
    <x v="1"/>
    <x v="1"/>
  </r>
  <r>
    <d v="2024-06-17T00:00:00"/>
    <x v="3"/>
    <x v="0"/>
    <x v="12"/>
    <x v="10"/>
    <x v="7"/>
    <d v="2024-06-17T00:00:00"/>
    <x v="100"/>
    <x v="3"/>
    <x v="3"/>
    <x v="0"/>
    <x v="1"/>
    <x v="1"/>
    <x v="1"/>
  </r>
  <r>
    <d v="2024-06-17T00:00:00"/>
    <x v="3"/>
    <x v="0"/>
    <x v="12"/>
    <x v="11"/>
    <x v="2"/>
    <d v="2024-06-17T00:00:00"/>
    <x v="100"/>
    <x v="3"/>
    <x v="3"/>
    <x v="0"/>
    <x v="1"/>
    <x v="1"/>
    <x v="1"/>
  </r>
  <r>
    <d v="2024-06-17T00:00:00"/>
    <x v="3"/>
    <x v="0"/>
    <x v="309"/>
    <x v="11"/>
    <x v="2"/>
    <d v="2024-06-17T00:00:00"/>
    <x v="100"/>
    <x v="3"/>
    <x v="3"/>
    <x v="0"/>
    <x v="1"/>
    <x v="1"/>
    <x v="1"/>
  </r>
  <r>
    <d v="2024-06-17T00:00:00"/>
    <x v="3"/>
    <x v="0"/>
    <x v="8"/>
    <x v="8"/>
    <x v="3"/>
    <d v="2024-06-17T00:00:00"/>
    <x v="100"/>
    <x v="3"/>
    <x v="3"/>
    <x v="0"/>
    <x v="1"/>
    <x v="1"/>
    <x v="1"/>
  </r>
  <r>
    <d v="2024-06-18T00:00:00"/>
    <x v="4"/>
    <x v="0"/>
    <x v="299"/>
    <x v="11"/>
    <x v="2"/>
    <d v="2024-06-18T00:00:00"/>
    <x v="101"/>
    <x v="4"/>
    <x v="3"/>
    <x v="0"/>
    <x v="1"/>
    <x v="1"/>
    <x v="1"/>
  </r>
  <r>
    <d v="2024-06-18T00:00:00"/>
    <x v="4"/>
    <x v="0"/>
    <x v="299"/>
    <x v="10"/>
    <x v="7"/>
    <d v="2024-06-18T00:00:00"/>
    <x v="101"/>
    <x v="4"/>
    <x v="3"/>
    <x v="0"/>
    <x v="1"/>
    <x v="1"/>
    <x v="1"/>
  </r>
  <r>
    <d v="2024-06-18T00:00:00"/>
    <x v="4"/>
    <x v="0"/>
    <x v="154"/>
    <x v="10"/>
    <x v="7"/>
    <d v="2024-06-18T00:00:00"/>
    <x v="101"/>
    <x v="4"/>
    <x v="3"/>
    <x v="0"/>
    <x v="1"/>
    <x v="1"/>
    <x v="1"/>
  </r>
  <r>
    <d v="2024-06-18T00:00:00"/>
    <x v="4"/>
    <x v="0"/>
    <x v="310"/>
    <x v="11"/>
    <x v="5"/>
    <d v="2024-06-18T00:00:00"/>
    <x v="101"/>
    <x v="4"/>
    <x v="3"/>
    <x v="0"/>
    <x v="1"/>
    <x v="1"/>
    <x v="1"/>
  </r>
  <r>
    <d v="2024-06-18T00:00:00"/>
    <x v="4"/>
    <x v="0"/>
    <x v="12"/>
    <x v="8"/>
    <x v="3"/>
    <d v="2024-06-18T00:00:00"/>
    <x v="101"/>
    <x v="4"/>
    <x v="3"/>
    <x v="0"/>
    <x v="1"/>
    <x v="1"/>
    <x v="1"/>
  </r>
  <r>
    <d v="2024-06-19T00:00:00"/>
    <x v="5"/>
    <x v="0"/>
    <x v="311"/>
    <x v="10"/>
    <x v="0"/>
    <d v="2024-06-19T00:00:00"/>
    <x v="102"/>
    <x v="5"/>
    <x v="3"/>
    <x v="0"/>
    <x v="1"/>
    <x v="1"/>
    <x v="1"/>
  </r>
  <r>
    <d v="2024-06-19T00:00:00"/>
    <x v="5"/>
    <x v="0"/>
    <x v="141"/>
    <x v="11"/>
    <x v="5"/>
    <d v="2024-06-19T00:00:00"/>
    <x v="102"/>
    <x v="5"/>
    <x v="3"/>
    <x v="0"/>
    <x v="1"/>
    <x v="1"/>
    <x v="1"/>
  </r>
  <r>
    <d v="2024-06-19T00:00:00"/>
    <x v="5"/>
    <x v="0"/>
    <x v="312"/>
    <x v="11"/>
    <x v="2"/>
    <d v="2024-06-19T00:00:00"/>
    <x v="102"/>
    <x v="5"/>
    <x v="3"/>
    <x v="0"/>
    <x v="1"/>
    <x v="1"/>
    <x v="1"/>
  </r>
  <r>
    <d v="2024-06-19T00:00:00"/>
    <x v="5"/>
    <x v="0"/>
    <x v="313"/>
    <x v="10"/>
    <x v="0"/>
    <d v="2024-06-19T00:00:00"/>
    <x v="102"/>
    <x v="5"/>
    <x v="3"/>
    <x v="0"/>
    <x v="1"/>
    <x v="1"/>
    <x v="1"/>
  </r>
  <r>
    <d v="2024-06-19T00:00:00"/>
    <x v="5"/>
    <x v="0"/>
    <x v="313"/>
    <x v="10"/>
    <x v="4"/>
    <d v="2024-06-19T00:00:00"/>
    <x v="102"/>
    <x v="5"/>
    <x v="3"/>
    <x v="0"/>
    <x v="1"/>
    <x v="1"/>
    <x v="1"/>
  </r>
  <r>
    <d v="2024-06-19T00:00:00"/>
    <x v="5"/>
    <x v="0"/>
    <x v="164"/>
    <x v="8"/>
    <x v="3"/>
    <d v="2024-06-19T00:00:00"/>
    <x v="102"/>
    <x v="5"/>
    <x v="3"/>
    <x v="0"/>
    <x v="1"/>
    <x v="1"/>
    <x v="1"/>
  </r>
  <r>
    <d v="2024-06-19T00:00:00"/>
    <x v="5"/>
    <x v="0"/>
    <x v="153"/>
    <x v="10"/>
    <x v="7"/>
    <d v="2024-06-19T00:00:00"/>
    <x v="102"/>
    <x v="5"/>
    <x v="3"/>
    <x v="0"/>
    <x v="1"/>
    <x v="1"/>
    <x v="1"/>
  </r>
  <r>
    <d v="2024-06-19T00:00:00"/>
    <x v="5"/>
    <x v="0"/>
    <x v="153"/>
    <x v="10"/>
    <x v="0"/>
    <d v="2024-06-19T00:00:00"/>
    <x v="102"/>
    <x v="5"/>
    <x v="3"/>
    <x v="0"/>
    <x v="1"/>
    <x v="1"/>
    <x v="1"/>
  </r>
  <r>
    <d v="2024-06-19T00:00:00"/>
    <x v="5"/>
    <x v="0"/>
    <x v="8"/>
    <x v="8"/>
    <x v="3"/>
    <d v="2024-06-19T00:00:00"/>
    <x v="102"/>
    <x v="5"/>
    <x v="3"/>
    <x v="0"/>
    <x v="1"/>
    <x v="1"/>
    <x v="1"/>
  </r>
  <r>
    <d v="2024-06-19T00:00:00"/>
    <x v="5"/>
    <x v="0"/>
    <x v="192"/>
    <x v="10"/>
    <x v="7"/>
    <d v="2024-06-19T00:00:00"/>
    <x v="102"/>
    <x v="5"/>
    <x v="3"/>
    <x v="0"/>
    <x v="1"/>
    <x v="1"/>
    <x v="1"/>
  </r>
  <r>
    <d v="2024-06-19T00:00:00"/>
    <x v="5"/>
    <x v="0"/>
    <x v="192"/>
    <x v="8"/>
    <x v="3"/>
    <d v="2024-06-19T00:00:00"/>
    <x v="102"/>
    <x v="5"/>
    <x v="3"/>
    <x v="0"/>
    <x v="1"/>
    <x v="1"/>
    <x v="1"/>
  </r>
  <r>
    <d v="2024-06-20T00:00:00"/>
    <x v="6"/>
    <x v="0"/>
    <x v="97"/>
    <x v="10"/>
    <x v="0"/>
    <d v="2024-06-20T00:00:00"/>
    <x v="103"/>
    <x v="6"/>
    <x v="3"/>
    <x v="0"/>
    <x v="1"/>
    <x v="1"/>
    <x v="1"/>
  </r>
  <r>
    <d v="2024-06-20T00:00:00"/>
    <x v="6"/>
    <x v="0"/>
    <x v="314"/>
    <x v="10"/>
    <x v="0"/>
    <d v="2024-06-20T00:00:00"/>
    <x v="103"/>
    <x v="6"/>
    <x v="3"/>
    <x v="0"/>
    <x v="1"/>
    <x v="1"/>
    <x v="1"/>
  </r>
  <r>
    <d v="2024-06-20T00:00:00"/>
    <x v="6"/>
    <x v="0"/>
    <x v="257"/>
    <x v="10"/>
    <x v="0"/>
    <d v="2024-06-20T00:00:00"/>
    <x v="103"/>
    <x v="6"/>
    <x v="3"/>
    <x v="0"/>
    <x v="1"/>
    <x v="1"/>
    <x v="1"/>
  </r>
  <r>
    <d v="2024-06-20T00:00:00"/>
    <x v="6"/>
    <x v="0"/>
    <x v="8"/>
    <x v="10"/>
    <x v="0"/>
    <d v="2024-06-20T00:00:00"/>
    <x v="103"/>
    <x v="6"/>
    <x v="3"/>
    <x v="0"/>
    <x v="1"/>
    <x v="1"/>
    <x v="1"/>
  </r>
  <r>
    <d v="2024-06-20T00:00:00"/>
    <x v="6"/>
    <x v="0"/>
    <x v="8"/>
    <x v="8"/>
    <x v="3"/>
    <d v="2024-06-20T00:00:00"/>
    <x v="103"/>
    <x v="6"/>
    <x v="3"/>
    <x v="0"/>
    <x v="1"/>
    <x v="1"/>
    <x v="1"/>
  </r>
  <r>
    <d v="2024-06-21T00:00:00"/>
    <x v="0"/>
    <x v="0"/>
    <x v="311"/>
    <x v="10"/>
    <x v="0"/>
    <d v="2024-06-21T00:00:00"/>
    <x v="104"/>
    <x v="0"/>
    <x v="3"/>
    <x v="0"/>
    <x v="1"/>
    <x v="1"/>
    <x v="1"/>
  </r>
  <r>
    <d v="2024-06-21T00:00:00"/>
    <x v="0"/>
    <x v="0"/>
    <x v="315"/>
    <x v="11"/>
    <x v="2"/>
    <d v="2024-06-21T00:00:00"/>
    <x v="104"/>
    <x v="0"/>
    <x v="3"/>
    <x v="0"/>
    <x v="1"/>
    <x v="1"/>
    <x v="1"/>
  </r>
  <r>
    <d v="2024-06-21T00:00:00"/>
    <x v="0"/>
    <x v="0"/>
    <x v="12"/>
    <x v="8"/>
    <x v="3"/>
    <d v="2024-06-21T00:00:00"/>
    <x v="104"/>
    <x v="0"/>
    <x v="3"/>
    <x v="0"/>
    <x v="1"/>
    <x v="1"/>
    <x v="1"/>
  </r>
  <r>
    <d v="2024-06-21T00:00:00"/>
    <x v="0"/>
    <x v="0"/>
    <x v="316"/>
    <x v="14"/>
    <x v="6"/>
    <d v="2024-06-21T00:00:00"/>
    <x v="104"/>
    <x v="0"/>
    <x v="3"/>
    <x v="0"/>
    <x v="1"/>
    <x v="1"/>
    <x v="1"/>
  </r>
  <r>
    <d v="2024-06-21T00:00:00"/>
    <x v="0"/>
    <x v="0"/>
    <x v="8"/>
    <x v="10"/>
    <x v="0"/>
    <d v="2024-06-21T00:00:00"/>
    <x v="104"/>
    <x v="0"/>
    <x v="3"/>
    <x v="0"/>
    <x v="1"/>
    <x v="1"/>
    <x v="1"/>
  </r>
  <r>
    <d v="2024-06-21T00:00:00"/>
    <x v="0"/>
    <x v="0"/>
    <x v="154"/>
    <x v="10"/>
    <x v="7"/>
    <d v="2024-06-21T00:00:00"/>
    <x v="104"/>
    <x v="0"/>
    <x v="3"/>
    <x v="0"/>
    <x v="1"/>
    <x v="1"/>
    <x v="1"/>
  </r>
  <r>
    <d v="2024-06-21T00:00:00"/>
    <x v="0"/>
    <x v="0"/>
    <x v="180"/>
    <x v="10"/>
    <x v="7"/>
    <d v="2024-06-21T00:00:00"/>
    <x v="104"/>
    <x v="0"/>
    <x v="3"/>
    <x v="0"/>
    <x v="1"/>
    <x v="1"/>
    <x v="1"/>
  </r>
  <r>
    <d v="2024-06-21T00:00:00"/>
    <x v="0"/>
    <x v="0"/>
    <x v="180"/>
    <x v="11"/>
    <x v="2"/>
    <d v="2024-06-21T00:00:00"/>
    <x v="104"/>
    <x v="0"/>
    <x v="3"/>
    <x v="0"/>
    <x v="1"/>
    <x v="1"/>
    <x v="1"/>
  </r>
  <r>
    <d v="2024-06-21T00:00:00"/>
    <x v="0"/>
    <x v="0"/>
    <x v="311"/>
    <x v="8"/>
    <x v="3"/>
    <d v="2024-06-21T00:00:00"/>
    <x v="104"/>
    <x v="0"/>
    <x v="3"/>
    <x v="0"/>
    <x v="1"/>
    <x v="1"/>
    <x v="1"/>
  </r>
  <r>
    <d v="2024-06-22T00:00:00"/>
    <x v="1"/>
    <x v="0"/>
    <x v="141"/>
    <x v="11"/>
    <x v="5"/>
    <d v="2024-06-22T00:00:00"/>
    <x v="41"/>
    <x v="1"/>
    <x v="3"/>
    <x v="0"/>
    <x v="1"/>
    <x v="1"/>
    <x v="1"/>
  </r>
  <r>
    <d v="2024-06-22T00:00:00"/>
    <x v="1"/>
    <x v="0"/>
    <x v="311"/>
    <x v="8"/>
    <x v="3"/>
    <d v="2024-06-22T00:00:00"/>
    <x v="41"/>
    <x v="1"/>
    <x v="3"/>
    <x v="0"/>
    <x v="1"/>
    <x v="1"/>
    <x v="1"/>
  </r>
  <r>
    <d v="2024-06-22T00:00:00"/>
    <x v="1"/>
    <x v="0"/>
    <x v="317"/>
    <x v="8"/>
    <x v="3"/>
    <d v="2024-06-22T00:00:00"/>
    <x v="41"/>
    <x v="1"/>
    <x v="3"/>
    <x v="0"/>
    <x v="1"/>
    <x v="1"/>
    <x v="1"/>
  </r>
  <r>
    <d v="2024-06-22T00:00:00"/>
    <x v="1"/>
    <x v="0"/>
    <x v="8"/>
    <x v="10"/>
    <x v="0"/>
    <d v="2024-06-22T00:00:00"/>
    <x v="41"/>
    <x v="1"/>
    <x v="3"/>
    <x v="0"/>
    <x v="1"/>
    <x v="1"/>
    <x v="1"/>
  </r>
  <r>
    <d v="2024-06-22T00:00:00"/>
    <x v="1"/>
    <x v="0"/>
    <x v="318"/>
    <x v="10"/>
    <x v="7"/>
    <d v="2024-06-22T00:00:00"/>
    <x v="41"/>
    <x v="1"/>
    <x v="3"/>
    <x v="0"/>
    <x v="1"/>
    <x v="1"/>
    <x v="1"/>
  </r>
  <r>
    <d v="2024-06-23T00:00:00"/>
    <x v="2"/>
    <x v="0"/>
    <x v="12"/>
    <x v="8"/>
    <x v="3"/>
    <d v="2024-06-23T00:00:00"/>
    <x v="105"/>
    <x v="2"/>
    <x v="3"/>
    <x v="0"/>
    <x v="1"/>
    <x v="1"/>
    <x v="1"/>
  </r>
  <r>
    <d v="2024-06-23T00:00:00"/>
    <x v="2"/>
    <x v="0"/>
    <x v="319"/>
    <x v="10"/>
    <x v="7"/>
    <d v="2024-06-23T00:00:00"/>
    <x v="105"/>
    <x v="2"/>
    <x v="3"/>
    <x v="0"/>
    <x v="1"/>
    <x v="1"/>
    <x v="1"/>
  </r>
  <r>
    <d v="2024-06-23T00:00:00"/>
    <x v="2"/>
    <x v="0"/>
    <x v="320"/>
    <x v="10"/>
    <x v="0"/>
    <d v="2024-06-23T00:00:00"/>
    <x v="105"/>
    <x v="2"/>
    <x v="3"/>
    <x v="0"/>
    <x v="1"/>
    <x v="1"/>
    <x v="1"/>
  </r>
  <r>
    <d v="2024-06-23T00:00:00"/>
    <x v="2"/>
    <x v="0"/>
    <x v="320"/>
    <x v="10"/>
    <x v="7"/>
    <d v="2024-06-23T00:00:00"/>
    <x v="105"/>
    <x v="2"/>
    <x v="3"/>
    <x v="0"/>
    <x v="1"/>
    <x v="1"/>
    <x v="1"/>
  </r>
  <r>
    <d v="2024-06-24T00:00:00"/>
    <x v="3"/>
    <x v="0"/>
    <x v="164"/>
    <x v="8"/>
    <x v="3"/>
    <d v="2024-06-24T00:00:00"/>
    <x v="105"/>
    <x v="3"/>
    <x v="3"/>
    <x v="0"/>
    <x v="1"/>
    <x v="1"/>
    <x v="1"/>
  </r>
  <r>
    <d v="2024-06-24T00:00:00"/>
    <x v="3"/>
    <x v="0"/>
    <x v="180"/>
    <x v="10"/>
    <x v="7"/>
    <d v="2024-06-24T00:00:00"/>
    <x v="105"/>
    <x v="3"/>
    <x v="3"/>
    <x v="0"/>
    <x v="1"/>
    <x v="1"/>
    <x v="1"/>
  </r>
  <r>
    <d v="2024-06-24T00:00:00"/>
    <x v="3"/>
    <x v="0"/>
    <x v="321"/>
    <x v="10"/>
    <x v="0"/>
    <d v="2024-06-24T00:00:00"/>
    <x v="105"/>
    <x v="3"/>
    <x v="3"/>
    <x v="0"/>
    <x v="1"/>
    <x v="1"/>
    <x v="1"/>
  </r>
  <r>
    <d v="2024-06-24T00:00:00"/>
    <x v="3"/>
    <x v="0"/>
    <x v="203"/>
    <x v="10"/>
    <x v="7"/>
    <d v="2024-06-24T00:00:00"/>
    <x v="105"/>
    <x v="3"/>
    <x v="3"/>
    <x v="0"/>
    <x v="1"/>
    <x v="1"/>
    <x v="1"/>
  </r>
  <r>
    <d v="2024-06-25T00:00:00"/>
    <x v="4"/>
    <x v="0"/>
    <x v="322"/>
    <x v="10"/>
    <x v="0"/>
    <d v="2024-06-25T00:00:00"/>
    <x v="95"/>
    <x v="4"/>
    <x v="3"/>
    <x v="0"/>
    <x v="1"/>
    <x v="1"/>
    <x v="1"/>
  </r>
  <r>
    <d v="2024-06-25T00:00:00"/>
    <x v="4"/>
    <x v="0"/>
    <x v="12"/>
    <x v="8"/>
    <x v="3"/>
    <d v="2024-06-25T00:00:00"/>
    <x v="95"/>
    <x v="4"/>
    <x v="3"/>
    <x v="0"/>
    <x v="1"/>
    <x v="1"/>
    <x v="1"/>
  </r>
  <r>
    <d v="2024-06-25T00:00:00"/>
    <x v="4"/>
    <x v="0"/>
    <x v="40"/>
    <x v="8"/>
    <x v="3"/>
    <d v="2024-06-25T00:00:00"/>
    <x v="95"/>
    <x v="4"/>
    <x v="3"/>
    <x v="0"/>
    <x v="1"/>
    <x v="1"/>
    <x v="1"/>
  </r>
  <r>
    <d v="2024-06-25T00:00:00"/>
    <x v="4"/>
    <x v="0"/>
    <x v="203"/>
    <x v="10"/>
    <x v="7"/>
    <d v="2024-06-25T00:00:00"/>
    <x v="95"/>
    <x v="4"/>
    <x v="3"/>
    <x v="0"/>
    <x v="1"/>
    <x v="1"/>
    <x v="1"/>
  </r>
  <r>
    <d v="2024-06-26T00:00:00"/>
    <x v="5"/>
    <x v="0"/>
    <x v="323"/>
    <x v="10"/>
    <x v="0"/>
    <d v="2024-06-26T00:00:00"/>
    <x v="106"/>
    <x v="5"/>
    <x v="3"/>
    <x v="0"/>
    <x v="1"/>
    <x v="1"/>
    <x v="1"/>
  </r>
  <r>
    <d v="2024-06-26T00:00:00"/>
    <x v="5"/>
    <x v="0"/>
    <x v="324"/>
    <x v="14"/>
    <x v="6"/>
    <d v="2024-06-26T00:00:00"/>
    <x v="106"/>
    <x v="5"/>
    <x v="3"/>
    <x v="0"/>
    <x v="1"/>
    <x v="1"/>
    <x v="1"/>
  </r>
  <r>
    <d v="2024-06-26T00:00:00"/>
    <x v="5"/>
    <x v="0"/>
    <x v="325"/>
    <x v="11"/>
    <x v="2"/>
    <d v="2024-06-26T00:00:00"/>
    <x v="106"/>
    <x v="5"/>
    <x v="3"/>
    <x v="0"/>
    <x v="1"/>
    <x v="1"/>
    <x v="1"/>
  </r>
  <r>
    <d v="2024-06-26T00:00:00"/>
    <x v="5"/>
    <x v="0"/>
    <x v="8"/>
    <x v="10"/>
    <x v="0"/>
    <d v="2024-06-26T00:00:00"/>
    <x v="106"/>
    <x v="5"/>
    <x v="3"/>
    <x v="0"/>
    <x v="1"/>
    <x v="1"/>
    <x v="1"/>
  </r>
  <r>
    <d v="2024-06-26T00:00:00"/>
    <x v="5"/>
    <x v="0"/>
    <x v="8"/>
    <x v="10"/>
    <x v="7"/>
    <d v="2024-06-26T00:00:00"/>
    <x v="106"/>
    <x v="5"/>
    <x v="3"/>
    <x v="0"/>
    <x v="1"/>
    <x v="1"/>
    <x v="1"/>
  </r>
  <r>
    <d v="2024-06-26T00:00:00"/>
    <x v="5"/>
    <x v="0"/>
    <x v="206"/>
    <x v="8"/>
    <x v="3"/>
    <d v="2024-06-26T00:00:00"/>
    <x v="106"/>
    <x v="5"/>
    <x v="3"/>
    <x v="0"/>
    <x v="1"/>
    <x v="1"/>
    <x v="1"/>
  </r>
  <r>
    <d v="2024-06-27T00:00:00"/>
    <x v="6"/>
    <x v="0"/>
    <x v="326"/>
    <x v="8"/>
    <x v="3"/>
    <d v="2024-06-27T00:00:00"/>
    <x v="107"/>
    <x v="6"/>
    <x v="3"/>
    <x v="0"/>
    <x v="1"/>
    <x v="1"/>
    <x v="1"/>
  </r>
  <r>
    <d v="2024-06-27T00:00:00"/>
    <x v="6"/>
    <x v="0"/>
    <x v="327"/>
    <x v="11"/>
    <x v="5"/>
    <d v="2024-06-27T00:00:00"/>
    <x v="107"/>
    <x v="6"/>
    <x v="3"/>
    <x v="0"/>
    <x v="1"/>
    <x v="1"/>
    <x v="1"/>
  </r>
  <r>
    <d v="2024-06-27T00:00:00"/>
    <x v="6"/>
    <x v="0"/>
    <x v="328"/>
    <x v="8"/>
    <x v="3"/>
    <d v="2024-06-27T00:00:00"/>
    <x v="107"/>
    <x v="6"/>
    <x v="3"/>
    <x v="0"/>
    <x v="1"/>
    <x v="1"/>
    <x v="1"/>
  </r>
  <r>
    <d v="2024-06-27T00:00:00"/>
    <x v="6"/>
    <x v="0"/>
    <x v="329"/>
    <x v="10"/>
    <x v="7"/>
    <d v="2024-06-27T00:00:00"/>
    <x v="107"/>
    <x v="6"/>
    <x v="3"/>
    <x v="0"/>
    <x v="1"/>
    <x v="1"/>
    <x v="1"/>
  </r>
  <r>
    <d v="2024-06-28T00:00:00"/>
    <x v="0"/>
    <x v="0"/>
    <x v="141"/>
    <x v="11"/>
    <x v="5"/>
    <d v="2024-06-28T00:00:00"/>
    <x v="108"/>
    <x v="0"/>
    <x v="3"/>
    <x v="0"/>
    <x v="1"/>
    <x v="1"/>
    <x v="1"/>
  </r>
  <r>
    <d v="2024-06-28T00:00:00"/>
    <x v="0"/>
    <x v="0"/>
    <x v="274"/>
    <x v="14"/>
    <x v="6"/>
    <d v="2024-06-28T00:00:00"/>
    <x v="108"/>
    <x v="0"/>
    <x v="3"/>
    <x v="0"/>
    <x v="1"/>
    <x v="1"/>
    <x v="1"/>
  </r>
  <r>
    <d v="2024-06-28T00:00:00"/>
    <x v="0"/>
    <x v="0"/>
    <x v="330"/>
    <x v="8"/>
    <x v="3"/>
    <d v="2024-06-28T00:00:00"/>
    <x v="108"/>
    <x v="0"/>
    <x v="3"/>
    <x v="0"/>
    <x v="1"/>
    <x v="1"/>
    <x v="1"/>
  </r>
  <r>
    <d v="2024-06-28T00:00:00"/>
    <x v="0"/>
    <x v="0"/>
    <x v="331"/>
    <x v="10"/>
    <x v="0"/>
    <d v="2024-06-28T00:00:00"/>
    <x v="108"/>
    <x v="0"/>
    <x v="3"/>
    <x v="0"/>
    <x v="1"/>
    <x v="1"/>
    <x v="1"/>
  </r>
  <r>
    <d v="2024-06-28T00:00:00"/>
    <x v="0"/>
    <x v="0"/>
    <x v="332"/>
    <x v="10"/>
    <x v="7"/>
    <d v="2024-06-28T00:00:00"/>
    <x v="108"/>
    <x v="0"/>
    <x v="3"/>
    <x v="0"/>
    <x v="1"/>
    <x v="1"/>
    <x v="1"/>
  </r>
  <r>
    <d v="2024-06-29T00:00:00"/>
    <x v="1"/>
    <x v="0"/>
    <x v="97"/>
    <x v="8"/>
    <x v="3"/>
    <d v="2024-06-29T00:00:00"/>
    <x v="109"/>
    <x v="1"/>
    <x v="3"/>
    <x v="0"/>
    <x v="1"/>
    <x v="1"/>
    <x v="1"/>
  </r>
  <r>
    <d v="2024-06-29T00:00:00"/>
    <x v="1"/>
    <x v="0"/>
    <x v="333"/>
    <x v="8"/>
    <x v="3"/>
    <d v="2024-06-29T00:00:00"/>
    <x v="109"/>
    <x v="1"/>
    <x v="3"/>
    <x v="0"/>
    <x v="1"/>
    <x v="1"/>
    <x v="1"/>
  </r>
  <r>
    <d v="2024-06-29T00:00:00"/>
    <x v="1"/>
    <x v="0"/>
    <x v="334"/>
    <x v="10"/>
    <x v="7"/>
    <d v="2024-06-29T00:00:00"/>
    <x v="109"/>
    <x v="1"/>
    <x v="3"/>
    <x v="0"/>
    <x v="1"/>
    <x v="1"/>
    <x v="1"/>
  </r>
  <r>
    <d v="2024-06-29T00:00:00"/>
    <x v="1"/>
    <x v="0"/>
    <x v="335"/>
    <x v="10"/>
    <x v="7"/>
    <d v="2024-06-29T00:00:00"/>
    <x v="109"/>
    <x v="1"/>
    <x v="3"/>
    <x v="0"/>
    <x v="1"/>
    <x v="1"/>
    <x v="1"/>
  </r>
  <r>
    <d v="2024-06-29T00:00:00"/>
    <x v="1"/>
    <x v="0"/>
    <x v="335"/>
    <x v="10"/>
    <x v="1"/>
    <d v="2024-06-29T00:00:00"/>
    <x v="109"/>
    <x v="1"/>
    <x v="3"/>
    <x v="0"/>
    <x v="1"/>
    <x v="1"/>
    <x v="1"/>
  </r>
  <r>
    <d v="2024-06-29T00:00:00"/>
    <x v="1"/>
    <x v="0"/>
    <x v="8"/>
    <x v="10"/>
    <x v="0"/>
    <d v="2024-06-29T00:00:00"/>
    <x v="109"/>
    <x v="1"/>
    <x v="3"/>
    <x v="0"/>
    <x v="1"/>
    <x v="1"/>
    <x v="1"/>
  </r>
  <r>
    <d v="2024-06-30T00:00:00"/>
    <x v="2"/>
    <x v="0"/>
    <x v="336"/>
    <x v="10"/>
    <x v="0"/>
    <d v="2024-06-30T00:00:00"/>
    <x v="107"/>
    <x v="2"/>
    <x v="3"/>
    <x v="0"/>
    <x v="1"/>
    <x v="1"/>
    <x v="1"/>
  </r>
  <r>
    <d v="2024-06-30T00:00:00"/>
    <x v="2"/>
    <x v="0"/>
    <x v="337"/>
    <x v="14"/>
    <x v="6"/>
    <d v="2024-06-30T00:00:00"/>
    <x v="107"/>
    <x v="2"/>
    <x v="3"/>
    <x v="0"/>
    <x v="1"/>
    <x v="1"/>
    <x v="1"/>
  </r>
  <r>
    <d v="2024-06-30T00:00:00"/>
    <x v="2"/>
    <x v="0"/>
    <x v="8"/>
    <x v="10"/>
    <x v="1"/>
    <d v="2024-06-30T00:00:00"/>
    <x v="107"/>
    <x v="2"/>
    <x v="3"/>
    <x v="0"/>
    <x v="1"/>
    <x v="1"/>
    <x v="1"/>
  </r>
  <r>
    <d v="2024-06-30T00:00:00"/>
    <x v="2"/>
    <x v="0"/>
    <x v="97"/>
    <x v="8"/>
    <x v="3"/>
    <d v="2024-06-30T00:00:00"/>
    <x v="107"/>
    <x v="2"/>
    <x v="3"/>
    <x v="0"/>
    <x v="1"/>
    <x v="1"/>
    <x v="1"/>
  </r>
  <r>
    <d v="2024-07-01T00:00:00"/>
    <x v="3"/>
    <x v="0"/>
    <x v="12"/>
    <x v="14"/>
    <x v="6"/>
    <d v="2024-07-01T00:00:00"/>
    <x v="110"/>
    <x v="3"/>
    <x v="4"/>
    <x v="0"/>
    <x v="1"/>
    <x v="1"/>
    <x v="1"/>
  </r>
  <r>
    <d v="2024-07-01T00:00:00"/>
    <x v="3"/>
    <x v="0"/>
    <x v="338"/>
    <x v="10"/>
    <x v="7"/>
    <d v="2024-07-01T00:00:00"/>
    <x v="110"/>
    <x v="3"/>
    <x v="4"/>
    <x v="0"/>
    <x v="1"/>
    <x v="1"/>
    <x v="1"/>
  </r>
  <r>
    <d v="2024-07-01T00:00:00"/>
    <x v="3"/>
    <x v="0"/>
    <x v="339"/>
    <x v="10"/>
    <x v="7"/>
    <d v="2024-07-01T00:00:00"/>
    <x v="110"/>
    <x v="3"/>
    <x v="4"/>
    <x v="0"/>
    <x v="1"/>
    <x v="1"/>
    <x v="1"/>
  </r>
  <r>
    <d v="2024-07-02T00:00:00"/>
    <x v="4"/>
    <x v="0"/>
    <x v="304"/>
    <x v="8"/>
    <x v="3"/>
    <d v="2024-07-02T00:00:00"/>
    <x v="111"/>
    <x v="4"/>
    <x v="4"/>
    <x v="0"/>
    <x v="1"/>
    <x v="1"/>
    <x v="1"/>
  </r>
  <r>
    <d v="2024-07-02T00:00:00"/>
    <x v="4"/>
    <x v="0"/>
    <x v="304"/>
    <x v="11"/>
    <x v="2"/>
    <d v="2024-07-02T00:00:00"/>
    <x v="111"/>
    <x v="4"/>
    <x v="4"/>
    <x v="0"/>
    <x v="1"/>
    <x v="1"/>
    <x v="1"/>
  </r>
  <r>
    <d v="2024-07-02T00:00:00"/>
    <x v="4"/>
    <x v="0"/>
    <x v="19"/>
    <x v="10"/>
    <x v="0"/>
    <d v="2024-07-02T00:00:00"/>
    <x v="111"/>
    <x v="4"/>
    <x v="4"/>
    <x v="0"/>
    <x v="1"/>
    <x v="1"/>
    <x v="1"/>
  </r>
  <r>
    <d v="2024-07-02T00:00:00"/>
    <x v="4"/>
    <x v="0"/>
    <x v="340"/>
    <x v="11"/>
    <x v="2"/>
    <d v="2024-07-02T00:00:00"/>
    <x v="111"/>
    <x v="4"/>
    <x v="4"/>
    <x v="0"/>
    <x v="1"/>
    <x v="1"/>
    <x v="1"/>
  </r>
  <r>
    <d v="2024-07-02T00:00:00"/>
    <x v="4"/>
    <x v="0"/>
    <x v="341"/>
    <x v="8"/>
    <x v="3"/>
    <d v="2024-07-02T00:00:00"/>
    <x v="111"/>
    <x v="4"/>
    <x v="4"/>
    <x v="0"/>
    <x v="1"/>
    <x v="1"/>
    <x v="1"/>
  </r>
  <r>
    <d v="2024-07-02T00:00:00"/>
    <x v="4"/>
    <x v="0"/>
    <x v="329"/>
    <x v="8"/>
    <x v="3"/>
    <d v="2024-07-02T00:00:00"/>
    <x v="111"/>
    <x v="4"/>
    <x v="4"/>
    <x v="0"/>
    <x v="1"/>
    <x v="1"/>
    <x v="1"/>
  </r>
  <r>
    <d v="2024-07-03T00:00:00"/>
    <x v="5"/>
    <x v="0"/>
    <x v="12"/>
    <x v="8"/>
    <x v="3"/>
    <d v="2024-07-03T00:00:00"/>
    <x v="112"/>
    <x v="5"/>
    <x v="4"/>
    <x v="0"/>
    <x v="1"/>
    <x v="1"/>
    <x v="1"/>
  </r>
  <r>
    <d v="2024-07-03T00:00:00"/>
    <x v="5"/>
    <x v="0"/>
    <x v="342"/>
    <x v="10"/>
    <x v="7"/>
    <d v="2024-07-03T00:00:00"/>
    <x v="112"/>
    <x v="5"/>
    <x v="4"/>
    <x v="0"/>
    <x v="1"/>
    <x v="1"/>
    <x v="1"/>
  </r>
  <r>
    <d v="2024-07-03T00:00:00"/>
    <x v="5"/>
    <x v="0"/>
    <x v="343"/>
    <x v="10"/>
    <x v="7"/>
    <d v="2024-07-03T00:00:00"/>
    <x v="112"/>
    <x v="5"/>
    <x v="4"/>
    <x v="0"/>
    <x v="1"/>
    <x v="1"/>
    <x v="1"/>
  </r>
  <r>
    <d v="2024-07-03T00:00:00"/>
    <x v="5"/>
    <x v="0"/>
    <x v="270"/>
    <x v="8"/>
    <x v="3"/>
    <d v="2024-07-03T00:00:00"/>
    <x v="112"/>
    <x v="5"/>
    <x v="4"/>
    <x v="0"/>
    <x v="1"/>
    <x v="1"/>
    <x v="1"/>
  </r>
  <r>
    <d v="2024-07-03T00:00:00"/>
    <x v="5"/>
    <x v="0"/>
    <x v="344"/>
    <x v="8"/>
    <x v="3"/>
    <d v="2024-07-03T00:00:00"/>
    <x v="112"/>
    <x v="5"/>
    <x v="4"/>
    <x v="0"/>
    <x v="1"/>
    <x v="1"/>
    <x v="1"/>
  </r>
  <r>
    <d v="2024-07-03T00:00:00"/>
    <x v="5"/>
    <x v="0"/>
    <x v="270"/>
    <x v="10"/>
    <x v="0"/>
    <d v="2024-07-03T00:00:00"/>
    <x v="112"/>
    <x v="5"/>
    <x v="4"/>
    <x v="0"/>
    <x v="1"/>
    <x v="1"/>
    <x v="1"/>
  </r>
  <r>
    <d v="2024-07-03T00:00:00"/>
    <x v="5"/>
    <x v="0"/>
    <x v="345"/>
    <x v="14"/>
    <x v="6"/>
    <d v="2024-07-03T00:00:00"/>
    <x v="112"/>
    <x v="5"/>
    <x v="4"/>
    <x v="0"/>
    <x v="1"/>
    <x v="1"/>
    <x v="1"/>
  </r>
  <r>
    <d v="2024-07-03T00:00:00"/>
    <x v="5"/>
    <x v="0"/>
    <x v="346"/>
    <x v="10"/>
    <x v="7"/>
    <d v="2024-07-03T00:00:00"/>
    <x v="112"/>
    <x v="5"/>
    <x v="4"/>
    <x v="0"/>
    <x v="1"/>
    <x v="1"/>
    <x v="1"/>
  </r>
  <r>
    <d v="2024-07-03T00:00:00"/>
    <x v="5"/>
    <x v="0"/>
    <x v="8"/>
    <x v="10"/>
    <x v="0"/>
    <d v="2024-07-03T00:00:00"/>
    <x v="112"/>
    <x v="5"/>
    <x v="4"/>
    <x v="0"/>
    <x v="1"/>
    <x v="1"/>
    <x v="1"/>
  </r>
  <r>
    <d v="2024-07-04T00:00:00"/>
    <x v="6"/>
    <x v="0"/>
    <x v="143"/>
    <x v="8"/>
    <x v="3"/>
    <d v="2024-07-04T00:00:00"/>
    <x v="113"/>
    <x v="6"/>
    <x v="4"/>
    <x v="0"/>
    <x v="1"/>
    <x v="1"/>
    <x v="1"/>
  </r>
  <r>
    <d v="2024-07-04T00:00:00"/>
    <x v="6"/>
    <x v="0"/>
    <x v="12"/>
    <x v="11"/>
    <x v="2"/>
    <d v="2024-07-04T00:00:00"/>
    <x v="113"/>
    <x v="6"/>
    <x v="4"/>
    <x v="0"/>
    <x v="1"/>
    <x v="1"/>
    <x v="1"/>
  </r>
  <r>
    <d v="2024-07-05T00:00:00"/>
    <x v="0"/>
    <x v="0"/>
    <x v="58"/>
    <x v="10"/>
    <x v="4"/>
    <d v="2024-07-05T00:00:00"/>
    <x v="114"/>
    <x v="0"/>
    <x v="4"/>
    <x v="0"/>
    <x v="1"/>
    <x v="1"/>
    <x v="1"/>
  </r>
  <r>
    <d v="2024-07-05T00:00:00"/>
    <x v="0"/>
    <x v="0"/>
    <x v="40"/>
    <x v="8"/>
    <x v="3"/>
    <d v="2024-07-05T00:00:00"/>
    <x v="114"/>
    <x v="0"/>
    <x v="4"/>
    <x v="0"/>
    <x v="1"/>
    <x v="1"/>
    <x v="1"/>
  </r>
  <r>
    <d v="2024-07-05T00:00:00"/>
    <x v="0"/>
    <x v="0"/>
    <x v="347"/>
    <x v="8"/>
    <x v="3"/>
    <d v="2024-07-05T00:00:00"/>
    <x v="114"/>
    <x v="0"/>
    <x v="4"/>
    <x v="0"/>
    <x v="1"/>
    <x v="1"/>
    <x v="1"/>
  </r>
  <r>
    <d v="2024-07-05T00:00:00"/>
    <x v="0"/>
    <x v="0"/>
    <x v="348"/>
    <x v="14"/>
    <x v="6"/>
    <d v="2024-07-05T00:00:00"/>
    <x v="114"/>
    <x v="0"/>
    <x v="4"/>
    <x v="0"/>
    <x v="1"/>
    <x v="1"/>
    <x v="1"/>
  </r>
  <r>
    <d v="2024-07-05T00:00:00"/>
    <x v="0"/>
    <x v="0"/>
    <x v="99"/>
    <x v="11"/>
    <x v="2"/>
    <d v="2024-07-05T00:00:00"/>
    <x v="114"/>
    <x v="0"/>
    <x v="4"/>
    <x v="0"/>
    <x v="1"/>
    <x v="1"/>
    <x v="1"/>
  </r>
  <r>
    <d v="2024-07-05T00:00:00"/>
    <x v="0"/>
    <x v="0"/>
    <x v="349"/>
    <x v="14"/>
    <x v="6"/>
    <d v="2024-07-05T00:00:00"/>
    <x v="114"/>
    <x v="0"/>
    <x v="4"/>
    <x v="0"/>
    <x v="1"/>
    <x v="1"/>
    <x v="1"/>
  </r>
  <r>
    <d v="2024-07-05T00:00:00"/>
    <x v="0"/>
    <x v="0"/>
    <x v="350"/>
    <x v="11"/>
    <x v="2"/>
    <d v="2024-07-05T00:00:00"/>
    <x v="114"/>
    <x v="0"/>
    <x v="4"/>
    <x v="0"/>
    <x v="1"/>
    <x v="1"/>
    <x v="1"/>
  </r>
  <r>
    <d v="2024-07-05T00:00:00"/>
    <x v="0"/>
    <x v="0"/>
    <x v="351"/>
    <x v="10"/>
    <x v="7"/>
    <d v="2024-07-05T00:00:00"/>
    <x v="114"/>
    <x v="0"/>
    <x v="4"/>
    <x v="0"/>
    <x v="1"/>
    <x v="1"/>
    <x v="1"/>
  </r>
  <r>
    <d v="2024-07-05T00:00:00"/>
    <x v="0"/>
    <x v="0"/>
    <x v="351"/>
    <x v="8"/>
    <x v="3"/>
    <d v="2024-07-05T00:00:00"/>
    <x v="114"/>
    <x v="0"/>
    <x v="4"/>
    <x v="0"/>
    <x v="1"/>
    <x v="1"/>
    <x v="1"/>
  </r>
  <r>
    <d v="2024-07-06T00:00:00"/>
    <x v="1"/>
    <x v="0"/>
    <x v="352"/>
    <x v="10"/>
    <x v="0"/>
    <d v="2024-07-06T00:00:00"/>
    <x v="115"/>
    <x v="1"/>
    <x v="4"/>
    <x v="0"/>
    <x v="1"/>
    <x v="1"/>
    <x v="1"/>
  </r>
  <r>
    <d v="2024-07-06T00:00:00"/>
    <x v="1"/>
    <x v="0"/>
    <x v="8"/>
    <x v="8"/>
    <x v="0"/>
    <d v="2024-07-06T00:00:00"/>
    <x v="115"/>
    <x v="1"/>
    <x v="4"/>
    <x v="0"/>
    <x v="1"/>
    <x v="1"/>
    <x v="1"/>
  </r>
  <r>
    <d v="2024-07-06T00:00:00"/>
    <x v="1"/>
    <x v="0"/>
    <x v="12"/>
    <x v="8"/>
    <x v="0"/>
    <d v="2024-07-06T00:00:00"/>
    <x v="115"/>
    <x v="1"/>
    <x v="4"/>
    <x v="0"/>
    <x v="1"/>
    <x v="1"/>
    <x v="1"/>
  </r>
  <r>
    <d v="2024-07-06T00:00:00"/>
    <x v="1"/>
    <x v="0"/>
    <x v="12"/>
    <x v="11"/>
    <x v="3"/>
    <d v="2024-07-06T00:00:00"/>
    <x v="115"/>
    <x v="1"/>
    <x v="4"/>
    <x v="0"/>
    <x v="1"/>
    <x v="1"/>
    <x v="1"/>
  </r>
  <r>
    <d v="2024-07-07T00:00:00"/>
    <x v="2"/>
    <x v="0"/>
    <x v="303"/>
    <x v="8"/>
    <x v="7"/>
    <d v="2024-07-07T00:00:00"/>
    <x v="116"/>
    <x v="2"/>
    <x v="4"/>
    <x v="0"/>
    <x v="1"/>
    <x v="1"/>
    <x v="1"/>
  </r>
  <r>
    <d v="2024-07-07T00:00:00"/>
    <x v="2"/>
    <x v="0"/>
    <x v="353"/>
    <x v="11"/>
    <x v="3"/>
    <d v="2024-07-07T00:00:00"/>
    <x v="116"/>
    <x v="2"/>
    <x v="4"/>
    <x v="0"/>
    <x v="1"/>
    <x v="1"/>
    <x v="1"/>
  </r>
  <r>
    <d v="2024-07-07T00:00:00"/>
    <x v="2"/>
    <x v="0"/>
    <x v="354"/>
    <x v="8"/>
    <x v="7"/>
    <d v="2024-07-07T00:00:00"/>
    <x v="116"/>
    <x v="2"/>
    <x v="4"/>
    <x v="0"/>
    <x v="1"/>
    <x v="1"/>
    <x v="1"/>
  </r>
  <r>
    <d v="2024-07-07T00:00:00"/>
    <x v="2"/>
    <x v="0"/>
    <x v="355"/>
    <x v="8"/>
    <x v="1"/>
    <d v="2024-07-07T00:00:00"/>
    <x v="116"/>
    <x v="2"/>
    <x v="4"/>
    <x v="0"/>
    <x v="1"/>
    <x v="1"/>
    <x v="1"/>
  </r>
  <r>
    <d v="2024-07-07T00:00:00"/>
    <x v="2"/>
    <x v="0"/>
    <x v="355"/>
    <x v="8"/>
    <x v="4"/>
    <d v="2024-07-07T00:00:00"/>
    <x v="116"/>
    <x v="2"/>
    <x v="4"/>
    <x v="0"/>
    <x v="1"/>
    <x v="1"/>
    <x v="1"/>
  </r>
  <r>
    <d v="2024-07-07T00:00:00"/>
    <x v="2"/>
    <x v="0"/>
    <x v="356"/>
    <x v="8"/>
    <x v="0"/>
    <d v="2024-07-07T00:00:00"/>
    <x v="116"/>
    <x v="2"/>
    <x v="4"/>
    <x v="0"/>
    <x v="1"/>
    <x v="1"/>
    <x v="1"/>
  </r>
  <r>
    <d v="2024-07-07T00:00:00"/>
    <x v="2"/>
    <x v="0"/>
    <x v="357"/>
    <x v="8"/>
    <x v="7"/>
    <d v="2024-07-07T00:00:00"/>
    <x v="116"/>
    <x v="2"/>
    <x v="4"/>
    <x v="0"/>
    <x v="1"/>
    <x v="1"/>
    <x v="1"/>
  </r>
  <r>
    <d v="2024-07-07T00:00:00"/>
    <x v="2"/>
    <x v="0"/>
    <x v="358"/>
    <x v="8"/>
    <x v="1"/>
    <d v="2024-07-07T00:00:00"/>
    <x v="116"/>
    <x v="2"/>
    <x v="4"/>
    <x v="0"/>
    <x v="1"/>
    <x v="1"/>
    <x v="1"/>
  </r>
  <r>
    <d v="2024-07-07T00:00:00"/>
    <x v="2"/>
    <x v="0"/>
    <x v="359"/>
    <x v="11"/>
    <x v="3"/>
    <d v="2024-07-07T00:00:00"/>
    <x v="116"/>
    <x v="2"/>
    <x v="4"/>
    <x v="0"/>
    <x v="1"/>
    <x v="1"/>
    <x v="1"/>
  </r>
  <r>
    <d v="2024-07-08T00:00:00"/>
    <x v="3"/>
    <x v="0"/>
    <x v="360"/>
    <x v="8"/>
    <x v="0"/>
    <d v="2024-07-08T00:00:00"/>
    <x v="117"/>
    <x v="3"/>
    <x v="4"/>
    <x v="0"/>
    <x v="1"/>
    <x v="1"/>
    <x v="1"/>
  </r>
  <r>
    <d v="2024-07-08T00:00:00"/>
    <x v="3"/>
    <x v="0"/>
    <x v="361"/>
    <x v="14"/>
    <x v="2"/>
    <d v="2024-07-08T00:00:00"/>
    <x v="117"/>
    <x v="3"/>
    <x v="4"/>
    <x v="0"/>
    <x v="1"/>
    <x v="1"/>
    <x v="1"/>
  </r>
  <r>
    <d v="2024-07-08T00:00:00"/>
    <x v="3"/>
    <x v="0"/>
    <x v="362"/>
    <x v="14"/>
    <x v="2"/>
    <d v="2024-07-08T00:00:00"/>
    <x v="117"/>
    <x v="3"/>
    <x v="4"/>
    <x v="0"/>
    <x v="1"/>
    <x v="1"/>
    <x v="1"/>
  </r>
  <r>
    <d v="2024-07-08T00:00:00"/>
    <x v="3"/>
    <x v="0"/>
    <x v="363"/>
    <x v="11"/>
    <x v="3"/>
    <d v="2024-07-08T00:00:00"/>
    <x v="117"/>
    <x v="3"/>
    <x v="4"/>
    <x v="0"/>
    <x v="1"/>
    <x v="1"/>
    <x v="1"/>
  </r>
  <r>
    <d v="2024-07-08T00:00:00"/>
    <x v="3"/>
    <x v="0"/>
    <x v="19"/>
    <x v="8"/>
    <x v="0"/>
    <d v="2024-07-08T00:00:00"/>
    <x v="117"/>
    <x v="3"/>
    <x v="4"/>
    <x v="0"/>
    <x v="1"/>
    <x v="1"/>
    <x v="1"/>
  </r>
  <r>
    <d v="2024-07-09T00:00:00"/>
    <x v="4"/>
    <x v="0"/>
    <x v="333"/>
    <x v="11"/>
    <x v="3"/>
    <d v="2024-07-09T00:00:00"/>
    <x v="118"/>
    <x v="4"/>
    <x v="4"/>
    <x v="0"/>
    <x v="1"/>
    <x v="1"/>
    <x v="1"/>
  </r>
  <r>
    <d v="2024-07-09T00:00:00"/>
    <x v="4"/>
    <x v="0"/>
    <x v="276"/>
    <x v="11"/>
    <x v="3"/>
    <d v="2024-07-09T00:00:00"/>
    <x v="118"/>
    <x v="4"/>
    <x v="4"/>
    <x v="0"/>
    <x v="1"/>
    <x v="1"/>
    <x v="1"/>
  </r>
  <r>
    <d v="2024-07-09T00:00:00"/>
    <x v="4"/>
    <x v="0"/>
    <x v="194"/>
    <x v="11"/>
    <x v="3"/>
    <d v="2024-07-09T00:00:00"/>
    <x v="118"/>
    <x v="4"/>
    <x v="4"/>
    <x v="0"/>
    <x v="1"/>
    <x v="1"/>
    <x v="1"/>
  </r>
  <r>
    <d v="2024-07-09T00:00:00"/>
    <x v="4"/>
    <x v="0"/>
    <x v="194"/>
    <x v="8"/>
    <x v="7"/>
    <d v="2024-07-09T00:00:00"/>
    <x v="118"/>
    <x v="4"/>
    <x v="4"/>
    <x v="0"/>
    <x v="1"/>
    <x v="1"/>
    <x v="1"/>
  </r>
  <r>
    <d v="2024-07-09T00:00:00"/>
    <x v="4"/>
    <x v="0"/>
    <x v="364"/>
    <x v="11"/>
    <x v="3"/>
    <d v="2024-07-09T00:00:00"/>
    <x v="118"/>
    <x v="4"/>
    <x v="4"/>
    <x v="0"/>
    <x v="1"/>
    <x v="1"/>
    <x v="1"/>
  </r>
  <r>
    <d v="2024-07-10T00:00:00"/>
    <x v="5"/>
    <x v="0"/>
    <x v="365"/>
    <x v="14"/>
    <x v="2"/>
    <d v="2024-07-10T00:00:00"/>
    <x v="119"/>
    <x v="5"/>
    <x v="4"/>
    <x v="0"/>
    <x v="1"/>
    <x v="1"/>
    <x v="1"/>
  </r>
  <r>
    <d v="2024-07-10T00:00:00"/>
    <x v="5"/>
    <x v="0"/>
    <x v="366"/>
    <x v="11"/>
    <x v="3"/>
    <d v="2024-07-10T00:00:00"/>
    <x v="119"/>
    <x v="5"/>
    <x v="4"/>
    <x v="0"/>
    <x v="1"/>
    <x v="1"/>
    <x v="1"/>
  </r>
  <r>
    <d v="2024-07-10T00:00:00"/>
    <x v="5"/>
    <x v="0"/>
    <x v="328"/>
    <x v="8"/>
    <x v="0"/>
    <d v="2024-07-10T00:00:00"/>
    <x v="119"/>
    <x v="5"/>
    <x v="4"/>
    <x v="0"/>
    <x v="1"/>
    <x v="1"/>
    <x v="1"/>
  </r>
  <r>
    <d v="2024-07-11T00:00:00"/>
    <x v="6"/>
    <x v="0"/>
    <x v="367"/>
    <x v="8"/>
    <x v="1"/>
    <d v="2024-07-11T00:00:00"/>
    <x v="120"/>
    <x v="6"/>
    <x v="4"/>
    <x v="0"/>
    <x v="1"/>
    <x v="1"/>
    <x v="1"/>
  </r>
  <r>
    <d v="2024-07-11T00:00:00"/>
    <x v="6"/>
    <x v="0"/>
    <x v="368"/>
    <x v="11"/>
    <x v="3"/>
    <d v="2024-07-11T00:00:00"/>
    <x v="120"/>
    <x v="6"/>
    <x v="4"/>
    <x v="0"/>
    <x v="1"/>
    <x v="1"/>
    <x v="1"/>
  </r>
  <r>
    <d v="2024-07-11T00:00:00"/>
    <x v="6"/>
    <x v="0"/>
    <x v="369"/>
    <x v="8"/>
    <x v="0"/>
    <d v="2024-07-11T00:00:00"/>
    <x v="120"/>
    <x v="6"/>
    <x v="4"/>
    <x v="0"/>
    <x v="1"/>
    <x v="1"/>
    <x v="1"/>
  </r>
  <r>
    <d v="2024-07-11T00:00:00"/>
    <x v="6"/>
    <x v="0"/>
    <x v="370"/>
    <x v="14"/>
    <x v="2"/>
    <d v="2024-07-11T00:00:00"/>
    <x v="120"/>
    <x v="6"/>
    <x v="4"/>
    <x v="0"/>
    <x v="1"/>
    <x v="1"/>
    <x v="1"/>
  </r>
  <r>
    <d v="2024-07-12T00:00:00"/>
    <x v="0"/>
    <x v="0"/>
    <x v="371"/>
    <x v="14"/>
    <x v="5"/>
    <d v="2024-07-12T00:00:00"/>
    <x v="121"/>
    <x v="0"/>
    <x v="4"/>
    <x v="0"/>
    <x v="1"/>
    <x v="1"/>
    <x v="1"/>
  </r>
  <r>
    <d v="2024-07-12T00:00:00"/>
    <x v="0"/>
    <x v="0"/>
    <x v="372"/>
    <x v="8"/>
    <x v="1"/>
    <d v="2024-07-12T00:00:00"/>
    <x v="121"/>
    <x v="0"/>
    <x v="4"/>
    <x v="0"/>
    <x v="1"/>
    <x v="1"/>
    <x v="1"/>
  </r>
  <r>
    <d v="2024-07-12T00:00:00"/>
    <x v="0"/>
    <x v="0"/>
    <x v="178"/>
    <x v="8"/>
    <x v="1"/>
    <d v="2024-07-12T00:00:00"/>
    <x v="121"/>
    <x v="0"/>
    <x v="4"/>
    <x v="0"/>
    <x v="1"/>
    <x v="1"/>
    <x v="1"/>
  </r>
  <r>
    <d v="2024-07-12T00:00:00"/>
    <x v="0"/>
    <x v="0"/>
    <x v="177"/>
    <x v="8"/>
    <x v="1"/>
    <d v="2024-07-12T00:00:00"/>
    <x v="121"/>
    <x v="0"/>
    <x v="4"/>
    <x v="0"/>
    <x v="1"/>
    <x v="1"/>
    <x v="1"/>
  </r>
  <r>
    <d v="2024-07-12T00:00:00"/>
    <x v="0"/>
    <x v="0"/>
    <x v="179"/>
    <x v="8"/>
    <x v="1"/>
    <d v="2024-07-12T00:00:00"/>
    <x v="121"/>
    <x v="0"/>
    <x v="4"/>
    <x v="0"/>
    <x v="1"/>
    <x v="1"/>
    <x v="1"/>
  </r>
  <r>
    <d v="2024-07-13T00:00:00"/>
    <x v="1"/>
    <x v="0"/>
    <x v="365"/>
    <x v="8"/>
    <x v="0"/>
    <d v="2024-07-13T00:00:00"/>
    <x v="122"/>
    <x v="1"/>
    <x v="4"/>
    <x v="0"/>
    <x v="1"/>
    <x v="1"/>
    <x v="1"/>
  </r>
  <r>
    <d v="2024-07-14T00:00:00"/>
    <x v="2"/>
    <x v="0"/>
    <x v="373"/>
    <x v="14"/>
    <x v="2"/>
    <d v="2024-07-14T00:00:00"/>
    <x v="123"/>
    <x v="2"/>
    <x v="4"/>
    <x v="0"/>
    <x v="1"/>
    <x v="1"/>
    <x v="1"/>
  </r>
  <r>
    <d v="2024-07-14T00:00:00"/>
    <x v="2"/>
    <x v="0"/>
    <x v="373"/>
    <x v="11"/>
    <x v="3"/>
    <d v="2024-07-14T00:00:00"/>
    <x v="123"/>
    <x v="2"/>
    <x v="4"/>
    <x v="0"/>
    <x v="1"/>
    <x v="1"/>
    <x v="1"/>
  </r>
  <r>
    <d v="2024-07-14T00:00:00"/>
    <x v="2"/>
    <x v="0"/>
    <x v="373"/>
    <x v="8"/>
    <x v="7"/>
    <d v="2024-07-14T00:00:00"/>
    <x v="123"/>
    <x v="2"/>
    <x v="4"/>
    <x v="0"/>
    <x v="1"/>
    <x v="1"/>
    <x v="1"/>
  </r>
  <r>
    <d v="2024-07-14T00:00:00"/>
    <x v="2"/>
    <x v="0"/>
    <x v="374"/>
    <x v="8"/>
    <x v="0"/>
    <d v="2024-07-14T00:00:00"/>
    <x v="123"/>
    <x v="2"/>
    <x v="4"/>
    <x v="0"/>
    <x v="1"/>
    <x v="1"/>
    <x v="1"/>
  </r>
  <r>
    <d v="2024-07-14T00:00:00"/>
    <x v="2"/>
    <x v="0"/>
    <x v="375"/>
    <x v="14"/>
    <x v="2"/>
    <d v="2024-07-14T00:00:00"/>
    <x v="123"/>
    <x v="2"/>
    <x v="4"/>
    <x v="0"/>
    <x v="1"/>
    <x v="1"/>
    <x v="1"/>
  </r>
  <r>
    <d v="2024-07-14T00:00:00"/>
    <x v="2"/>
    <x v="0"/>
    <x v="376"/>
    <x v="8"/>
    <x v="0"/>
    <d v="2024-07-14T00:00:00"/>
    <x v="123"/>
    <x v="2"/>
    <x v="4"/>
    <x v="0"/>
    <x v="1"/>
    <x v="1"/>
    <x v="1"/>
  </r>
  <r>
    <d v="2024-07-15T00:00:00"/>
    <x v="3"/>
    <x v="0"/>
    <x v="377"/>
    <x v="8"/>
    <x v="7"/>
    <d v="2024-07-15T00:00:00"/>
    <x v="122"/>
    <x v="3"/>
    <x v="4"/>
    <x v="0"/>
    <x v="1"/>
    <x v="1"/>
    <x v="1"/>
  </r>
  <r>
    <d v="2024-07-16T00:00:00"/>
    <x v="4"/>
    <x v="0"/>
    <x v="378"/>
    <x v="11"/>
    <x v="3"/>
    <d v="2024-07-16T00:00:00"/>
    <x v="113"/>
    <x v="4"/>
    <x v="4"/>
    <x v="0"/>
    <x v="1"/>
    <x v="1"/>
    <x v="1"/>
  </r>
  <r>
    <d v="2024-07-16T00:00:00"/>
    <x v="4"/>
    <x v="0"/>
    <x v="367"/>
    <x v="8"/>
    <x v="1"/>
    <d v="2024-07-16T00:00:00"/>
    <x v="113"/>
    <x v="4"/>
    <x v="4"/>
    <x v="0"/>
    <x v="1"/>
    <x v="1"/>
    <x v="1"/>
  </r>
  <r>
    <d v="2024-07-17T00:00:00"/>
    <x v="5"/>
    <x v="0"/>
    <x v="379"/>
    <x v="11"/>
    <x v="3"/>
    <d v="2024-07-17T00:00:00"/>
    <x v="124"/>
    <x v="5"/>
    <x v="4"/>
    <x v="0"/>
    <x v="1"/>
    <x v="1"/>
    <x v="1"/>
  </r>
  <r>
    <d v="2024-07-18T00:00:00"/>
    <x v="6"/>
    <x v="0"/>
    <x v="380"/>
    <x v="11"/>
    <x v="3"/>
    <d v="2024-07-18T00:00:00"/>
    <x v="125"/>
    <x v="6"/>
    <x v="4"/>
    <x v="0"/>
    <x v="1"/>
    <x v="1"/>
    <x v="1"/>
  </r>
  <r>
    <d v="2024-07-18T00:00:00"/>
    <x v="6"/>
    <x v="0"/>
    <x v="381"/>
    <x v="15"/>
    <x v="6"/>
    <d v="2024-07-18T00:00:00"/>
    <x v="125"/>
    <x v="6"/>
    <x v="4"/>
    <x v="0"/>
    <x v="1"/>
    <x v="1"/>
    <x v="1"/>
  </r>
  <r>
    <d v="2024-07-18T00:00:00"/>
    <x v="6"/>
    <x v="0"/>
    <x v="59"/>
    <x v="14"/>
    <x v="2"/>
    <d v="2024-07-18T00:00:00"/>
    <x v="125"/>
    <x v="6"/>
    <x v="4"/>
    <x v="0"/>
    <x v="1"/>
    <x v="1"/>
    <x v="1"/>
  </r>
  <r>
    <d v="2024-07-18T00:00:00"/>
    <x v="6"/>
    <x v="0"/>
    <x v="59"/>
    <x v="14"/>
    <x v="5"/>
    <d v="2024-07-18T00:00:00"/>
    <x v="125"/>
    <x v="6"/>
    <x v="4"/>
    <x v="0"/>
    <x v="1"/>
    <x v="1"/>
    <x v="1"/>
  </r>
  <r>
    <d v="2024-07-18T00:00:00"/>
    <x v="6"/>
    <x v="0"/>
    <x v="375"/>
    <x v="8"/>
    <x v="0"/>
    <d v="2024-07-18T00:00:00"/>
    <x v="125"/>
    <x v="6"/>
    <x v="4"/>
    <x v="0"/>
    <x v="1"/>
    <x v="1"/>
    <x v="1"/>
  </r>
  <r>
    <d v="2024-07-18T00:00:00"/>
    <x v="6"/>
    <x v="0"/>
    <x v="382"/>
    <x v="8"/>
    <x v="7"/>
    <d v="2024-07-18T00:00:00"/>
    <x v="125"/>
    <x v="6"/>
    <x v="4"/>
    <x v="0"/>
    <x v="1"/>
    <x v="1"/>
    <x v="1"/>
  </r>
  <r>
    <d v="2024-07-18T00:00:00"/>
    <x v="6"/>
    <x v="0"/>
    <x v="8"/>
    <x v="8"/>
    <x v="0"/>
    <d v="2024-07-18T00:00:00"/>
    <x v="125"/>
    <x v="6"/>
    <x v="4"/>
    <x v="0"/>
    <x v="1"/>
    <x v="1"/>
    <x v="1"/>
  </r>
  <r>
    <d v="2024-07-18T00:00:00"/>
    <x v="6"/>
    <x v="0"/>
    <x v="383"/>
    <x v="8"/>
    <x v="1"/>
    <d v="2024-07-18T00:00:00"/>
    <x v="125"/>
    <x v="6"/>
    <x v="4"/>
    <x v="0"/>
    <x v="1"/>
    <x v="1"/>
    <x v="1"/>
  </r>
  <r>
    <d v="2024-07-18T00:00:00"/>
    <x v="6"/>
    <x v="0"/>
    <x v="383"/>
    <x v="8"/>
    <x v="0"/>
    <d v="2024-07-18T00:00:00"/>
    <x v="125"/>
    <x v="6"/>
    <x v="4"/>
    <x v="0"/>
    <x v="1"/>
    <x v="1"/>
    <x v="1"/>
  </r>
  <r>
    <d v="2024-07-18T00:00:00"/>
    <x v="6"/>
    <x v="0"/>
    <x v="384"/>
    <x v="8"/>
    <x v="0"/>
    <d v="2024-07-18T00:00:00"/>
    <x v="125"/>
    <x v="6"/>
    <x v="4"/>
    <x v="0"/>
    <x v="1"/>
    <x v="1"/>
    <x v="1"/>
  </r>
  <r>
    <d v="2024-07-19T00:00:00"/>
    <x v="0"/>
    <x v="0"/>
    <x v="375"/>
    <x v="14"/>
    <x v="2"/>
    <d v="2024-07-19T00:00:00"/>
    <x v="126"/>
    <x v="0"/>
    <x v="4"/>
    <x v="0"/>
    <x v="1"/>
    <x v="1"/>
    <x v="1"/>
  </r>
  <r>
    <d v="2024-07-19T00:00:00"/>
    <x v="0"/>
    <x v="0"/>
    <x v="385"/>
    <x v="11"/>
    <x v="3"/>
    <d v="2024-07-19T00:00:00"/>
    <x v="126"/>
    <x v="0"/>
    <x v="4"/>
    <x v="0"/>
    <x v="1"/>
    <x v="1"/>
    <x v="1"/>
  </r>
  <r>
    <d v="2024-07-19T00:00:00"/>
    <x v="0"/>
    <x v="0"/>
    <x v="386"/>
    <x v="8"/>
    <x v="0"/>
    <d v="2024-07-19T00:00:00"/>
    <x v="126"/>
    <x v="0"/>
    <x v="4"/>
    <x v="0"/>
    <x v="1"/>
    <x v="1"/>
    <x v="1"/>
  </r>
  <r>
    <d v="2024-07-19T00:00:00"/>
    <x v="0"/>
    <x v="0"/>
    <x v="386"/>
    <x v="11"/>
    <x v="3"/>
    <d v="2024-07-19T00:00:00"/>
    <x v="126"/>
    <x v="0"/>
    <x v="4"/>
    <x v="0"/>
    <x v="1"/>
    <x v="1"/>
    <x v="1"/>
  </r>
  <r>
    <d v="2024-07-19T00:00:00"/>
    <x v="0"/>
    <x v="0"/>
    <x v="384"/>
    <x v="8"/>
    <x v="0"/>
    <d v="2024-07-19T00:00:00"/>
    <x v="126"/>
    <x v="0"/>
    <x v="4"/>
    <x v="0"/>
    <x v="1"/>
    <x v="1"/>
    <x v="1"/>
  </r>
  <r>
    <d v="2024-07-19T00:00:00"/>
    <x v="0"/>
    <x v="0"/>
    <x v="384"/>
    <x v="8"/>
    <x v="4"/>
    <d v="2024-07-19T00:00:00"/>
    <x v="126"/>
    <x v="0"/>
    <x v="4"/>
    <x v="0"/>
    <x v="1"/>
    <x v="1"/>
    <x v="1"/>
  </r>
  <r>
    <d v="2024-07-20T00:00:00"/>
    <x v="1"/>
    <x v="0"/>
    <x v="387"/>
    <x v="14"/>
    <x v="2"/>
    <d v="2024-07-20T00:00:00"/>
    <x v="126"/>
    <x v="1"/>
    <x v="4"/>
    <x v="0"/>
    <x v="1"/>
    <x v="1"/>
    <x v="1"/>
  </r>
  <r>
    <d v="2024-07-20T00:00:00"/>
    <x v="1"/>
    <x v="0"/>
    <x v="387"/>
    <x v="8"/>
    <x v="0"/>
    <d v="2024-07-20T00:00:00"/>
    <x v="126"/>
    <x v="1"/>
    <x v="4"/>
    <x v="0"/>
    <x v="1"/>
    <x v="1"/>
    <x v="1"/>
  </r>
  <r>
    <d v="2024-07-20T00:00:00"/>
    <x v="1"/>
    <x v="0"/>
    <x v="388"/>
    <x v="8"/>
    <x v="0"/>
    <d v="2024-07-20T00:00:00"/>
    <x v="126"/>
    <x v="1"/>
    <x v="4"/>
    <x v="0"/>
    <x v="1"/>
    <x v="1"/>
    <x v="1"/>
  </r>
  <r>
    <d v="2024-07-20T00:00:00"/>
    <x v="1"/>
    <x v="0"/>
    <x v="389"/>
    <x v="8"/>
    <x v="0"/>
    <d v="2024-07-20T00:00:00"/>
    <x v="126"/>
    <x v="1"/>
    <x v="4"/>
    <x v="0"/>
    <x v="1"/>
    <x v="1"/>
    <x v="1"/>
  </r>
  <r>
    <d v="2024-07-20T00:00:00"/>
    <x v="1"/>
    <x v="0"/>
    <x v="390"/>
    <x v="14"/>
    <x v="2"/>
    <d v="2024-07-20T00:00:00"/>
    <x v="126"/>
    <x v="1"/>
    <x v="4"/>
    <x v="0"/>
    <x v="1"/>
    <x v="1"/>
    <x v="1"/>
  </r>
  <r>
    <d v="2024-07-20T00:00:00"/>
    <x v="1"/>
    <x v="0"/>
    <x v="391"/>
    <x v="8"/>
    <x v="0"/>
    <d v="2024-07-20T00:00:00"/>
    <x v="126"/>
    <x v="1"/>
    <x v="4"/>
    <x v="0"/>
    <x v="1"/>
    <x v="1"/>
    <x v="1"/>
  </r>
  <r>
    <d v="2024-07-21T00:00:00"/>
    <x v="2"/>
    <x v="0"/>
    <x v="367"/>
    <x v="8"/>
    <x v="4"/>
    <d v="2024-07-21T00:00:00"/>
    <x v="127"/>
    <x v="2"/>
    <x v="4"/>
    <x v="0"/>
    <x v="1"/>
    <x v="1"/>
    <x v="1"/>
  </r>
  <r>
    <d v="2024-07-21T00:00:00"/>
    <x v="2"/>
    <x v="0"/>
    <x v="392"/>
    <x v="8"/>
    <x v="7"/>
    <d v="2024-07-21T00:00:00"/>
    <x v="127"/>
    <x v="2"/>
    <x v="4"/>
    <x v="0"/>
    <x v="1"/>
    <x v="1"/>
    <x v="1"/>
  </r>
  <r>
    <d v="2024-07-21T00:00:00"/>
    <x v="2"/>
    <x v="0"/>
    <x v="393"/>
    <x v="14"/>
    <x v="5"/>
    <d v="2024-07-21T00:00:00"/>
    <x v="127"/>
    <x v="2"/>
    <x v="4"/>
    <x v="0"/>
    <x v="1"/>
    <x v="1"/>
    <x v="1"/>
  </r>
  <r>
    <d v="2024-07-21T00:00:00"/>
    <x v="2"/>
    <x v="0"/>
    <x v="394"/>
    <x v="8"/>
    <x v="0"/>
    <d v="2024-07-21T00:00:00"/>
    <x v="127"/>
    <x v="2"/>
    <x v="4"/>
    <x v="0"/>
    <x v="1"/>
    <x v="1"/>
    <x v="1"/>
  </r>
  <r>
    <d v="2024-07-22T00:00:00"/>
    <x v="3"/>
    <x v="0"/>
    <x v="375"/>
    <x v="14"/>
    <x v="2"/>
    <d v="2024-07-22T00:00:00"/>
    <x v="128"/>
    <x v="3"/>
    <x v="4"/>
    <x v="0"/>
    <x v="1"/>
    <x v="1"/>
    <x v="1"/>
  </r>
  <r>
    <d v="2024-07-22T00:00:00"/>
    <x v="3"/>
    <x v="0"/>
    <x v="395"/>
    <x v="14"/>
    <x v="2"/>
    <d v="2024-07-22T00:00:00"/>
    <x v="128"/>
    <x v="3"/>
    <x v="4"/>
    <x v="0"/>
    <x v="1"/>
    <x v="1"/>
    <x v="1"/>
  </r>
  <r>
    <d v="2024-07-22T00:00:00"/>
    <x v="3"/>
    <x v="0"/>
    <x v="385"/>
    <x v="11"/>
    <x v="3"/>
    <d v="2024-07-22T00:00:00"/>
    <x v="128"/>
    <x v="3"/>
    <x v="4"/>
    <x v="0"/>
    <x v="1"/>
    <x v="1"/>
    <x v="1"/>
  </r>
  <r>
    <d v="2024-07-22T00:00:00"/>
    <x v="3"/>
    <x v="0"/>
    <x v="396"/>
    <x v="8"/>
    <x v="0"/>
    <d v="2024-07-22T00:00:00"/>
    <x v="128"/>
    <x v="3"/>
    <x v="4"/>
    <x v="0"/>
    <x v="1"/>
    <x v="1"/>
    <x v="1"/>
  </r>
  <r>
    <d v="2024-07-23T00:00:00"/>
    <x v="4"/>
    <x v="0"/>
    <x v="197"/>
    <x v="8"/>
    <x v="0"/>
    <d v="2024-07-23T00:00:00"/>
    <x v="129"/>
    <x v="4"/>
    <x v="4"/>
    <x v="0"/>
    <x v="1"/>
    <x v="1"/>
    <x v="1"/>
  </r>
  <r>
    <d v="2024-07-23T00:00:00"/>
    <x v="4"/>
    <x v="0"/>
    <x v="395"/>
    <x v="14"/>
    <x v="2"/>
    <d v="2024-07-23T00:00:00"/>
    <x v="129"/>
    <x v="4"/>
    <x v="4"/>
    <x v="0"/>
    <x v="1"/>
    <x v="1"/>
    <x v="1"/>
  </r>
  <r>
    <d v="2024-07-23T00:00:00"/>
    <x v="4"/>
    <x v="0"/>
    <x v="397"/>
    <x v="11"/>
    <x v="3"/>
    <d v="2024-07-23T00:00:00"/>
    <x v="129"/>
    <x v="4"/>
    <x v="4"/>
    <x v="0"/>
    <x v="1"/>
    <x v="1"/>
    <x v="1"/>
  </r>
  <r>
    <d v="2024-07-23T00:00:00"/>
    <x v="4"/>
    <x v="0"/>
    <x v="398"/>
    <x v="8"/>
    <x v="4"/>
    <d v="2024-07-23T00:00:00"/>
    <x v="129"/>
    <x v="4"/>
    <x v="4"/>
    <x v="0"/>
    <x v="1"/>
    <x v="1"/>
    <x v="1"/>
  </r>
  <r>
    <d v="2024-07-23T00:00:00"/>
    <x v="4"/>
    <x v="0"/>
    <x v="399"/>
    <x v="8"/>
    <x v="0"/>
    <d v="2024-07-23T00:00:00"/>
    <x v="129"/>
    <x v="4"/>
    <x v="4"/>
    <x v="0"/>
    <x v="1"/>
    <x v="1"/>
    <x v="1"/>
  </r>
  <r>
    <d v="2024-07-23T00:00:00"/>
    <x v="4"/>
    <x v="0"/>
    <x v="375"/>
    <x v="14"/>
    <x v="2"/>
    <d v="2024-07-23T00:00:00"/>
    <x v="129"/>
    <x v="4"/>
    <x v="4"/>
    <x v="0"/>
    <x v="1"/>
    <x v="1"/>
    <x v="1"/>
  </r>
  <r>
    <d v="2024-07-23T00:00:00"/>
    <x v="4"/>
    <x v="0"/>
    <x v="400"/>
    <x v="11"/>
    <x v="3"/>
    <d v="2024-07-23T00:00:00"/>
    <x v="129"/>
    <x v="4"/>
    <x v="4"/>
    <x v="0"/>
    <x v="1"/>
    <x v="1"/>
    <x v="1"/>
  </r>
  <r>
    <d v="2024-07-23T00:00:00"/>
    <x v="4"/>
    <x v="0"/>
    <x v="401"/>
    <x v="11"/>
    <x v="3"/>
    <d v="2024-07-23T00:00:00"/>
    <x v="129"/>
    <x v="4"/>
    <x v="4"/>
    <x v="0"/>
    <x v="1"/>
    <x v="1"/>
    <x v="1"/>
  </r>
  <r>
    <d v="2024-07-23T00:00:00"/>
    <x v="4"/>
    <x v="0"/>
    <x v="401"/>
    <x v="8"/>
    <x v="0"/>
    <d v="2024-07-23T00:00:00"/>
    <x v="129"/>
    <x v="4"/>
    <x v="4"/>
    <x v="0"/>
    <x v="1"/>
    <x v="1"/>
    <x v="1"/>
  </r>
  <r>
    <d v="2024-07-23T00:00:00"/>
    <x v="4"/>
    <x v="0"/>
    <x v="8"/>
    <x v="8"/>
    <x v="0"/>
    <d v="2024-07-23T00:00:00"/>
    <x v="129"/>
    <x v="4"/>
    <x v="4"/>
    <x v="0"/>
    <x v="1"/>
    <x v="1"/>
    <x v="1"/>
  </r>
  <r>
    <d v="2024-07-23T00:00:00"/>
    <x v="4"/>
    <x v="0"/>
    <x v="12"/>
    <x v="14"/>
    <x v="2"/>
    <d v="2024-07-23T00:00:00"/>
    <x v="129"/>
    <x v="4"/>
    <x v="4"/>
    <x v="0"/>
    <x v="1"/>
    <x v="1"/>
    <x v="1"/>
  </r>
  <r>
    <d v="2024-07-24T00:00:00"/>
    <x v="5"/>
    <x v="0"/>
    <x v="97"/>
    <x v="11"/>
    <x v="3"/>
    <d v="2024-07-24T00:00:00"/>
    <x v="130"/>
    <x v="5"/>
    <x v="4"/>
    <x v="0"/>
    <x v="1"/>
    <x v="1"/>
    <x v="1"/>
  </r>
  <r>
    <d v="2024-07-24T00:00:00"/>
    <x v="5"/>
    <x v="0"/>
    <x v="385"/>
    <x v="11"/>
    <x v="3"/>
    <d v="2024-07-24T00:00:00"/>
    <x v="130"/>
    <x v="5"/>
    <x v="4"/>
    <x v="0"/>
    <x v="1"/>
    <x v="1"/>
    <x v="1"/>
  </r>
  <r>
    <d v="2024-07-24T00:00:00"/>
    <x v="5"/>
    <x v="0"/>
    <x v="402"/>
    <x v="15"/>
    <x v="6"/>
    <d v="2024-07-24T00:00:00"/>
    <x v="130"/>
    <x v="5"/>
    <x v="4"/>
    <x v="0"/>
    <x v="1"/>
    <x v="1"/>
    <x v="1"/>
  </r>
  <r>
    <d v="2024-07-24T00:00:00"/>
    <x v="5"/>
    <x v="0"/>
    <x v="379"/>
    <x v="8"/>
    <x v="7"/>
    <d v="2024-07-24T00:00:00"/>
    <x v="130"/>
    <x v="5"/>
    <x v="4"/>
    <x v="0"/>
    <x v="1"/>
    <x v="1"/>
    <x v="1"/>
  </r>
  <r>
    <d v="2024-07-24T00:00:00"/>
    <x v="5"/>
    <x v="0"/>
    <x v="399"/>
    <x v="8"/>
    <x v="0"/>
    <d v="2024-07-24T00:00:00"/>
    <x v="130"/>
    <x v="5"/>
    <x v="4"/>
    <x v="0"/>
    <x v="1"/>
    <x v="1"/>
    <x v="1"/>
  </r>
  <r>
    <d v="2024-07-24T00:00:00"/>
    <x v="5"/>
    <x v="0"/>
    <x v="12"/>
    <x v="15"/>
    <x v="6"/>
    <d v="2024-07-24T00:00:00"/>
    <x v="130"/>
    <x v="5"/>
    <x v="4"/>
    <x v="0"/>
    <x v="1"/>
    <x v="1"/>
    <x v="1"/>
  </r>
  <r>
    <d v="2024-07-24T00:00:00"/>
    <x v="5"/>
    <x v="0"/>
    <x v="8"/>
    <x v="8"/>
    <x v="0"/>
    <d v="2024-07-24T00:00:00"/>
    <x v="130"/>
    <x v="5"/>
    <x v="4"/>
    <x v="0"/>
    <x v="1"/>
    <x v="1"/>
    <x v="1"/>
  </r>
  <r>
    <d v="2024-07-24T00:00:00"/>
    <x v="5"/>
    <x v="0"/>
    <x v="205"/>
    <x v="8"/>
    <x v="7"/>
    <d v="2024-07-24T00:00:00"/>
    <x v="130"/>
    <x v="5"/>
    <x v="4"/>
    <x v="0"/>
    <x v="1"/>
    <x v="1"/>
    <x v="1"/>
  </r>
  <r>
    <d v="2024-07-24T00:00:00"/>
    <x v="5"/>
    <x v="0"/>
    <x v="40"/>
    <x v="11"/>
    <x v="3"/>
    <d v="2024-07-24T00:00:00"/>
    <x v="130"/>
    <x v="5"/>
    <x v="4"/>
    <x v="0"/>
    <x v="1"/>
    <x v="1"/>
    <x v="1"/>
  </r>
  <r>
    <d v="2024-07-24T00:00:00"/>
    <x v="5"/>
    <x v="0"/>
    <x v="40"/>
    <x v="14"/>
    <x v="2"/>
    <d v="2024-07-24T00:00:00"/>
    <x v="130"/>
    <x v="5"/>
    <x v="4"/>
    <x v="0"/>
    <x v="1"/>
    <x v="1"/>
    <x v="1"/>
  </r>
  <r>
    <d v="2024-07-24T00:00:00"/>
    <x v="5"/>
    <x v="0"/>
    <x v="12"/>
    <x v="14"/>
    <x v="2"/>
    <d v="2024-07-24T00:00:00"/>
    <x v="130"/>
    <x v="5"/>
    <x v="4"/>
    <x v="0"/>
    <x v="1"/>
    <x v="1"/>
    <x v="1"/>
  </r>
  <r>
    <d v="2024-07-25T00:00:00"/>
    <x v="6"/>
    <x v="0"/>
    <x v="12"/>
    <x v="14"/>
    <x v="2"/>
    <d v="2024-07-25T00:00:00"/>
    <x v="131"/>
    <x v="6"/>
    <x v="4"/>
    <x v="0"/>
    <x v="1"/>
    <x v="1"/>
    <x v="1"/>
  </r>
  <r>
    <d v="2024-07-25T00:00:00"/>
    <x v="6"/>
    <x v="0"/>
    <x v="399"/>
    <x v="8"/>
    <x v="0"/>
    <d v="2024-07-25T00:00:00"/>
    <x v="131"/>
    <x v="6"/>
    <x v="4"/>
    <x v="0"/>
    <x v="1"/>
    <x v="1"/>
    <x v="1"/>
  </r>
  <r>
    <d v="2024-07-25T00:00:00"/>
    <x v="6"/>
    <x v="0"/>
    <x v="385"/>
    <x v="11"/>
    <x v="3"/>
    <d v="2024-07-25T00:00:00"/>
    <x v="131"/>
    <x v="6"/>
    <x v="4"/>
    <x v="0"/>
    <x v="1"/>
    <x v="1"/>
    <x v="1"/>
  </r>
  <r>
    <d v="2024-07-25T00:00:00"/>
    <x v="6"/>
    <x v="0"/>
    <x v="375"/>
    <x v="14"/>
    <x v="2"/>
    <d v="2024-07-25T00:00:00"/>
    <x v="131"/>
    <x v="6"/>
    <x v="4"/>
    <x v="0"/>
    <x v="1"/>
    <x v="1"/>
    <x v="1"/>
  </r>
  <r>
    <d v="2024-07-25T00:00:00"/>
    <x v="6"/>
    <x v="0"/>
    <x v="403"/>
    <x v="8"/>
    <x v="7"/>
    <d v="2024-07-25T00:00:00"/>
    <x v="131"/>
    <x v="6"/>
    <x v="4"/>
    <x v="0"/>
    <x v="1"/>
    <x v="1"/>
    <x v="1"/>
  </r>
  <r>
    <d v="2024-07-25T00:00:00"/>
    <x v="6"/>
    <x v="0"/>
    <x v="257"/>
    <x v="8"/>
    <x v="7"/>
    <d v="2024-07-25T00:00:00"/>
    <x v="131"/>
    <x v="6"/>
    <x v="4"/>
    <x v="0"/>
    <x v="1"/>
    <x v="1"/>
    <x v="1"/>
  </r>
  <r>
    <d v="2024-07-25T00:00:00"/>
    <x v="6"/>
    <x v="0"/>
    <x v="404"/>
    <x v="14"/>
    <x v="5"/>
    <d v="2024-07-25T00:00:00"/>
    <x v="131"/>
    <x v="6"/>
    <x v="4"/>
    <x v="0"/>
    <x v="1"/>
    <x v="1"/>
    <x v="1"/>
  </r>
  <r>
    <d v="2024-07-25T00:00:00"/>
    <x v="6"/>
    <x v="0"/>
    <x v="404"/>
    <x v="15"/>
    <x v="6"/>
    <d v="2024-07-25T00:00:00"/>
    <x v="131"/>
    <x v="6"/>
    <x v="4"/>
    <x v="0"/>
    <x v="1"/>
    <x v="1"/>
    <x v="1"/>
  </r>
  <r>
    <d v="2024-07-25T00:00:00"/>
    <x v="6"/>
    <x v="0"/>
    <x v="328"/>
    <x v="14"/>
    <x v="5"/>
    <d v="2024-07-25T00:00:00"/>
    <x v="131"/>
    <x v="6"/>
    <x v="4"/>
    <x v="0"/>
    <x v="1"/>
    <x v="1"/>
    <x v="1"/>
  </r>
  <r>
    <d v="2024-07-25T00:00:00"/>
    <x v="6"/>
    <x v="0"/>
    <x v="405"/>
    <x v="8"/>
    <x v="4"/>
    <d v="2024-07-25T00:00:00"/>
    <x v="131"/>
    <x v="6"/>
    <x v="4"/>
    <x v="0"/>
    <x v="1"/>
    <x v="1"/>
    <x v="1"/>
  </r>
  <r>
    <d v="2024-07-26T00:00:00"/>
    <x v="0"/>
    <x v="0"/>
    <x v="406"/>
    <x v="8"/>
    <x v="0"/>
    <d v="2024-07-26T00:00:00"/>
    <x v="132"/>
    <x v="0"/>
    <x v="4"/>
    <x v="0"/>
    <x v="1"/>
    <x v="1"/>
    <x v="1"/>
  </r>
  <r>
    <d v="2024-07-26T00:00:00"/>
    <x v="0"/>
    <x v="0"/>
    <x v="97"/>
    <x v="11"/>
    <x v="3"/>
    <d v="2024-07-26T00:00:00"/>
    <x v="132"/>
    <x v="0"/>
    <x v="4"/>
    <x v="0"/>
    <x v="1"/>
    <x v="1"/>
    <x v="1"/>
  </r>
  <r>
    <d v="2024-07-26T00:00:00"/>
    <x v="0"/>
    <x v="0"/>
    <x v="59"/>
    <x v="15"/>
    <x v="6"/>
    <d v="2024-07-26T00:00:00"/>
    <x v="132"/>
    <x v="0"/>
    <x v="4"/>
    <x v="0"/>
    <x v="1"/>
    <x v="1"/>
    <x v="1"/>
  </r>
  <r>
    <d v="2024-07-26T00:00:00"/>
    <x v="0"/>
    <x v="0"/>
    <x v="407"/>
    <x v="14"/>
    <x v="5"/>
    <d v="2024-07-26T00:00:00"/>
    <x v="132"/>
    <x v="0"/>
    <x v="4"/>
    <x v="0"/>
    <x v="1"/>
    <x v="1"/>
    <x v="1"/>
  </r>
  <r>
    <d v="2024-07-26T00:00:00"/>
    <x v="0"/>
    <x v="0"/>
    <x v="408"/>
    <x v="8"/>
    <x v="0"/>
    <d v="2024-07-26T00:00:00"/>
    <x v="132"/>
    <x v="0"/>
    <x v="4"/>
    <x v="0"/>
    <x v="1"/>
    <x v="1"/>
    <x v="1"/>
  </r>
  <r>
    <d v="2024-07-26T00:00:00"/>
    <x v="0"/>
    <x v="0"/>
    <x v="385"/>
    <x v="11"/>
    <x v="3"/>
    <d v="2024-07-26T00:00:00"/>
    <x v="132"/>
    <x v="0"/>
    <x v="4"/>
    <x v="0"/>
    <x v="1"/>
    <x v="1"/>
    <x v="1"/>
  </r>
  <r>
    <d v="2024-07-26T00:00:00"/>
    <x v="0"/>
    <x v="0"/>
    <x v="379"/>
    <x v="11"/>
    <x v="3"/>
    <d v="2024-07-26T00:00:00"/>
    <x v="132"/>
    <x v="0"/>
    <x v="4"/>
    <x v="0"/>
    <x v="1"/>
    <x v="1"/>
    <x v="1"/>
  </r>
  <r>
    <d v="2024-07-26T00:00:00"/>
    <x v="0"/>
    <x v="0"/>
    <x v="339"/>
    <x v="8"/>
    <x v="7"/>
    <d v="2024-07-26T00:00:00"/>
    <x v="132"/>
    <x v="0"/>
    <x v="4"/>
    <x v="0"/>
    <x v="1"/>
    <x v="1"/>
    <x v="1"/>
  </r>
  <r>
    <d v="2024-07-26T00:00:00"/>
    <x v="0"/>
    <x v="0"/>
    <x v="409"/>
    <x v="8"/>
    <x v="0"/>
    <d v="2024-07-26T00:00:00"/>
    <x v="132"/>
    <x v="0"/>
    <x v="4"/>
    <x v="0"/>
    <x v="1"/>
    <x v="1"/>
    <x v="1"/>
  </r>
  <r>
    <d v="2024-07-26T00:00:00"/>
    <x v="0"/>
    <x v="0"/>
    <x v="410"/>
    <x v="14"/>
    <x v="2"/>
    <d v="2024-07-26T00:00:00"/>
    <x v="132"/>
    <x v="0"/>
    <x v="4"/>
    <x v="0"/>
    <x v="1"/>
    <x v="1"/>
    <x v="1"/>
  </r>
  <r>
    <d v="2024-07-26T00:00:00"/>
    <x v="0"/>
    <x v="0"/>
    <x v="411"/>
    <x v="8"/>
    <x v="7"/>
    <d v="2024-07-26T00:00:00"/>
    <x v="132"/>
    <x v="0"/>
    <x v="4"/>
    <x v="0"/>
    <x v="1"/>
    <x v="1"/>
    <x v="1"/>
  </r>
  <r>
    <d v="2024-07-26T00:00:00"/>
    <x v="0"/>
    <x v="0"/>
    <x v="8"/>
    <x v="8"/>
    <x v="0"/>
    <d v="2024-07-26T00:00:00"/>
    <x v="132"/>
    <x v="0"/>
    <x v="4"/>
    <x v="0"/>
    <x v="1"/>
    <x v="1"/>
    <x v="1"/>
  </r>
  <r>
    <d v="2024-07-26T00:00:00"/>
    <x v="0"/>
    <x v="0"/>
    <x v="412"/>
    <x v="11"/>
    <x v="3"/>
    <d v="2024-07-26T00:00:00"/>
    <x v="132"/>
    <x v="0"/>
    <x v="4"/>
    <x v="0"/>
    <x v="1"/>
    <x v="1"/>
    <x v="1"/>
  </r>
  <r>
    <d v="2024-07-27T00:00:00"/>
    <x v="1"/>
    <x v="0"/>
    <x v="97"/>
    <x v="8"/>
    <x v="7"/>
    <d v="2024-07-27T00:00:00"/>
    <x v="133"/>
    <x v="1"/>
    <x v="4"/>
    <x v="0"/>
    <x v="1"/>
    <x v="1"/>
    <x v="1"/>
  </r>
  <r>
    <d v="2024-07-27T00:00:00"/>
    <x v="1"/>
    <x v="0"/>
    <x v="413"/>
    <x v="11"/>
    <x v="3"/>
    <d v="2024-07-27T00:00:00"/>
    <x v="133"/>
    <x v="1"/>
    <x v="4"/>
    <x v="0"/>
    <x v="1"/>
    <x v="1"/>
    <x v="1"/>
  </r>
  <r>
    <d v="2024-07-27T00:00:00"/>
    <x v="1"/>
    <x v="0"/>
    <x v="59"/>
    <x v="11"/>
    <x v="3"/>
    <d v="2024-07-27T00:00:00"/>
    <x v="133"/>
    <x v="1"/>
    <x v="4"/>
    <x v="0"/>
    <x v="1"/>
    <x v="1"/>
    <x v="1"/>
  </r>
  <r>
    <d v="2024-07-27T00:00:00"/>
    <x v="1"/>
    <x v="0"/>
    <x v="40"/>
    <x v="15"/>
    <x v="6"/>
    <d v="2024-07-27T00:00:00"/>
    <x v="133"/>
    <x v="1"/>
    <x v="4"/>
    <x v="0"/>
    <x v="1"/>
    <x v="1"/>
    <x v="1"/>
  </r>
  <r>
    <d v="2024-07-27T00:00:00"/>
    <x v="1"/>
    <x v="0"/>
    <x v="225"/>
    <x v="15"/>
    <x v="6"/>
    <d v="2024-07-27T00:00:00"/>
    <x v="133"/>
    <x v="1"/>
    <x v="4"/>
    <x v="0"/>
    <x v="1"/>
    <x v="1"/>
    <x v="1"/>
  </r>
  <r>
    <d v="2024-07-27T00:00:00"/>
    <x v="1"/>
    <x v="0"/>
    <x v="77"/>
    <x v="8"/>
    <x v="0"/>
    <d v="2024-07-27T00:00:00"/>
    <x v="133"/>
    <x v="1"/>
    <x v="4"/>
    <x v="0"/>
    <x v="1"/>
    <x v="1"/>
    <x v="1"/>
  </r>
  <r>
    <d v="2024-07-27T00:00:00"/>
    <x v="1"/>
    <x v="0"/>
    <x v="414"/>
    <x v="8"/>
    <x v="7"/>
    <d v="2024-07-27T00:00:00"/>
    <x v="133"/>
    <x v="1"/>
    <x v="4"/>
    <x v="0"/>
    <x v="1"/>
    <x v="1"/>
    <x v="1"/>
  </r>
  <r>
    <d v="2024-07-27T00:00:00"/>
    <x v="1"/>
    <x v="0"/>
    <x v="415"/>
    <x v="8"/>
    <x v="7"/>
    <d v="2024-07-27T00:00:00"/>
    <x v="133"/>
    <x v="1"/>
    <x v="4"/>
    <x v="0"/>
    <x v="1"/>
    <x v="1"/>
    <x v="1"/>
  </r>
  <r>
    <d v="2024-07-27T00:00:00"/>
    <x v="1"/>
    <x v="0"/>
    <x v="416"/>
    <x v="11"/>
    <x v="3"/>
    <d v="2024-07-27T00:00:00"/>
    <x v="133"/>
    <x v="1"/>
    <x v="4"/>
    <x v="0"/>
    <x v="1"/>
    <x v="1"/>
    <x v="1"/>
  </r>
  <r>
    <d v="2024-07-27T00:00:00"/>
    <x v="1"/>
    <x v="0"/>
    <x v="8"/>
    <x v="8"/>
    <x v="0"/>
    <d v="2024-07-27T00:00:00"/>
    <x v="133"/>
    <x v="1"/>
    <x v="4"/>
    <x v="0"/>
    <x v="1"/>
    <x v="1"/>
    <x v="1"/>
  </r>
  <r>
    <d v="2024-07-27T00:00:00"/>
    <x v="1"/>
    <x v="0"/>
    <x v="417"/>
    <x v="8"/>
    <x v="7"/>
    <d v="2024-07-27T00:00:00"/>
    <x v="133"/>
    <x v="1"/>
    <x v="4"/>
    <x v="0"/>
    <x v="1"/>
    <x v="1"/>
    <x v="1"/>
  </r>
  <r>
    <d v="2024-07-28T00:00:00"/>
    <x v="2"/>
    <x v="0"/>
    <x v="12"/>
    <x v="15"/>
    <x v="6"/>
    <d v="2024-07-28T00:00:00"/>
    <x v="134"/>
    <x v="2"/>
    <x v="4"/>
    <x v="0"/>
    <x v="1"/>
    <x v="1"/>
    <x v="1"/>
  </r>
  <r>
    <d v="2024-07-28T00:00:00"/>
    <x v="2"/>
    <x v="0"/>
    <x v="276"/>
    <x v="11"/>
    <x v="3"/>
    <d v="2024-07-28T00:00:00"/>
    <x v="134"/>
    <x v="2"/>
    <x v="4"/>
    <x v="0"/>
    <x v="1"/>
    <x v="1"/>
    <x v="1"/>
  </r>
  <r>
    <d v="2024-07-28T00:00:00"/>
    <x v="2"/>
    <x v="0"/>
    <x v="276"/>
    <x v="8"/>
    <x v="0"/>
    <d v="2024-07-28T00:00:00"/>
    <x v="134"/>
    <x v="2"/>
    <x v="4"/>
    <x v="0"/>
    <x v="1"/>
    <x v="1"/>
    <x v="1"/>
  </r>
  <r>
    <d v="2024-07-29T00:00:00"/>
    <x v="3"/>
    <x v="0"/>
    <x v="418"/>
    <x v="8"/>
    <x v="0"/>
    <d v="2024-07-29T00:00:00"/>
    <x v="135"/>
    <x v="3"/>
    <x v="4"/>
    <x v="0"/>
    <x v="1"/>
    <x v="1"/>
    <x v="1"/>
  </r>
  <r>
    <d v="2024-07-29T00:00:00"/>
    <x v="3"/>
    <x v="0"/>
    <x v="12"/>
    <x v="14"/>
    <x v="2"/>
    <d v="2024-07-29T00:00:00"/>
    <x v="135"/>
    <x v="3"/>
    <x v="4"/>
    <x v="0"/>
    <x v="1"/>
    <x v="1"/>
    <x v="1"/>
  </r>
  <r>
    <d v="2024-07-29T00:00:00"/>
    <x v="3"/>
    <x v="0"/>
    <x v="97"/>
    <x v="11"/>
    <x v="3"/>
    <d v="2024-07-29T00:00:00"/>
    <x v="135"/>
    <x v="3"/>
    <x v="4"/>
    <x v="0"/>
    <x v="1"/>
    <x v="1"/>
    <x v="1"/>
  </r>
  <r>
    <d v="2024-07-29T00:00:00"/>
    <x v="3"/>
    <x v="0"/>
    <x v="2"/>
    <x v="14"/>
    <x v="2"/>
    <d v="2024-07-29T00:00:00"/>
    <x v="135"/>
    <x v="3"/>
    <x v="4"/>
    <x v="0"/>
    <x v="1"/>
    <x v="1"/>
    <x v="1"/>
  </r>
  <r>
    <d v="2024-07-29T00:00:00"/>
    <x v="3"/>
    <x v="0"/>
    <x v="419"/>
    <x v="11"/>
    <x v="3"/>
    <d v="2024-07-29T00:00:00"/>
    <x v="135"/>
    <x v="3"/>
    <x v="4"/>
    <x v="0"/>
    <x v="1"/>
    <x v="1"/>
    <x v="1"/>
  </r>
  <r>
    <d v="2024-07-29T00:00:00"/>
    <x v="3"/>
    <x v="0"/>
    <x v="420"/>
    <x v="8"/>
    <x v="7"/>
    <d v="2024-07-29T00:00:00"/>
    <x v="135"/>
    <x v="3"/>
    <x v="4"/>
    <x v="0"/>
    <x v="1"/>
    <x v="1"/>
    <x v="1"/>
  </r>
  <r>
    <d v="2024-07-29T00:00:00"/>
    <x v="3"/>
    <x v="0"/>
    <x v="421"/>
    <x v="8"/>
    <x v="1"/>
    <d v="2024-07-29T00:00:00"/>
    <x v="135"/>
    <x v="3"/>
    <x v="4"/>
    <x v="0"/>
    <x v="1"/>
    <x v="1"/>
    <x v="1"/>
  </r>
  <r>
    <d v="2024-07-29T00:00:00"/>
    <x v="3"/>
    <x v="0"/>
    <x v="422"/>
    <x v="8"/>
    <x v="7"/>
    <d v="2024-07-29T00:00:00"/>
    <x v="135"/>
    <x v="3"/>
    <x v="4"/>
    <x v="0"/>
    <x v="1"/>
    <x v="1"/>
    <x v="1"/>
  </r>
  <r>
    <d v="2024-07-29T00:00:00"/>
    <x v="3"/>
    <x v="0"/>
    <x v="99"/>
    <x v="14"/>
    <x v="2"/>
    <d v="2024-07-29T00:00:00"/>
    <x v="135"/>
    <x v="3"/>
    <x v="4"/>
    <x v="0"/>
    <x v="1"/>
    <x v="1"/>
    <x v="1"/>
  </r>
  <r>
    <d v="2024-07-29T00:00:00"/>
    <x v="3"/>
    <x v="0"/>
    <x v="328"/>
    <x v="8"/>
    <x v="4"/>
    <d v="2024-07-29T00:00:00"/>
    <x v="135"/>
    <x v="3"/>
    <x v="4"/>
    <x v="0"/>
    <x v="1"/>
    <x v="1"/>
    <x v="1"/>
  </r>
  <r>
    <d v="2024-07-30T00:00:00"/>
    <x v="4"/>
    <x v="0"/>
    <x v="423"/>
    <x v="11"/>
    <x v="3"/>
    <d v="2024-07-30T00:00:00"/>
    <x v="136"/>
    <x v="4"/>
    <x v="4"/>
    <x v="0"/>
    <x v="1"/>
    <x v="1"/>
    <x v="1"/>
  </r>
  <r>
    <d v="2024-07-30T00:00:00"/>
    <x v="4"/>
    <x v="0"/>
    <x v="424"/>
    <x v="14"/>
    <x v="5"/>
    <d v="2024-07-30T00:00:00"/>
    <x v="136"/>
    <x v="4"/>
    <x v="4"/>
    <x v="0"/>
    <x v="1"/>
    <x v="1"/>
    <x v="1"/>
  </r>
  <r>
    <d v="2024-07-30T00:00:00"/>
    <x v="4"/>
    <x v="0"/>
    <x v="425"/>
    <x v="8"/>
    <x v="7"/>
    <d v="2024-07-30T00:00:00"/>
    <x v="136"/>
    <x v="4"/>
    <x v="4"/>
    <x v="0"/>
    <x v="1"/>
    <x v="1"/>
    <x v="1"/>
  </r>
  <r>
    <d v="2024-07-30T00:00:00"/>
    <x v="4"/>
    <x v="0"/>
    <x v="97"/>
    <x v="11"/>
    <x v="3"/>
    <d v="2024-07-30T00:00:00"/>
    <x v="136"/>
    <x v="4"/>
    <x v="4"/>
    <x v="0"/>
    <x v="1"/>
    <x v="1"/>
    <x v="1"/>
  </r>
  <r>
    <d v="2024-07-30T00:00:00"/>
    <x v="4"/>
    <x v="0"/>
    <x v="141"/>
    <x v="14"/>
    <x v="5"/>
    <d v="2024-07-30T00:00:00"/>
    <x v="136"/>
    <x v="4"/>
    <x v="4"/>
    <x v="0"/>
    <x v="1"/>
    <x v="1"/>
    <x v="1"/>
  </r>
  <r>
    <d v="2024-07-30T00:00:00"/>
    <x v="4"/>
    <x v="0"/>
    <x v="276"/>
    <x v="11"/>
    <x v="3"/>
    <d v="2024-07-30T00:00:00"/>
    <x v="136"/>
    <x v="4"/>
    <x v="4"/>
    <x v="0"/>
    <x v="1"/>
    <x v="1"/>
    <x v="1"/>
  </r>
  <r>
    <d v="2024-07-30T00:00:00"/>
    <x v="4"/>
    <x v="0"/>
    <x v="250"/>
    <x v="8"/>
    <x v="0"/>
    <d v="2024-07-30T00:00:00"/>
    <x v="136"/>
    <x v="4"/>
    <x v="4"/>
    <x v="0"/>
    <x v="1"/>
    <x v="1"/>
    <x v="1"/>
  </r>
  <r>
    <d v="2024-07-30T00:00:00"/>
    <x v="4"/>
    <x v="0"/>
    <x v="426"/>
    <x v="14"/>
    <x v="2"/>
    <d v="2024-07-30T00:00:00"/>
    <x v="136"/>
    <x v="4"/>
    <x v="4"/>
    <x v="0"/>
    <x v="1"/>
    <x v="1"/>
    <x v="1"/>
  </r>
  <r>
    <d v="2024-07-30T00:00:00"/>
    <x v="4"/>
    <x v="0"/>
    <x v="426"/>
    <x v="15"/>
    <x v="6"/>
    <d v="2024-07-30T00:00:00"/>
    <x v="136"/>
    <x v="4"/>
    <x v="4"/>
    <x v="0"/>
    <x v="1"/>
    <x v="1"/>
    <x v="1"/>
  </r>
  <r>
    <d v="2024-07-30T00:00:00"/>
    <x v="4"/>
    <x v="0"/>
    <x v="427"/>
    <x v="11"/>
    <x v="3"/>
    <d v="2024-07-30T00:00:00"/>
    <x v="136"/>
    <x v="4"/>
    <x v="4"/>
    <x v="0"/>
    <x v="1"/>
    <x v="1"/>
    <x v="1"/>
  </r>
  <r>
    <d v="2024-07-30T00:00:00"/>
    <x v="4"/>
    <x v="0"/>
    <x v="428"/>
    <x v="11"/>
    <x v="3"/>
    <d v="2024-07-30T00:00:00"/>
    <x v="136"/>
    <x v="4"/>
    <x v="4"/>
    <x v="0"/>
    <x v="1"/>
    <x v="1"/>
    <x v="1"/>
  </r>
  <r>
    <d v="2024-07-30T00:00:00"/>
    <x v="4"/>
    <x v="0"/>
    <x v="429"/>
    <x v="11"/>
    <x v="3"/>
    <d v="2024-07-30T00:00:00"/>
    <x v="136"/>
    <x v="4"/>
    <x v="4"/>
    <x v="0"/>
    <x v="1"/>
    <x v="1"/>
    <x v="1"/>
  </r>
  <r>
    <d v="2024-07-30T00:00:00"/>
    <x v="4"/>
    <x v="0"/>
    <x v="430"/>
    <x v="11"/>
    <x v="3"/>
    <d v="2024-07-30T00:00:00"/>
    <x v="136"/>
    <x v="4"/>
    <x v="4"/>
    <x v="0"/>
    <x v="1"/>
    <x v="1"/>
    <x v="1"/>
  </r>
  <r>
    <d v="2024-07-30T00:00:00"/>
    <x v="4"/>
    <x v="0"/>
    <x v="431"/>
    <x v="8"/>
    <x v="0"/>
    <d v="2024-07-30T00:00:00"/>
    <x v="136"/>
    <x v="4"/>
    <x v="4"/>
    <x v="0"/>
    <x v="1"/>
    <x v="1"/>
    <x v="1"/>
  </r>
  <r>
    <d v="2024-07-30T00:00:00"/>
    <x v="4"/>
    <x v="0"/>
    <x v="432"/>
    <x v="11"/>
    <x v="3"/>
    <d v="2024-07-30T00:00:00"/>
    <x v="136"/>
    <x v="4"/>
    <x v="4"/>
    <x v="0"/>
    <x v="1"/>
    <x v="1"/>
    <x v="1"/>
  </r>
  <r>
    <d v="2024-07-30T00:00:00"/>
    <x v="4"/>
    <x v="0"/>
    <x v="433"/>
    <x v="14"/>
    <x v="5"/>
    <d v="2024-07-30T00:00:00"/>
    <x v="136"/>
    <x v="4"/>
    <x v="4"/>
    <x v="0"/>
    <x v="1"/>
    <x v="1"/>
    <x v="1"/>
  </r>
  <r>
    <d v="2024-07-30T00:00:00"/>
    <x v="4"/>
    <x v="0"/>
    <x v="433"/>
    <x v="11"/>
    <x v="3"/>
    <d v="2024-07-30T00:00:00"/>
    <x v="136"/>
    <x v="4"/>
    <x v="4"/>
    <x v="0"/>
    <x v="1"/>
    <x v="1"/>
    <x v="1"/>
  </r>
  <r>
    <d v="2024-07-30T00:00:00"/>
    <x v="4"/>
    <x v="0"/>
    <x v="434"/>
    <x v="15"/>
    <x v="6"/>
    <d v="2024-07-30T00:00:00"/>
    <x v="136"/>
    <x v="4"/>
    <x v="4"/>
    <x v="0"/>
    <x v="1"/>
    <x v="1"/>
    <x v="1"/>
  </r>
  <r>
    <d v="2024-07-30T00:00:00"/>
    <x v="4"/>
    <x v="0"/>
    <x v="347"/>
    <x v="11"/>
    <x v="3"/>
    <d v="2024-07-30T00:00:00"/>
    <x v="136"/>
    <x v="4"/>
    <x v="4"/>
    <x v="0"/>
    <x v="1"/>
    <x v="1"/>
    <x v="1"/>
  </r>
  <r>
    <d v="2024-07-30T00:00:00"/>
    <x v="4"/>
    <x v="0"/>
    <x v="435"/>
    <x v="8"/>
    <x v="0"/>
    <d v="2024-07-30T00:00:00"/>
    <x v="136"/>
    <x v="4"/>
    <x v="4"/>
    <x v="0"/>
    <x v="1"/>
    <x v="1"/>
    <x v="1"/>
  </r>
  <r>
    <d v="2024-07-30T00:00:00"/>
    <x v="4"/>
    <x v="0"/>
    <x v="436"/>
    <x v="14"/>
    <x v="2"/>
    <d v="2024-07-30T00:00:00"/>
    <x v="136"/>
    <x v="4"/>
    <x v="4"/>
    <x v="0"/>
    <x v="1"/>
    <x v="1"/>
    <x v="1"/>
  </r>
  <r>
    <d v="2024-07-30T00:00:00"/>
    <x v="4"/>
    <x v="0"/>
    <x v="436"/>
    <x v="8"/>
    <x v="7"/>
    <d v="2024-07-30T00:00:00"/>
    <x v="136"/>
    <x v="4"/>
    <x v="4"/>
    <x v="0"/>
    <x v="1"/>
    <x v="1"/>
    <x v="1"/>
  </r>
  <r>
    <d v="2024-07-31T00:00:00"/>
    <x v="5"/>
    <x v="0"/>
    <x v="423"/>
    <x v="11"/>
    <x v="3"/>
    <d v="2024-07-31T00:00:00"/>
    <x v="137"/>
    <x v="5"/>
    <x v="4"/>
    <x v="0"/>
    <x v="1"/>
    <x v="1"/>
    <x v="1"/>
  </r>
  <r>
    <d v="2024-07-31T00:00:00"/>
    <x v="5"/>
    <x v="0"/>
    <x v="437"/>
    <x v="11"/>
    <x v="3"/>
    <d v="2024-07-31T00:00:00"/>
    <x v="137"/>
    <x v="5"/>
    <x v="4"/>
    <x v="0"/>
    <x v="1"/>
    <x v="1"/>
    <x v="1"/>
  </r>
  <r>
    <d v="2024-07-31T00:00:00"/>
    <x v="5"/>
    <x v="0"/>
    <x v="388"/>
    <x v="14"/>
    <x v="2"/>
    <d v="2024-07-31T00:00:00"/>
    <x v="137"/>
    <x v="5"/>
    <x v="4"/>
    <x v="0"/>
    <x v="1"/>
    <x v="1"/>
    <x v="1"/>
  </r>
  <r>
    <d v="2024-07-31T00:00:00"/>
    <x v="5"/>
    <x v="0"/>
    <x v="276"/>
    <x v="11"/>
    <x v="3"/>
    <d v="2024-07-31T00:00:00"/>
    <x v="137"/>
    <x v="5"/>
    <x v="4"/>
    <x v="0"/>
    <x v="1"/>
    <x v="1"/>
    <x v="1"/>
  </r>
  <r>
    <d v="2024-07-31T00:00:00"/>
    <x v="5"/>
    <x v="0"/>
    <x v="384"/>
    <x v="8"/>
    <x v="4"/>
    <d v="2024-07-31T00:00:00"/>
    <x v="137"/>
    <x v="5"/>
    <x v="4"/>
    <x v="0"/>
    <x v="1"/>
    <x v="1"/>
    <x v="1"/>
  </r>
  <r>
    <d v="2024-07-31T00:00:00"/>
    <x v="5"/>
    <x v="0"/>
    <x v="384"/>
    <x v="8"/>
    <x v="0"/>
    <d v="2024-07-31T00:00:00"/>
    <x v="137"/>
    <x v="5"/>
    <x v="4"/>
    <x v="0"/>
    <x v="1"/>
    <x v="1"/>
    <x v="1"/>
  </r>
  <r>
    <d v="2024-07-31T00:00:00"/>
    <x v="5"/>
    <x v="0"/>
    <x v="438"/>
    <x v="11"/>
    <x v="3"/>
    <d v="2024-07-31T00:00:00"/>
    <x v="137"/>
    <x v="5"/>
    <x v="4"/>
    <x v="0"/>
    <x v="1"/>
    <x v="1"/>
    <x v="1"/>
  </r>
  <r>
    <d v="2024-07-31T00:00:00"/>
    <x v="5"/>
    <x v="0"/>
    <x v="439"/>
    <x v="14"/>
    <x v="5"/>
    <d v="2024-07-31T00:00:00"/>
    <x v="137"/>
    <x v="5"/>
    <x v="4"/>
    <x v="0"/>
    <x v="1"/>
    <x v="1"/>
    <x v="1"/>
  </r>
  <r>
    <d v="2024-07-31T00:00:00"/>
    <x v="5"/>
    <x v="0"/>
    <x v="440"/>
    <x v="8"/>
    <x v="0"/>
    <d v="2024-07-31T00:00:00"/>
    <x v="137"/>
    <x v="5"/>
    <x v="4"/>
    <x v="0"/>
    <x v="1"/>
    <x v="1"/>
    <x v="1"/>
  </r>
  <r>
    <d v="2024-07-31T00:00:00"/>
    <x v="5"/>
    <x v="0"/>
    <x v="441"/>
    <x v="14"/>
    <x v="5"/>
    <d v="2024-07-31T00:00:00"/>
    <x v="137"/>
    <x v="5"/>
    <x v="4"/>
    <x v="0"/>
    <x v="1"/>
    <x v="1"/>
    <x v="1"/>
  </r>
  <r>
    <d v="2024-07-31T00:00:00"/>
    <x v="5"/>
    <x v="0"/>
    <x v="8"/>
    <x v="8"/>
    <x v="0"/>
    <d v="2024-07-31T00:00:00"/>
    <x v="137"/>
    <x v="5"/>
    <x v="4"/>
    <x v="0"/>
    <x v="1"/>
    <x v="1"/>
    <x v="1"/>
  </r>
  <r>
    <d v="2024-07-31T00:00:00"/>
    <x v="5"/>
    <x v="0"/>
    <x v="442"/>
    <x v="8"/>
    <x v="4"/>
    <d v="2024-07-31T00:00:00"/>
    <x v="137"/>
    <x v="5"/>
    <x v="4"/>
    <x v="0"/>
    <x v="1"/>
    <x v="1"/>
    <x v="1"/>
  </r>
  <r>
    <d v="2024-07-31T00:00:00"/>
    <x v="5"/>
    <x v="0"/>
    <x v="443"/>
    <x v="14"/>
    <x v="5"/>
    <d v="2024-07-31T00:00:00"/>
    <x v="137"/>
    <x v="5"/>
    <x v="4"/>
    <x v="0"/>
    <x v="1"/>
    <x v="1"/>
    <x v="1"/>
  </r>
  <r>
    <d v="2024-07-31T00:00:00"/>
    <x v="5"/>
    <x v="0"/>
    <x v="443"/>
    <x v="8"/>
    <x v="0"/>
    <d v="2024-07-31T00:00:00"/>
    <x v="137"/>
    <x v="5"/>
    <x v="4"/>
    <x v="0"/>
    <x v="1"/>
    <x v="1"/>
    <x v="1"/>
  </r>
  <r>
    <d v="2024-07-31T00:00:00"/>
    <x v="5"/>
    <x v="0"/>
    <x v="153"/>
    <x v="8"/>
    <x v="7"/>
    <d v="2024-07-31T00:00:00"/>
    <x v="137"/>
    <x v="5"/>
    <x v="4"/>
    <x v="0"/>
    <x v="1"/>
    <x v="1"/>
    <x v="1"/>
  </r>
  <r>
    <d v="2024-07-31T00:00:00"/>
    <x v="5"/>
    <x v="0"/>
    <x v="40"/>
    <x v="11"/>
    <x v="3"/>
    <d v="2024-07-31T00:00:00"/>
    <x v="137"/>
    <x v="5"/>
    <x v="4"/>
    <x v="0"/>
    <x v="1"/>
    <x v="1"/>
    <x v="1"/>
  </r>
  <r>
    <d v="2024-07-31T00:00:00"/>
    <x v="5"/>
    <x v="0"/>
    <x v="444"/>
    <x v="8"/>
    <x v="0"/>
    <d v="2024-07-31T00:00:00"/>
    <x v="137"/>
    <x v="5"/>
    <x v="4"/>
    <x v="0"/>
    <x v="1"/>
    <x v="1"/>
    <x v="1"/>
  </r>
  <r>
    <d v="2024-07-31T00:00:00"/>
    <x v="5"/>
    <x v="0"/>
    <x v="445"/>
    <x v="8"/>
    <x v="0"/>
    <d v="2024-07-31T00:00:00"/>
    <x v="137"/>
    <x v="5"/>
    <x v="4"/>
    <x v="0"/>
    <x v="1"/>
    <x v="1"/>
    <x v="1"/>
  </r>
  <r>
    <d v="2024-07-31T00:00:00"/>
    <x v="5"/>
    <x v="0"/>
    <x v="446"/>
    <x v="8"/>
    <x v="0"/>
    <d v="2024-07-31T00:00:00"/>
    <x v="137"/>
    <x v="5"/>
    <x v="4"/>
    <x v="0"/>
    <x v="1"/>
    <x v="1"/>
    <x v="1"/>
  </r>
  <r>
    <d v="2024-08-01T00:00:00"/>
    <x v="6"/>
    <x v="0"/>
    <x v="423"/>
    <x v="11"/>
    <x v="3"/>
    <d v="2024-08-01T00:00:00"/>
    <x v="138"/>
    <x v="6"/>
    <x v="5"/>
    <x v="0"/>
    <x v="1"/>
    <x v="1"/>
    <x v="1"/>
  </r>
  <r>
    <d v="2024-08-01T00:00:00"/>
    <x v="6"/>
    <x v="0"/>
    <x v="276"/>
    <x v="11"/>
    <x v="3"/>
    <d v="2024-08-01T00:00:00"/>
    <x v="138"/>
    <x v="6"/>
    <x v="5"/>
    <x v="0"/>
    <x v="1"/>
    <x v="1"/>
    <x v="1"/>
  </r>
  <r>
    <d v="2024-08-01T00:00:00"/>
    <x v="6"/>
    <x v="0"/>
    <x v="97"/>
    <x v="11"/>
    <x v="3"/>
    <d v="2024-08-01T00:00:00"/>
    <x v="138"/>
    <x v="6"/>
    <x v="5"/>
    <x v="0"/>
    <x v="1"/>
    <x v="1"/>
    <x v="1"/>
  </r>
  <r>
    <d v="2024-08-01T00:00:00"/>
    <x v="6"/>
    <x v="0"/>
    <x v="447"/>
    <x v="11"/>
    <x v="3"/>
    <d v="2024-08-01T00:00:00"/>
    <x v="138"/>
    <x v="6"/>
    <x v="5"/>
    <x v="0"/>
    <x v="1"/>
    <x v="1"/>
    <x v="1"/>
  </r>
  <r>
    <d v="2024-08-01T00:00:00"/>
    <x v="6"/>
    <x v="0"/>
    <x v="448"/>
    <x v="14"/>
    <x v="5"/>
    <d v="2024-08-01T00:00:00"/>
    <x v="138"/>
    <x v="6"/>
    <x v="5"/>
    <x v="0"/>
    <x v="1"/>
    <x v="1"/>
    <x v="1"/>
  </r>
  <r>
    <d v="2024-08-01T00:00:00"/>
    <x v="6"/>
    <x v="0"/>
    <x v="448"/>
    <x v="8"/>
    <x v="7"/>
    <d v="2024-08-01T00:00:00"/>
    <x v="138"/>
    <x v="6"/>
    <x v="5"/>
    <x v="0"/>
    <x v="1"/>
    <x v="1"/>
    <x v="1"/>
  </r>
  <r>
    <d v="2024-08-01T00:00:00"/>
    <x v="6"/>
    <x v="0"/>
    <x v="449"/>
    <x v="8"/>
    <x v="7"/>
    <d v="2024-08-01T00:00:00"/>
    <x v="138"/>
    <x v="6"/>
    <x v="5"/>
    <x v="0"/>
    <x v="1"/>
    <x v="1"/>
    <x v="1"/>
  </r>
  <r>
    <d v="2024-08-01T00:00:00"/>
    <x v="6"/>
    <x v="0"/>
    <x v="450"/>
    <x v="11"/>
    <x v="3"/>
    <d v="2024-08-01T00:00:00"/>
    <x v="138"/>
    <x v="6"/>
    <x v="5"/>
    <x v="0"/>
    <x v="1"/>
    <x v="1"/>
    <x v="1"/>
  </r>
  <r>
    <d v="2024-08-01T00:00:00"/>
    <x v="6"/>
    <x v="0"/>
    <x v="450"/>
    <x v="14"/>
    <x v="2"/>
    <d v="2024-08-01T00:00:00"/>
    <x v="138"/>
    <x v="6"/>
    <x v="5"/>
    <x v="0"/>
    <x v="1"/>
    <x v="1"/>
    <x v="1"/>
  </r>
  <r>
    <d v="2024-08-01T00:00:00"/>
    <x v="6"/>
    <x v="0"/>
    <x v="451"/>
    <x v="14"/>
    <x v="2"/>
    <d v="2024-08-01T00:00:00"/>
    <x v="138"/>
    <x v="6"/>
    <x v="5"/>
    <x v="0"/>
    <x v="1"/>
    <x v="1"/>
    <x v="1"/>
  </r>
  <r>
    <d v="2024-08-01T00:00:00"/>
    <x v="6"/>
    <x v="0"/>
    <x v="452"/>
    <x v="8"/>
    <x v="7"/>
    <d v="2024-08-01T00:00:00"/>
    <x v="138"/>
    <x v="6"/>
    <x v="5"/>
    <x v="0"/>
    <x v="1"/>
    <x v="1"/>
    <x v="1"/>
  </r>
  <r>
    <d v="2024-08-02T00:00:00"/>
    <x v="0"/>
    <x v="0"/>
    <x v="453"/>
    <x v="11"/>
    <x v="3"/>
    <d v="2024-08-02T00:00:00"/>
    <x v="117"/>
    <x v="0"/>
    <x v="5"/>
    <x v="0"/>
    <x v="1"/>
    <x v="1"/>
    <x v="1"/>
  </r>
  <r>
    <d v="2024-08-02T00:00:00"/>
    <x v="0"/>
    <x v="0"/>
    <x v="97"/>
    <x v="11"/>
    <x v="3"/>
    <d v="2024-08-02T00:00:00"/>
    <x v="117"/>
    <x v="0"/>
    <x v="5"/>
    <x v="0"/>
    <x v="1"/>
    <x v="1"/>
    <x v="1"/>
  </r>
  <r>
    <d v="2024-08-02T00:00:00"/>
    <x v="0"/>
    <x v="0"/>
    <x v="141"/>
    <x v="14"/>
    <x v="5"/>
    <d v="2024-08-02T00:00:00"/>
    <x v="117"/>
    <x v="0"/>
    <x v="5"/>
    <x v="0"/>
    <x v="1"/>
    <x v="1"/>
    <x v="1"/>
  </r>
  <r>
    <d v="2024-08-02T00:00:00"/>
    <x v="0"/>
    <x v="0"/>
    <x v="454"/>
    <x v="11"/>
    <x v="3"/>
    <d v="2024-08-02T00:00:00"/>
    <x v="117"/>
    <x v="0"/>
    <x v="5"/>
    <x v="0"/>
    <x v="1"/>
    <x v="1"/>
    <x v="1"/>
  </r>
  <r>
    <d v="2024-08-02T00:00:00"/>
    <x v="0"/>
    <x v="0"/>
    <x v="8"/>
    <x v="8"/>
    <x v="0"/>
    <d v="2024-08-02T00:00:00"/>
    <x v="117"/>
    <x v="0"/>
    <x v="5"/>
    <x v="0"/>
    <x v="1"/>
    <x v="1"/>
    <x v="1"/>
  </r>
  <r>
    <d v="2024-08-03T00:00:00"/>
    <x v="1"/>
    <x v="0"/>
    <x v="97"/>
    <x v="11"/>
    <x v="3"/>
    <d v="2024-08-03T00:00:00"/>
    <x v="139"/>
    <x v="1"/>
    <x v="5"/>
    <x v="0"/>
    <x v="1"/>
    <x v="1"/>
    <x v="1"/>
  </r>
  <r>
    <d v="2024-08-03T00:00:00"/>
    <x v="1"/>
    <x v="0"/>
    <x v="401"/>
    <x v="11"/>
    <x v="3"/>
    <d v="2024-08-03T00:00:00"/>
    <x v="139"/>
    <x v="1"/>
    <x v="5"/>
    <x v="0"/>
    <x v="1"/>
    <x v="1"/>
    <x v="1"/>
  </r>
  <r>
    <d v="2024-08-03T00:00:00"/>
    <x v="1"/>
    <x v="0"/>
    <x v="304"/>
    <x v="11"/>
    <x v="3"/>
    <d v="2024-08-03T00:00:00"/>
    <x v="139"/>
    <x v="1"/>
    <x v="5"/>
    <x v="0"/>
    <x v="1"/>
    <x v="1"/>
    <x v="1"/>
  </r>
  <r>
    <d v="2024-08-03T00:00:00"/>
    <x v="1"/>
    <x v="0"/>
    <x v="455"/>
    <x v="14"/>
    <x v="5"/>
    <d v="2024-08-03T00:00:00"/>
    <x v="139"/>
    <x v="1"/>
    <x v="5"/>
    <x v="0"/>
    <x v="1"/>
    <x v="1"/>
    <x v="1"/>
  </r>
  <r>
    <d v="2024-08-03T00:00:00"/>
    <x v="1"/>
    <x v="0"/>
    <x v="40"/>
    <x v="15"/>
    <x v="6"/>
    <d v="2024-08-03T00:00:00"/>
    <x v="139"/>
    <x v="1"/>
    <x v="5"/>
    <x v="0"/>
    <x v="1"/>
    <x v="1"/>
    <x v="1"/>
  </r>
  <r>
    <d v="2024-08-03T00:00:00"/>
    <x v="1"/>
    <x v="0"/>
    <x v="40"/>
    <x v="11"/>
    <x v="3"/>
    <d v="2024-08-03T00:00:00"/>
    <x v="139"/>
    <x v="1"/>
    <x v="5"/>
    <x v="0"/>
    <x v="1"/>
    <x v="1"/>
    <x v="1"/>
  </r>
  <r>
    <d v="2024-08-03T00:00:00"/>
    <x v="1"/>
    <x v="0"/>
    <x v="322"/>
    <x v="11"/>
    <x v="3"/>
    <d v="2024-08-03T00:00:00"/>
    <x v="139"/>
    <x v="1"/>
    <x v="5"/>
    <x v="0"/>
    <x v="1"/>
    <x v="1"/>
    <x v="1"/>
  </r>
  <r>
    <d v="2024-08-03T00:00:00"/>
    <x v="1"/>
    <x v="0"/>
    <x v="456"/>
    <x v="8"/>
    <x v="7"/>
    <d v="2024-08-03T00:00:00"/>
    <x v="139"/>
    <x v="1"/>
    <x v="5"/>
    <x v="0"/>
    <x v="1"/>
    <x v="1"/>
    <x v="1"/>
  </r>
  <r>
    <d v="2024-08-03T00:00:00"/>
    <x v="1"/>
    <x v="0"/>
    <x v="457"/>
    <x v="8"/>
    <x v="0"/>
    <d v="2024-08-03T00:00:00"/>
    <x v="139"/>
    <x v="1"/>
    <x v="5"/>
    <x v="0"/>
    <x v="1"/>
    <x v="1"/>
    <x v="1"/>
  </r>
  <r>
    <d v="2024-08-04T00:00:00"/>
    <x v="2"/>
    <x v="0"/>
    <x v="458"/>
    <x v="8"/>
    <x v="7"/>
    <d v="2024-08-04T00:00:00"/>
    <x v="78"/>
    <x v="2"/>
    <x v="5"/>
    <x v="0"/>
    <x v="1"/>
    <x v="1"/>
    <x v="1"/>
  </r>
  <r>
    <d v="2024-08-04T00:00:00"/>
    <x v="2"/>
    <x v="0"/>
    <x v="40"/>
    <x v="11"/>
    <x v="3"/>
    <d v="2024-08-04T00:00:00"/>
    <x v="78"/>
    <x v="2"/>
    <x v="5"/>
    <x v="0"/>
    <x v="1"/>
    <x v="1"/>
    <x v="1"/>
  </r>
  <r>
    <d v="2024-08-04T00:00:00"/>
    <x v="2"/>
    <x v="0"/>
    <x v="258"/>
    <x v="8"/>
    <x v="7"/>
    <d v="2024-08-04T00:00:00"/>
    <x v="78"/>
    <x v="2"/>
    <x v="5"/>
    <x v="0"/>
    <x v="1"/>
    <x v="1"/>
    <x v="1"/>
  </r>
  <r>
    <d v="2024-08-04T00:00:00"/>
    <x v="2"/>
    <x v="0"/>
    <x v="258"/>
    <x v="11"/>
    <x v="3"/>
    <d v="2024-08-04T00:00:00"/>
    <x v="78"/>
    <x v="2"/>
    <x v="5"/>
    <x v="0"/>
    <x v="1"/>
    <x v="1"/>
    <x v="1"/>
  </r>
  <r>
    <d v="2024-08-04T00:00:00"/>
    <x v="2"/>
    <x v="0"/>
    <x v="268"/>
    <x v="8"/>
    <x v="7"/>
    <d v="2024-08-04T00:00:00"/>
    <x v="78"/>
    <x v="2"/>
    <x v="5"/>
    <x v="0"/>
    <x v="1"/>
    <x v="1"/>
    <x v="1"/>
  </r>
  <r>
    <d v="2024-08-05T00:00:00"/>
    <x v="3"/>
    <x v="0"/>
    <x v="459"/>
    <x v="14"/>
    <x v="5"/>
    <d v="2024-08-05T00:00:00"/>
    <x v="140"/>
    <x v="3"/>
    <x v="5"/>
    <x v="0"/>
    <x v="1"/>
    <x v="1"/>
    <x v="1"/>
  </r>
  <r>
    <d v="2024-08-05T00:00:00"/>
    <x v="3"/>
    <x v="0"/>
    <x v="97"/>
    <x v="11"/>
    <x v="3"/>
    <d v="2024-08-05T00:00:00"/>
    <x v="140"/>
    <x v="3"/>
    <x v="5"/>
    <x v="0"/>
    <x v="1"/>
    <x v="1"/>
    <x v="1"/>
  </r>
  <r>
    <d v="2024-08-05T00:00:00"/>
    <x v="3"/>
    <x v="0"/>
    <x v="375"/>
    <x v="14"/>
    <x v="5"/>
    <d v="2024-08-05T00:00:00"/>
    <x v="140"/>
    <x v="3"/>
    <x v="5"/>
    <x v="0"/>
    <x v="1"/>
    <x v="1"/>
    <x v="1"/>
  </r>
  <r>
    <d v="2024-08-05T00:00:00"/>
    <x v="3"/>
    <x v="0"/>
    <x v="460"/>
    <x v="8"/>
    <x v="7"/>
    <d v="2024-08-05T00:00:00"/>
    <x v="140"/>
    <x v="3"/>
    <x v="5"/>
    <x v="0"/>
    <x v="1"/>
    <x v="1"/>
    <x v="1"/>
  </r>
  <r>
    <d v="2024-08-05T00:00:00"/>
    <x v="3"/>
    <x v="0"/>
    <x v="461"/>
    <x v="8"/>
    <x v="0"/>
    <d v="2024-08-05T00:00:00"/>
    <x v="140"/>
    <x v="3"/>
    <x v="5"/>
    <x v="0"/>
    <x v="1"/>
    <x v="1"/>
    <x v="1"/>
  </r>
  <r>
    <d v="2024-08-05T00:00:00"/>
    <x v="3"/>
    <x v="0"/>
    <x v="462"/>
    <x v="8"/>
    <x v="0"/>
    <d v="2024-08-05T00:00:00"/>
    <x v="140"/>
    <x v="3"/>
    <x v="5"/>
    <x v="0"/>
    <x v="1"/>
    <x v="1"/>
    <x v="1"/>
  </r>
  <r>
    <d v="2024-08-05T00:00:00"/>
    <x v="3"/>
    <x v="0"/>
    <x v="462"/>
    <x v="11"/>
    <x v="3"/>
    <d v="2024-08-05T00:00:00"/>
    <x v="140"/>
    <x v="3"/>
    <x v="5"/>
    <x v="0"/>
    <x v="1"/>
    <x v="1"/>
    <x v="1"/>
  </r>
  <r>
    <d v="2024-08-05T00:00:00"/>
    <x v="3"/>
    <x v="0"/>
    <x v="19"/>
    <x v="8"/>
    <x v="0"/>
    <d v="2024-08-05T00:00:00"/>
    <x v="140"/>
    <x v="3"/>
    <x v="5"/>
    <x v="0"/>
    <x v="1"/>
    <x v="1"/>
    <x v="1"/>
  </r>
  <r>
    <d v="2024-08-05T00:00:00"/>
    <x v="3"/>
    <x v="0"/>
    <x v="8"/>
    <x v="8"/>
    <x v="0"/>
    <d v="2024-08-05T00:00:00"/>
    <x v="140"/>
    <x v="3"/>
    <x v="5"/>
    <x v="0"/>
    <x v="1"/>
    <x v="1"/>
    <x v="1"/>
  </r>
  <r>
    <d v="2024-08-05T00:00:00"/>
    <x v="3"/>
    <x v="0"/>
    <x v="463"/>
    <x v="8"/>
    <x v="4"/>
    <d v="2024-08-05T00:00:00"/>
    <x v="140"/>
    <x v="3"/>
    <x v="5"/>
    <x v="0"/>
    <x v="1"/>
    <x v="1"/>
    <x v="1"/>
  </r>
  <r>
    <d v="2024-08-05T00:00:00"/>
    <x v="3"/>
    <x v="0"/>
    <x v="464"/>
    <x v="11"/>
    <x v="3"/>
    <d v="2024-08-05T00:00:00"/>
    <x v="140"/>
    <x v="3"/>
    <x v="5"/>
    <x v="0"/>
    <x v="1"/>
    <x v="1"/>
    <x v="1"/>
  </r>
  <r>
    <d v="2024-08-06T00:00:00"/>
    <x v="4"/>
    <x v="0"/>
    <x v="375"/>
    <x v="14"/>
    <x v="5"/>
    <d v="2024-08-06T00:00:00"/>
    <x v="141"/>
    <x v="4"/>
    <x v="5"/>
    <x v="0"/>
    <x v="1"/>
    <x v="1"/>
    <x v="1"/>
  </r>
  <r>
    <d v="2024-08-06T00:00:00"/>
    <x v="4"/>
    <x v="0"/>
    <x v="465"/>
    <x v="8"/>
    <x v="1"/>
    <d v="2024-08-06T00:00:00"/>
    <x v="141"/>
    <x v="4"/>
    <x v="5"/>
    <x v="0"/>
    <x v="1"/>
    <x v="1"/>
    <x v="1"/>
  </r>
  <r>
    <d v="2024-08-06T00:00:00"/>
    <x v="4"/>
    <x v="0"/>
    <x v="466"/>
    <x v="8"/>
    <x v="7"/>
    <d v="2024-08-06T00:00:00"/>
    <x v="141"/>
    <x v="4"/>
    <x v="5"/>
    <x v="0"/>
    <x v="1"/>
    <x v="1"/>
    <x v="1"/>
  </r>
  <r>
    <d v="2024-08-06T00:00:00"/>
    <x v="4"/>
    <x v="0"/>
    <x v="466"/>
    <x v="8"/>
    <x v="0"/>
    <d v="2024-08-06T00:00:00"/>
    <x v="141"/>
    <x v="4"/>
    <x v="5"/>
    <x v="0"/>
    <x v="1"/>
    <x v="1"/>
    <x v="1"/>
  </r>
  <r>
    <d v="2024-08-06T00:00:00"/>
    <x v="4"/>
    <x v="0"/>
    <x v="466"/>
    <x v="8"/>
    <x v="4"/>
    <d v="2024-08-06T00:00:00"/>
    <x v="141"/>
    <x v="4"/>
    <x v="5"/>
    <x v="0"/>
    <x v="1"/>
    <x v="1"/>
    <x v="1"/>
  </r>
  <r>
    <d v="2024-08-06T00:00:00"/>
    <x v="4"/>
    <x v="0"/>
    <x v="19"/>
    <x v="8"/>
    <x v="0"/>
    <d v="2024-08-06T00:00:00"/>
    <x v="141"/>
    <x v="4"/>
    <x v="5"/>
    <x v="0"/>
    <x v="1"/>
    <x v="1"/>
    <x v="1"/>
  </r>
  <r>
    <d v="2024-08-06T00:00:00"/>
    <x v="4"/>
    <x v="0"/>
    <x v="467"/>
    <x v="11"/>
    <x v="3"/>
    <d v="2024-08-06T00:00:00"/>
    <x v="141"/>
    <x v="4"/>
    <x v="5"/>
    <x v="0"/>
    <x v="1"/>
    <x v="1"/>
    <x v="1"/>
  </r>
  <r>
    <d v="2024-08-06T00:00:00"/>
    <x v="4"/>
    <x v="0"/>
    <x v="468"/>
    <x v="8"/>
    <x v="0"/>
    <d v="2024-08-06T00:00:00"/>
    <x v="141"/>
    <x v="4"/>
    <x v="5"/>
    <x v="0"/>
    <x v="1"/>
    <x v="1"/>
    <x v="1"/>
  </r>
  <r>
    <d v="2024-08-07T00:00:00"/>
    <x v="5"/>
    <x v="0"/>
    <x v="453"/>
    <x v="11"/>
    <x v="3"/>
    <d v="2024-08-07T00:00:00"/>
    <x v="142"/>
    <x v="5"/>
    <x v="5"/>
    <x v="0"/>
    <x v="1"/>
    <x v="1"/>
    <x v="1"/>
  </r>
  <r>
    <d v="2024-08-07T00:00:00"/>
    <x v="5"/>
    <x v="0"/>
    <x v="2"/>
    <x v="14"/>
    <x v="2"/>
    <d v="2024-08-07T00:00:00"/>
    <x v="142"/>
    <x v="5"/>
    <x v="5"/>
    <x v="0"/>
    <x v="1"/>
    <x v="1"/>
    <x v="1"/>
  </r>
  <r>
    <d v="2024-08-07T00:00:00"/>
    <x v="5"/>
    <x v="0"/>
    <x v="469"/>
    <x v="15"/>
    <x v="6"/>
    <d v="2024-08-07T00:00:00"/>
    <x v="142"/>
    <x v="5"/>
    <x v="5"/>
    <x v="0"/>
    <x v="1"/>
    <x v="1"/>
    <x v="1"/>
  </r>
  <r>
    <d v="2024-08-07T00:00:00"/>
    <x v="5"/>
    <x v="0"/>
    <x v="470"/>
    <x v="14"/>
    <x v="2"/>
    <d v="2024-08-07T00:00:00"/>
    <x v="142"/>
    <x v="5"/>
    <x v="5"/>
    <x v="0"/>
    <x v="1"/>
    <x v="1"/>
    <x v="1"/>
  </r>
  <r>
    <d v="2024-08-07T00:00:00"/>
    <x v="5"/>
    <x v="0"/>
    <x v="8"/>
    <x v="8"/>
    <x v="0"/>
    <d v="2024-08-07T00:00:00"/>
    <x v="142"/>
    <x v="5"/>
    <x v="5"/>
    <x v="0"/>
    <x v="1"/>
    <x v="1"/>
    <x v="1"/>
  </r>
  <r>
    <d v="2024-08-07T00:00:00"/>
    <x v="5"/>
    <x v="0"/>
    <x v="442"/>
    <x v="8"/>
    <x v="4"/>
    <d v="2024-08-07T00:00:00"/>
    <x v="142"/>
    <x v="5"/>
    <x v="5"/>
    <x v="0"/>
    <x v="1"/>
    <x v="1"/>
    <x v="1"/>
  </r>
  <r>
    <d v="2024-08-07T00:00:00"/>
    <x v="5"/>
    <x v="0"/>
    <x v="328"/>
    <x v="8"/>
    <x v="7"/>
    <d v="2024-08-07T00:00:00"/>
    <x v="142"/>
    <x v="5"/>
    <x v="5"/>
    <x v="0"/>
    <x v="1"/>
    <x v="1"/>
    <x v="1"/>
  </r>
  <r>
    <d v="2024-08-07T00:00:00"/>
    <x v="5"/>
    <x v="0"/>
    <x v="471"/>
    <x v="8"/>
    <x v="0"/>
    <d v="2024-08-07T00:00:00"/>
    <x v="142"/>
    <x v="5"/>
    <x v="5"/>
    <x v="0"/>
    <x v="1"/>
    <x v="1"/>
    <x v="1"/>
  </r>
  <r>
    <d v="2024-08-07T00:00:00"/>
    <x v="5"/>
    <x v="0"/>
    <x v="472"/>
    <x v="8"/>
    <x v="0"/>
    <d v="2024-08-07T00:00:00"/>
    <x v="142"/>
    <x v="5"/>
    <x v="5"/>
    <x v="0"/>
    <x v="1"/>
    <x v="1"/>
    <x v="1"/>
  </r>
  <r>
    <d v="2024-08-08T00:00:00"/>
    <x v="6"/>
    <x v="0"/>
    <x v="141"/>
    <x v="15"/>
    <x v="6"/>
    <d v="2024-08-08T00:00:00"/>
    <x v="143"/>
    <x v="6"/>
    <x v="5"/>
    <x v="0"/>
    <x v="1"/>
    <x v="1"/>
    <x v="1"/>
  </r>
  <r>
    <d v="2024-08-08T00:00:00"/>
    <x v="6"/>
    <x v="0"/>
    <x v="141"/>
    <x v="14"/>
    <x v="5"/>
    <d v="2024-08-08T00:00:00"/>
    <x v="143"/>
    <x v="6"/>
    <x v="5"/>
    <x v="0"/>
    <x v="1"/>
    <x v="1"/>
    <x v="1"/>
  </r>
  <r>
    <d v="2024-08-08T00:00:00"/>
    <x v="6"/>
    <x v="0"/>
    <x v="420"/>
    <x v="11"/>
    <x v="3"/>
    <d v="2024-08-08T00:00:00"/>
    <x v="143"/>
    <x v="6"/>
    <x v="5"/>
    <x v="0"/>
    <x v="1"/>
    <x v="1"/>
    <x v="1"/>
  </r>
  <r>
    <d v="2024-08-08T00:00:00"/>
    <x v="6"/>
    <x v="0"/>
    <x v="473"/>
    <x v="8"/>
    <x v="7"/>
    <d v="2024-08-08T00:00:00"/>
    <x v="143"/>
    <x v="6"/>
    <x v="5"/>
    <x v="0"/>
    <x v="1"/>
    <x v="1"/>
    <x v="1"/>
  </r>
  <r>
    <d v="2024-08-08T00:00:00"/>
    <x v="6"/>
    <x v="0"/>
    <x v="474"/>
    <x v="8"/>
    <x v="7"/>
    <d v="2024-08-08T00:00:00"/>
    <x v="143"/>
    <x v="6"/>
    <x v="5"/>
    <x v="0"/>
    <x v="1"/>
    <x v="1"/>
    <x v="1"/>
  </r>
  <r>
    <d v="2024-08-08T00:00:00"/>
    <x v="6"/>
    <x v="0"/>
    <x v="311"/>
    <x v="11"/>
    <x v="3"/>
    <d v="2024-08-08T00:00:00"/>
    <x v="143"/>
    <x v="6"/>
    <x v="5"/>
    <x v="0"/>
    <x v="1"/>
    <x v="1"/>
    <x v="1"/>
  </r>
  <r>
    <d v="2024-08-09T00:00:00"/>
    <x v="0"/>
    <x v="0"/>
    <x v="475"/>
    <x v="8"/>
    <x v="0"/>
    <d v="2024-08-09T00:00:00"/>
    <x v="144"/>
    <x v="0"/>
    <x v="5"/>
    <x v="0"/>
    <x v="1"/>
    <x v="1"/>
    <x v="1"/>
  </r>
  <r>
    <d v="2024-08-09T00:00:00"/>
    <x v="0"/>
    <x v="0"/>
    <x v="476"/>
    <x v="14"/>
    <x v="2"/>
    <d v="2024-08-09T00:00:00"/>
    <x v="144"/>
    <x v="0"/>
    <x v="5"/>
    <x v="0"/>
    <x v="1"/>
    <x v="1"/>
    <x v="1"/>
  </r>
  <r>
    <d v="2024-08-09T00:00:00"/>
    <x v="0"/>
    <x v="0"/>
    <x v="141"/>
    <x v="14"/>
    <x v="5"/>
    <d v="2024-08-09T00:00:00"/>
    <x v="144"/>
    <x v="0"/>
    <x v="5"/>
    <x v="0"/>
    <x v="1"/>
    <x v="1"/>
    <x v="1"/>
  </r>
  <r>
    <d v="2024-08-09T00:00:00"/>
    <x v="0"/>
    <x v="0"/>
    <x v="311"/>
    <x v="11"/>
    <x v="3"/>
    <d v="2024-08-09T00:00:00"/>
    <x v="144"/>
    <x v="0"/>
    <x v="5"/>
    <x v="0"/>
    <x v="1"/>
    <x v="1"/>
    <x v="1"/>
  </r>
  <r>
    <d v="2024-08-09T00:00:00"/>
    <x v="0"/>
    <x v="0"/>
    <x v="477"/>
    <x v="14"/>
    <x v="2"/>
    <d v="2024-08-09T00:00:00"/>
    <x v="144"/>
    <x v="0"/>
    <x v="5"/>
    <x v="0"/>
    <x v="1"/>
    <x v="1"/>
    <x v="1"/>
  </r>
  <r>
    <d v="2024-08-09T00:00:00"/>
    <x v="0"/>
    <x v="0"/>
    <x v="478"/>
    <x v="14"/>
    <x v="2"/>
    <d v="2024-08-09T00:00:00"/>
    <x v="144"/>
    <x v="0"/>
    <x v="5"/>
    <x v="0"/>
    <x v="1"/>
    <x v="1"/>
    <x v="1"/>
  </r>
  <r>
    <d v="2024-08-09T00:00:00"/>
    <x v="0"/>
    <x v="0"/>
    <x v="479"/>
    <x v="8"/>
    <x v="1"/>
    <d v="2024-08-09T00:00:00"/>
    <x v="144"/>
    <x v="0"/>
    <x v="5"/>
    <x v="0"/>
    <x v="1"/>
    <x v="1"/>
    <x v="1"/>
  </r>
  <r>
    <d v="2024-08-10T00:00:00"/>
    <x v="1"/>
    <x v="0"/>
    <x v="480"/>
    <x v="8"/>
    <x v="7"/>
    <d v="2024-08-10T00:00:00"/>
    <x v="125"/>
    <x v="1"/>
    <x v="5"/>
    <x v="0"/>
    <x v="1"/>
    <x v="1"/>
    <x v="1"/>
  </r>
  <r>
    <d v="2024-08-10T00:00:00"/>
    <x v="1"/>
    <x v="0"/>
    <x v="480"/>
    <x v="11"/>
    <x v="3"/>
    <d v="2024-08-10T00:00:00"/>
    <x v="125"/>
    <x v="1"/>
    <x v="5"/>
    <x v="0"/>
    <x v="1"/>
    <x v="1"/>
    <x v="1"/>
  </r>
  <r>
    <d v="2024-08-10T00:00:00"/>
    <x v="1"/>
    <x v="0"/>
    <x v="141"/>
    <x v="14"/>
    <x v="5"/>
    <d v="2024-08-10T00:00:00"/>
    <x v="125"/>
    <x v="1"/>
    <x v="5"/>
    <x v="0"/>
    <x v="1"/>
    <x v="1"/>
    <x v="1"/>
  </r>
  <r>
    <d v="2024-08-10T00:00:00"/>
    <x v="1"/>
    <x v="0"/>
    <x v="12"/>
    <x v="14"/>
    <x v="5"/>
    <d v="2024-08-10T00:00:00"/>
    <x v="125"/>
    <x v="1"/>
    <x v="5"/>
    <x v="0"/>
    <x v="1"/>
    <x v="1"/>
    <x v="1"/>
  </r>
  <r>
    <d v="2024-08-10T00:00:00"/>
    <x v="1"/>
    <x v="0"/>
    <x v="12"/>
    <x v="14"/>
    <x v="2"/>
    <d v="2024-08-10T00:00:00"/>
    <x v="125"/>
    <x v="1"/>
    <x v="5"/>
    <x v="0"/>
    <x v="1"/>
    <x v="1"/>
    <x v="1"/>
  </r>
  <r>
    <d v="2024-08-10T00:00:00"/>
    <x v="1"/>
    <x v="0"/>
    <x v="481"/>
    <x v="8"/>
    <x v="0"/>
    <d v="2024-08-10T00:00:00"/>
    <x v="125"/>
    <x v="1"/>
    <x v="5"/>
    <x v="0"/>
    <x v="1"/>
    <x v="1"/>
    <x v="1"/>
  </r>
  <r>
    <d v="2024-08-10T00:00:00"/>
    <x v="1"/>
    <x v="0"/>
    <x v="463"/>
    <x v="11"/>
    <x v="3"/>
    <d v="2024-08-10T00:00:00"/>
    <x v="125"/>
    <x v="1"/>
    <x v="5"/>
    <x v="0"/>
    <x v="1"/>
    <x v="1"/>
    <x v="1"/>
  </r>
  <r>
    <d v="2024-08-10T00:00:00"/>
    <x v="1"/>
    <x v="0"/>
    <x v="8"/>
    <x v="8"/>
    <x v="0"/>
    <d v="2024-08-10T00:00:00"/>
    <x v="125"/>
    <x v="1"/>
    <x v="5"/>
    <x v="0"/>
    <x v="1"/>
    <x v="1"/>
    <x v="1"/>
  </r>
  <r>
    <d v="2024-08-10T00:00:00"/>
    <x v="1"/>
    <x v="0"/>
    <x v="482"/>
    <x v="8"/>
    <x v="4"/>
    <d v="2024-08-10T00:00:00"/>
    <x v="125"/>
    <x v="1"/>
    <x v="5"/>
    <x v="0"/>
    <x v="1"/>
    <x v="1"/>
    <x v="1"/>
  </r>
  <r>
    <d v="2024-08-10T00:00:00"/>
    <x v="1"/>
    <x v="0"/>
    <x v="442"/>
    <x v="8"/>
    <x v="4"/>
    <d v="2024-08-10T00:00:00"/>
    <x v="125"/>
    <x v="1"/>
    <x v="5"/>
    <x v="0"/>
    <x v="1"/>
    <x v="1"/>
    <x v="1"/>
  </r>
  <r>
    <d v="2024-08-11T00:00:00"/>
    <x v="2"/>
    <x v="0"/>
    <x v="440"/>
    <x v="8"/>
    <x v="0"/>
    <d v="2024-08-11T00:00:00"/>
    <x v="145"/>
    <x v="2"/>
    <x v="5"/>
    <x v="0"/>
    <x v="1"/>
    <x v="1"/>
    <x v="1"/>
  </r>
  <r>
    <d v="2024-08-11T00:00:00"/>
    <x v="2"/>
    <x v="0"/>
    <x v="347"/>
    <x v="11"/>
    <x v="3"/>
    <d v="2024-08-11T00:00:00"/>
    <x v="145"/>
    <x v="2"/>
    <x v="5"/>
    <x v="0"/>
    <x v="1"/>
    <x v="1"/>
    <x v="1"/>
  </r>
  <r>
    <d v="2024-08-11T00:00:00"/>
    <x v="2"/>
    <x v="0"/>
    <x v="480"/>
    <x v="8"/>
    <x v="7"/>
    <d v="2024-08-11T00:00:00"/>
    <x v="145"/>
    <x v="2"/>
    <x v="5"/>
    <x v="0"/>
    <x v="1"/>
    <x v="1"/>
    <x v="1"/>
  </r>
  <r>
    <d v="2024-08-11T00:00:00"/>
    <x v="2"/>
    <x v="0"/>
    <x v="480"/>
    <x v="11"/>
    <x v="3"/>
    <d v="2024-08-11T00:00:00"/>
    <x v="145"/>
    <x v="2"/>
    <x v="5"/>
    <x v="0"/>
    <x v="1"/>
    <x v="1"/>
    <x v="1"/>
  </r>
  <r>
    <d v="2024-08-11T00:00:00"/>
    <x v="2"/>
    <x v="0"/>
    <x v="141"/>
    <x v="14"/>
    <x v="5"/>
    <d v="2024-08-11T00:00:00"/>
    <x v="145"/>
    <x v="2"/>
    <x v="5"/>
    <x v="0"/>
    <x v="1"/>
    <x v="1"/>
    <x v="1"/>
  </r>
  <r>
    <d v="2024-08-11T00:00:00"/>
    <x v="2"/>
    <x v="0"/>
    <x v="483"/>
    <x v="8"/>
    <x v="0"/>
    <d v="2024-08-11T00:00:00"/>
    <x v="145"/>
    <x v="2"/>
    <x v="5"/>
    <x v="0"/>
    <x v="1"/>
    <x v="1"/>
    <x v="1"/>
  </r>
  <r>
    <d v="2024-08-11T00:00:00"/>
    <x v="2"/>
    <x v="0"/>
    <x v="484"/>
    <x v="11"/>
    <x v="3"/>
    <d v="2024-08-11T00:00:00"/>
    <x v="145"/>
    <x v="2"/>
    <x v="5"/>
    <x v="0"/>
    <x v="1"/>
    <x v="1"/>
    <x v="1"/>
  </r>
  <r>
    <d v="2024-08-11T00:00:00"/>
    <x v="2"/>
    <x v="0"/>
    <x v="484"/>
    <x v="8"/>
    <x v="4"/>
    <d v="2024-08-11T00:00:00"/>
    <x v="145"/>
    <x v="2"/>
    <x v="5"/>
    <x v="0"/>
    <x v="1"/>
    <x v="1"/>
    <x v="1"/>
  </r>
  <r>
    <d v="2024-08-11T00:00:00"/>
    <x v="2"/>
    <x v="0"/>
    <x v="414"/>
    <x v="8"/>
    <x v="7"/>
    <d v="2024-08-11T00:00:00"/>
    <x v="145"/>
    <x v="2"/>
    <x v="5"/>
    <x v="0"/>
    <x v="1"/>
    <x v="1"/>
    <x v="1"/>
  </r>
  <r>
    <d v="2024-08-11T00:00:00"/>
    <x v="2"/>
    <x v="0"/>
    <x v="485"/>
    <x v="15"/>
    <x v="6"/>
    <d v="2024-08-11T00:00:00"/>
    <x v="145"/>
    <x v="2"/>
    <x v="5"/>
    <x v="0"/>
    <x v="1"/>
    <x v="1"/>
    <x v="1"/>
  </r>
  <r>
    <d v="2024-08-11T00:00:00"/>
    <x v="2"/>
    <x v="0"/>
    <x v="486"/>
    <x v="14"/>
    <x v="5"/>
    <d v="2024-08-11T00:00:00"/>
    <x v="145"/>
    <x v="2"/>
    <x v="5"/>
    <x v="0"/>
    <x v="1"/>
    <x v="1"/>
    <x v="1"/>
  </r>
  <r>
    <d v="2024-08-11T00:00:00"/>
    <x v="2"/>
    <x v="0"/>
    <x v="475"/>
    <x v="8"/>
    <x v="0"/>
    <d v="2024-08-11T00:00:00"/>
    <x v="145"/>
    <x v="2"/>
    <x v="5"/>
    <x v="0"/>
    <x v="1"/>
    <x v="1"/>
    <x v="1"/>
  </r>
  <r>
    <d v="2024-08-11T00:00:00"/>
    <x v="2"/>
    <x v="0"/>
    <x v="487"/>
    <x v="8"/>
    <x v="0"/>
    <d v="2024-08-11T00:00:00"/>
    <x v="145"/>
    <x v="2"/>
    <x v="5"/>
    <x v="0"/>
    <x v="1"/>
    <x v="1"/>
    <x v="1"/>
  </r>
  <r>
    <d v="2024-08-11T00:00:00"/>
    <x v="2"/>
    <x v="0"/>
    <x v="488"/>
    <x v="8"/>
    <x v="7"/>
    <d v="2024-08-11T00:00:00"/>
    <x v="145"/>
    <x v="2"/>
    <x v="5"/>
    <x v="0"/>
    <x v="1"/>
    <x v="1"/>
    <x v="1"/>
  </r>
  <r>
    <d v="2024-08-12T00:00:00"/>
    <x v="3"/>
    <x v="0"/>
    <x v="367"/>
    <x v="8"/>
    <x v="1"/>
    <d v="2024-08-12T00:00:00"/>
    <x v="129"/>
    <x v="3"/>
    <x v="5"/>
    <x v="0"/>
    <x v="1"/>
    <x v="1"/>
    <x v="1"/>
  </r>
  <r>
    <d v="2024-08-12T00:00:00"/>
    <x v="3"/>
    <x v="0"/>
    <x v="489"/>
    <x v="11"/>
    <x v="3"/>
    <d v="2024-08-12T00:00:00"/>
    <x v="129"/>
    <x v="3"/>
    <x v="5"/>
    <x v="0"/>
    <x v="1"/>
    <x v="1"/>
    <x v="1"/>
  </r>
  <r>
    <d v="2024-08-12T00:00:00"/>
    <x v="3"/>
    <x v="0"/>
    <x v="490"/>
    <x v="14"/>
    <x v="2"/>
    <d v="2024-08-12T00:00:00"/>
    <x v="129"/>
    <x v="3"/>
    <x v="5"/>
    <x v="0"/>
    <x v="1"/>
    <x v="1"/>
    <x v="1"/>
  </r>
  <r>
    <d v="2024-08-12T00:00:00"/>
    <x v="3"/>
    <x v="0"/>
    <x v="490"/>
    <x v="8"/>
    <x v="0"/>
    <d v="2024-08-12T00:00:00"/>
    <x v="129"/>
    <x v="3"/>
    <x v="5"/>
    <x v="0"/>
    <x v="1"/>
    <x v="1"/>
    <x v="1"/>
  </r>
  <r>
    <d v="2024-08-12T00:00:00"/>
    <x v="3"/>
    <x v="0"/>
    <x v="491"/>
    <x v="8"/>
    <x v="0"/>
    <d v="2024-08-12T00:00:00"/>
    <x v="129"/>
    <x v="3"/>
    <x v="5"/>
    <x v="0"/>
    <x v="1"/>
    <x v="1"/>
    <x v="1"/>
  </r>
  <r>
    <d v="2024-08-12T00:00:00"/>
    <x v="3"/>
    <x v="0"/>
    <x v="492"/>
    <x v="15"/>
    <x v="6"/>
    <d v="2024-08-12T00:00:00"/>
    <x v="129"/>
    <x v="3"/>
    <x v="5"/>
    <x v="0"/>
    <x v="1"/>
    <x v="1"/>
    <x v="1"/>
  </r>
  <r>
    <d v="2024-08-12T00:00:00"/>
    <x v="3"/>
    <x v="0"/>
    <x v="492"/>
    <x v="11"/>
    <x v="3"/>
    <d v="2024-08-12T00:00:00"/>
    <x v="129"/>
    <x v="3"/>
    <x v="5"/>
    <x v="0"/>
    <x v="1"/>
    <x v="1"/>
    <x v="1"/>
  </r>
  <r>
    <d v="2024-08-12T00:00:00"/>
    <x v="3"/>
    <x v="0"/>
    <x v="493"/>
    <x v="11"/>
    <x v="3"/>
    <d v="2024-08-12T00:00:00"/>
    <x v="129"/>
    <x v="3"/>
    <x v="5"/>
    <x v="0"/>
    <x v="1"/>
    <x v="1"/>
    <x v="1"/>
  </r>
  <r>
    <d v="2024-08-12T00:00:00"/>
    <x v="3"/>
    <x v="0"/>
    <x v="97"/>
    <x v="11"/>
    <x v="3"/>
    <d v="2024-08-12T00:00:00"/>
    <x v="129"/>
    <x v="3"/>
    <x v="5"/>
    <x v="0"/>
    <x v="1"/>
    <x v="1"/>
    <x v="1"/>
  </r>
  <r>
    <d v="2024-08-12T00:00:00"/>
    <x v="3"/>
    <x v="0"/>
    <x v="494"/>
    <x v="8"/>
    <x v="0"/>
    <d v="2024-08-12T00:00:00"/>
    <x v="129"/>
    <x v="3"/>
    <x v="5"/>
    <x v="0"/>
    <x v="1"/>
    <x v="1"/>
    <x v="1"/>
  </r>
  <r>
    <d v="2024-08-12T00:00:00"/>
    <x v="3"/>
    <x v="0"/>
    <x v="134"/>
    <x v="8"/>
    <x v="7"/>
    <d v="2024-08-12T00:00:00"/>
    <x v="129"/>
    <x v="3"/>
    <x v="5"/>
    <x v="0"/>
    <x v="1"/>
    <x v="1"/>
    <x v="1"/>
  </r>
  <r>
    <d v="2024-08-13T00:00:00"/>
    <x v="4"/>
    <x v="0"/>
    <x v="495"/>
    <x v="11"/>
    <x v="3"/>
    <d v="2024-08-13T00:00:00"/>
    <x v="146"/>
    <x v="4"/>
    <x v="5"/>
    <x v="0"/>
    <x v="1"/>
    <x v="1"/>
    <x v="1"/>
  </r>
  <r>
    <d v="2024-08-13T00:00:00"/>
    <x v="4"/>
    <x v="0"/>
    <x v="97"/>
    <x v="11"/>
    <x v="3"/>
    <d v="2024-08-13T00:00:00"/>
    <x v="146"/>
    <x v="4"/>
    <x v="5"/>
    <x v="0"/>
    <x v="1"/>
    <x v="1"/>
    <x v="1"/>
  </r>
  <r>
    <d v="2024-08-13T00:00:00"/>
    <x v="4"/>
    <x v="0"/>
    <x v="385"/>
    <x v="11"/>
    <x v="3"/>
    <d v="2024-08-13T00:00:00"/>
    <x v="146"/>
    <x v="4"/>
    <x v="5"/>
    <x v="0"/>
    <x v="1"/>
    <x v="1"/>
    <x v="1"/>
  </r>
  <r>
    <d v="2024-08-13T00:00:00"/>
    <x v="4"/>
    <x v="0"/>
    <x v="141"/>
    <x v="14"/>
    <x v="5"/>
    <d v="2024-08-13T00:00:00"/>
    <x v="146"/>
    <x v="4"/>
    <x v="5"/>
    <x v="0"/>
    <x v="1"/>
    <x v="1"/>
    <x v="1"/>
  </r>
  <r>
    <d v="2024-08-13T00:00:00"/>
    <x v="4"/>
    <x v="0"/>
    <x v="496"/>
    <x v="8"/>
    <x v="0"/>
    <d v="2024-08-13T00:00:00"/>
    <x v="146"/>
    <x v="4"/>
    <x v="5"/>
    <x v="0"/>
    <x v="1"/>
    <x v="1"/>
    <x v="1"/>
  </r>
  <r>
    <d v="2024-08-13T00:00:00"/>
    <x v="4"/>
    <x v="0"/>
    <x v="497"/>
    <x v="11"/>
    <x v="3"/>
    <d v="2024-08-13T00:00:00"/>
    <x v="146"/>
    <x v="4"/>
    <x v="5"/>
    <x v="0"/>
    <x v="1"/>
    <x v="1"/>
    <x v="1"/>
  </r>
  <r>
    <d v="2024-08-13T00:00:00"/>
    <x v="4"/>
    <x v="0"/>
    <x v="494"/>
    <x v="8"/>
    <x v="0"/>
    <d v="2024-08-13T00:00:00"/>
    <x v="146"/>
    <x v="4"/>
    <x v="5"/>
    <x v="0"/>
    <x v="1"/>
    <x v="1"/>
    <x v="1"/>
  </r>
  <r>
    <d v="2024-08-13T00:00:00"/>
    <x v="4"/>
    <x v="0"/>
    <x v="498"/>
    <x v="8"/>
    <x v="7"/>
    <d v="2024-08-13T00:00:00"/>
    <x v="146"/>
    <x v="4"/>
    <x v="5"/>
    <x v="0"/>
    <x v="1"/>
    <x v="1"/>
    <x v="1"/>
  </r>
  <r>
    <d v="2024-08-13T00:00:00"/>
    <x v="4"/>
    <x v="0"/>
    <x v="499"/>
    <x v="8"/>
    <x v="0"/>
    <d v="2024-08-13T00:00:00"/>
    <x v="146"/>
    <x v="4"/>
    <x v="5"/>
    <x v="0"/>
    <x v="1"/>
    <x v="1"/>
    <x v="1"/>
  </r>
  <r>
    <d v="2024-08-13T00:00:00"/>
    <x v="4"/>
    <x v="0"/>
    <x v="499"/>
    <x v="8"/>
    <x v="4"/>
    <d v="2024-08-13T00:00:00"/>
    <x v="146"/>
    <x v="4"/>
    <x v="5"/>
    <x v="0"/>
    <x v="1"/>
    <x v="1"/>
    <x v="1"/>
  </r>
  <r>
    <d v="2024-08-13T00:00:00"/>
    <x v="4"/>
    <x v="0"/>
    <x v="500"/>
    <x v="8"/>
    <x v="7"/>
    <d v="2024-08-13T00:00:00"/>
    <x v="146"/>
    <x v="4"/>
    <x v="5"/>
    <x v="0"/>
    <x v="1"/>
    <x v="1"/>
    <x v="1"/>
  </r>
  <r>
    <d v="2024-08-13T00:00:00"/>
    <x v="4"/>
    <x v="0"/>
    <x v="501"/>
    <x v="14"/>
    <x v="5"/>
    <d v="2024-08-13T00:00:00"/>
    <x v="146"/>
    <x v="4"/>
    <x v="5"/>
    <x v="0"/>
    <x v="1"/>
    <x v="1"/>
    <x v="1"/>
  </r>
  <r>
    <d v="2024-08-14T00:00:00"/>
    <x v="5"/>
    <x v="0"/>
    <x v="475"/>
    <x v="8"/>
    <x v="0"/>
    <d v="2024-08-14T00:00:00"/>
    <x v="147"/>
    <x v="5"/>
    <x v="5"/>
    <x v="0"/>
    <x v="1"/>
    <x v="1"/>
    <x v="1"/>
  </r>
  <r>
    <d v="2024-08-14T00:00:00"/>
    <x v="5"/>
    <x v="0"/>
    <x v="472"/>
    <x v="8"/>
    <x v="7"/>
    <d v="2024-08-14T00:00:00"/>
    <x v="147"/>
    <x v="5"/>
    <x v="5"/>
    <x v="0"/>
    <x v="1"/>
    <x v="1"/>
    <x v="1"/>
  </r>
  <r>
    <d v="2024-08-14T00:00:00"/>
    <x v="5"/>
    <x v="0"/>
    <x v="141"/>
    <x v="14"/>
    <x v="5"/>
    <d v="2024-08-14T00:00:00"/>
    <x v="147"/>
    <x v="5"/>
    <x v="5"/>
    <x v="0"/>
    <x v="1"/>
    <x v="1"/>
    <x v="1"/>
  </r>
  <r>
    <d v="2024-08-14T00:00:00"/>
    <x v="5"/>
    <x v="0"/>
    <x v="95"/>
    <x v="15"/>
    <x v="6"/>
    <d v="2024-08-14T00:00:00"/>
    <x v="147"/>
    <x v="5"/>
    <x v="5"/>
    <x v="0"/>
    <x v="1"/>
    <x v="1"/>
    <x v="1"/>
  </r>
  <r>
    <d v="2024-08-14T00:00:00"/>
    <x v="5"/>
    <x v="0"/>
    <x v="502"/>
    <x v="14"/>
    <x v="2"/>
    <d v="2024-08-14T00:00:00"/>
    <x v="147"/>
    <x v="5"/>
    <x v="5"/>
    <x v="0"/>
    <x v="1"/>
    <x v="1"/>
    <x v="1"/>
  </r>
  <r>
    <d v="2024-08-14T00:00:00"/>
    <x v="5"/>
    <x v="0"/>
    <x v="450"/>
    <x v="14"/>
    <x v="2"/>
    <d v="2024-08-14T00:00:00"/>
    <x v="147"/>
    <x v="5"/>
    <x v="5"/>
    <x v="0"/>
    <x v="1"/>
    <x v="1"/>
    <x v="1"/>
  </r>
  <r>
    <d v="2024-08-14T00:00:00"/>
    <x v="5"/>
    <x v="0"/>
    <x v="503"/>
    <x v="8"/>
    <x v="0"/>
    <d v="2024-08-14T00:00:00"/>
    <x v="147"/>
    <x v="5"/>
    <x v="5"/>
    <x v="0"/>
    <x v="1"/>
    <x v="1"/>
    <x v="1"/>
  </r>
  <r>
    <d v="2024-08-14T00:00:00"/>
    <x v="5"/>
    <x v="0"/>
    <x v="504"/>
    <x v="14"/>
    <x v="2"/>
    <d v="2024-08-14T00:00:00"/>
    <x v="147"/>
    <x v="5"/>
    <x v="5"/>
    <x v="0"/>
    <x v="1"/>
    <x v="1"/>
    <x v="1"/>
  </r>
  <r>
    <d v="2024-08-14T00:00:00"/>
    <x v="5"/>
    <x v="0"/>
    <x v="505"/>
    <x v="14"/>
    <x v="5"/>
    <d v="2024-08-14T00:00:00"/>
    <x v="147"/>
    <x v="5"/>
    <x v="5"/>
    <x v="0"/>
    <x v="1"/>
    <x v="1"/>
    <x v="1"/>
  </r>
  <r>
    <d v="2024-08-14T00:00:00"/>
    <x v="5"/>
    <x v="0"/>
    <x v="506"/>
    <x v="11"/>
    <x v="3"/>
    <d v="2024-08-14T00:00:00"/>
    <x v="147"/>
    <x v="5"/>
    <x v="5"/>
    <x v="0"/>
    <x v="1"/>
    <x v="1"/>
    <x v="1"/>
  </r>
  <r>
    <d v="2024-08-14T00:00:00"/>
    <x v="5"/>
    <x v="0"/>
    <x v="12"/>
    <x v="8"/>
    <x v="0"/>
    <d v="2024-08-14T00:00:00"/>
    <x v="147"/>
    <x v="5"/>
    <x v="5"/>
    <x v="0"/>
    <x v="1"/>
    <x v="1"/>
    <x v="1"/>
  </r>
  <r>
    <d v="2024-08-14T00:00:00"/>
    <x v="5"/>
    <x v="0"/>
    <x v="12"/>
    <x v="14"/>
    <x v="5"/>
    <d v="2024-08-14T00:00:00"/>
    <x v="147"/>
    <x v="5"/>
    <x v="5"/>
    <x v="0"/>
    <x v="1"/>
    <x v="1"/>
    <x v="1"/>
  </r>
  <r>
    <d v="2024-08-14T00:00:00"/>
    <x v="5"/>
    <x v="0"/>
    <x v="507"/>
    <x v="8"/>
    <x v="0"/>
    <d v="2024-08-14T00:00:00"/>
    <x v="147"/>
    <x v="5"/>
    <x v="5"/>
    <x v="0"/>
    <x v="1"/>
    <x v="1"/>
    <x v="1"/>
  </r>
  <r>
    <d v="2024-08-15T00:00:00"/>
    <x v="6"/>
    <x v="0"/>
    <x v="141"/>
    <x v="14"/>
    <x v="5"/>
    <d v="2024-08-15T00:00:00"/>
    <x v="148"/>
    <x v="6"/>
    <x v="5"/>
    <x v="0"/>
    <x v="1"/>
    <x v="1"/>
    <x v="1"/>
  </r>
  <r>
    <d v="2024-08-15T00:00:00"/>
    <x v="6"/>
    <x v="0"/>
    <x v="508"/>
    <x v="8"/>
    <x v="7"/>
    <d v="2024-08-15T00:00:00"/>
    <x v="148"/>
    <x v="6"/>
    <x v="5"/>
    <x v="0"/>
    <x v="1"/>
    <x v="1"/>
    <x v="1"/>
  </r>
  <r>
    <d v="2024-08-15T00:00:00"/>
    <x v="6"/>
    <x v="0"/>
    <x v="509"/>
    <x v="8"/>
    <x v="1"/>
    <d v="2024-08-15T00:00:00"/>
    <x v="148"/>
    <x v="6"/>
    <x v="5"/>
    <x v="0"/>
    <x v="1"/>
    <x v="1"/>
    <x v="1"/>
  </r>
  <r>
    <d v="2024-08-15T00:00:00"/>
    <x v="6"/>
    <x v="0"/>
    <x v="509"/>
    <x v="8"/>
    <x v="0"/>
    <d v="2024-08-15T00:00:00"/>
    <x v="148"/>
    <x v="6"/>
    <x v="5"/>
    <x v="0"/>
    <x v="1"/>
    <x v="1"/>
    <x v="1"/>
  </r>
  <r>
    <d v="2024-08-15T00:00:00"/>
    <x v="6"/>
    <x v="0"/>
    <x v="232"/>
    <x v="8"/>
    <x v="0"/>
    <d v="2024-08-15T00:00:00"/>
    <x v="148"/>
    <x v="6"/>
    <x v="5"/>
    <x v="0"/>
    <x v="1"/>
    <x v="1"/>
    <x v="1"/>
  </r>
  <r>
    <d v="2024-08-15T00:00:00"/>
    <x v="6"/>
    <x v="0"/>
    <x v="510"/>
    <x v="8"/>
    <x v="0"/>
    <d v="2024-08-15T00:00:00"/>
    <x v="148"/>
    <x v="6"/>
    <x v="5"/>
    <x v="0"/>
    <x v="1"/>
    <x v="1"/>
    <x v="1"/>
  </r>
  <r>
    <d v="2024-08-15T00:00:00"/>
    <x v="6"/>
    <x v="0"/>
    <x v="12"/>
    <x v="14"/>
    <x v="2"/>
    <d v="2024-08-15T00:00:00"/>
    <x v="148"/>
    <x v="6"/>
    <x v="5"/>
    <x v="0"/>
    <x v="1"/>
    <x v="1"/>
    <x v="1"/>
  </r>
  <r>
    <d v="2024-08-15T00:00:00"/>
    <x v="6"/>
    <x v="0"/>
    <x v="12"/>
    <x v="15"/>
    <x v="6"/>
    <d v="2024-08-15T00:00:00"/>
    <x v="148"/>
    <x v="6"/>
    <x v="5"/>
    <x v="0"/>
    <x v="1"/>
    <x v="1"/>
    <x v="1"/>
  </r>
  <r>
    <d v="2024-08-15T00:00:00"/>
    <x v="6"/>
    <x v="0"/>
    <x v="511"/>
    <x v="11"/>
    <x v="3"/>
    <d v="2024-08-15T00:00:00"/>
    <x v="148"/>
    <x v="6"/>
    <x v="5"/>
    <x v="0"/>
    <x v="1"/>
    <x v="1"/>
    <x v="1"/>
  </r>
  <r>
    <d v="2024-08-15T00:00:00"/>
    <x v="6"/>
    <x v="0"/>
    <x v="512"/>
    <x v="8"/>
    <x v="1"/>
    <d v="2024-08-15T00:00:00"/>
    <x v="148"/>
    <x v="6"/>
    <x v="5"/>
    <x v="0"/>
    <x v="1"/>
    <x v="1"/>
    <x v="1"/>
  </r>
  <r>
    <d v="2024-08-15T00:00:00"/>
    <x v="6"/>
    <x v="0"/>
    <x v="512"/>
    <x v="11"/>
    <x v="3"/>
    <d v="2024-08-15T00:00:00"/>
    <x v="148"/>
    <x v="6"/>
    <x v="5"/>
    <x v="0"/>
    <x v="1"/>
    <x v="1"/>
    <x v="1"/>
  </r>
  <r>
    <d v="2024-08-15T00:00:00"/>
    <x v="6"/>
    <x v="0"/>
    <x v="513"/>
    <x v="11"/>
    <x v="3"/>
    <d v="2024-08-15T00:00:00"/>
    <x v="148"/>
    <x v="6"/>
    <x v="5"/>
    <x v="0"/>
    <x v="1"/>
    <x v="1"/>
    <x v="1"/>
  </r>
  <r>
    <d v="2024-08-15T00:00:00"/>
    <x v="6"/>
    <x v="0"/>
    <x v="513"/>
    <x v="14"/>
    <x v="2"/>
    <d v="2024-08-15T00:00:00"/>
    <x v="148"/>
    <x v="6"/>
    <x v="5"/>
    <x v="0"/>
    <x v="1"/>
    <x v="1"/>
    <x v="1"/>
  </r>
  <r>
    <d v="2024-08-15T00:00:00"/>
    <x v="6"/>
    <x v="0"/>
    <x v="514"/>
    <x v="8"/>
    <x v="7"/>
    <d v="2024-08-15T00:00:00"/>
    <x v="148"/>
    <x v="6"/>
    <x v="5"/>
    <x v="0"/>
    <x v="1"/>
    <x v="1"/>
    <x v="1"/>
  </r>
  <r>
    <d v="2024-08-15T00:00:00"/>
    <x v="6"/>
    <x v="0"/>
    <x v="40"/>
    <x v="15"/>
    <x v="6"/>
    <d v="2024-08-15T00:00:00"/>
    <x v="148"/>
    <x v="6"/>
    <x v="5"/>
    <x v="0"/>
    <x v="1"/>
    <x v="1"/>
    <x v="1"/>
  </r>
  <r>
    <d v="2024-08-15T00:00:00"/>
    <x v="6"/>
    <x v="0"/>
    <x v="40"/>
    <x v="11"/>
    <x v="3"/>
    <d v="2024-08-15T00:00:00"/>
    <x v="148"/>
    <x v="6"/>
    <x v="5"/>
    <x v="0"/>
    <x v="1"/>
    <x v="1"/>
    <x v="1"/>
  </r>
  <r>
    <d v="2024-08-16T00:00:00"/>
    <x v="0"/>
    <x v="0"/>
    <x v="513"/>
    <x v="8"/>
    <x v="0"/>
    <d v="2024-08-16T00:00:00"/>
    <x v="149"/>
    <x v="0"/>
    <x v="5"/>
    <x v="0"/>
    <x v="1"/>
    <x v="1"/>
    <x v="1"/>
  </r>
  <r>
    <d v="2024-08-16T00:00:00"/>
    <x v="0"/>
    <x v="0"/>
    <x v="515"/>
    <x v="14"/>
    <x v="2"/>
    <d v="2024-08-16T00:00:00"/>
    <x v="149"/>
    <x v="0"/>
    <x v="5"/>
    <x v="0"/>
    <x v="1"/>
    <x v="1"/>
    <x v="1"/>
  </r>
  <r>
    <d v="2024-08-16T00:00:00"/>
    <x v="0"/>
    <x v="0"/>
    <x v="429"/>
    <x v="11"/>
    <x v="3"/>
    <d v="2024-08-16T00:00:00"/>
    <x v="149"/>
    <x v="0"/>
    <x v="5"/>
    <x v="0"/>
    <x v="1"/>
    <x v="1"/>
    <x v="1"/>
  </r>
  <r>
    <d v="2024-08-16T00:00:00"/>
    <x v="0"/>
    <x v="0"/>
    <x v="12"/>
    <x v="15"/>
    <x v="6"/>
    <d v="2024-08-16T00:00:00"/>
    <x v="149"/>
    <x v="0"/>
    <x v="5"/>
    <x v="0"/>
    <x v="1"/>
    <x v="1"/>
    <x v="1"/>
  </r>
  <r>
    <d v="2024-08-17T00:00:00"/>
    <x v="1"/>
    <x v="0"/>
    <x v="97"/>
    <x v="11"/>
    <x v="3"/>
    <d v="2024-08-17T00:00:00"/>
    <x v="125"/>
    <x v="1"/>
    <x v="5"/>
    <x v="0"/>
    <x v="1"/>
    <x v="1"/>
    <x v="1"/>
  </r>
  <r>
    <d v="2024-08-17T00:00:00"/>
    <x v="1"/>
    <x v="0"/>
    <x v="516"/>
    <x v="8"/>
    <x v="7"/>
    <d v="2024-08-17T00:00:00"/>
    <x v="125"/>
    <x v="1"/>
    <x v="5"/>
    <x v="0"/>
    <x v="1"/>
    <x v="1"/>
    <x v="1"/>
  </r>
  <r>
    <d v="2024-08-17T00:00:00"/>
    <x v="1"/>
    <x v="0"/>
    <x v="517"/>
    <x v="11"/>
    <x v="3"/>
    <d v="2024-08-17T00:00:00"/>
    <x v="125"/>
    <x v="1"/>
    <x v="5"/>
    <x v="0"/>
    <x v="1"/>
    <x v="1"/>
    <x v="1"/>
  </r>
  <r>
    <d v="2024-08-17T00:00:00"/>
    <x v="1"/>
    <x v="0"/>
    <x v="141"/>
    <x v="14"/>
    <x v="5"/>
    <d v="2024-08-17T00:00:00"/>
    <x v="125"/>
    <x v="1"/>
    <x v="5"/>
    <x v="0"/>
    <x v="1"/>
    <x v="1"/>
    <x v="1"/>
  </r>
  <r>
    <d v="2024-08-17T00:00:00"/>
    <x v="1"/>
    <x v="0"/>
    <x v="518"/>
    <x v="11"/>
    <x v="3"/>
    <d v="2024-08-17T00:00:00"/>
    <x v="125"/>
    <x v="1"/>
    <x v="5"/>
    <x v="0"/>
    <x v="1"/>
    <x v="1"/>
    <x v="1"/>
  </r>
  <r>
    <d v="2024-08-17T00:00:00"/>
    <x v="1"/>
    <x v="0"/>
    <x v="277"/>
    <x v="14"/>
    <x v="5"/>
    <d v="2024-08-17T00:00:00"/>
    <x v="125"/>
    <x v="1"/>
    <x v="5"/>
    <x v="0"/>
    <x v="1"/>
    <x v="1"/>
    <x v="1"/>
  </r>
  <r>
    <d v="2024-08-17T00:00:00"/>
    <x v="1"/>
    <x v="0"/>
    <x v="192"/>
    <x v="8"/>
    <x v="0"/>
    <d v="2024-08-17T00:00:00"/>
    <x v="125"/>
    <x v="1"/>
    <x v="5"/>
    <x v="0"/>
    <x v="1"/>
    <x v="1"/>
    <x v="1"/>
  </r>
  <r>
    <d v="2024-08-17T00:00:00"/>
    <x v="1"/>
    <x v="0"/>
    <x v="456"/>
    <x v="8"/>
    <x v="7"/>
    <d v="2024-08-17T00:00:00"/>
    <x v="125"/>
    <x v="1"/>
    <x v="5"/>
    <x v="0"/>
    <x v="1"/>
    <x v="1"/>
    <x v="1"/>
  </r>
  <r>
    <d v="2024-08-17T00:00:00"/>
    <x v="1"/>
    <x v="0"/>
    <x v="40"/>
    <x v="11"/>
    <x v="3"/>
    <d v="2024-08-17T00:00:00"/>
    <x v="125"/>
    <x v="1"/>
    <x v="5"/>
    <x v="0"/>
    <x v="1"/>
    <x v="1"/>
    <x v="1"/>
  </r>
  <r>
    <d v="2024-08-17T00:00:00"/>
    <x v="1"/>
    <x v="0"/>
    <x v="519"/>
    <x v="8"/>
    <x v="0"/>
    <d v="2024-08-17T00:00:00"/>
    <x v="125"/>
    <x v="1"/>
    <x v="5"/>
    <x v="0"/>
    <x v="1"/>
    <x v="1"/>
    <x v="1"/>
  </r>
  <r>
    <d v="2024-08-18T00:00:00"/>
    <x v="2"/>
    <x v="0"/>
    <x v="520"/>
    <x v="8"/>
    <x v="7"/>
    <d v="2024-08-18T00:00:00"/>
    <x v="150"/>
    <x v="2"/>
    <x v="5"/>
    <x v="0"/>
    <x v="1"/>
    <x v="1"/>
    <x v="1"/>
  </r>
  <r>
    <d v="2024-08-18T00:00:00"/>
    <x v="2"/>
    <x v="0"/>
    <x v="521"/>
    <x v="8"/>
    <x v="7"/>
    <d v="2024-08-18T00:00:00"/>
    <x v="150"/>
    <x v="2"/>
    <x v="5"/>
    <x v="0"/>
    <x v="1"/>
    <x v="1"/>
    <x v="1"/>
  </r>
  <r>
    <d v="2024-08-18T00:00:00"/>
    <x v="2"/>
    <x v="0"/>
    <x v="141"/>
    <x v="14"/>
    <x v="5"/>
    <d v="2024-08-18T00:00:00"/>
    <x v="150"/>
    <x v="2"/>
    <x v="5"/>
    <x v="0"/>
    <x v="1"/>
    <x v="1"/>
    <x v="1"/>
  </r>
  <r>
    <d v="2024-08-18T00:00:00"/>
    <x v="2"/>
    <x v="0"/>
    <x v="522"/>
    <x v="11"/>
    <x v="3"/>
    <d v="2024-08-18T00:00:00"/>
    <x v="150"/>
    <x v="2"/>
    <x v="5"/>
    <x v="0"/>
    <x v="1"/>
    <x v="1"/>
    <x v="1"/>
  </r>
  <r>
    <d v="2024-08-18T00:00:00"/>
    <x v="2"/>
    <x v="0"/>
    <x v="463"/>
    <x v="8"/>
    <x v="7"/>
    <d v="2024-08-18T00:00:00"/>
    <x v="150"/>
    <x v="2"/>
    <x v="5"/>
    <x v="0"/>
    <x v="1"/>
    <x v="1"/>
    <x v="1"/>
  </r>
  <r>
    <d v="2024-08-18T00:00:00"/>
    <x v="2"/>
    <x v="0"/>
    <x v="40"/>
    <x v="11"/>
    <x v="3"/>
    <d v="2024-08-18T00:00:00"/>
    <x v="150"/>
    <x v="2"/>
    <x v="5"/>
    <x v="0"/>
    <x v="1"/>
    <x v="1"/>
    <x v="1"/>
  </r>
  <r>
    <d v="2024-08-18T00:00:00"/>
    <x v="2"/>
    <x v="0"/>
    <x v="523"/>
    <x v="11"/>
    <x v="3"/>
    <d v="2024-08-18T00:00:00"/>
    <x v="150"/>
    <x v="2"/>
    <x v="5"/>
    <x v="0"/>
    <x v="1"/>
    <x v="1"/>
    <x v="1"/>
  </r>
  <r>
    <d v="2024-08-18T00:00:00"/>
    <x v="2"/>
    <x v="0"/>
    <x v="523"/>
    <x v="14"/>
    <x v="2"/>
    <d v="2024-08-18T00:00:00"/>
    <x v="150"/>
    <x v="2"/>
    <x v="5"/>
    <x v="0"/>
    <x v="1"/>
    <x v="1"/>
    <x v="1"/>
  </r>
  <r>
    <d v="2024-08-19T00:00:00"/>
    <x v="3"/>
    <x v="0"/>
    <x v="524"/>
    <x v="11"/>
    <x v="3"/>
    <d v="2024-08-19T00:00:00"/>
    <x v="151"/>
    <x v="3"/>
    <x v="5"/>
    <x v="0"/>
    <x v="1"/>
    <x v="1"/>
    <x v="1"/>
  </r>
  <r>
    <d v="2024-08-19T00:00:00"/>
    <x v="3"/>
    <x v="0"/>
    <x v="507"/>
    <x v="8"/>
    <x v="0"/>
    <d v="2024-08-19T00:00:00"/>
    <x v="151"/>
    <x v="3"/>
    <x v="5"/>
    <x v="0"/>
    <x v="1"/>
    <x v="1"/>
    <x v="1"/>
  </r>
  <r>
    <d v="2024-08-19T00:00:00"/>
    <x v="3"/>
    <x v="0"/>
    <x v="491"/>
    <x v="8"/>
    <x v="4"/>
    <d v="2024-08-19T00:00:00"/>
    <x v="151"/>
    <x v="3"/>
    <x v="5"/>
    <x v="0"/>
    <x v="1"/>
    <x v="1"/>
    <x v="1"/>
  </r>
  <r>
    <d v="2024-08-20T00:00:00"/>
    <x v="4"/>
    <x v="0"/>
    <x v="141"/>
    <x v="14"/>
    <x v="5"/>
    <d v="2024-08-20T00:00:00"/>
    <x v="152"/>
    <x v="4"/>
    <x v="5"/>
    <x v="0"/>
    <x v="1"/>
    <x v="1"/>
    <x v="1"/>
  </r>
  <r>
    <d v="2024-08-20T00:00:00"/>
    <x v="4"/>
    <x v="0"/>
    <x v="525"/>
    <x v="8"/>
    <x v="0"/>
    <d v="2024-08-20T00:00:00"/>
    <x v="152"/>
    <x v="4"/>
    <x v="5"/>
    <x v="0"/>
    <x v="1"/>
    <x v="1"/>
    <x v="1"/>
  </r>
  <r>
    <d v="2024-08-20T00:00:00"/>
    <x v="4"/>
    <x v="0"/>
    <x v="526"/>
    <x v="15"/>
    <x v="6"/>
    <d v="2024-08-20T00:00:00"/>
    <x v="152"/>
    <x v="4"/>
    <x v="5"/>
    <x v="0"/>
    <x v="1"/>
    <x v="1"/>
    <x v="1"/>
  </r>
  <r>
    <d v="2024-08-20T00:00:00"/>
    <x v="4"/>
    <x v="0"/>
    <x v="526"/>
    <x v="14"/>
    <x v="5"/>
    <d v="2024-08-20T00:00:00"/>
    <x v="152"/>
    <x v="4"/>
    <x v="5"/>
    <x v="0"/>
    <x v="1"/>
    <x v="1"/>
    <x v="1"/>
  </r>
  <r>
    <d v="2024-08-20T00:00:00"/>
    <x v="4"/>
    <x v="0"/>
    <x v="97"/>
    <x v="11"/>
    <x v="3"/>
    <d v="2024-08-20T00:00:00"/>
    <x v="152"/>
    <x v="4"/>
    <x v="5"/>
    <x v="0"/>
    <x v="1"/>
    <x v="1"/>
    <x v="1"/>
  </r>
  <r>
    <d v="2024-08-20T00:00:00"/>
    <x v="4"/>
    <x v="0"/>
    <x v="527"/>
    <x v="14"/>
    <x v="2"/>
    <d v="2024-08-20T00:00:00"/>
    <x v="152"/>
    <x v="4"/>
    <x v="5"/>
    <x v="0"/>
    <x v="1"/>
    <x v="1"/>
    <x v="1"/>
  </r>
  <r>
    <d v="2024-08-20T00:00:00"/>
    <x v="4"/>
    <x v="0"/>
    <x v="528"/>
    <x v="14"/>
    <x v="2"/>
    <d v="2024-08-20T00:00:00"/>
    <x v="152"/>
    <x v="4"/>
    <x v="5"/>
    <x v="0"/>
    <x v="1"/>
    <x v="1"/>
    <x v="1"/>
  </r>
  <r>
    <d v="2024-08-20T00:00:00"/>
    <x v="4"/>
    <x v="0"/>
    <x v="529"/>
    <x v="14"/>
    <x v="2"/>
    <d v="2024-08-20T00:00:00"/>
    <x v="152"/>
    <x v="4"/>
    <x v="5"/>
    <x v="0"/>
    <x v="1"/>
    <x v="1"/>
    <x v="1"/>
  </r>
  <r>
    <d v="2024-08-20T00:00:00"/>
    <x v="4"/>
    <x v="0"/>
    <x v="141"/>
    <x v="8"/>
    <x v="0"/>
    <d v="2024-08-20T00:00:00"/>
    <x v="152"/>
    <x v="4"/>
    <x v="5"/>
    <x v="0"/>
    <x v="1"/>
    <x v="1"/>
    <x v="1"/>
  </r>
  <r>
    <d v="2024-08-20T00:00:00"/>
    <x v="4"/>
    <x v="0"/>
    <x v="530"/>
    <x v="8"/>
    <x v="0"/>
    <d v="2024-08-20T00:00:00"/>
    <x v="152"/>
    <x v="4"/>
    <x v="5"/>
    <x v="0"/>
    <x v="1"/>
    <x v="1"/>
    <x v="1"/>
  </r>
  <r>
    <d v="2024-08-20T00:00:00"/>
    <x v="4"/>
    <x v="0"/>
    <x v="531"/>
    <x v="8"/>
    <x v="0"/>
    <d v="2024-08-20T00:00:00"/>
    <x v="152"/>
    <x v="4"/>
    <x v="5"/>
    <x v="0"/>
    <x v="1"/>
    <x v="1"/>
    <x v="1"/>
  </r>
  <r>
    <d v="2024-08-20T00:00:00"/>
    <x v="4"/>
    <x v="0"/>
    <x v="532"/>
    <x v="8"/>
    <x v="0"/>
    <d v="2024-08-20T00:00:00"/>
    <x v="152"/>
    <x v="4"/>
    <x v="5"/>
    <x v="0"/>
    <x v="1"/>
    <x v="1"/>
    <x v="1"/>
  </r>
  <r>
    <d v="2024-08-21T00:00:00"/>
    <x v="5"/>
    <x v="0"/>
    <x v="533"/>
    <x v="11"/>
    <x v="3"/>
    <d v="2024-08-21T00:00:00"/>
    <x v="153"/>
    <x v="5"/>
    <x v="5"/>
    <x v="0"/>
    <x v="1"/>
    <x v="1"/>
    <x v="1"/>
  </r>
  <r>
    <d v="2024-08-21T00:00:00"/>
    <x v="5"/>
    <x v="0"/>
    <x v="141"/>
    <x v="14"/>
    <x v="5"/>
    <d v="2024-08-21T00:00:00"/>
    <x v="153"/>
    <x v="5"/>
    <x v="5"/>
    <x v="0"/>
    <x v="1"/>
    <x v="1"/>
    <x v="1"/>
  </r>
  <r>
    <d v="2024-08-21T00:00:00"/>
    <x v="5"/>
    <x v="0"/>
    <x v="375"/>
    <x v="14"/>
    <x v="2"/>
    <d v="2024-08-21T00:00:00"/>
    <x v="153"/>
    <x v="5"/>
    <x v="5"/>
    <x v="0"/>
    <x v="1"/>
    <x v="1"/>
    <x v="1"/>
  </r>
  <r>
    <d v="2024-08-21T00:00:00"/>
    <x v="5"/>
    <x v="0"/>
    <x v="276"/>
    <x v="11"/>
    <x v="3"/>
    <d v="2024-08-21T00:00:00"/>
    <x v="153"/>
    <x v="5"/>
    <x v="5"/>
    <x v="0"/>
    <x v="1"/>
    <x v="1"/>
    <x v="1"/>
  </r>
  <r>
    <d v="2024-08-21T00:00:00"/>
    <x v="5"/>
    <x v="0"/>
    <x v="534"/>
    <x v="8"/>
    <x v="0"/>
    <d v="2024-08-21T00:00:00"/>
    <x v="153"/>
    <x v="5"/>
    <x v="5"/>
    <x v="0"/>
    <x v="1"/>
    <x v="1"/>
    <x v="1"/>
  </r>
  <r>
    <d v="2024-08-21T00:00:00"/>
    <x v="5"/>
    <x v="0"/>
    <x v="507"/>
    <x v="8"/>
    <x v="0"/>
    <d v="2024-08-21T00:00:00"/>
    <x v="153"/>
    <x v="5"/>
    <x v="5"/>
    <x v="0"/>
    <x v="1"/>
    <x v="1"/>
    <x v="1"/>
  </r>
  <r>
    <d v="2024-08-22T00:00:00"/>
    <x v="6"/>
    <x v="0"/>
    <x v="141"/>
    <x v="14"/>
    <x v="5"/>
    <d v="2024-08-22T00:00:00"/>
    <x v="154"/>
    <x v="6"/>
    <x v="5"/>
    <x v="0"/>
    <x v="1"/>
    <x v="1"/>
    <x v="1"/>
  </r>
  <r>
    <d v="2024-08-22T00:00:00"/>
    <x v="6"/>
    <x v="0"/>
    <x v="419"/>
    <x v="11"/>
    <x v="3"/>
    <d v="2024-08-22T00:00:00"/>
    <x v="154"/>
    <x v="6"/>
    <x v="5"/>
    <x v="0"/>
    <x v="1"/>
    <x v="1"/>
    <x v="1"/>
  </r>
  <r>
    <d v="2024-08-22T00:00:00"/>
    <x v="6"/>
    <x v="0"/>
    <x v="535"/>
    <x v="11"/>
    <x v="3"/>
    <d v="2024-08-22T00:00:00"/>
    <x v="154"/>
    <x v="6"/>
    <x v="5"/>
    <x v="0"/>
    <x v="1"/>
    <x v="1"/>
    <x v="1"/>
  </r>
  <r>
    <d v="2024-08-22T00:00:00"/>
    <x v="6"/>
    <x v="0"/>
    <x v="510"/>
    <x v="8"/>
    <x v="0"/>
    <d v="2024-08-22T00:00:00"/>
    <x v="154"/>
    <x v="6"/>
    <x v="5"/>
    <x v="0"/>
    <x v="1"/>
    <x v="1"/>
    <x v="1"/>
  </r>
  <r>
    <d v="2024-08-22T00:00:00"/>
    <x v="6"/>
    <x v="0"/>
    <x v="536"/>
    <x v="8"/>
    <x v="0"/>
    <d v="2024-08-22T00:00:00"/>
    <x v="154"/>
    <x v="6"/>
    <x v="5"/>
    <x v="0"/>
    <x v="1"/>
    <x v="1"/>
    <x v="1"/>
  </r>
  <r>
    <d v="2024-08-22T00:00:00"/>
    <x v="6"/>
    <x v="0"/>
    <x v="537"/>
    <x v="8"/>
    <x v="7"/>
    <d v="2024-08-22T00:00:00"/>
    <x v="154"/>
    <x v="6"/>
    <x v="5"/>
    <x v="0"/>
    <x v="1"/>
    <x v="1"/>
    <x v="1"/>
  </r>
  <r>
    <d v="2024-08-22T00:00:00"/>
    <x v="6"/>
    <x v="0"/>
    <x v="538"/>
    <x v="14"/>
    <x v="2"/>
    <d v="2024-08-22T00:00:00"/>
    <x v="154"/>
    <x v="6"/>
    <x v="5"/>
    <x v="0"/>
    <x v="1"/>
    <x v="1"/>
    <x v="1"/>
  </r>
  <r>
    <d v="2024-08-23T00:00:00"/>
    <x v="0"/>
    <x v="0"/>
    <x v="475"/>
    <x v="8"/>
    <x v="0"/>
    <d v="2024-08-23T00:00:00"/>
    <x v="138"/>
    <x v="0"/>
    <x v="5"/>
    <x v="0"/>
    <x v="1"/>
    <x v="1"/>
    <x v="1"/>
  </r>
  <r>
    <d v="2024-08-23T00:00:00"/>
    <x v="0"/>
    <x v="0"/>
    <x v="141"/>
    <x v="14"/>
    <x v="5"/>
    <d v="2024-08-23T00:00:00"/>
    <x v="138"/>
    <x v="0"/>
    <x v="5"/>
    <x v="0"/>
    <x v="1"/>
    <x v="1"/>
    <x v="1"/>
  </r>
  <r>
    <d v="2024-08-23T00:00:00"/>
    <x v="0"/>
    <x v="0"/>
    <x v="425"/>
    <x v="8"/>
    <x v="0"/>
    <d v="2024-08-23T00:00:00"/>
    <x v="138"/>
    <x v="0"/>
    <x v="5"/>
    <x v="0"/>
    <x v="1"/>
    <x v="1"/>
    <x v="1"/>
  </r>
  <r>
    <d v="2024-08-23T00:00:00"/>
    <x v="0"/>
    <x v="0"/>
    <x v="225"/>
    <x v="14"/>
    <x v="2"/>
    <d v="2024-08-23T00:00:00"/>
    <x v="138"/>
    <x v="0"/>
    <x v="5"/>
    <x v="0"/>
    <x v="1"/>
    <x v="1"/>
    <x v="1"/>
  </r>
  <r>
    <d v="2024-08-23T00:00:00"/>
    <x v="0"/>
    <x v="0"/>
    <x v="419"/>
    <x v="11"/>
    <x v="3"/>
    <d v="2024-08-23T00:00:00"/>
    <x v="138"/>
    <x v="0"/>
    <x v="5"/>
    <x v="0"/>
    <x v="1"/>
    <x v="1"/>
    <x v="1"/>
  </r>
  <r>
    <d v="2024-08-23T00:00:00"/>
    <x v="0"/>
    <x v="0"/>
    <x v="539"/>
    <x v="8"/>
    <x v="4"/>
    <d v="2024-08-23T00:00:00"/>
    <x v="138"/>
    <x v="0"/>
    <x v="5"/>
    <x v="0"/>
    <x v="1"/>
    <x v="1"/>
    <x v="1"/>
  </r>
  <r>
    <d v="2024-08-23T00:00:00"/>
    <x v="0"/>
    <x v="0"/>
    <x v="539"/>
    <x v="14"/>
    <x v="2"/>
    <d v="2024-08-23T00:00:00"/>
    <x v="138"/>
    <x v="0"/>
    <x v="5"/>
    <x v="0"/>
    <x v="1"/>
    <x v="1"/>
    <x v="1"/>
  </r>
  <r>
    <d v="2024-08-23T00:00:00"/>
    <x v="0"/>
    <x v="0"/>
    <x v="540"/>
    <x v="8"/>
    <x v="1"/>
    <d v="2024-08-23T00:00:00"/>
    <x v="138"/>
    <x v="0"/>
    <x v="5"/>
    <x v="0"/>
    <x v="1"/>
    <x v="1"/>
    <x v="1"/>
  </r>
  <r>
    <d v="2024-08-23T00:00:00"/>
    <x v="0"/>
    <x v="0"/>
    <x v="541"/>
    <x v="14"/>
    <x v="2"/>
    <d v="2024-08-23T00:00:00"/>
    <x v="138"/>
    <x v="0"/>
    <x v="5"/>
    <x v="0"/>
    <x v="1"/>
    <x v="1"/>
    <x v="1"/>
  </r>
  <r>
    <d v="2024-08-23T00:00:00"/>
    <x v="0"/>
    <x v="0"/>
    <x v="542"/>
    <x v="14"/>
    <x v="2"/>
    <d v="2024-08-23T00:00:00"/>
    <x v="138"/>
    <x v="0"/>
    <x v="5"/>
    <x v="0"/>
    <x v="1"/>
    <x v="1"/>
    <x v="1"/>
  </r>
  <r>
    <d v="2024-08-23T00:00:00"/>
    <x v="0"/>
    <x v="0"/>
    <x v="507"/>
    <x v="8"/>
    <x v="0"/>
    <d v="2024-08-23T00:00:00"/>
    <x v="138"/>
    <x v="0"/>
    <x v="5"/>
    <x v="0"/>
    <x v="1"/>
    <x v="1"/>
    <x v="1"/>
  </r>
  <r>
    <d v="2024-08-24T00:00:00"/>
    <x v="1"/>
    <x v="0"/>
    <x v="141"/>
    <x v="14"/>
    <x v="5"/>
    <d v="2024-08-24T00:00:00"/>
    <x v="155"/>
    <x v="1"/>
    <x v="5"/>
    <x v="0"/>
    <x v="1"/>
    <x v="1"/>
    <x v="1"/>
  </r>
  <r>
    <d v="2024-08-24T00:00:00"/>
    <x v="1"/>
    <x v="0"/>
    <x v="543"/>
    <x v="14"/>
    <x v="5"/>
    <d v="2024-08-24T00:00:00"/>
    <x v="155"/>
    <x v="1"/>
    <x v="5"/>
    <x v="0"/>
    <x v="1"/>
    <x v="1"/>
    <x v="1"/>
  </r>
  <r>
    <d v="2024-08-24T00:00:00"/>
    <x v="1"/>
    <x v="0"/>
    <x v="544"/>
    <x v="15"/>
    <x v="6"/>
    <d v="2024-08-24T00:00:00"/>
    <x v="155"/>
    <x v="1"/>
    <x v="5"/>
    <x v="0"/>
    <x v="1"/>
    <x v="1"/>
    <x v="1"/>
  </r>
  <r>
    <d v="2024-08-24T00:00:00"/>
    <x v="1"/>
    <x v="0"/>
    <x v="544"/>
    <x v="14"/>
    <x v="2"/>
    <d v="2024-08-24T00:00:00"/>
    <x v="155"/>
    <x v="1"/>
    <x v="5"/>
    <x v="0"/>
    <x v="1"/>
    <x v="1"/>
    <x v="1"/>
  </r>
  <r>
    <d v="2024-08-25T00:00:00"/>
    <x v="2"/>
    <x v="0"/>
    <x v="141"/>
    <x v="14"/>
    <x v="5"/>
    <d v="2024-08-25T00:00:00"/>
    <x v="118"/>
    <x v="2"/>
    <x v="5"/>
    <x v="0"/>
    <x v="1"/>
    <x v="1"/>
    <x v="1"/>
  </r>
  <r>
    <d v="2024-08-25T00:00:00"/>
    <x v="2"/>
    <x v="0"/>
    <x v="408"/>
    <x v="14"/>
    <x v="2"/>
    <d v="2024-08-25T00:00:00"/>
    <x v="118"/>
    <x v="2"/>
    <x v="5"/>
    <x v="0"/>
    <x v="1"/>
    <x v="1"/>
    <x v="1"/>
  </r>
  <r>
    <d v="2024-08-25T00:00:00"/>
    <x v="2"/>
    <x v="0"/>
    <x v="545"/>
    <x v="8"/>
    <x v="7"/>
    <d v="2024-08-25T00:00:00"/>
    <x v="118"/>
    <x v="2"/>
    <x v="5"/>
    <x v="0"/>
    <x v="1"/>
    <x v="1"/>
    <x v="1"/>
  </r>
  <r>
    <d v="2024-08-25T00:00:00"/>
    <x v="2"/>
    <x v="0"/>
    <x v="546"/>
    <x v="8"/>
    <x v="7"/>
    <d v="2024-08-25T00:00:00"/>
    <x v="118"/>
    <x v="2"/>
    <x v="5"/>
    <x v="0"/>
    <x v="1"/>
    <x v="1"/>
    <x v="1"/>
  </r>
  <r>
    <d v="2024-08-25T00:00:00"/>
    <x v="2"/>
    <x v="0"/>
    <x v="77"/>
    <x v="8"/>
    <x v="0"/>
    <d v="2024-08-25T00:00:00"/>
    <x v="118"/>
    <x v="2"/>
    <x v="5"/>
    <x v="0"/>
    <x v="1"/>
    <x v="1"/>
    <x v="1"/>
  </r>
  <r>
    <d v="2024-08-26T00:00:00"/>
    <x v="3"/>
    <x v="0"/>
    <x v="141"/>
    <x v="14"/>
    <x v="5"/>
    <d v="2024-08-26T00:00:00"/>
    <x v="156"/>
    <x v="3"/>
    <x v="5"/>
    <x v="0"/>
    <x v="1"/>
    <x v="1"/>
    <x v="1"/>
  </r>
  <r>
    <d v="2024-08-26T00:00:00"/>
    <x v="3"/>
    <x v="0"/>
    <x v="408"/>
    <x v="14"/>
    <x v="2"/>
    <d v="2024-08-26T00:00:00"/>
    <x v="156"/>
    <x v="3"/>
    <x v="5"/>
    <x v="0"/>
    <x v="1"/>
    <x v="1"/>
    <x v="1"/>
  </r>
  <r>
    <d v="2024-08-26T00:00:00"/>
    <x v="3"/>
    <x v="0"/>
    <x v="97"/>
    <x v="11"/>
    <x v="3"/>
    <d v="2024-08-26T00:00:00"/>
    <x v="156"/>
    <x v="3"/>
    <x v="5"/>
    <x v="0"/>
    <x v="1"/>
    <x v="1"/>
    <x v="1"/>
  </r>
  <r>
    <d v="2024-08-26T00:00:00"/>
    <x v="3"/>
    <x v="0"/>
    <x v="547"/>
    <x v="8"/>
    <x v="0"/>
    <d v="2024-08-26T00:00:00"/>
    <x v="156"/>
    <x v="3"/>
    <x v="5"/>
    <x v="0"/>
    <x v="1"/>
    <x v="1"/>
    <x v="1"/>
  </r>
  <r>
    <d v="2024-08-26T00:00:00"/>
    <x v="3"/>
    <x v="0"/>
    <x v="548"/>
    <x v="8"/>
    <x v="7"/>
    <d v="2024-08-26T00:00:00"/>
    <x v="156"/>
    <x v="3"/>
    <x v="5"/>
    <x v="0"/>
    <x v="1"/>
    <x v="1"/>
    <x v="1"/>
  </r>
  <r>
    <d v="2024-08-26T00:00:00"/>
    <x v="3"/>
    <x v="0"/>
    <x v="2"/>
    <x v="14"/>
    <x v="2"/>
    <d v="2024-08-26T00:00:00"/>
    <x v="156"/>
    <x v="3"/>
    <x v="5"/>
    <x v="0"/>
    <x v="1"/>
    <x v="1"/>
    <x v="1"/>
  </r>
  <r>
    <d v="2024-08-26T00:00:00"/>
    <x v="3"/>
    <x v="0"/>
    <x v="549"/>
    <x v="11"/>
    <x v="3"/>
    <d v="2024-08-26T00:00:00"/>
    <x v="156"/>
    <x v="3"/>
    <x v="5"/>
    <x v="0"/>
    <x v="1"/>
    <x v="1"/>
    <x v="1"/>
  </r>
  <r>
    <d v="2024-08-26T00:00:00"/>
    <x v="3"/>
    <x v="0"/>
    <x v="549"/>
    <x v="8"/>
    <x v="0"/>
    <d v="2024-08-26T00:00:00"/>
    <x v="156"/>
    <x v="3"/>
    <x v="5"/>
    <x v="0"/>
    <x v="1"/>
    <x v="1"/>
    <x v="1"/>
  </r>
  <r>
    <d v="2024-08-26T00:00:00"/>
    <x v="3"/>
    <x v="0"/>
    <x v="550"/>
    <x v="11"/>
    <x v="3"/>
    <d v="2024-08-26T00:00:00"/>
    <x v="156"/>
    <x v="3"/>
    <x v="5"/>
    <x v="0"/>
    <x v="1"/>
    <x v="1"/>
    <x v="1"/>
  </r>
  <r>
    <d v="2024-08-27T00:00:00"/>
    <x v="4"/>
    <x v="0"/>
    <x v="375"/>
    <x v="8"/>
    <x v="0"/>
    <d v="2024-08-27T00:00:00"/>
    <x v="122"/>
    <x v="4"/>
    <x v="5"/>
    <x v="0"/>
    <x v="1"/>
    <x v="1"/>
    <x v="1"/>
  </r>
  <r>
    <d v="2024-08-28T00:00:00"/>
    <x v="5"/>
    <x v="0"/>
    <x v="551"/>
    <x v="11"/>
    <x v="3"/>
    <d v="2024-08-28T00:00:00"/>
    <x v="157"/>
    <x v="5"/>
    <x v="5"/>
    <x v="0"/>
    <x v="1"/>
    <x v="1"/>
    <x v="1"/>
  </r>
  <r>
    <d v="2024-08-28T00:00:00"/>
    <x v="5"/>
    <x v="0"/>
    <x v="551"/>
    <x v="8"/>
    <x v="7"/>
    <d v="2024-08-28T00:00:00"/>
    <x v="157"/>
    <x v="5"/>
    <x v="5"/>
    <x v="0"/>
    <x v="1"/>
    <x v="1"/>
    <x v="1"/>
  </r>
  <r>
    <d v="2024-08-28T00:00:00"/>
    <x v="5"/>
    <x v="0"/>
    <x v="375"/>
    <x v="14"/>
    <x v="2"/>
    <d v="2024-08-28T00:00:00"/>
    <x v="157"/>
    <x v="5"/>
    <x v="5"/>
    <x v="0"/>
    <x v="1"/>
    <x v="1"/>
    <x v="1"/>
  </r>
  <r>
    <d v="2024-08-28T00:00:00"/>
    <x v="5"/>
    <x v="0"/>
    <x v="552"/>
    <x v="11"/>
    <x v="3"/>
    <d v="2024-08-28T00:00:00"/>
    <x v="157"/>
    <x v="5"/>
    <x v="5"/>
    <x v="0"/>
    <x v="1"/>
    <x v="1"/>
    <x v="1"/>
  </r>
  <r>
    <d v="2024-08-29T00:00:00"/>
    <x v="6"/>
    <x v="0"/>
    <x v="553"/>
    <x v="14"/>
    <x v="2"/>
    <d v="2024-08-29T00:00:00"/>
    <x v="158"/>
    <x v="6"/>
    <x v="5"/>
    <x v="0"/>
    <x v="1"/>
    <x v="1"/>
    <x v="1"/>
  </r>
  <r>
    <d v="2024-08-30T00:00:00"/>
    <x v="0"/>
    <x v="0"/>
    <x v="554"/>
    <x v="8"/>
    <x v="0"/>
    <d v="2024-08-30T00:00:00"/>
    <x v="113"/>
    <x v="0"/>
    <x v="5"/>
    <x v="0"/>
    <x v="1"/>
    <x v="1"/>
    <x v="1"/>
  </r>
  <r>
    <d v="2024-08-30T00:00:00"/>
    <x v="0"/>
    <x v="0"/>
    <x v="554"/>
    <x v="11"/>
    <x v="3"/>
    <d v="2024-08-30T00:00:00"/>
    <x v="113"/>
    <x v="0"/>
    <x v="5"/>
    <x v="0"/>
    <x v="1"/>
    <x v="1"/>
    <x v="1"/>
  </r>
  <r>
    <d v="2024-08-31T00:00:00"/>
    <x v="1"/>
    <x v="0"/>
    <x v="371"/>
    <x v="14"/>
    <x v="5"/>
    <d v="2024-08-31T00:00:00"/>
    <x v="159"/>
    <x v="1"/>
    <x v="5"/>
    <x v="0"/>
    <x v="1"/>
    <x v="1"/>
    <x v="1"/>
  </r>
  <r>
    <d v="2024-08-31T00:00:00"/>
    <x v="1"/>
    <x v="0"/>
    <x v="555"/>
    <x v="11"/>
    <x v="3"/>
    <d v="2024-08-31T00:00:00"/>
    <x v="159"/>
    <x v="1"/>
    <x v="5"/>
    <x v="0"/>
    <x v="1"/>
    <x v="1"/>
    <x v="1"/>
  </r>
  <r>
    <d v="2024-08-31T00:00:00"/>
    <x v="1"/>
    <x v="0"/>
    <x v="556"/>
    <x v="15"/>
    <x v="6"/>
    <d v="2024-08-31T00:00:00"/>
    <x v="159"/>
    <x v="1"/>
    <x v="5"/>
    <x v="0"/>
    <x v="1"/>
    <x v="1"/>
    <x v="1"/>
  </r>
  <r>
    <d v="2024-08-31T00:00:00"/>
    <x v="1"/>
    <x v="0"/>
    <x v="557"/>
    <x v="11"/>
    <x v="3"/>
    <d v="2024-08-31T00:00:00"/>
    <x v="159"/>
    <x v="1"/>
    <x v="5"/>
    <x v="0"/>
    <x v="1"/>
    <x v="1"/>
    <x v="1"/>
  </r>
  <r>
    <d v="2024-08-31T00:00:00"/>
    <x v="1"/>
    <x v="0"/>
    <x v="141"/>
    <x v="14"/>
    <x v="5"/>
    <d v="2024-08-31T00:00:00"/>
    <x v="159"/>
    <x v="1"/>
    <x v="5"/>
    <x v="0"/>
    <x v="1"/>
    <x v="1"/>
    <x v="1"/>
  </r>
  <r>
    <d v="2024-09-01T00:00:00"/>
    <x v="2"/>
    <x v="0"/>
    <x v="141"/>
    <x v="14"/>
    <x v="5"/>
    <d v="2024-09-01T00:00:00"/>
    <x v="160"/>
    <x v="2"/>
    <x v="6"/>
    <x v="0"/>
    <x v="1"/>
    <x v="1"/>
    <x v="1"/>
  </r>
  <r>
    <d v="2024-09-01T00:00:00"/>
    <x v="2"/>
    <x v="0"/>
    <x v="558"/>
    <x v="8"/>
    <x v="7"/>
    <d v="2024-09-01T00:00:00"/>
    <x v="160"/>
    <x v="2"/>
    <x v="6"/>
    <x v="0"/>
    <x v="1"/>
    <x v="1"/>
    <x v="1"/>
  </r>
  <r>
    <d v="2024-09-01T00:00:00"/>
    <x v="2"/>
    <x v="0"/>
    <x v="181"/>
    <x v="11"/>
    <x v="3"/>
    <d v="2024-09-01T00:00:00"/>
    <x v="160"/>
    <x v="2"/>
    <x v="6"/>
    <x v="0"/>
    <x v="1"/>
    <x v="1"/>
    <x v="1"/>
  </r>
  <r>
    <d v="2024-09-01T00:00:00"/>
    <x v="2"/>
    <x v="0"/>
    <x v="181"/>
    <x v="14"/>
    <x v="2"/>
    <d v="2024-09-01T00:00:00"/>
    <x v="160"/>
    <x v="2"/>
    <x v="6"/>
    <x v="0"/>
    <x v="1"/>
    <x v="1"/>
    <x v="1"/>
  </r>
  <r>
    <d v="2024-09-01T00:00:00"/>
    <x v="2"/>
    <x v="0"/>
    <x v="559"/>
    <x v="11"/>
    <x v="3"/>
    <d v="2024-09-01T00:00:00"/>
    <x v="160"/>
    <x v="2"/>
    <x v="6"/>
    <x v="0"/>
    <x v="1"/>
    <x v="1"/>
    <x v="1"/>
  </r>
  <r>
    <d v="2024-09-01T00:00:00"/>
    <x v="2"/>
    <x v="0"/>
    <x v="560"/>
    <x v="8"/>
    <x v="0"/>
    <d v="2024-09-01T00:00:00"/>
    <x v="160"/>
    <x v="2"/>
    <x v="6"/>
    <x v="0"/>
    <x v="1"/>
    <x v="1"/>
    <x v="1"/>
  </r>
  <r>
    <d v="2024-09-01T00:00:00"/>
    <x v="2"/>
    <x v="0"/>
    <x v="385"/>
    <x v="11"/>
    <x v="3"/>
    <d v="2024-09-01T00:00:00"/>
    <x v="160"/>
    <x v="2"/>
    <x v="6"/>
    <x v="0"/>
    <x v="1"/>
    <x v="1"/>
    <x v="1"/>
  </r>
  <r>
    <d v="2024-09-01T00:00:00"/>
    <x v="2"/>
    <x v="0"/>
    <x v="561"/>
    <x v="8"/>
    <x v="0"/>
    <d v="2024-09-01T00:00:00"/>
    <x v="160"/>
    <x v="2"/>
    <x v="6"/>
    <x v="0"/>
    <x v="1"/>
    <x v="1"/>
    <x v="1"/>
  </r>
  <r>
    <d v="2024-09-01T00:00:00"/>
    <x v="2"/>
    <x v="0"/>
    <x v="562"/>
    <x v="8"/>
    <x v="0"/>
    <d v="2024-09-01T00:00:00"/>
    <x v="160"/>
    <x v="2"/>
    <x v="6"/>
    <x v="0"/>
    <x v="1"/>
    <x v="1"/>
    <x v="1"/>
  </r>
  <r>
    <d v="2024-09-01T00:00:00"/>
    <x v="2"/>
    <x v="0"/>
    <x v="563"/>
    <x v="8"/>
    <x v="0"/>
    <d v="2024-09-01T00:00:00"/>
    <x v="160"/>
    <x v="2"/>
    <x v="6"/>
    <x v="0"/>
    <x v="1"/>
    <x v="1"/>
    <x v="1"/>
  </r>
  <r>
    <d v="2024-09-02T00:00:00"/>
    <x v="3"/>
    <x v="0"/>
    <x v="425"/>
    <x v="8"/>
    <x v="0"/>
    <d v="2024-09-02T00:00:00"/>
    <x v="161"/>
    <x v="3"/>
    <x v="6"/>
    <x v="0"/>
    <x v="1"/>
    <x v="1"/>
    <x v="1"/>
  </r>
  <r>
    <d v="2024-09-02T00:00:00"/>
    <x v="3"/>
    <x v="0"/>
    <x v="564"/>
    <x v="11"/>
    <x v="3"/>
    <d v="2024-09-02T00:00:00"/>
    <x v="161"/>
    <x v="3"/>
    <x v="6"/>
    <x v="0"/>
    <x v="1"/>
    <x v="1"/>
    <x v="1"/>
  </r>
  <r>
    <d v="2024-09-02T00:00:00"/>
    <x v="3"/>
    <x v="0"/>
    <x v="565"/>
    <x v="8"/>
    <x v="0"/>
    <d v="2024-09-02T00:00:00"/>
    <x v="161"/>
    <x v="3"/>
    <x v="6"/>
    <x v="0"/>
    <x v="1"/>
    <x v="1"/>
    <x v="1"/>
  </r>
  <r>
    <d v="2024-09-02T00:00:00"/>
    <x v="3"/>
    <x v="0"/>
    <x v="566"/>
    <x v="11"/>
    <x v="3"/>
    <d v="2024-09-02T00:00:00"/>
    <x v="161"/>
    <x v="3"/>
    <x v="6"/>
    <x v="0"/>
    <x v="1"/>
    <x v="1"/>
    <x v="1"/>
  </r>
  <r>
    <d v="2024-09-02T00:00:00"/>
    <x v="3"/>
    <x v="0"/>
    <x v="567"/>
    <x v="8"/>
    <x v="7"/>
    <d v="2024-09-02T00:00:00"/>
    <x v="161"/>
    <x v="3"/>
    <x v="6"/>
    <x v="0"/>
    <x v="1"/>
    <x v="1"/>
    <x v="1"/>
  </r>
  <r>
    <d v="2024-09-02T00:00:00"/>
    <x v="3"/>
    <x v="0"/>
    <x v="179"/>
    <x v="8"/>
    <x v="4"/>
    <d v="2024-09-02T00:00:00"/>
    <x v="161"/>
    <x v="3"/>
    <x v="6"/>
    <x v="0"/>
    <x v="1"/>
    <x v="1"/>
    <x v="1"/>
  </r>
  <r>
    <d v="2024-09-02T00:00:00"/>
    <x v="3"/>
    <x v="0"/>
    <x v="568"/>
    <x v="14"/>
    <x v="2"/>
    <d v="2024-09-02T00:00:00"/>
    <x v="161"/>
    <x v="3"/>
    <x v="6"/>
    <x v="0"/>
    <x v="1"/>
    <x v="1"/>
    <x v="1"/>
  </r>
  <r>
    <d v="2024-09-03T00:00:00"/>
    <x v="4"/>
    <x v="0"/>
    <x v="569"/>
    <x v="8"/>
    <x v="4"/>
    <d v="2024-09-03T00:00:00"/>
    <x v="162"/>
    <x v="4"/>
    <x v="6"/>
    <x v="0"/>
    <x v="1"/>
    <x v="1"/>
    <x v="1"/>
  </r>
  <r>
    <d v="2024-09-03T00:00:00"/>
    <x v="4"/>
    <x v="0"/>
    <x v="168"/>
    <x v="8"/>
    <x v="7"/>
    <d v="2024-09-03T00:00:00"/>
    <x v="162"/>
    <x v="4"/>
    <x v="6"/>
    <x v="0"/>
    <x v="1"/>
    <x v="1"/>
    <x v="1"/>
  </r>
  <r>
    <d v="2024-09-03T00:00:00"/>
    <x v="4"/>
    <x v="0"/>
    <x v="570"/>
    <x v="8"/>
    <x v="0"/>
    <d v="2024-09-03T00:00:00"/>
    <x v="162"/>
    <x v="4"/>
    <x v="6"/>
    <x v="0"/>
    <x v="1"/>
    <x v="1"/>
    <x v="1"/>
  </r>
  <r>
    <d v="2024-09-03T00:00:00"/>
    <x v="4"/>
    <x v="0"/>
    <x v="571"/>
    <x v="11"/>
    <x v="3"/>
    <d v="2024-09-03T00:00:00"/>
    <x v="162"/>
    <x v="4"/>
    <x v="6"/>
    <x v="0"/>
    <x v="1"/>
    <x v="1"/>
    <x v="1"/>
  </r>
  <r>
    <d v="2024-09-03T00:00:00"/>
    <x v="4"/>
    <x v="0"/>
    <x v="571"/>
    <x v="8"/>
    <x v="7"/>
    <d v="2024-09-03T00:00:00"/>
    <x v="162"/>
    <x v="4"/>
    <x v="6"/>
    <x v="0"/>
    <x v="1"/>
    <x v="1"/>
    <x v="1"/>
  </r>
  <r>
    <d v="2024-09-03T00:00:00"/>
    <x v="4"/>
    <x v="0"/>
    <x v="572"/>
    <x v="8"/>
    <x v="4"/>
    <d v="2024-09-03T00:00:00"/>
    <x v="162"/>
    <x v="4"/>
    <x v="6"/>
    <x v="0"/>
    <x v="1"/>
    <x v="1"/>
    <x v="1"/>
  </r>
  <r>
    <d v="2024-09-03T00:00:00"/>
    <x v="4"/>
    <x v="0"/>
    <x v="385"/>
    <x v="11"/>
    <x v="3"/>
    <d v="2024-09-03T00:00:00"/>
    <x v="162"/>
    <x v="4"/>
    <x v="6"/>
    <x v="0"/>
    <x v="1"/>
    <x v="1"/>
    <x v="1"/>
  </r>
  <r>
    <d v="2024-09-03T00:00:00"/>
    <x v="4"/>
    <x v="0"/>
    <x v="573"/>
    <x v="11"/>
    <x v="3"/>
    <d v="2024-09-03T00:00:00"/>
    <x v="162"/>
    <x v="4"/>
    <x v="6"/>
    <x v="0"/>
    <x v="1"/>
    <x v="1"/>
    <x v="1"/>
  </r>
  <r>
    <d v="2024-09-03T00:00:00"/>
    <x v="4"/>
    <x v="0"/>
    <x v="574"/>
    <x v="8"/>
    <x v="0"/>
    <d v="2024-09-03T00:00:00"/>
    <x v="162"/>
    <x v="4"/>
    <x v="6"/>
    <x v="0"/>
    <x v="1"/>
    <x v="1"/>
    <x v="1"/>
  </r>
  <r>
    <d v="2024-09-03T00:00:00"/>
    <x v="4"/>
    <x v="0"/>
    <x v="575"/>
    <x v="8"/>
    <x v="4"/>
    <d v="2024-09-03T00:00:00"/>
    <x v="162"/>
    <x v="4"/>
    <x v="6"/>
    <x v="0"/>
    <x v="1"/>
    <x v="1"/>
    <x v="1"/>
  </r>
  <r>
    <d v="2024-09-03T00:00:00"/>
    <x v="4"/>
    <x v="0"/>
    <x v="576"/>
    <x v="14"/>
    <x v="5"/>
    <d v="2024-09-03T00:00:00"/>
    <x v="162"/>
    <x v="4"/>
    <x v="6"/>
    <x v="0"/>
    <x v="1"/>
    <x v="1"/>
    <x v="1"/>
  </r>
  <r>
    <d v="2024-09-03T00:00:00"/>
    <x v="4"/>
    <x v="0"/>
    <x v="333"/>
    <x v="11"/>
    <x v="3"/>
    <d v="2024-09-03T00:00:00"/>
    <x v="162"/>
    <x v="4"/>
    <x v="6"/>
    <x v="0"/>
    <x v="1"/>
    <x v="1"/>
    <x v="1"/>
  </r>
  <r>
    <d v="2024-09-03T00:00:00"/>
    <x v="4"/>
    <x v="0"/>
    <x v="467"/>
    <x v="8"/>
    <x v="0"/>
    <d v="2024-09-03T00:00:00"/>
    <x v="162"/>
    <x v="4"/>
    <x v="6"/>
    <x v="0"/>
    <x v="1"/>
    <x v="1"/>
    <x v="1"/>
  </r>
  <r>
    <d v="2024-09-03T00:00:00"/>
    <x v="4"/>
    <x v="0"/>
    <x v="467"/>
    <x v="11"/>
    <x v="3"/>
    <d v="2024-09-03T00:00:00"/>
    <x v="162"/>
    <x v="4"/>
    <x v="6"/>
    <x v="0"/>
    <x v="1"/>
    <x v="1"/>
    <x v="1"/>
  </r>
  <r>
    <d v="2024-09-04T00:00:00"/>
    <x v="5"/>
    <x v="0"/>
    <x v="577"/>
    <x v="11"/>
    <x v="3"/>
    <d v="2024-09-04T00:00:00"/>
    <x v="163"/>
    <x v="5"/>
    <x v="6"/>
    <x v="0"/>
    <x v="1"/>
    <x v="1"/>
    <x v="1"/>
  </r>
  <r>
    <d v="2024-09-04T00:00:00"/>
    <x v="5"/>
    <x v="0"/>
    <x v="510"/>
    <x v="8"/>
    <x v="0"/>
    <d v="2024-09-04T00:00:00"/>
    <x v="163"/>
    <x v="5"/>
    <x v="6"/>
    <x v="0"/>
    <x v="1"/>
    <x v="1"/>
    <x v="1"/>
  </r>
  <r>
    <d v="2024-09-04T00:00:00"/>
    <x v="5"/>
    <x v="0"/>
    <x v="19"/>
    <x v="14"/>
    <x v="2"/>
    <d v="2024-09-04T00:00:00"/>
    <x v="163"/>
    <x v="5"/>
    <x v="6"/>
    <x v="0"/>
    <x v="1"/>
    <x v="1"/>
    <x v="1"/>
  </r>
  <r>
    <d v="2024-09-04T00:00:00"/>
    <x v="5"/>
    <x v="0"/>
    <x v="578"/>
    <x v="11"/>
    <x v="3"/>
    <d v="2024-09-04T00:00:00"/>
    <x v="163"/>
    <x v="5"/>
    <x v="6"/>
    <x v="0"/>
    <x v="1"/>
    <x v="1"/>
    <x v="1"/>
  </r>
  <r>
    <d v="2024-09-04T00:00:00"/>
    <x v="5"/>
    <x v="0"/>
    <x v="565"/>
    <x v="8"/>
    <x v="0"/>
    <d v="2024-09-04T00:00:00"/>
    <x v="163"/>
    <x v="5"/>
    <x v="6"/>
    <x v="0"/>
    <x v="1"/>
    <x v="1"/>
    <x v="1"/>
  </r>
  <r>
    <d v="2024-09-04T00:00:00"/>
    <x v="5"/>
    <x v="0"/>
    <x v="579"/>
    <x v="8"/>
    <x v="0"/>
    <d v="2024-09-04T00:00:00"/>
    <x v="163"/>
    <x v="5"/>
    <x v="6"/>
    <x v="0"/>
    <x v="1"/>
    <x v="1"/>
    <x v="1"/>
  </r>
  <r>
    <d v="2024-09-04T00:00:00"/>
    <x v="5"/>
    <x v="0"/>
    <x v="579"/>
    <x v="11"/>
    <x v="3"/>
    <d v="2024-09-04T00:00:00"/>
    <x v="163"/>
    <x v="5"/>
    <x v="6"/>
    <x v="0"/>
    <x v="1"/>
    <x v="1"/>
    <x v="1"/>
  </r>
  <r>
    <d v="2024-09-04T00:00:00"/>
    <x v="5"/>
    <x v="0"/>
    <x v="580"/>
    <x v="8"/>
    <x v="7"/>
    <d v="2024-09-04T00:00:00"/>
    <x v="163"/>
    <x v="5"/>
    <x v="6"/>
    <x v="0"/>
    <x v="1"/>
    <x v="1"/>
    <x v="1"/>
  </r>
  <r>
    <d v="2024-09-04T00:00:00"/>
    <x v="5"/>
    <x v="0"/>
    <x v="97"/>
    <x v="11"/>
    <x v="3"/>
    <d v="2024-09-04T00:00:00"/>
    <x v="163"/>
    <x v="5"/>
    <x v="6"/>
    <x v="0"/>
    <x v="1"/>
    <x v="1"/>
    <x v="1"/>
  </r>
  <r>
    <d v="2024-09-04T00:00:00"/>
    <x v="5"/>
    <x v="0"/>
    <x v="494"/>
    <x v="8"/>
    <x v="0"/>
    <d v="2024-09-04T00:00:00"/>
    <x v="163"/>
    <x v="5"/>
    <x v="6"/>
    <x v="0"/>
    <x v="1"/>
    <x v="1"/>
    <x v="1"/>
  </r>
  <r>
    <d v="2024-09-05T00:00:00"/>
    <x v="6"/>
    <x v="0"/>
    <x v="385"/>
    <x v="11"/>
    <x v="3"/>
    <d v="2024-09-05T00:00:00"/>
    <x v="164"/>
    <x v="6"/>
    <x v="6"/>
    <x v="0"/>
    <x v="1"/>
    <x v="1"/>
    <x v="1"/>
  </r>
  <r>
    <d v="2024-09-05T00:00:00"/>
    <x v="6"/>
    <x v="0"/>
    <x v="581"/>
    <x v="11"/>
    <x v="3"/>
    <d v="2024-09-05T00:00:00"/>
    <x v="164"/>
    <x v="6"/>
    <x v="6"/>
    <x v="0"/>
    <x v="1"/>
    <x v="1"/>
    <x v="1"/>
  </r>
  <r>
    <d v="2024-09-05T00:00:00"/>
    <x v="6"/>
    <x v="0"/>
    <x v="19"/>
    <x v="14"/>
    <x v="2"/>
    <d v="2024-09-05T00:00:00"/>
    <x v="164"/>
    <x v="6"/>
    <x v="6"/>
    <x v="0"/>
    <x v="1"/>
    <x v="1"/>
    <x v="1"/>
  </r>
  <r>
    <d v="2024-09-05T00:00:00"/>
    <x v="6"/>
    <x v="0"/>
    <x v="582"/>
    <x v="8"/>
    <x v="0"/>
    <d v="2024-09-05T00:00:00"/>
    <x v="164"/>
    <x v="6"/>
    <x v="6"/>
    <x v="0"/>
    <x v="1"/>
    <x v="1"/>
    <x v="1"/>
  </r>
  <r>
    <d v="2024-09-05T00:00:00"/>
    <x v="6"/>
    <x v="0"/>
    <x v="583"/>
    <x v="8"/>
    <x v="0"/>
    <d v="2024-09-05T00:00:00"/>
    <x v="164"/>
    <x v="6"/>
    <x v="6"/>
    <x v="0"/>
    <x v="1"/>
    <x v="1"/>
    <x v="1"/>
  </r>
  <r>
    <d v="2024-09-05T00:00:00"/>
    <x v="6"/>
    <x v="0"/>
    <x v="584"/>
    <x v="14"/>
    <x v="2"/>
    <d v="2024-09-05T00:00:00"/>
    <x v="164"/>
    <x v="6"/>
    <x v="6"/>
    <x v="0"/>
    <x v="1"/>
    <x v="1"/>
    <x v="1"/>
  </r>
  <r>
    <d v="2024-09-05T00:00:00"/>
    <x v="6"/>
    <x v="0"/>
    <x v="585"/>
    <x v="11"/>
    <x v="3"/>
    <d v="2024-09-05T00:00:00"/>
    <x v="164"/>
    <x v="6"/>
    <x v="6"/>
    <x v="0"/>
    <x v="1"/>
    <x v="1"/>
    <x v="1"/>
  </r>
  <r>
    <d v="2024-09-05T00:00:00"/>
    <x v="6"/>
    <x v="0"/>
    <x v="586"/>
    <x v="8"/>
    <x v="7"/>
    <d v="2024-09-05T00:00:00"/>
    <x v="164"/>
    <x v="6"/>
    <x v="6"/>
    <x v="0"/>
    <x v="1"/>
    <x v="1"/>
    <x v="1"/>
  </r>
  <r>
    <d v="2024-09-05T00:00:00"/>
    <x v="6"/>
    <x v="0"/>
    <x v="587"/>
    <x v="8"/>
    <x v="7"/>
    <d v="2024-09-05T00:00:00"/>
    <x v="164"/>
    <x v="6"/>
    <x v="6"/>
    <x v="0"/>
    <x v="1"/>
    <x v="1"/>
    <x v="1"/>
  </r>
  <r>
    <d v="2024-09-05T00:00:00"/>
    <x v="6"/>
    <x v="0"/>
    <x v="588"/>
    <x v="14"/>
    <x v="2"/>
    <d v="2024-09-05T00:00:00"/>
    <x v="164"/>
    <x v="6"/>
    <x v="6"/>
    <x v="0"/>
    <x v="1"/>
    <x v="1"/>
    <x v="1"/>
  </r>
  <r>
    <d v="2024-09-05T00:00:00"/>
    <x v="6"/>
    <x v="0"/>
    <x v="588"/>
    <x v="8"/>
    <x v="7"/>
    <d v="2024-09-05T00:00:00"/>
    <x v="164"/>
    <x v="6"/>
    <x v="6"/>
    <x v="0"/>
    <x v="1"/>
    <x v="1"/>
    <x v="1"/>
  </r>
  <r>
    <d v="2024-09-05T00:00:00"/>
    <x v="6"/>
    <x v="0"/>
    <x v="40"/>
    <x v="11"/>
    <x v="3"/>
    <d v="2024-09-05T00:00:00"/>
    <x v="164"/>
    <x v="6"/>
    <x v="6"/>
    <x v="0"/>
    <x v="1"/>
    <x v="1"/>
    <x v="1"/>
  </r>
  <r>
    <d v="2024-09-06T00:00:00"/>
    <x v="0"/>
    <x v="0"/>
    <x v="582"/>
    <x v="8"/>
    <x v="7"/>
    <d v="2024-09-06T00:00:00"/>
    <x v="165"/>
    <x v="0"/>
    <x v="6"/>
    <x v="0"/>
    <x v="1"/>
    <x v="1"/>
    <x v="1"/>
  </r>
  <r>
    <d v="2024-09-06T00:00:00"/>
    <x v="0"/>
    <x v="0"/>
    <x v="425"/>
    <x v="8"/>
    <x v="0"/>
    <d v="2024-09-06T00:00:00"/>
    <x v="165"/>
    <x v="0"/>
    <x v="6"/>
    <x v="0"/>
    <x v="1"/>
    <x v="1"/>
    <x v="1"/>
  </r>
  <r>
    <d v="2024-09-06T00:00:00"/>
    <x v="0"/>
    <x v="0"/>
    <x v="589"/>
    <x v="14"/>
    <x v="2"/>
    <d v="2024-09-06T00:00:00"/>
    <x v="165"/>
    <x v="0"/>
    <x v="6"/>
    <x v="0"/>
    <x v="1"/>
    <x v="1"/>
    <x v="1"/>
  </r>
  <r>
    <d v="2024-09-06T00:00:00"/>
    <x v="0"/>
    <x v="0"/>
    <x v="590"/>
    <x v="15"/>
    <x v="6"/>
    <d v="2024-09-06T00:00:00"/>
    <x v="165"/>
    <x v="0"/>
    <x v="6"/>
    <x v="0"/>
    <x v="1"/>
    <x v="1"/>
    <x v="1"/>
  </r>
  <r>
    <d v="2024-09-06T00:00:00"/>
    <x v="0"/>
    <x v="0"/>
    <x v="590"/>
    <x v="8"/>
    <x v="0"/>
    <d v="2024-09-06T00:00:00"/>
    <x v="165"/>
    <x v="0"/>
    <x v="6"/>
    <x v="0"/>
    <x v="1"/>
    <x v="1"/>
    <x v="1"/>
  </r>
  <r>
    <d v="2024-09-06T00:00:00"/>
    <x v="0"/>
    <x v="0"/>
    <x v="591"/>
    <x v="8"/>
    <x v="1"/>
    <d v="2024-09-06T00:00:00"/>
    <x v="165"/>
    <x v="0"/>
    <x v="6"/>
    <x v="0"/>
    <x v="1"/>
    <x v="1"/>
    <x v="1"/>
  </r>
  <r>
    <d v="2024-09-06T00:00:00"/>
    <x v="0"/>
    <x v="0"/>
    <x v="95"/>
    <x v="15"/>
    <x v="6"/>
    <d v="2024-09-06T00:00:00"/>
    <x v="165"/>
    <x v="0"/>
    <x v="6"/>
    <x v="0"/>
    <x v="1"/>
    <x v="1"/>
    <x v="1"/>
  </r>
  <r>
    <d v="2024-09-06T00:00:00"/>
    <x v="0"/>
    <x v="0"/>
    <x v="467"/>
    <x v="15"/>
    <x v="6"/>
    <d v="2024-09-06T00:00:00"/>
    <x v="165"/>
    <x v="0"/>
    <x v="6"/>
    <x v="0"/>
    <x v="1"/>
    <x v="1"/>
    <x v="1"/>
  </r>
  <r>
    <d v="2024-09-06T00:00:00"/>
    <x v="0"/>
    <x v="0"/>
    <x v="283"/>
    <x v="8"/>
    <x v="0"/>
    <d v="2024-09-06T00:00:00"/>
    <x v="165"/>
    <x v="0"/>
    <x v="6"/>
    <x v="0"/>
    <x v="1"/>
    <x v="1"/>
    <x v="1"/>
  </r>
  <r>
    <d v="2024-09-06T00:00:00"/>
    <x v="0"/>
    <x v="0"/>
    <x v="507"/>
    <x v="8"/>
    <x v="0"/>
    <d v="2024-09-06T00:00:00"/>
    <x v="165"/>
    <x v="0"/>
    <x v="6"/>
    <x v="0"/>
    <x v="1"/>
    <x v="1"/>
    <x v="1"/>
  </r>
  <r>
    <d v="2024-09-07T00:00:00"/>
    <x v="1"/>
    <x v="0"/>
    <x v="592"/>
    <x v="8"/>
    <x v="0"/>
    <d v="2024-09-07T00:00:00"/>
    <x v="166"/>
    <x v="1"/>
    <x v="6"/>
    <x v="0"/>
    <x v="1"/>
    <x v="1"/>
    <x v="1"/>
  </r>
  <r>
    <d v="2024-09-07T00:00:00"/>
    <x v="1"/>
    <x v="0"/>
    <x v="543"/>
    <x v="14"/>
    <x v="5"/>
    <d v="2024-09-07T00:00:00"/>
    <x v="166"/>
    <x v="1"/>
    <x v="6"/>
    <x v="0"/>
    <x v="1"/>
    <x v="1"/>
    <x v="1"/>
  </r>
  <r>
    <d v="2024-09-07T00:00:00"/>
    <x v="1"/>
    <x v="0"/>
    <x v="593"/>
    <x v="14"/>
    <x v="5"/>
    <d v="2024-09-07T00:00:00"/>
    <x v="166"/>
    <x v="1"/>
    <x v="6"/>
    <x v="0"/>
    <x v="1"/>
    <x v="1"/>
    <x v="1"/>
  </r>
  <r>
    <d v="2024-09-07T00:00:00"/>
    <x v="1"/>
    <x v="0"/>
    <x v="276"/>
    <x v="11"/>
    <x v="3"/>
    <d v="2024-09-07T00:00:00"/>
    <x v="166"/>
    <x v="1"/>
    <x v="6"/>
    <x v="0"/>
    <x v="1"/>
    <x v="1"/>
    <x v="1"/>
  </r>
  <r>
    <d v="2024-09-07T00:00:00"/>
    <x v="1"/>
    <x v="0"/>
    <x v="141"/>
    <x v="14"/>
    <x v="5"/>
    <d v="2024-09-07T00:00:00"/>
    <x v="166"/>
    <x v="1"/>
    <x v="6"/>
    <x v="0"/>
    <x v="1"/>
    <x v="1"/>
    <x v="1"/>
  </r>
  <r>
    <d v="2024-09-07T00:00:00"/>
    <x v="1"/>
    <x v="0"/>
    <x v="594"/>
    <x v="14"/>
    <x v="2"/>
    <d v="2024-09-07T00:00:00"/>
    <x v="166"/>
    <x v="1"/>
    <x v="6"/>
    <x v="0"/>
    <x v="1"/>
    <x v="1"/>
    <x v="1"/>
  </r>
  <r>
    <d v="2024-09-07T00:00:00"/>
    <x v="1"/>
    <x v="0"/>
    <x v="595"/>
    <x v="15"/>
    <x v="6"/>
    <d v="2024-09-07T00:00:00"/>
    <x v="166"/>
    <x v="1"/>
    <x v="6"/>
    <x v="0"/>
    <x v="1"/>
    <x v="1"/>
    <x v="1"/>
  </r>
  <r>
    <d v="2024-09-07T00:00:00"/>
    <x v="1"/>
    <x v="0"/>
    <x v="596"/>
    <x v="8"/>
    <x v="0"/>
    <d v="2024-09-07T00:00:00"/>
    <x v="166"/>
    <x v="1"/>
    <x v="6"/>
    <x v="0"/>
    <x v="1"/>
    <x v="1"/>
    <x v="1"/>
  </r>
  <r>
    <d v="2024-09-07T00:00:00"/>
    <x v="1"/>
    <x v="0"/>
    <x v="12"/>
    <x v="11"/>
    <x v="3"/>
    <d v="2024-09-07T00:00:00"/>
    <x v="166"/>
    <x v="1"/>
    <x v="6"/>
    <x v="0"/>
    <x v="1"/>
    <x v="1"/>
    <x v="1"/>
  </r>
  <r>
    <d v="2024-09-07T00:00:00"/>
    <x v="1"/>
    <x v="0"/>
    <x v="19"/>
    <x v="14"/>
    <x v="2"/>
    <d v="2024-09-07T00:00:00"/>
    <x v="166"/>
    <x v="1"/>
    <x v="6"/>
    <x v="0"/>
    <x v="1"/>
    <x v="1"/>
    <x v="1"/>
  </r>
  <r>
    <d v="2024-09-07T00:00:00"/>
    <x v="1"/>
    <x v="0"/>
    <x v="12"/>
    <x v="15"/>
    <x v="6"/>
    <d v="2024-09-07T00:00:00"/>
    <x v="166"/>
    <x v="1"/>
    <x v="6"/>
    <x v="0"/>
    <x v="1"/>
    <x v="1"/>
    <x v="1"/>
  </r>
  <r>
    <d v="2024-09-07T00:00:00"/>
    <x v="1"/>
    <x v="0"/>
    <x v="597"/>
    <x v="8"/>
    <x v="0"/>
    <d v="2024-09-07T00:00:00"/>
    <x v="166"/>
    <x v="1"/>
    <x v="6"/>
    <x v="0"/>
    <x v="1"/>
    <x v="1"/>
    <x v="1"/>
  </r>
  <r>
    <d v="2024-09-07T00:00:00"/>
    <x v="1"/>
    <x v="0"/>
    <x v="283"/>
    <x v="8"/>
    <x v="4"/>
    <d v="2024-09-07T00:00:00"/>
    <x v="166"/>
    <x v="1"/>
    <x v="6"/>
    <x v="0"/>
    <x v="1"/>
    <x v="1"/>
    <x v="1"/>
  </r>
  <r>
    <d v="2024-09-07T00:00:00"/>
    <x v="1"/>
    <x v="0"/>
    <x v="283"/>
    <x v="8"/>
    <x v="0"/>
    <d v="2024-09-07T00:00:00"/>
    <x v="166"/>
    <x v="1"/>
    <x v="6"/>
    <x v="0"/>
    <x v="1"/>
    <x v="1"/>
    <x v="1"/>
  </r>
  <r>
    <d v="2024-09-07T00:00:00"/>
    <x v="1"/>
    <x v="0"/>
    <x v="598"/>
    <x v="8"/>
    <x v="0"/>
    <d v="2024-09-07T00:00:00"/>
    <x v="166"/>
    <x v="1"/>
    <x v="6"/>
    <x v="0"/>
    <x v="1"/>
    <x v="1"/>
    <x v="1"/>
  </r>
  <r>
    <d v="2024-09-08T00:00:00"/>
    <x v="2"/>
    <x v="0"/>
    <x v="141"/>
    <x v="14"/>
    <x v="5"/>
    <d v="2024-09-08T00:00:00"/>
    <x v="167"/>
    <x v="2"/>
    <x v="6"/>
    <x v="0"/>
    <x v="1"/>
    <x v="1"/>
    <x v="1"/>
  </r>
  <r>
    <d v="2024-09-08T00:00:00"/>
    <x v="2"/>
    <x v="0"/>
    <x v="543"/>
    <x v="14"/>
    <x v="5"/>
    <d v="2024-09-08T00:00:00"/>
    <x v="167"/>
    <x v="2"/>
    <x v="6"/>
    <x v="0"/>
    <x v="1"/>
    <x v="1"/>
    <x v="1"/>
  </r>
  <r>
    <d v="2024-09-08T00:00:00"/>
    <x v="2"/>
    <x v="0"/>
    <x v="486"/>
    <x v="14"/>
    <x v="5"/>
    <d v="2024-09-08T00:00:00"/>
    <x v="167"/>
    <x v="2"/>
    <x v="6"/>
    <x v="0"/>
    <x v="1"/>
    <x v="1"/>
    <x v="1"/>
  </r>
  <r>
    <d v="2024-09-08T00:00:00"/>
    <x v="2"/>
    <x v="0"/>
    <x v="347"/>
    <x v="14"/>
    <x v="2"/>
    <d v="2024-09-08T00:00:00"/>
    <x v="167"/>
    <x v="2"/>
    <x v="6"/>
    <x v="0"/>
    <x v="1"/>
    <x v="1"/>
    <x v="1"/>
  </r>
  <r>
    <d v="2024-09-09T00:00:00"/>
    <x v="3"/>
    <x v="0"/>
    <x v="599"/>
    <x v="8"/>
    <x v="0"/>
    <d v="2024-09-09T00:00:00"/>
    <x v="168"/>
    <x v="3"/>
    <x v="6"/>
    <x v="0"/>
    <x v="1"/>
    <x v="1"/>
    <x v="1"/>
  </r>
  <r>
    <d v="2024-09-09T00:00:00"/>
    <x v="3"/>
    <x v="0"/>
    <x v="582"/>
    <x v="8"/>
    <x v="7"/>
    <d v="2024-09-09T00:00:00"/>
    <x v="168"/>
    <x v="3"/>
    <x v="6"/>
    <x v="0"/>
    <x v="1"/>
    <x v="1"/>
    <x v="1"/>
  </r>
  <r>
    <d v="2024-09-09T00:00:00"/>
    <x v="3"/>
    <x v="0"/>
    <x v="599"/>
    <x v="11"/>
    <x v="3"/>
    <d v="2024-09-09T00:00:00"/>
    <x v="168"/>
    <x v="3"/>
    <x v="6"/>
    <x v="0"/>
    <x v="1"/>
    <x v="1"/>
    <x v="1"/>
  </r>
  <r>
    <d v="2024-09-09T00:00:00"/>
    <x v="3"/>
    <x v="0"/>
    <x v="570"/>
    <x v="8"/>
    <x v="0"/>
    <d v="2024-09-09T00:00:00"/>
    <x v="168"/>
    <x v="3"/>
    <x v="6"/>
    <x v="0"/>
    <x v="1"/>
    <x v="1"/>
    <x v="1"/>
  </r>
  <r>
    <d v="2024-09-09T00:00:00"/>
    <x v="3"/>
    <x v="0"/>
    <x v="583"/>
    <x v="8"/>
    <x v="0"/>
    <d v="2024-09-09T00:00:00"/>
    <x v="168"/>
    <x v="3"/>
    <x v="6"/>
    <x v="0"/>
    <x v="1"/>
    <x v="1"/>
    <x v="1"/>
  </r>
  <r>
    <d v="2024-09-09T00:00:00"/>
    <x v="3"/>
    <x v="0"/>
    <x v="583"/>
    <x v="8"/>
    <x v="1"/>
    <d v="2024-09-09T00:00:00"/>
    <x v="168"/>
    <x v="3"/>
    <x v="6"/>
    <x v="0"/>
    <x v="1"/>
    <x v="1"/>
    <x v="1"/>
  </r>
  <r>
    <d v="2024-09-09T00:00:00"/>
    <x v="3"/>
    <x v="0"/>
    <x v="494"/>
    <x v="8"/>
    <x v="0"/>
    <d v="2024-09-09T00:00:00"/>
    <x v="168"/>
    <x v="3"/>
    <x v="6"/>
    <x v="0"/>
    <x v="1"/>
    <x v="1"/>
    <x v="1"/>
  </r>
  <r>
    <d v="2024-09-09T00:00:00"/>
    <x v="3"/>
    <x v="0"/>
    <x v="600"/>
    <x v="11"/>
    <x v="3"/>
    <d v="2024-09-09T00:00:00"/>
    <x v="168"/>
    <x v="3"/>
    <x v="6"/>
    <x v="0"/>
    <x v="1"/>
    <x v="1"/>
    <x v="1"/>
  </r>
  <r>
    <d v="2024-09-09T00:00:00"/>
    <x v="3"/>
    <x v="0"/>
    <x v="601"/>
    <x v="11"/>
    <x v="3"/>
    <d v="2024-09-09T00:00:00"/>
    <x v="168"/>
    <x v="3"/>
    <x v="6"/>
    <x v="0"/>
    <x v="1"/>
    <x v="1"/>
    <x v="1"/>
  </r>
  <r>
    <d v="2024-09-09T00:00:00"/>
    <x v="3"/>
    <x v="0"/>
    <x v="602"/>
    <x v="8"/>
    <x v="0"/>
    <d v="2024-09-09T00:00:00"/>
    <x v="168"/>
    <x v="3"/>
    <x v="6"/>
    <x v="0"/>
    <x v="1"/>
    <x v="1"/>
    <x v="1"/>
  </r>
  <r>
    <d v="2024-09-09T00:00:00"/>
    <x v="3"/>
    <x v="0"/>
    <x v="603"/>
    <x v="15"/>
    <x v="6"/>
    <d v="2024-09-09T00:00:00"/>
    <x v="168"/>
    <x v="3"/>
    <x v="6"/>
    <x v="0"/>
    <x v="1"/>
    <x v="1"/>
    <x v="1"/>
  </r>
  <r>
    <d v="2024-09-09T00:00:00"/>
    <x v="3"/>
    <x v="0"/>
    <x v="604"/>
    <x v="8"/>
    <x v="0"/>
    <d v="2024-09-09T00:00:00"/>
    <x v="168"/>
    <x v="3"/>
    <x v="6"/>
    <x v="0"/>
    <x v="1"/>
    <x v="1"/>
    <x v="1"/>
  </r>
  <r>
    <d v="2024-09-09T00:00:00"/>
    <x v="3"/>
    <x v="0"/>
    <x v="604"/>
    <x v="14"/>
    <x v="2"/>
    <d v="2024-09-09T00:00:00"/>
    <x v="168"/>
    <x v="3"/>
    <x v="6"/>
    <x v="0"/>
    <x v="1"/>
    <x v="1"/>
    <x v="1"/>
  </r>
  <r>
    <d v="2024-09-09T00:00:00"/>
    <x v="3"/>
    <x v="0"/>
    <x v="605"/>
    <x v="8"/>
    <x v="0"/>
    <d v="2024-09-09T00:00:00"/>
    <x v="168"/>
    <x v="3"/>
    <x v="6"/>
    <x v="0"/>
    <x v="1"/>
    <x v="1"/>
    <x v="1"/>
  </r>
  <r>
    <d v="2024-09-09T00:00:00"/>
    <x v="3"/>
    <x v="0"/>
    <x v="507"/>
    <x v="8"/>
    <x v="0"/>
    <d v="2024-09-09T00:00:00"/>
    <x v="168"/>
    <x v="3"/>
    <x v="6"/>
    <x v="0"/>
    <x v="1"/>
    <x v="1"/>
    <x v="1"/>
  </r>
  <r>
    <d v="2024-09-09T00:00:00"/>
    <x v="3"/>
    <x v="0"/>
    <x v="268"/>
    <x v="8"/>
    <x v="7"/>
    <d v="2024-09-09T00:00:00"/>
    <x v="168"/>
    <x v="3"/>
    <x v="6"/>
    <x v="0"/>
    <x v="1"/>
    <x v="1"/>
    <x v="1"/>
  </r>
  <r>
    <d v="2024-09-09T00:00:00"/>
    <x v="3"/>
    <x v="0"/>
    <x v="606"/>
    <x v="8"/>
    <x v="0"/>
    <d v="2024-09-09T00:00:00"/>
    <x v="168"/>
    <x v="3"/>
    <x v="6"/>
    <x v="0"/>
    <x v="1"/>
    <x v="1"/>
    <x v="1"/>
  </r>
  <r>
    <d v="2024-09-10T00:00:00"/>
    <x v="4"/>
    <x v="0"/>
    <x v="607"/>
    <x v="8"/>
    <x v="1"/>
    <d v="2024-09-10T00:00:00"/>
    <x v="169"/>
    <x v="4"/>
    <x v="6"/>
    <x v="0"/>
    <x v="1"/>
    <x v="1"/>
    <x v="1"/>
  </r>
  <r>
    <d v="2024-09-10T00:00:00"/>
    <x v="4"/>
    <x v="0"/>
    <x v="608"/>
    <x v="8"/>
    <x v="7"/>
    <d v="2024-09-10T00:00:00"/>
    <x v="169"/>
    <x v="4"/>
    <x v="6"/>
    <x v="0"/>
    <x v="1"/>
    <x v="1"/>
    <x v="1"/>
  </r>
  <r>
    <d v="2024-09-10T00:00:00"/>
    <x v="4"/>
    <x v="0"/>
    <x v="543"/>
    <x v="14"/>
    <x v="5"/>
    <d v="2024-09-10T00:00:00"/>
    <x v="169"/>
    <x v="4"/>
    <x v="6"/>
    <x v="0"/>
    <x v="1"/>
    <x v="1"/>
    <x v="1"/>
  </r>
  <r>
    <d v="2024-09-10T00:00:00"/>
    <x v="4"/>
    <x v="0"/>
    <x v="609"/>
    <x v="8"/>
    <x v="7"/>
    <d v="2024-09-10T00:00:00"/>
    <x v="169"/>
    <x v="4"/>
    <x v="6"/>
    <x v="0"/>
    <x v="1"/>
    <x v="1"/>
    <x v="1"/>
  </r>
  <r>
    <d v="2024-09-10T00:00:00"/>
    <x v="4"/>
    <x v="0"/>
    <x v="610"/>
    <x v="11"/>
    <x v="3"/>
    <d v="2024-09-10T00:00:00"/>
    <x v="169"/>
    <x v="4"/>
    <x v="6"/>
    <x v="0"/>
    <x v="1"/>
    <x v="1"/>
    <x v="1"/>
  </r>
  <r>
    <d v="2024-09-10T00:00:00"/>
    <x v="4"/>
    <x v="0"/>
    <x v="611"/>
    <x v="8"/>
    <x v="0"/>
    <d v="2024-09-10T00:00:00"/>
    <x v="169"/>
    <x v="4"/>
    <x v="6"/>
    <x v="0"/>
    <x v="1"/>
    <x v="1"/>
    <x v="1"/>
  </r>
  <r>
    <d v="2024-09-10T00:00:00"/>
    <x v="4"/>
    <x v="0"/>
    <x v="12"/>
    <x v="11"/>
    <x v="3"/>
    <d v="2024-09-10T00:00:00"/>
    <x v="169"/>
    <x v="4"/>
    <x v="6"/>
    <x v="0"/>
    <x v="1"/>
    <x v="1"/>
    <x v="1"/>
  </r>
  <r>
    <d v="2024-09-10T00:00:00"/>
    <x v="4"/>
    <x v="0"/>
    <x v="12"/>
    <x v="14"/>
    <x v="2"/>
    <d v="2024-09-10T00:00:00"/>
    <x v="169"/>
    <x v="4"/>
    <x v="6"/>
    <x v="0"/>
    <x v="1"/>
    <x v="1"/>
    <x v="1"/>
  </r>
  <r>
    <d v="2024-09-11T00:00:00"/>
    <x v="5"/>
    <x v="0"/>
    <x v="612"/>
    <x v="8"/>
    <x v="0"/>
    <d v="2024-09-11T00:00:00"/>
    <x v="161"/>
    <x v="5"/>
    <x v="6"/>
    <x v="0"/>
    <x v="1"/>
    <x v="1"/>
    <x v="1"/>
  </r>
  <r>
    <d v="2024-09-11T00:00:00"/>
    <x v="5"/>
    <x v="0"/>
    <x v="97"/>
    <x v="11"/>
    <x v="3"/>
    <d v="2024-09-11T00:00:00"/>
    <x v="161"/>
    <x v="5"/>
    <x v="6"/>
    <x v="0"/>
    <x v="1"/>
    <x v="1"/>
    <x v="1"/>
  </r>
  <r>
    <d v="2024-09-11T00:00:00"/>
    <x v="5"/>
    <x v="0"/>
    <x v="613"/>
    <x v="8"/>
    <x v="0"/>
    <d v="2024-09-11T00:00:00"/>
    <x v="161"/>
    <x v="5"/>
    <x v="6"/>
    <x v="0"/>
    <x v="1"/>
    <x v="1"/>
    <x v="1"/>
  </r>
  <r>
    <d v="2024-09-11T00:00:00"/>
    <x v="5"/>
    <x v="0"/>
    <x v="614"/>
    <x v="8"/>
    <x v="7"/>
    <d v="2024-09-11T00:00:00"/>
    <x v="161"/>
    <x v="5"/>
    <x v="6"/>
    <x v="0"/>
    <x v="1"/>
    <x v="1"/>
    <x v="1"/>
  </r>
  <r>
    <d v="2024-09-11T00:00:00"/>
    <x v="5"/>
    <x v="0"/>
    <x v="531"/>
    <x v="11"/>
    <x v="3"/>
    <d v="2024-09-11T00:00:00"/>
    <x v="161"/>
    <x v="5"/>
    <x v="6"/>
    <x v="0"/>
    <x v="1"/>
    <x v="1"/>
    <x v="1"/>
  </r>
  <r>
    <d v="2024-09-11T00:00:00"/>
    <x v="5"/>
    <x v="0"/>
    <x v="531"/>
    <x v="8"/>
    <x v="0"/>
    <d v="2024-09-11T00:00:00"/>
    <x v="161"/>
    <x v="5"/>
    <x v="6"/>
    <x v="0"/>
    <x v="1"/>
    <x v="1"/>
    <x v="1"/>
  </r>
  <r>
    <d v="2024-09-11T00:00:00"/>
    <x v="5"/>
    <x v="0"/>
    <x v="584"/>
    <x v="14"/>
    <x v="5"/>
    <d v="2024-09-11T00:00:00"/>
    <x v="161"/>
    <x v="5"/>
    <x v="6"/>
    <x v="0"/>
    <x v="1"/>
    <x v="1"/>
    <x v="1"/>
  </r>
  <r>
    <d v="2024-09-12T00:00:00"/>
    <x v="6"/>
    <x v="0"/>
    <x v="347"/>
    <x v="15"/>
    <x v="6"/>
    <d v="2024-09-12T00:00:00"/>
    <x v="170"/>
    <x v="6"/>
    <x v="6"/>
    <x v="0"/>
    <x v="1"/>
    <x v="1"/>
    <x v="1"/>
  </r>
  <r>
    <d v="2024-09-12T00:00:00"/>
    <x v="6"/>
    <x v="0"/>
    <x v="347"/>
    <x v="11"/>
    <x v="3"/>
    <d v="2024-09-12T00:00:00"/>
    <x v="170"/>
    <x v="6"/>
    <x v="6"/>
    <x v="0"/>
    <x v="1"/>
    <x v="1"/>
    <x v="1"/>
  </r>
  <r>
    <d v="2024-09-12T00:00:00"/>
    <x v="6"/>
    <x v="0"/>
    <x v="615"/>
    <x v="11"/>
    <x v="3"/>
    <d v="2024-09-12T00:00:00"/>
    <x v="170"/>
    <x v="6"/>
    <x v="6"/>
    <x v="0"/>
    <x v="1"/>
    <x v="1"/>
    <x v="1"/>
  </r>
  <r>
    <d v="2024-09-12T00:00:00"/>
    <x v="6"/>
    <x v="0"/>
    <x v="565"/>
    <x v="8"/>
    <x v="7"/>
    <d v="2024-09-12T00:00:00"/>
    <x v="170"/>
    <x v="6"/>
    <x v="6"/>
    <x v="0"/>
    <x v="1"/>
    <x v="1"/>
    <x v="1"/>
  </r>
  <r>
    <d v="2024-09-12T00:00:00"/>
    <x v="6"/>
    <x v="0"/>
    <x v="616"/>
    <x v="14"/>
    <x v="5"/>
    <d v="2024-09-12T00:00:00"/>
    <x v="170"/>
    <x v="6"/>
    <x v="6"/>
    <x v="0"/>
    <x v="1"/>
    <x v="1"/>
    <x v="1"/>
  </r>
  <r>
    <d v="2024-09-12T00:00:00"/>
    <x v="6"/>
    <x v="0"/>
    <x v="141"/>
    <x v="14"/>
    <x v="5"/>
    <d v="2024-09-12T00:00:00"/>
    <x v="170"/>
    <x v="6"/>
    <x v="6"/>
    <x v="0"/>
    <x v="1"/>
    <x v="1"/>
    <x v="1"/>
  </r>
  <r>
    <d v="2024-09-12T00:00:00"/>
    <x v="6"/>
    <x v="0"/>
    <x v="617"/>
    <x v="8"/>
    <x v="0"/>
    <d v="2024-09-12T00:00:00"/>
    <x v="170"/>
    <x v="6"/>
    <x v="6"/>
    <x v="0"/>
    <x v="1"/>
    <x v="1"/>
    <x v="1"/>
  </r>
  <r>
    <d v="2024-09-12T00:00:00"/>
    <x v="6"/>
    <x v="0"/>
    <x v="618"/>
    <x v="14"/>
    <x v="2"/>
    <d v="2024-09-12T00:00:00"/>
    <x v="170"/>
    <x v="6"/>
    <x v="6"/>
    <x v="0"/>
    <x v="1"/>
    <x v="1"/>
    <x v="1"/>
  </r>
  <r>
    <d v="2024-09-12T00:00:00"/>
    <x v="6"/>
    <x v="0"/>
    <x v="618"/>
    <x v="8"/>
    <x v="7"/>
    <d v="2024-09-12T00:00:00"/>
    <x v="170"/>
    <x v="6"/>
    <x v="6"/>
    <x v="0"/>
    <x v="1"/>
    <x v="1"/>
    <x v="1"/>
  </r>
  <r>
    <d v="2024-09-12T00:00:00"/>
    <x v="6"/>
    <x v="0"/>
    <x v="319"/>
    <x v="14"/>
    <x v="5"/>
    <d v="2024-09-12T00:00:00"/>
    <x v="170"/>
    <x v="6"/>
    <x v="6"/>
    <x v="0"/>
    <x v="1"/>
    <x v="1"/>
    <x v="1"/>
  </r>
  <r>
    <d v="2024-09-13T00:00:00"/>
    <x v="0"/>
    <x v="0"/>
    <x v="570"/>
    <x v="8"/>
    <x v="0"/>
    <d v="2024-09-13T00:00:00"/>
    <x v="171"/>
    <x v="0"/>
    <x v="6"/>
    <x v="0"/>
    <x v="1"/>
    <x v="1"/>
    <x v="1"/>
  </r>
  <r>
    <d v="2024-09-13T00:00:00"/>
    <x v="0"/>
    <x v="0"/>
    <x v="425"/>
    <x v="8"/>
    <x v="0"/>
    <d v="2024-09-13T00:00:00"/>
    <x v="171"/>
    <x v="0"/>
    <x v="6"/>
    <x v="0"/>
    <x v="1"/>
    <x v="1"/>
    <x v="1"/>
  </r>
  <r>
    <d v="2024-09-13T00:00:00"/>
    <x v="0"/>
    <x v="0"/>
    <x v="375"/>
    <x v="8"/>
    <x v="0"/>
    <d v="2024-09-13T00:00:00"/>
    <x v="171"/>
    <x v="0"/>
    <x v="6"/>
    <x v="0"/>
    <x v="1"/>
    <x v="1"/>
    <x v="1"/>
  </r>
  <r>
    <d v="2024-09-13T00:00:00"/>
    <x v="0"/>
    <x v="0"/>
    <x v="619"/>
    <x v="8"/>
    <x v="0"/>
    <d v="2024-09-13T00:00:00"/>
    <x v="171"/>
    <x v="0"/>
    <x v="6"/>
    <x v="0"/>
    <x v="1"/>
    <x v="1"/>
    <x v="1"/>
  </r>
  <r>
    <d v="2024-09-13T00:00:00"/>
    <x v="0"/>
    <x v="0"/>
    <x v="242"/>
    <x v="11"/>
    <x v="3"/>
    <d v="2024-09-13T00:00:00"/>
    <x v="171"/>
    <x v="0"/>
    <x v="6"/>
    <x v="0"/>
    <x v="1"/>
    <x v="1"/>
    <x v="1"/>
  </r>
  <r>
    <d v="2024-09-13T00:00:00"/>
    <x v="0"/>
    <x v="0"/>
    <x v="552"/>
    <x v="11"/>
    <x v="3"/>
    <d v="2024-09-13T00:00:00"/>
    <x v="171"/>
    <x v="0"/>
    <x v="6"/>
    <x v="0"/>
    <x v="1"/>
    <x v="1"/>
    <x v="1"/>
  </r>
  <r>
    <d v="2024-09-14T00:00:00"/>
    <x v="1"/>
    <x v="0"/>
    <x v="543"/>
    <x v="8"/>
    <x v="7"/>
    <d v="2024-09-14T00:00:00"/>
    <x v="122"/>
    <x v="1"/>
    <x v="6"/>
    <x v="0"/>
    <x v="1"/>
    <x v="1"/>
    <x v="1"/>
  </r>
  <r>
    <d v="2024-09-15T00:00:00"/>
    <x v="2"/>
    <x v="0"/>
    <x v="347"/>
    <x v="15"/>
    <x v="6"/>
    <d v="2024-09-15T00:00:00"/>
    <x v="172"/>
    <x v="2"/>
    <x v="6"/>
    <x v="0"/>
    <x v="1"/>
    <x v="1"/>
    <x v="1"/>
  </r>
  <r>
    <d v="2024-09-15T00:00:00"/>
    <x v="2"/>
    <x v="0"/>
    <x v="620"/>
    <x v="11"/>
    <x v="3"/>
    <d v="2024-09-15T00:00:00"/>
    <x v="172"/>
    <x v="2"/>
    <x v="6"/>
    <x v="0"/>
    <x v="1"/>
    <x v="1"/>
    <x v="1"/>
  </r>
  <r>
    <d v="2024-09-15T00:00:00"/>
    <x v="2"/>
    <x v="0"/>
    <x v="304"/>
    <x v="14"/>
    <x v="2"/>
    <d v="2024-09-15T00:00:00"/>
    <x v="172"/>
    <x v="2"/>
    <x v="6"/>
    <x v="0"/>
    <x v="1"/>
    <x v="1"/>
    <x v="1"/>
  </r>
  <r>
    <d v="2024-09-15T00:00:00"/>
    <x v="2"/>
    <x v="0"/>
    <x v="141"/>
    <x v="14"/>
    <x v="5"/>
    <d v="2024-09-15T00:00:00"/>
    <x v="172"/>
    <x v="2"/>
    <x v="6"/>
    <x v="0"/>
    <x v="1"/>
    <x v="1"/>
    <x v="1"/>
  </r>
  <r>
    <d v="2024-09-15T00:00:00"/>
    <x v="2"/>
    <x v="0"/>
    <x v="543"/>
    <x v="8"/>
    <x v="7"/>
    <d v="2024-09-15T00:00:00"/>
    <x v="172"/>
    <x v="2"/>
    <x v="6"/>
    <x v="0"/>
    <x v="1"/>
    <x v="1"/>
    <x v="1"/>
  </r>
  <r>
    <d v="2024-09-16T00:00:00"/>
    <x v="3"/>
    <x v="0"/>
    <x v="621"/>
    <x v="8"/>
    <x v="0"/>
    <d v="2024-09-16T00:00:00"/>
    <x v="173"/>
    <x v="3"/>
    <x v="6"/>
    <x v="0"/>
    <x v="1"/>
    <x v="1"/>
    <x v="1"/>
  </r>
  <r>
    <d v="2024-09-16T00:00:00"/>
    <x v="3"/>
    <x v="0"/>
    <x v="584"/>
    <x v="11"/>
    <x v="3"/>
    <d v="2024-09-16T00:00:00"/>
    <x v="173"/>
    <x v="3"/>
    <x v="6"/>
    <x v="0"/>
    <x v="1"/>
    <x v="1"/>
    <x v="1"/>
  </r>
  <r>
    <d v="2024-09-16T00:00:00"/>
    <x v="3"/>
    <x v="0"/>
    <x v="622"/>
    <x v="11"/>
    <x v="3"/>
    <d v="2024-09-16T00:00:00"/>
    <x v="173"/>
    <x v="3"/>
    <x v="6"/>
    <x v="0"/>
    <x v="1"/>
    <x v="1"/>
    <x v="1"/>
  </r>
  <r>
    <d v="2024-09-16T00:00:00"/>
    <x v="3"/>
    <x v="0"/>
    <x v="623"/>
    <x v="8"/>
    <x v="0"/>
    <d v="2024-09-16T00:00:00"/>
    <x v="173"/>
    <x v="3"/>
    <x v="6"/>
    <x v="0"/>
    <x v="1"/>
    <x v="1"/>
    <x v="1"/>
  </r>
  <r>
    <d v="2024-09-16T00:00:00"/>
    <x v="3"/>
    <x v="0"/>
    <x v="624"/>
    <x v="8"/>
    <x v="0"/>
    <d v="2024-09-16T00:00:00"/>
    <x v="173"/>
    <x v="3"/>
    <x v="6"/>
    <x v="0"/>
    <x v="1"/>
    <x v="1"/>
    <x v="1"/>
  </r>
  <r>
    <d v="2024-09-16T00:00:00"/>
    <x v="3"/>
    <x v="0"/>
    <x v="625"/>
    <x v="8"/>
    <x v="0"/>
    <d v="2024-09-16T00:00:00"/>
    <x v="173"/>
    <x v="3"/>
    <x v="6"/>
    <x v="0"/>
    <x v="1"/>
    <x v="1"/>
    <x v="1"/>
  </r>
  <r>
    <d v="2024-09-16T00:00:00"/>
    <x v="3"/>
    <x v="0"/>
    <x v="626"/>
    <x v="11"/>
    <x v="3"/>
    <d v="2024-09-16T00:00:00"/>
    <x v="173"/>
    <x v="3"/>
    <x v="6"/>
    <x v="0"/>
    <x v="1"/>
    <x v="1"/>
    <x v="1"/>
  </r>
  <r>
    <d v="2024-09-16T00:00:00"/>
    <x v="3"/>
    <x v="0"/>
    <x v="626"/>
    <x v="8"/>
    <x v="0"/>
    <d v="2024-09-16T00:00:00"/>
    <x v="173"/>
    <x v="3"/>
    <x v="6"/>
    <x v="0"/>
    <x v="1"/>
    <x v="1"/>
    <x v="1"/>
  </r>
  <r>
    <d v="2024-09-16T00:00:00"/>
    <x v="3"/>
    <x v="0"/>
    <x v="287"/>
    <x v="11"/>
    <x v="3"/>
    <d v="2024-09-16T00:00:00"/>
    <x v="173"/>
    <x v="3"/>
    <x v="6"/>
    <x v="0"/>
    <x v="1"/>
    <x v="1"/>
    <x v="1"/>
  </r>
  <r>
    <d v="2024-09-16T00:00:00"/>
    <x v="3"/>
    <x v="0"/>
    <x v="97"/>
    <x v="11"/>
    <x v="3"/>
    <d v="2024-09-16T00:00:00"/>
    <x v="173"/>
    <x v="3"/>
    <x v="6"/>
    <x v="0"/>
    <x v="1"/>
    <x v="1"/>
    <x v="1"/>
  </r>
  <r>
    <d v="2024-09-17T00:00:00"/>
    <x v="4"/>
    <x v="0"/>
    <x v="627"/>
    <x v="14"/>
    <x v="5"/>
    <d v="2024-09-17T00:00:00"/>
    <x v="174"/>
    <x v="4"/>
    <x v="6"/>
    <x v="0"/>
    <x v="1"/>
    <x v="1"/>
    <x v="1"/>
  </r>
  <r>
    <d v="2024-09-17T00:00:00"/>
    <x v="4"/>
    <x v="0"/>
    <x v="621"/>
    <x v="8"/>
    <x v="0"/>
    <d v="2024-09-17T00:00:00"/>
    <x v="174"/>
    <x v="4"/>
    <x v="6"/>
    <x v="0"/>
    <x v="1"/>
    <x v="1"/>
    <x v="1"/>
  </r>
  <r>
    <d v="2024-09-17T00:00:00"/>
    <x v="4"/>
    <x v="0"/>
    <x v="276"/>
    <x v="11"/>
    <x v="3"/>
    <d v="2024-09-17T00:00:00"/>
    <x v="174"/>
    <x v="4"/>
    <x v="6"/>
    <x v="0"/>
    <x v="1"/>
    <x v="1"/>
    <x v="1"/>
  </r>
  <r>
    <d v="2024-09-17T00:00:00"/>
    <x v="4"/>
    <x v="0"/>
    <x v="141"/>
    <x v="14"/>
    <x v="5"/>
    <d v="2024-09-17T00:00:00"/>
    <x v="174"/>
    <x v="4"/>
    <x v="6"/>
    <x v="0"/>
    <x v="1"/>
    <x v="1"/>
    <x v="1"/>
  </r>
  <r>
    <d v="2024-09-17T00:00:00"/>
    <x v="4"/>
    <x v="0"/>
    <x v="554"/>
    <x v="8"/>
    <x v="7"/>
    <d v="2024-09-17T00:00:00"/>
    <x v="174"/>
    <x v="4"/>
    <x v="6"/>
    <x v="0"/>
    <x v="1"/>
    <x v="1"/>
    <x v="1"/>
  </r>
  <r>
    <d v="2024-09-17T00:00:00"/>
    <x v="4"/>
    <x v="0"/>
    <x v="554"/>
    <x v="11"/>
    <x v="3"/>
    <d v="2024-09-17T00:00:00"/>
    <x v="174"/>
    <x v="4"/>
    <x v="6"/>
    <x v="0"/>
    <x v="1"/>
    <x v="1"/>
    <x v="1"/>
  </r>
  <r>
    <d v="2024-09-17T00:00:00"/>
    <x v="4"/>
    <x v="0"/>
    <x v="620"/>
    <x v="11"/>
    <x v="3"/>
    <d v="2024-09-17T00:00:00"/>
    <x v="174"/>
    <x v="4"/>
    <x v="6"/>
    <x v="0"/>
    <x v="1"/>
    <x v="1"/>
    <x v="1"/>
  </r>
  <r>
    <d v="2024-09-17T00:00:00"/>
    <x v="4"/>
    <x v="0"/>
    <x v="628"/>
    <x v="15"/>
    <x v="6"/>
    <d v="2024-09-17T00:00:00"/>
    <x v="174"/>
    <x v="4"/>
    <x v="6"/>
    <x v="0"/>
    <x v="1"/>
    <x v="1"/>
    <x v="1"/>
  </r>
  <r>
    <d v="2024-09-17T00:00:00"/>
    <x v="4"/>
    <x v="0"/>
    <x v="628"/>
    <x v="11"/>
    <x v="3"/>
    <d v="2024-09-17T00:00:00"/>
    <x v="174"/>
    <x v="4"/>
    <x v="6"/>
    <x v="0"/>
    <x v="1"/>
    <x v="1"/>
    <x v="1"/>
  </r>
  <r>
    <d v="2024-09-17T00:00:00"/>
    <x v="4"/>
    <x v="0"/>
    <x v="629"/>
    <x v="8"/>
    <x v="0"/>
    <d v="2024-09-17T00:00:00"/>
    <x v="174"/>
    <x v="4"/>
    <x v="6"/>
    <x v="0"/>
    <x v="1"/>
    <x v="1"/>
    <x v="1"/>
  </r>
  <r>
    <d v="2024-09-17T00:00:00"/>
    <x v="4"/>
    <x v="0"/>
    <x v="630"/>
    <x v="14"/>
    <x v="5"/>
    <d v="2024-09-17T00:00:00"/>
    <x v="174"/>
    <x v="4"/>
    <x v="6"/>
    <x v="0"/>
    <x v="1"/>
    <x v="1"/>
    <x v="1"/>
  </r>
  <r>
    <d v="2024-09-17T00:00:00"/>
    <x v="4"/>
    <x v="0"/>
    <x v="630"/>
    <x v="8"/>
    <x v="0"/>
    <d v="2024-09-17T00:00:00"/>
    <x v="174"/>
    <x v="4"/>
    <x v="6"/>
    <x v="0"/>
    <x v="1"/>
    <x v="1"/>
    <x v="1"/>
  </r>
  <r>
    <d v="2024-09-17T00:00:00"/>
    <x v="4"/>
    <x v="0"/>
    <x v="631"/>
    <x v="8"/>
    <x v="1"/>
    <d v="2024-09-17T00:00:00"/>
    <x v="174"/>
    <x v="4"/>
    <x v="6"/>
    <x v="0"/>
    <x v="1"/>
    <x v="1"/>
    <x v="1"/>
  </r>
  <r>
    <d v="2024-09-17T00:00:00"/>
    <x v="4"/>
    <x v="0"/>
    <x v="632"/>
    <x v="11"/>
    <x v="3"/>
    <d v="2024-09-17T00:00:00"/>
    <x v="174"/>
    <x v="4"/>
    <x v="6"/>
    <x v="0"/>
    <x v="1"/>
    <x v="1"/>
    <x v="1"/>
  </r>
  <r>
    <d v="2024-09-17T00:00:00"/>
    <x v="4"/>
    <x v="0"/>
    <x v="633"/>
    <x v="11"/>
    <x v="3"/>
    <d v="2024-09-17T00:00:00"/>
    <x v="174"/>
    <x v="4"/>
    <x v="6"/>
    <x v="0"/>
    <x v="1"/>
    <x v="1"/>
    <x v="1"/>
  </r>
  <r>
    <d v="2024-09-17T00:00:00"/>
    <x v="4"/>
    <x v="0"/>
    <x v="634"/>
    <x v="8"/>
    <x v="0"/>
    <d v="2024-09-17T00:00:00"/>
    <x v="174"/>
    <x v="4"/>
    <x v="6"/>
    <x v="0"/>
    <x v="1"/>
    <x v="1"/>
    <x v="1"/>
  </r>
  <r>
    <d v="2024-09-17T00:00:00"/>
    <x v="4"/>
    <x v="0"/>
    <x v="634"/>
    <x v="11"/>
    <x v="3"/>
    <d v="2024-09-17T00:00:00"/>
    <x v="174"/>
    <x v="4"/>
    <x v="6"/>
    <x v="0"/>
    <x v="1"/>
    <x v="1"/>
    <x v="1"/>
  </r>
  <r>
    <d v="2024-09-17T00:00:00"/>
    <x v="4"/>
    <x v="0"/>
    <x v="635"/>
    <x v="11"/>
    <x v="3"/>
    <d v="2024-09-17T00:00:00"/>
    <x v="174"/>
    <x v="4"/>
    <x v="6"/>
    <x v="0"/>
    <x v="1"/>
    <x v="1"/>
    <x v="1"/>
  </r>
  <r>
    <d v="2024-09-17T00:00:00"/>
    <x v="4"/>
    <x v="0"/>
    <x v="636"/>
    <x v="8"/>
    <x v="1"/>
    <d v="2024-09-17T00:00:00"/>
    <x v="174"/>
    <x v="4"/>
    <x v="6"/>
    <x v="0"/>
    <x v="1"/>
    <x v="1"/>
    <x v="1"/>
  </r>
  <r>
    <d v="2024-09-17T00:00:00"/>
    <x v="4"/>
    <x v="0"/>
    <x v="637"/>
    <x v="8"/>
    <x v="1"/>
    <d v="2024-09-17T00:00:00"/>
    <x v="174"/>
    <x v="4"/>
    <x v="6"/>
    <x v="0"/>
    <x v="1"/>
    <x v="1"/>
    <x v="1"/>
  </r>
  <r>
    <d v="2024-09-18T00:00:00"/>
    <x v="5"/>
    <x v="0"/>
    <x v="638"/>
    <x v="8"/>
    <x v="0"/>
    <d v="2024-09-18T00:00:00"/>
    <x v="151"/>
    <x v="5"/>
    <x v="6"/>
    <x v="0"/>
    <x v="1"/>
    <x v="1"/>
    <x v="1"/>
  </r>
  <r>
    <d v="2024-09-18T00:00:00"/>
    <x v="5"/>
    <x v="0"/>
    <x v="639"/>
    <x v="8"/>
    <x v="0"/>
    <d v="2024-09-18T00:00:00"/>
    <x v="151"/>
    <x v="5"/>
    <x v="6"/>
    <x v="0"/>
    <x v="1"/>
    <x v="1"/>
    <x v="1"/>
  </r>
  <r>
    <d v="2024-09-18T00:00:00"/>
    <x v="5"/>
    <x v="0"/>
    <x v="40"/>
    <x v="11"/>
    <x v="3"/>
    <d v="2024-09-18T00:00:00"/>
    <x v="151"/>
    <x v="5"/>
    <x v="6"/>
    <x v="0"/>
    <x v="1"/>
    <x v="1"/>
    <x v="1"/>
  </r>
  <r>
    <d v="2024-09-19T00:00:00"/>
    <x v="6"/>
    <x v="0"/>
    <x v="276"/>
    <x v="11"/>
    <x v="3"/>
    <d v="2024-09-19T00:00:00"/>
    <x v="175"/>
    <x v="6"/>
    <x v="6"/>
    <x v="0"/>
    <x v="1"/>
    <x v="1"/>
    <x v="1"/>
  </r>
  <r>
    <d v="2024-09-19T00:00:00"/>
    <x v="6"/>
    <x v="0"/>
    <x v="627"/>
    <x v="14"/>
    <x v="5"/>
    <d v="2024-09-19T00:00:00"/>
    <x v="175"/>
    <x v="6"/>
    <x v="6"/>
    <x v="0"/>
    <x v="1"/>
    <x v="1"/>
    <x v="1"/>
  </r>
  <r>
    <d v="2024-09-19T00:00:00"/>
    <x v="6"/>
    <x v="0"/>
    <x v="494"/>
    <x v="8"/>
    <x v="0"/>
    <d v="2024-09-19T00:00:00"/>
    <x v="175"/>
    <x v="6"/>
    <x v="6"/>
    <x v="0"/>
    <x v="1"/>
    <x v="1"/>
    <x v="1"/>
  </r>
  <r>
    <d v="2024-09-19T00:00:00"/>
    <x v="6"/>
    <x v="0"/>
    <x v="3"/>
    <x v="14"/>
    <x v="2"/>
    <d v="2024-09-19T00:00:00"/>
    <x v="175"/>
    <x v="6"/>
    <x v="6"/>
    <x v="0"/>
    <x v="1"/>
    <x v="1"/>
    <x v="1"/>
  </r>
  <r>
    <d v="2024-09-19T00:00:00"/>
    <x v="6"/>
    <x v="0"/>
    <x v="3"/>
    <x v="11"/>
    <x v="3"/>
    <d v="2024-09-19T00:00:00"/>
    <x v="175"/>
    <x v="6"/>
    <x v="6"/>
    <x v="0"/>
    <x v="1"/>
    <x v="1"/>
    <x v="1"/>
  </r>
  <r>
    <d v="2024-09-19T00:00:00"/>
    <x v="6"/>
    <x v="0"/>
    <x v="640"/>
    <x v="14"/>
    <x v="5"/>
    <d v="2024-09-19T00:00:00"/>
    <x v="175"/>
    <x v="6"/>
    <x v="6"/>
    <x v="0"/>
    <x v="1"/>
    <x v="1"/>
    <x v="1"/>
  </r>
  <r>
    <d v="2024-09-20T00:00:00"/>
    <x v="0"/>
    <x v="0"/>
    <x v="276"/>
    <x v="11"/>
    <x v="3"/>
    <d v="2024-09-20T00:00:00"/>
    <x v="176"/>
    <x v="0"/>
    <x v="6"/>
    <x v="0"/>
    <x v="1"/>
    <x v="1"/>
    <x v="1"/>
  </r>
  <r>
    <d v="2024-09-20T00:00:00"/>
    <x v="0"/>
    <x v="0"/>
    <x v="641"/>
    <x v="11"/>
    <x v="3"/>
    <d v="2024-09-20T00:00:00"/>
    <x v="176"/>
    <x v="0"/>
    <x v="6"/>
    <x v="0"/>
    <x v="1"/>
    <x v="1"/>
    <x v="1"/>
  </r>
  <r>
    <d v="2024-09-20T00:00:00"/>
    <x v="0"/>
    <x v="0"/>
    <x v="333"/>
    <x v="11"/>
    <x v="3"/>
    <d v="2024-09-20T00:00:00"/>
    <x v="176"/>
    <x v="0"/>
    <x v="6"/>
    <x v="0"/>
    <x v="1"/>
    <x v="1"/>
    <x v="1"/>
  </r>
  <r>
    <d v="2024-09-20T00:00:00"/>
    <x v="0"/>
    <x v="0"/>
    <x v="642"/>
    <x v="8"/>
    <x v="0"/>
    <d v="2024-09-20T00:00:00"/>
    <x v="176"/>
    <x v="0"/>
    <x v="6"/>
    <x v="0"/>
    <x v="1"/>
    <x v="1"/>
    <x v="1"/>
  </r>
  <r>
    <d v="2024-09-20T00:00:00"/>
    <x v="0"/>
    <x v="0"/>
    <x v="643"/>
    <x v="14"/>
    <x v="2"/>
    <d v="2024-09-20T00:00:00"/>
    <x v="176"/>
    <x v="0"/>
    <x v="6"/>
    <x v="0"/>
    <x v="1"/>
    <x v="1"/>
    <x v="1"/>
  </r>
  <r>
    <d v="2024-09-20T00:00:00"/>
    <x v="0"/>
    <x v="0"/>
    <x v="287"/>
    <x v="11"/>
    <x v="3"/>
    <d v="2024-09-20T00:00:00"/>
    <x v="176"/>
    <x v="0"/>
    <x v="6"/>
    <x v="0"/>
    <x v="1"/>
    <x v="1"/>
    <x v="1"/>
  </r>
  <r>
    <d v="2024-09-21T00:00:00"/>
    <x v="1"/>
    <x v="0"/>
    <x v="644"/>
    <x v="8"/>
    <x v="0"/>
    <d v="2024-09-21T00:00:00"/>
    <x v="160"/>
    <x v="1"/>
    <x v="6"/>
    <x v="0"/>
    <x v="1"/>
    <x v="1"/>
    <x v="1"/>
  </r>
  <r>
    <d v="2024-09-21T00:00:00"/>
    <x v="1"/>
    <x v="0"/>
    <x v="644"/>
    <x v="8"/>
    <x v="4"/>
    <d v="2024-09-21T00:00:00"/>
    <x v="160"/>
    <x v="1"/>
    <x v="6"/>
    <x v="0"/>
    <x v="1"/>
    <x v="1"/>
    <x v="1"/>
  </r>
  <r>
    <d v="2024-09-21T00:00:00"/>
    <x v="1"/>
    <x v="0"/>
    <x v="543"/>
    <x v="14"/>
    <x v="5"/>
    <d v="2024-09-21T00:00:00"/>
    <x v="160"/>
    <x v="1"/>
    <x v="6"/>
    <x v="0"/>
    <x v="1"/>
    <x v="1"/>
    <x v="1"/>
  </r>
  <r>
    <d v="2024-09-21T00:00:00"/>
    <x v="1"/>
    <x v="0"/>
    <x v="645"/>
    <x v="8"/>
    <x v="7"/>
    <d v="2024-09-21T00:00:00"/>
    <x v="160"/>
    <x v="1"/>
    <x v="6"/>
    <x v="0"/>
    <x v="1"/>
    <x v="1"/>
    <x v="1"/>
  </r>
  <r>
    <d v="2024-09-21T00:00:00"/>
    <x v="1"/>
    <x v="0"/>
    <x v="646"/>
    <x v="8"/>
    <x v="0"/>
    <d v="2024-09-21T00:00:00"/>
    <x v="160"/>
    <x v="1"/>
    <x v="6"/>
    <x v="0"/>
    <x v="1"/>
    <x v="1"/>
    <x v="1"/>
  </r>
  <r>
    <d v="2024-09-21T00:00:00"/>
    <x v="1"/>
    <x v="0"/>
    <x v="507"/>
    <x v="8"/>
    <x v="0"/>
    <d v="2024-09-21T00:00:00"/>
    <x v="160"/>
    <x v="1"/>
    <x v="6"/>
    <x v="0"/>
    <x v="1"/>
    <x v="1"/>
    <x v="1"/>
  </r>
  <r>
    <d v="2024-09-21T00:00:00"/>
    <x v="1"/>
    <x v="0"/>
    <x v="40"/>
    <x v="14"/>
    <x v="2"/>
    <d v="2024-09-21T00:00:00"/>
    <x v="160"/>
    <x v="1"/>
    <x v="6"/>
    <x v="0"/>
    <x v="1"/>
    <x v="1"/>
    <x v="1"/>
  </r>
  <r>
    <d v="2024-09-21T00:00:00"/>
    <x v="1"/>
    <x v="0"/>
    <x v="602"/>
    <x v="8"/>
    <x v="0"/>
    <d v="2024-09-21T00:00:00"/>
    <x v="160"/>
    <x v="1"/>
    <x v="6"/>
    <x v="0"/>
    <x v="1"/>
    <x v="1"/>
    <x v="1"/>
  </r>
  <r>
    <d v="2024-09-21T00:00:00"/>
    <x v="1"/>
    <x v="0"/>
    <x v="647"/>
    <x v="11"/>
    <x v="3"/>
    <d v="2024-09-21T00:00:00"/>
    <x v="160"/>
    <x v="1"/>
    <x v="6"/>
    <x v="0"/>
    <x v="1"/>
    <x v="1"/>
    <x v="1"/>
  </r>
  <r>
    <d v="2024-09-21T00:00:00"/>
    <x v="1"/>
    <x v="0"/>
    <x v="647"/>
    <x v="14"/>
    <x v="2"/>
    <d v="2024-09-21T00:00:00"/>
    <x v="160"/>
    <x v="1"/>
    <x v="6"/>
    <x v="0"/>
    <x v="1"/>
    <x v="1"/>
    <x v="1"/>
  </r>
  <r>
    <d v="2024-09-22T00:00:00"/>
    <x v="2"/>
    <x v="0"/>
    <x v="648"/>
    <x v="14"/>
    <x v="2"/>
    <d v="2024-09-22T00:00:00"/>
    <x v="177"/>
    <x v="2"/>
    <x v="6"/>
    <x v="0"/>
    <x v="1"/>
    <x v="1"/>
    <x v="1"/>
  </r>
  <r>
    <d v="2024-09-22T00:00:00"/>
    <x v="2"/>
    <x v="0"/>
    <x v="649"/>
    <x v="11"/>
    <x v="3"/>
    <d v="2024-09-22T00:00:00"/>
    <x v="177"/>
    <x v="2"/>
    <x v="6"/>
    <x v="0"/>
    <x v="1"/>
    <x v="1"/>
    <x v="1"/>
  </r>
  <r>
    <d v="2024-09-22T00:00:00"/>
    <x v="2"/>
    <x v="0"/>
    <x v="649"/>
    <x v="8"/>
    <x v="0"/>
    <d v="2024-09-22T00:00:00"/>
    <x v="177"/>
    <x v="2"/>
    <x v="6"/>
    <x v="0"/>
    <x v="1"/>
    <x v="1"/>
    <x v="1"/>
  </r>
  <r>
    <d v="2024-09-22T00:00:00"/>
    <x v="2"/>
    <x v="0"/>
    <x v="650"/>
    <x v="14"/>
    <x v="5"/>
    <d v="2024-09-22T00:00:00"/>
    <x v="177"/>
    <x v="2"/>
    <x v="6"/>
    <x v="0"/>
    <x v="1"/>
    <x v="1"/>
    <x v="1"/>
  </r>
  <r>
    <d v="2024-09-22T00:00:00"/>
    <x v="2"/>
    <x v="0"/>
    <x v="651"/>
    <x v="11"/>
    <x v="3"/>
    <d v="2024-09-22T00:00:00"/>
    <x v="177"/>
    <x v="2"/>
    <x v="6"/>
    <x v="0"/>
    <x v="1"/>
    <x v="1"/>
    <x v="1"/>
  </r>
  <r>
    <d v="2024-09-22T00:00:00"/>
    <x v="2"/>
    <x v="0"/>
    <x v="99"/>
    <x v="14"/>
    <x v="2"/>
    <d v="2024-09-22T00:00:00"/>
    <x v="177"/>
    <x v="2"/>
    <x v="6"/>
    <x v="0"/>
    <x v="1"/>
    <x v="1"/>
    <x v="1"/>
  </r>
  <r>
    <d v="2024-09-22T00:00:00"/>
    <x v="2"/>
    <x v="0"/>
    <x v="276"/>
    <x v="11"/>
    <x v="3"/>
    <d v="2024-09-22T00:00:00"/>
    <x v="177"/>
    <x v="2"/>
    <x v="6"/>
    <x v="0"/>
    <x v="1"/>
    <x v="1"/>
    <x v="1"/>
  </r>
  <r>
    <d v="2024-09-22T00:00:00"/>
    <x v="2"/>
    <x v="0"/>
    <x v="333"/>
    <x v="11"/>
    <x v="3"/>
    <d v="2024-09-22T00:00:00"/>
    <x v="177"/>
    <x v="2"/>
    <x v="6"/>
    <x v="0"/>
    <x v="1"/>
    <x v="1"/>
    <x v="1"/>
  </r>
  <r>
    <d v="2024-09-22T00:00:00"/>
    <x v="2"/>
    <x v="0"/>
    <x v="510"/>
    <x v="11"/>
    <x v="3"/>
    <d v="2024-09-22T00:00:00"/>
    <x v="177"/>
    <x v="2"/>
    <x v="6"/>
    <x v="0"/>
    <x v="1"/>
    <x v="1"/>
    <x v="1"/>
  </r>
  <r>
    <d v="2024-09-22T00:00:00"/>
    <x v="2"/>
    <x v="0"/>
    <x v="652"/>
    <x v="8"/>
    <x v="0"/>
    <d v="2024-09-22T00:00:00"/>
    <x v="177"/>
    <x v="2"/>
    <x v="6"/>
    <x v="0"/>
    <x v="1"/>
    <x v="1"/>
    <x v="1"/>
  </r>
  <r>
    <d v="2024-09-22T00:00:00"/>
    <x v="2"/>
    <x v="0"/>
    <x v="652"/>
    <x v="11"/>
    <x v="3"/>
    <d v="2024-09-22T00:00:00"/>
    <x v="177"/>
    <x v="2"/>
    <x v="6"/>
    <x v="0"/>
    <x v="1"/>
    <x v="1"/>
    <x v="1"/>
  </r>
  <r>
    <d v="2024-09-22T00:00:00"/>
    <x v="2"/>
    <x v="0"/>
    <x v="653"/>
    <x v="8"/>
    <x v="4"/>
    <d v="2024-09-22T00:00:00"/>
    <x v="177"/>
    <x v="2"/>
    <x v="6"/>
    <x v="0"/>
    <x v="1"/>
    <x v="1"/>
    <x v="1"/>
  </r>
  <r>
    <d v="2024-09-22T00:00:00"/>
    <x v="2"/>
    <x v="0"/>
    <x v="654"/>
    <x v="8"/>
    <x v="0"/>
    <d v="2024-09-22T00:00:00"/>
    <x v="177"/>
    <x v="2"/>
    <x v="6"/>
    <x v="0"/>
    <x v="1"/>
    <x v="1"/>
    <x v="1"/>
  </r>
  <r>
    <d v="2024-09-22T00:00:00"/>
    <x v="2"/>
    <x v="0"/>
    <x v="654"/>
    <x v="8"/>
    <x v="7"/>
    <d v="2024-09-22T00:00:00"/>
    <x v="177"/>
    <x v="2"/>
    <x v="6"/>
    <x v="0"/>
    <x v="1"/>
    <x v="1"/>
    <x v="1"/>
  </r>
  <r>
    <d v="2024-09-22T00:00:00"/>
    <x v="2"/>
    <x v="0"/>
    <x v="455"/>
    <x v="11"/>
    <x v="3"/>
    <d v="2024-09-22T00:00:00"/>
    <x v="177"/>
    <x v="2"/>
    <x v="6"/>
    <x v="0"/>
    <x v="1"/>
    <x v="1"/>
    <x v="1"/>
  </r>
  <r>
    <d v="2024-09-22T00:00:00"/>
    <x v="2"/>
    <x v="0"/>
    <x v="655"/>
    <x v="11"/>
    <x v="3"/>
    <d v="2024-09-22T00:00:00"/>
    <x v="177"/>
    <x v="2"/>
    <x v="6"/>
    <x v="0"/>
    <x v="1"/>
    <x v="1"/>
    <x v="1"/>
  </r>
  <r>
    <d v="2024-09-22T00:00:00"/>
    <x v="2"/>
    <x v="0"/>
    <x v="637"/>
    <x v="8"/>
    <x v="1"/>
    <d v="2024-09-22T00:00:00"/>
    <x v="177"/>
    <x v="2"/>
    <x v="6"/>
    <x v="0"/>
    <x v="1"/>
    <x v="1"/>
    <x v="1"/>
  </r>
  <r>
    <d v="2024-09-22T00:00:00"/>
    <x v="2"/>
    <x v="0"/>
    <x v="656"/>
    <x v="14"/>
    <x v="2"/>
    <d v="2024-09-22T00:00:00"/>
    <x v="177"/>
    <x v="2"/>
    <x v="6"/>
    <x v="0"/>
    <x v="1"/>
    <x v="1"/>
    <x v="1"/>
  </r>
  <r>
    <d v="2024-09-22T00:00:00"/>
    <x v="2"/>
    <x v="0"/>
    <x v="657"/>
    <x v="11"/>
    <x v="3"/>
    <d v="2024-09-22T00:00:00"/>
    <x v="177"/>
    <x v="2"/>
    <x v="6"/>
    <x v="0"/>
    <x v="1"/>
    <x v="1"/>
    <x v="1"/>
  </r>
  <r>
    <d v="2024-09-23T00:00:00"/>
    <x v="3"/>
    <x v="0"/>
    <x v="276"/>
    <x v="11"/>
    <x v="3"/>
    <d v="2024-09-23T00:00:00"/>
    <x v="178"/>
    <x v="3"/>
    <x v="6"/>
    <x v="0"/>
    <x v="1"/>
    <x v="1"/>
    <x v="1"/>
  </r>
  <r>
    <d v="2024-09-23T00:00:00"/>
    <x v="3"/>
    <x v="0"/>
    <x v="141"/>
    <x v="14"/>
    <x v="5"/>
    <d v="2024-09-23T00:00:00"/>
    <x v="178"/>
    <x v="3"/>
    <x v="6"/>
    <x v="0"/>
    <x v="1"/>
    <x v="1"/>
    <x v="1"/>
  </r>
  <r>
    <d v="2024-09-23T00:00:00"/>
    <x v="3"/>
    <x v="0"/>
    <x v="584"/>
    <x v="14"/>
    <x v="2"/>
    <d v="2024-09-23T00:00:00"/>
    <x v="178"/>
    <x v="3"/>
    <x v="6"/>
    <x v="0"/>
    <x v="1"/>
    <x v="1"/>
    <x v="1"/>
  </r>
  <r>
    <d v="2024-09-23T00:00:00"/>
    <x v="3"/>
    <x v="0"/>
    <x v="573"/>
    <x v="11"/>
    <x v="3"/>
    <d v="2024-09-23T00:00:00"/>
    <x v="178"/>
    <x v="3"/>
    <x v="6"/>
    <x v="0"/>
    <x v="1"/>
    <x v="1"/>
    <x v="1"/>
  </r>
  <r>
    <d v="2024-09-23T00:00:00"/>
    <x v="3"/>
    <x v="0"/>
    <x v="658"/>
    <x v="8"/>
    <x v="7"/>
    <d v="2024-09-23T00:00:00"/>
    <x v="178"/>
    <x v="3"/>
    <x v="6"/>
    <x v="0"/>
    <x v="1"/>
    <x v="1"/>
    <x v="1"/>
  </r>
  <r>
    <d v="2024-09-23T00:00:00"/>
    <x v="3"/>
    <x v="0"/>
    <x v="659"/>
    <x v="14"/>
    <x v="2"/>
    <d v="2024-09-23T00:00:00"/>
    <x v="178"/>
    <x v="3"/>
    <x v="6"/>
    <x v="0"/>
    <x v="1"/>
    <x v="1"/>
    <x v="1"/>
  </r>
  <r>
    <d v="2024-09-23T00:00:00"/>
    <x v="3"/>
    <x v="0"/>
    <x v="507"/>
    <x v="8"/>
    <x v="0"/>
    <d v="2024-09-23T00:00:00"/>
    <x v="178"/>
    <x v="3"/>
    <x v="6"/>
    <x v="0"/>
    <x v="1"/>
    <x v="1"/>
    <x v="1"/>
  </r>
  <r>
    <d v="2024-09-23T00:00:00"/>
    <x v="3"/>
    <x v="0"/>
    <x v="206"/>
    <x v="8"/>
    <x v="7"/>
    <d v="2024-09-23T00:00:00"/>
    <x v="178"/>
    <x v="3"/>
    <x v="6"/>
    <x v="0"/>
    <x v="1"/>
    <x v="1"/>
    <x v="1"/>
  </r>
  <r>
    <d v="2024-09-23T00:00:00"/>
    <x v="3"/>
    <x v="0"/>
    <x v="641"/>
    <x v="11"/>
    <x v="3"/>
    <d v="2024-09-23T00:00:00"/>
    <x v="178"/>
    <x v="3"/>
    <x v="6"/>
    <x v="0"/>
    <x v="1"/>
    <x v="1"/>
    <x v="1"/>
  </r>
  <r>
    <d v="2024-09-24T00:00:00"/>
    <x v="4"/>
    <x v="0"/>
    <x v="276"/>
    <x v="11"/>
    <x v="3"/>
    <d v="2024-09-24T00:00:00"/>
    <x v="179"/>
    <x v="4"/>
    <x v="6"/>
    <x v="0"/>
    <x v="1"/>
    <x v="1"/>
    <x v="1"/>
  </r>
  <r>
    <d v="2024-09-24T00:00:00"/>
    <x v="4"/>
    <x v="0"/>
    <x v="634"/>
    <x v="8"/>
    <x v="0"/>
    <d v="2024-09-24T00:00:00"/>
    <x v="179"/>
    <x v="4"/>
    <x v="6"/>
    <x v="0"/>
    <x v="1"/>
    <x v="1"/>
    <x v="1"/>
  </r>
  <r>
    <d v="2024-09-24T00:00:00"/>
    <x v="4"/>
    <x v="0"/>
    <x v="660"/>
    <x v="8"/>
    <x v="0"/>
    <d v="2024-09-24T00:00:00"/>
    <x v="179"/>
    <x v="4"/>
    <x v="6"/>
    <x v="0"/>
    <x v="1"/>
    <x v="1"/>
    <x v="1"/>
  </r>
  <r>
    <d v="2024-09-24T00:00:00"/>
    <x v="4"/>
    <x v="0"/>
    <x v="661"/>
    <x v="8"/>
    <x v="0"/>
    <d v="2024-09-24T00:00:00"/>
    <x v="179"/>
    <x v="4"/>
    <x v="6"/>
    <x v="0"/>
    <x v="1"/>
    <x v="1"/>
    <x v="1"/>
  </r>
  <r>
    <d v="2024-09-24T00:00:00"/>
    <x v="4"/>
    <x v="0"/>
    <x v="662"/>
    <x v="14"/>
    <x v="5"/>
    <d v="2024-09-24T00:00:00"/>
    <x v="179"/>
    <x v="4"/>
    <x v="6"/>
    <x v="0"/>
    <x v="1"/>
    <x v="1"/>
    <x v="1"/>
  </r>
  <r>
    <d v="2024-09-24T00:00:00"/>
    <x v="4"/>
    <x v="0"/>
    <x v="510"/>
    <x v="8"/>
    <x v="7"/>
    <d v="2024-09-24T00:00:00"/>
    <x v="179"/>
    <x v="4"/>
    <x v="6"/>
    <x v="0"/>
    <x v="1"/>
    <x v="1"/>
    <x v="1"/>
  </r>
  <r>
    <d v="2024-09-24T00:00:00"/>
    <x v="4"/>
    <x v="0"/>
    <x v="583"/>
    <x v="8"/>
    <x v="0"/>
    <d v="2024-09-24T00:00:00"/>
    <x v="179"/>
    <x v="4"/>
    <x v="6"/>
    <x v="0"/>
    <x v="1"/>
    <x v="1"/>
    <x v="1"/>
  </r>
  <r>
    <d v="2024-09-24T00:00:00"/>
    <x v="4"/>
    <x v="0"/>
    <x v="408"/>
    <x v="14"/>
    <x v="2"/>
    <d v="2024-09-24T00:00:00"/>
    <x v="179"/>
    <x v="4"/>
    <x v="6"/>
    <x v="0"/>
    <x v="1"/>
    <x v="1"/>
    <x v="1"/>
  </r>
  <r>
    <d v="2024-09-24T00:00:00"/>
    <x v="4"/>
    <x v="0"/>
    <x v="663"/>
    <x v="8"/>
    <x v="1"/>
    <d v="2024-09-24T00:00:00"/>
    <x v="179"/>
    <x v="4"/>
    <x v="6"/>
    <x v="0"/>
    <x v="1"/>
    <x v="1"/>
    <x v="1"/>
  </r>
  <r>
    <d v="2024-09-24T00:00:00"/>
    <x v="4"/>
    <x v="0"/>
    <x v="631"/>
    <x v="8"/>
    <x v="0"/>
    <d v="2024-09-24T00:00:00"/>
    <x v="179"/>
    <x v="4"/>
    <x v="6"/>
    <x v="0"/>
    <x v="1"/>
    <x v="1"/>
    <x v="1"/>
  </r>
  <r>
    <d v="2024-09-24T00:00:00"/>
    <x v="4"/>
    <x v="0"/>
    <x v="531"/>
    <x v="11"/>
    <x v="3"/>
    <d v="2024-09-24T00:00:00"/>
    <x v="179"/>
    <x v="4"/>
    <x v="6"/>
    <x v="0"/>
    <x v="1"/>
    <x v="1"/>
    <x v="1"/>
  </r>
  <r>
    <d v="2024-09-25T00:00:00"/>
    <x v="5"/>
    <x v="0"/>
    <x v="664"/>
    <x v="8"/>
    <x v="7"/>
    <d v="2024-09-25T00:00:00"/>
    <x v="180"/>
    <x v="5"/>
    <x v="6"/>
    <x v="0"/>
    <x v="1"/>
    <x v="1"/>
    <x v="1"/>
  </r>
  <r>
    <d v="2024-09-25T00:00:00"/>
    <x v="5"/>
    <x v="0"/>
    <x v="141"/>
    <x v="14"/>
    <x v="5"/>
    <d v="2024-09-25T00:00:00"/>
    <x v="180"/>
    <x v="5"/>
    <x v="6"/>
    <x v="0"/>
    <x v="1"/>
    <x v="1"/>
    <x v="1"/>
  </r>
  <r>
    <d v="2024-09-25T00:00:00"/>
    <x v="5"/>
    <x v="0"/>
    <x v="665"/>
    <x v="11"/>
    <x v="3"/>
    <d v="2024-09-25T00:00:00"/>
    <x v="180"/>
    <x v="5"/>
    <x v="6"/>
    <x v="0"/>
    <x v="1"/>
    <x v="1"/>
    <x v="1"/>
  </r>
  <r>
    <d v="2024-09-25T00:00:00"/>
    <x v="5"/>
    <x v="0"/>
    <x v="665"/>
    <x v="8"/>
    <x v="0"/>
    <d v="2024-09-25T00:00:00"/>
    <x v="180"/>
    <x v="5"/>
    <x v="6"/>
    <x v="0"/>
    <x v="1"/>
    <x v="1"/>
    <x v="1"/>
  </r>
  <r>
    <d v="2024-09-25T00:00:00"/>
    <x v="5"/>
    <x v="0"/>
    <x v="666"/>
    <x v="11"/>
    <x v="3"/>
    <d v="2024-09-25T00:00:00"/>
    <x v="180"/>
    <x v="5"/>
    <x v="6"/>
    <x v="0"/>
    <x v="1"/>
    <x v="1"/>
    <x v="1"/>
  </r>
  <r>
    <d v="2024-09-25T00:00:00"/>
    <x v="5"/>
    <x v="0"/>
    <x v="667"/>
    <x v="11"/>
    <x v="3"/>
    <d v="2024-09-25T00:00:00"/>
    <x v="180"/>
    <x v="5"/>
    <x v="6"/>
    <x v="0"/>
    <x v="1"/>
    <x v="1"/>
    <x v="1"/>
  </r>
  <r>
    <d v="2024-09-25T00:00:00"/>
    <x v="5"/>
    <x v="0"/>
    <x v="668"/>
    <x v="14"/>
    <x v="2"/>
    <d v="2024-09-25T00:00:00"/>
    <x v="180"/>
    <x v="5"/>
    <x v="6"/>
    <x v="0"/>
    <x v="1"/>
    <x v="1"/>
    <x v="1"/>
  </r>
  <r>
    <d v="2024-09-25T00:00:00"/>
    <x v="5"/>
    <x v="0"/>
    <x v="475"/>
    <x v="11"/>
    <x v="3"/>
    <d v="2024-09-25T00:00:00"/>
    <x v="180"/>
    <x v="5"/>
    <x v="6"/>
    <x v="0"/>
    <x v="1"/>
    <x v="1"/>
    <x v="1"/>
  </r>
  <r>
    <d v="2024-09-26T00:00:00"/>
    <x v="6"/>
    <x v="0"/>
    <x v="570"/>
    <x v="8"/>
    <x v="0"/>
    <d v="2024-09-26T00:00:00"/>
    <x v="181"/>
    <x v="6"/>
    <x v="6"/>
    <x v="0"/>
    <x v="1"/>
    <x v="1"/>
    <x v="1"/>
  </r>
  <r>
    <d v="2024-09-26T00:00:00"/>
    <x v="6"/>
    <x v="0"/>
    <x v="333"/>
    <x v="11"/>
    <x v="3"/>
    <d v="2024-09-26T00:00:00"/>
    <x v="181"/>
    <x v="6"/>
    <x v="6"/>
    <x v="0"/>
    <x v="1"/>
    <x v="1"/>
    <x v="1"/>
  </r>
  <r>
    <d v="2024-09-26T00:00:00"/>
    <x v="6"/>
    <x v="0"/>
    <x v="669"/>
    <x v="15"/>
    <x v="6"/>
    <d v="2024-09-26T00:00:00"/>
    <x v="181"/>
    <x v="6"/>
    <x v="6"/>
    <x v="0"/>
    <x v="1"/>
    <x v="1"/>
    <x v="1"/>
  </r>
  <r>
    <d v="2024-09-26T00:00:00"/>
    <x v="6"/>
    <x v="0"/>
    <x v="670"/>
    <x v="8"/>
    <x v="7"/>
    <d v="2024-09-26T00:00:00"/>
    <x v="181"/>
    <x v="6"/>
    <x v="6"/>
    <x v="0"/>
    <x v="1"/>
    <x v="1"/>
    <x v="1"/>
  </r>
  <r>
    <d v="2024-09-26T00:00:00"/>
    <x v="6"/>
    <x v="0"/>
    <x v="671"/>
    <x v="8"/>
    <x v="0"/>
    <d v="2024-09-26T00:00:00"/>
    <x v="181"/>
    <x v="6"/>
    <x v="6"/>
    <x v="0"/>
    <x v="1"/>
    <x v="1"/>
    <x v="1"/>
  </r>
  <r>
    <d v="2024-09-26T00:00:00"/>
    <x v="6"/>
    <x v="0"/>
    <x v="672"/>
    <x v="8"/>
    <x v="0"/>
    <d v="2024-09-26T00:00:00"/>
    <x v="181"/>
    <x v="6"/>
    <x v="6"/>
    <x v="0"/>
    <x v="1"/>
    <x v="1"/>
    <x v="1"/>
  </r>
  <r>
    <d v="2024-09-26T00:00:00"/>
    <x v="6"/>
    <x v="0"/>
    <x v="673"/>
    <x v="8"/>
    <x v="0"/>
    <d v="2024-09-26T00:00:00"/>
    <x v="181"/>
    <x v="6"/>
    <x v="6"/>
    <x v="0"/>
    <x v="1"/>
    <x v="1"/>
    <x v="1"/>
  </r>
  <r>
    <d v="2024-09-26T00:00:00"/>
    <x v="6"/>
    <x v="0"/>
    <x v="673"/>
    <x v="14"/>
    <x v="5"/>
    <d v="2024-09-26T00:00:00"/>
    <x v="181"/>
    <x v="6"/>
    <x v="6"/>
    <x v="0"/>
    <x v="1"/>
    <x v="1"/>
    <x v="1"/>
  </r>
  <r>
    <d v="2024-09-26T00:00:00"/>
    <x v="6"/>
    <x v="0"/>
    <x v="472"/>
    <x v="11"/>
    <x v="3"/>
    <d v="2024-09-26T00:00:00"/>
    <x v="181"/>
    <x v="6"/>
    <x v="6"/>
    <x v="0"/>
    <x v="1"/>
    <x v="1"/>
    <x v="1"/>
  </r>
  <r>
    <d v="2024-09-27T00:00:00"/>
    <x v="0"/>
    <x v="0"/>
    <x v="276"/>
    <x v="11"/>
    <x v="3"/>
    <d v="2024-09-27T00:00:00"/>
    <x v="182"/>
    <x v="0"/>
    <x v="6"/>
    <x v="0"/>
    <x v="1"/>
    <x v="1"/>
    <x v="1"/>
  </r>
  <r>
    <d v="2024-09-27T00:00:00"/>
    <x v="0"/>
    <x v="0"/>
    <x v="141"/>
    <x v="14"/>
    <x v="5"/>
    <d v="2024-09-27T00:00:00"/>
    <x v="182"/>
    <x v="0"/>
    <x v="6"/>
    <x v="0"/>
    <x v="1"/>
    <x v="1"/>
    <x v="1"/>
  </r>
  <r>
    <d v="2024-09-27T00:00:00"/>
    <x v="0"/>
    <x v="0"/>
    <x v="674"/>
    <x v="8"/>
    <x v="7"/>
    <d v="2024-09-27T00:00:00"/>
    <x v="182"/>
    <x v="0"/>
    <x v="6"/>
    <x v="0"/>
    <x v="1"/>
    <x v="1"/>
    <x v="1"/>
  </r>
  <r>
    <d v="2024-09-27T00:00:00"/>
    <x v="0"/>
    <x v="0"/>
    <x v="333"/>
    <x v="11"/>
    <x v="3"/>
    <d v="2024-09-27T00:00:00"/>
    <x v="182"/>
    <x v="0"/>
    <x v="6"/>
    <x v="0"/>
    <x v="1"/>
    <x v="1"/>
    <x v="1"/>
  </r>
  <r>
    <d v="2024-09-27T00:00:00"/>
    <x v="0"/>
    <x v="0"/>
    <x v="675"/>
    <x v="8"/>
    <x v="7"/>
    <d v="2024-09-27T00:00:00"/>
    <x v="182"/>
    <x v="0"/>
    <x v="6"/>
    <x v="0"/>
    <x v="1"/>
    <x v="1"/>
    <x v="1"/>
  </r>
  <r>
    <d v="2024-09-27T00:00:00"/>
    <x v="0"/>
    <x v="0"/>
    <x v="676"/>
    <x v="8"/>
    <x v="7"/>
    <d v="2024-09-27T00:00:00"/>
    <x v="182"/>
    <x v="0"/>
    <x v="6"/>
    <x v="0"/>
    <x v="1"/>
    <x v="1"/>
    <x v="1"/>
  </r>
  <r>
    <d v="2024-09-27T00:00:00"/>
    <x v="0"/>
    <x v="0"/>
    <x v="676"/>
    <x v="14"/>
    <x v="2"/>
    <d v="2024-09-27T00:00:00"/>
    <x v="182"/>
    <x v="0"/>
    <x v="6"/>
    <x v="0"/>
    <x v="1"/>
    <x v="1"/>
    <x v="1"/>
  </r>
  <r>
    <d v="2024-09-27T00:00:00"/>
    <x v="0"/>
    <x v="0"/>
    <x v="677"/>
    <x v="11"/>
    <x v="3"/>
    <d v="2024-09-27T00:00:00"/>
    <x v="182"/>
    <x v="0"/>
    <x v="6"/>
    <x v="0"/>
    <x v="1"/>
    <x v="1"/>
    <x v="1"/>
  </r>
  <r>
    <d v="2024-09-27T00:00:00"/>
    <x v="0"/>
    <x v="0"/>
    <x v="678"/>
    <x v="8"/>
    <x v="0"/>
    <d v="2024-09-27T00:00:00"/>
    <x v="182"/>
    <x v="0"/>
    <x v="6"/>
    <x v="0"/>
    <x v="1"/>
    <x v="1"/>
    <x v="1"/>
  </r>
  <r>
    <d v="2024-09-27T00:00:00"/>
    <x v="0"/>
    <x v="0"/>
    <x v="679"/>
    <x v="8"/>
    <x v="7"/>
    <d v="2024-09-27T00:00:00"/>
    <x v="182"/>
    <x v="0"/>
    <x v="6"/>
    <x v="0"/>
    <x v="1"/>
    <x v="1"/>
    <x v="1"/>
  </r>
  <r>
    <d v="2024-09-27T00:00:00"/>
    <x v="0"/>
    <x v="0"/>
    <x v="680"/>
    <x v="8"/>
    <x v="7"/>
    <d v="2024-09-27T00:00:00"/>
    <x v="182"/>
    <x v="0"/>
    <x v="6"/>
    <x v="0"/>
    <x v="1"/>
    <x v="1"/>
    <x v="1"/>
  </r>
  <r>
    <d v="2024-09-27T00:00:00"/>
    <x v="0"/>
    <x v="0"/>
    <x v="408"/>
    <x v="8"/>
    <x v="7"/>
    <d v="2024-09-27T00:00:00"/>
    <x v="182"/>
    <x v="0"/>
    <x v="6"/>
    <x v="0"/>
    <x v="1"/>
    <x v="1"/>
    <x v="1"/>
  </r>
  <r>
    <d v="2024-09-27T00:00:00"/>
    <x v="0"/>
    <x v="0"/>
    <x v="681"/>
    <x v="11"/>
    <x v="3"/>
    <d v="2024-09-27T00:00:00"/>
    <x v="182"/>
    <x v="0"/>
    <x v="6"/>
    <x v="0"/>
    <x v="1"/>
    <x v="1"/>
    <x v="1"/>
  </r>
  <r>
    <d v="2024-09-28T00:00:00"/>
    <x v="1"/>
    <x v="0"/>
    <x v="666"/>
    <x v="11"/>
    <x v="3"/>
    <d v="2024-09-28T00:00:00"/>
    <x v="183"/>
    <x v="1"/>
    <x v="6"/>
    <x v="0"/>
    <x v="1"/>
    <x v="1"/>
    <x v="1"/>
  </r>
  <r>
    <d v="2024-09-28T00:00:00"/>
    <x v="1"/>
    <x v="0"/>
    <x v="682"/>
    <x v="11"/>
    <x v="3"/>
    <d v="2024-09-28T00:00:00"/>
    <x v="183"/>
    <x v="1"/>
    <x v="6"/>
    <x v="0"/>
    <x v="1"/>
    <x v="1"/>
    <x v="1"/>
  </r>
  <r>
    <d v="2024-09-28T00:00:00"/>
    <x v="1"/>
    <x v="0"/>
    <x v="507"/>
    <x v="16"/>
    <x v="0"/>
    <d v="2024-09-28T00:00:00"/>
    <x v="183"/>
    <x v="1"/>
    <x v="6"/>
    <x v="0"/>
    <x v="1"/>
    <x v="1"/>
    <x v="1"/>
  </r>
  <r>
    <d v="2024-09-28T00:00:00"/>
    <x v="1"/>
    <x v="0"/>
    <x v="683"/>
    <x v="16"/>
    <x v="0"/>
    <d v="2024-09-28T00:00:00"/>
    <x v="183"/>
    <x v="1"/>
    <x v="6"/>
    <x v="0"/>
    <x v="1"/>
    <x v="1"/>
    <x v="1"/>
  </r>
  <r>
    <d v="2024-09-28T00:00:00"/>
    <x v="1"/>
    <x v="0"/>
    <x v="684"/>
    <x v="17"/>
    <x v="3"/>
    <d v="2024-09-28T00:00:00"/>
    <x v="183"/>
    <x v="1"/>
    <x v="6"/>
    <x v="0"/>
    <x v="1"/>
    <x v="1"/>
    <x v="1"/>
  </r>
  <r>
    <d v="2024-09-28T00:00:00"/>
    <x v="1"/>
    <x v="0"/>
    <x v="445"/>
    <x v="16"/>
    <x v="0"/>
    <d v="2024-09-28T00:00:00"/>
    <x v="183"/>
    <x v="1"/>
    <x v="6"/>
    <x v="0"/>
    <x v="1"/>
    <x v="1"/>
    <x v="1"/>
  </r>
  <r>
    <d v="2024-09-28T00:00:00"/>
    <x v="1"/>
    <x v="0"/>
    <x v="685"/>
    <x v="16"/>
    <x v="0"/>
    <d v="2024-09-28T00:00:00"/>
    <x v="183"/>
    <x v="1"/>
    <x v="6"/>
    <x v="0"/>
    <x v="1"/>
    <x v="1"/>
    <x v="1"/>
  </r>
  <r>
    <d v="2024-09-28T00:00:00"/>
    <x v="1"/>
    <x v="0"/>
    <x v="686"/>
    <x v="16"/>
    <x v="7"/>
    <d v="2024-09-28T00:00:00"/>
    <x v="183"/>
    <x v="1"/>
    <x v="6"/>
    <x v="0"/>
    <x v="1"/>
    <x v="1"/>
    <x v="1"/>
  </r>
  <r>
    <d v="2024-09-28T00:00:00"/>
    <x v="1"/>
    <x v="0"/>
    <x v="686"/>
    <x v="16"/>
    <x v="4"/>
    <d v="2024-09-28T00:00:00"/>
    <x v="183"/>
    <x v="1"/>
    <x v="6"/>
    <x v="0"/>
    <x v="1"/>
    <x v="1"/>
    <x v="1"/>
  </r>
  <r>
    <d v="2024-09-28T00:00:00"/>
    <x v="1"/>
    <x v="0"/>
    <x v="687"/>
    <x v="18"/>
    <x v="5"/>
    <d v="2024-09-28T00:00:00"/>
    <x v="183"/>
    <x v="1"/>
    <x v="6"/>
    <x v="0"/>
    <x v="1"/>
    <x v="1"/>
    <x v="1"/>
  </r>
  <r>
    <d v="2024-09-28T00:00:00"/>
    <x v="1"/>
    <x v="0"/>
    <x v="687"/>
    <x v="16"/>
    <x v="1"/>
    <d v="2024-09-28T00:00:00"/>
    <x v="183"/>
    <x v="1"/>
    <x v="6"/>
    <x v="0"/>
    <x v="1"/>
    <x v="1"/>
    <x v="1"/>
  </r>
  <r>
    <d v="2024-09-29T00:00:00"/>
    <x v="2"/>
    <x v="0"/>
    <x v="467"/>
    <x v="18"/>
    <x v="2"/>
    <d v="2024-09-29T00:00:00"/>
    <x v="184"/>
    <x v="2"/>
    <x v="6"/>
    <x v="0"/>
    <x v="1"/>
    <x v="1"/>
    <x v="1"/>
  </r>
  <r>
    <d v="2024-09-29T00:00:00"/>
    <x v="2"/>
    <x v="0"/>
    <x v="172"/>
    <x v="16"/>
    <x v="7"/>
    <d v="2024-09-29T00:00:00"/>
    <x v="184"/>
    <x v="2"/>
    <x v="6"/>
    <x v="0"/>
    <x v="1"/>
    <x v="1"/>
    <x v="1"/>
  </r>
  <r>
    <d v="2024-09-29T00:00:00"/>
    <x v="2"/>
    <x v="0"/>
    <x v="333"/>
    <x v="17"/>
    <x v="3"/>
    <d v="2024-09-29T00:00:00"/>
    <x v="184"/>
    <x v="2"/>
    <x v="6"/>
    <x v="0"/>
    <x v="1"/>
    <x v="1"/>
    <x v="1"/>
  </r>
  <r>
    <d v="2024-09-29T00:00:00"/>
    <x v="2"/>
    <x v="0"/>
    <x v="683"/>
    <x v="16"/>
    <x v="0"/>
    <d v="2024-09-29T00:00:00"/>
    <x v="184"/>
    <x v="2"/>
    <x v="6"/>
    <x v="0"/>
    <x v="1"/>
    <x v="1"/>
    <x v="1"/>
  </r>
  <r>
    <d v="2024-09-29T00:00:00"/>
    <x v="2"/>
    <x v="0"/>
    <x v="141"/>
    <x v="18"/>
    <x v="5"/>
    <d v="2024-09-29T00:00:00"/>
    <x v="184"/>
    <x v="2"/>
    <x v="6"/>
    <x v="0"/>
    <x v="1"/>
    <x v="1"/>
    <x v="1"/>
  </r>
  <r>
    <d v="2024-09-29T00:00:00"/>
    <x v="2"/>
    <x v="0"/>
    <x v="602"/>
    <x v="16"/>
    <x v="0"/>
    <d v="2024-09-29T00:00:00"/>
    <x v="184"/>
    <x v="2"/>
    <x v="6"/>
    <x v="0"/>
    <x v="1"/>
    <x v="1"/>
    <x v="1"/>
  </r>
  <r>
    <d v="2024-09-29T00:00:00"/>
    <x v="2"/>
    <x v="0"/>
    <x v="688"/>
    <x v="16"/>
    <x v="0"/>
    <d v="2024-09-29T00:00:00"/>
    <x v="184"/>
    <x v="2"/>
    <x v="6"/>
    <x v="0"/>
    <x v="1"/>
    <x v="1"/>
    <x v="1"/>
  </r>
  <r>
    <d v="2024-09-29T00:00:00"/>
    <x v="2"/>
    <x v="0"/>
    <x v="689"/>
    <x v="16"/>
    <x v="7"/>
    <d v="2024-09-29T00:00:00"/>
    <x v="184"/>
    <x v="2"/>
    <x v="6"/>
    <x v="0"/>
    <x v="1"/>
    <x v="1"/>
    <x v="1"/>
  </r>
  <r>
    <d v="2024-09-29T00:00:00"/>
    <x v="2"/>
    <x v="0"/>
    <x v="690"/>
    <x v="16"/>
    <x v="0"/>
    <d v="2024-09-29T00:00:00"/>
    <x v="184"/>
    <x v="2"/>
    <x v="6"/>
    <x v="0"/>
    <x v="1"/>
    <x v="1"/>
    <x v="1"/>
  </r>
  <r>
    <d v="2024-09-30T00:00:00"/>
    <x v="3"/>
    <x v="0"/>
    <x v="141"/>
    <x v="18"/>
    <x v="5"/>
    <d v="2024-09-30T00:00:00"/>
    <x v="185"/>
    <x v="3"/>
    <x v="6"/>
    <x v="0"/>
    <x v="1"/>
    <x v="1"/>
    <x v="1"/>
  </r>
  <r>
    <d v="2024-09-30T00:00:00"/>
    <x v="3"/>
    <x v="0"/>
    <x v="691"/>
    <x v="18"/>
    <x v="5"/>
    <d v="2024-09-30T00:00:00"/>
    <x v="185"/>
    <x v="3"/>
    <x v="6"/>
    <x v="0"/>
    <x v="1"/>
    <x v="1"/>
    <x v="1"/>
  </r>
  <r>
    <d v="2024-09-30T00:00:00"/>
    <x v="3"/>
    <x v="0"/>
    <x v="692"/>
    <x v="16"/>
    <x v="1"/>
    <d v="2024-09-30T00:00:00"/>
    <x v="185"/>
    <x v="3"/>
    <x v="6"/>
    <x v="0"/>
    <x v="1"/>
    <x v="1"/>
    <x v="1"/>
  </r>
  <r>
    <d v="2024-09-30T00:00:00"/>
    <x v="3"/>
    <x v="0"/>
    <x v="276"/>
    <x v="17"/>
    <x v="3"/>
    <d v="2024-09-30T00:00:00"/>
    <x v="185"/>
    <x v="3"/>
    <x v="6"/>
    <x v="0"/>
    <x v="1"/>
    <x v="1"/>
    <x v="1"/>
  </r>
  <r>
    <d v="2024-09-30T00:00:00"/>
    <x v="3"/>
    <x v="0"/>
    <x v="693"/>
    <x v="17"/>
    <x v="3"/>
    <d v="2024-09-30T00:00:00"/>
    <x v="185"/>
    <x v="3"/>
    <x v="6"/>
    <x v="0"/>
    <x v="1"/>
    <x v="1"/>
    <x v="1"/>
  </r>
  <r>
    <d v="2024-09-30T00:00:00"/>
    <x v="3"/>
    <x v="0"/>
    <x v="333"/>
    <x v="17"/>
    <x v="3"/>
    <d v="2024-09-30T00:00:00"/>
    <x v="185"/>
    <x v="3"/>
    <x v="6"/>
    <x v="0"/>
    <x v="1"/>
    <x v="1"/>
    <x v="1"/>
  </r>
  <r>
    <d v="2024-09-30T00:00:00"/>
    <x v="3"/>
    <x v="0"/>
    <x v="507"/>
    <x v="16"/>
    <x v="0"/>
    <d v="2024-09-30T00:00:00"/>
    <x v="185"/>
    <x v="3"/>
    <x v="6"/>
    <x v="0"/>
    <x v="1"/>
    <x v="1"/>
    <x v="1"/>
  </r>
  <r>
    <d v="2024-09-30T00:00:00"/>
    <x v="3"/>
    <x v="0"/>
    <x v="694"/>
    <x v="17"/>
    <x v="3"/>
    <d v="2024-09-30T00:00:00"/>
    <x v="185"/>
    <x v="3"/>
    <x v="6"/>
    <x v="0"/>
    <x v="1"/>
    <x v="1"/>
    <x v="1"/>
  </r>
  <r>
    <d v="2024-09-30T00:00:00"/>
    <x v="3"/>
    <x v="0"/>
    <x v="694"/>
    <x v="18"/>
    <x v="5"/>
    <d v="2024-09-30T00:00:00"/>
    <x v="185"/>
    <x v="3"/>
    <x v="6"/>
    <x v="0"/>
    <x v="1"/>
    <x v="1"/>
    <x v="1"/>
  </r>
  <r>
    <d v="2024-09-30T00:00:00"/>
    <x v="3"/>
    <x v="0"/>
    <x v="631"/>
    <x v="16"/>
    <x v="0"/>
    <d v="2024-09-30T00:00:00"/>
    <x v="185"/>
    <x v="3"/>
    <x v="6"/>
    <x v="0"/>
    <x v="1"/>
    <x v="1"/>
    <x v="1"/>
  </r>
  <r>
    <d v="2024-09-30T00:00:00"/>
    <x v="3"/>
    <x v="0"/>
    <x v="531"/>
    <x v="17"/>
    <x v="3"/>
    <d v="2024-09-30T00:00:00"/>
    <x v="185"/>
    <x v="3"/>
    <x v="6"/>
    <x v="0"/>
    <x v="1"/>
    <x v="1"/>
    <x v="1"/>
  </r>
  <r>
    <d v="2024-09-30T00:00:00"/>
    <x v="3"/>
    <x v="0"/>
    <x v="633"/>
    <x v="17"/>
    <x v="3"/>
    <d v="2024-09-30T00:00:00"/>
    <x v="185"/>
    <x v="3"/>
    <x v="6"/>
    <x v="0"/>
    <x v="1"/>
    <x v="1"/>
    <x v="1"/>
  </r>
  <r>
    <d v="2024-09-30T00:00:00"/>
    <x v="3"/>
    <x v="0"/>
    <x v="695"/>
    <x v="17"/>
    <x v="3"/>
    <d v="2024-09-30T00:00:00"/>
    <x v="185"/>
    <x v="3"/>
    <x v="6"/>
    <x v="0"/>
    <x v="1"/>
    <x v="1"/>
    <x v="1"/>
  </r>
  <r>
    <d v="2024-10-01T00:00:00"/>
    <x v="4"/>
    <x v="0"/>
    <x v="696"/>
    <x v="16"/>
    <x v="0"/>
    <d v="2024-10-01T00:00:00"/>
    <x v="186"/>
    <x v="4"/>
    <x v="7"/>
    <x v="0"/>
    <x v="1"/>
    <x v="1"/>
    <x v="1"/>
  </r>
  <r>
    <d v="2024-10-01T00:00:00"/>
    <x v="4"/>
    <x v="0"/>
    <x v="276"/>
    <x v="17"/>
    <x v="3"/>
    <d v="2024-10-01T00:00:00"/>
    <x v="186"/>
    <x v="4"/>
    <x v="7"/>
    <x v="0"/>
    <x v="1"/>
    <x v="1"/>
    <x v="1"/>
  </r>
  <r>
    <d v="2024-10-01T00:00:00"/>
    <x v="4"/>
    <x v="0"/>
    <x v="333"/>
    <x v="17"/>
    <x v="3"/>
    <d v="2024-10-01T00:00:00"/>
    <x v="186"/>
    <x v="4"/>
    <x v="7"/>
    <x v="0"/>
    <x v="1"/>
    <x v="1"/>
    <x v="1"/>
  </r>
  <r>
    <d v="2024-10-01T00:00:00"/>
    <x v="4"/>
    <x v="0"/>
    <x v="697"/>
    <x v="17"/>
    <x v="3"/>
    <d v="2024-10-01T00:00:00"/>
    <x v="186"/>
    <x v="4"/>
    <x v="7"/>
    <x v="0"/>
    <x v="1"/>
    <x v="1"/>
    <x v="1"/>
  </r>
  <r>
    <d v="2024-10-01T00:00:00"/>
    <x v="4"/>
    <x v="0"/>
    <x v="698"/>
    <x v="17"/>
    <x v="3"/>
    <d v="2024-10-01T00:00:00"/>
    <x v="186"/>
    <x v="4"/>
    <x v="7"/>
    <x v="0"/>
    <x v="1"/>
    <x v="1"/>
    <x v="1"/>
  </r>
  <r>
    <d v="2024-10-01T00:00:00"/>
    <x v="4"/>
    <x v="0"/>
    <x v="699"/>
    <x v="18"/>
    <x v="2"/>
    <d v="2024-10-01T00:00:00"/>
    <x v="186"/>
    <x v="4"/>
    <x v="7"/>
    <x v="0"/>
    <x v="1"/>
    <x v="1"/>
    <x v="1"/>
  </r>
  <r>
    <d v="2024-10-01T00:00:00"/>
    <x v="4"/>
    <x v="0"/>
    <x v="699"/>
    <x v="17"/>
    <x v="3"/>
    <d v="2024-10-01T00:00:00"/>
    <x v="186"/>
    <x v="4"/>
    <x v="7"/>
    <x v="0"/>
    <x v="1"/>
    <x v="1"/>
    <x v="1"/>
  </r>
  <r>
    <d v="2024-10-01T00:00:00"/>
    <x v="4"/>
    <x v="0"/>
    <x v="637"/>
    <x v="16"/>
    <x v="1"/>
    <d v="2024-10-01T00:00:00"/>
    <x v="186"/>
    <x v="4"/>
    <x v="7"/>
    <x v="0"/>
    <x v="1"/>
    <x v="1"/>
    <x v="1"/>
  </r>
  <r>
    <d v="2024-10-01T00:00:00"/>
    <x v="4"/>
    <x v="0"/>
    <x v="700"/>
    <x v="18"/>
    <x v="2"/>
    <d v="2024-10-01T00:00:00"/>
    <x v="186"/>
    <x v="4"/>
    <x v="7"/>
    <x v="0"/>
    <x v="1"/>
    <x v="1"/>
    <x v="1"/>
  </r>
  <r>
    <d v="2024-10-01T00:00:00"/>
    <x v="4"/>
    <x v="0"/>
    <x v="701"/>
    <x v="16"/>
    <x v="0"/>
    <d v="2024-10-01T00:00:00"/>
    <x v="186"/>
    <x v="4"/>
    <x v="7"/>
    <x v="0"/>
    <x v="1"/>
    <x v="1"/>
    <x v="1"/>
  </r>
  <r>
    <d v="2024-10-01T00:00:00"/>
    <x v="4"/>
    <x v="0"/>
    <x v="702"/>
    <x v="16"/>
    <x v="0"/>
    <d v="2024-10-01T00:00:00"/>
    <x v="186"/>
    <x v="4"/>
    <x v="7"/>
    <x v="0"/>
    <x v="1"/>
    <x v="1"/>
    <x v="1"/>
  </r>
  <r>
    <d v="2024-10-01T00:00:00"/>
    <x v="4"/>
    <x v="0"/>
    <x v="702"/>
    <x v="16"/>
    <x v="1"/>
    <d v="2024-10-01T00:00:00"/>
    <x v="186"/>
    <x v="4"/>
    <x v="7"/>
    <x v="0"/>
    <x v="1"/>
    <x v="1"/>
    <x v="1"/>
  </r>
  <r>
    <d v="2024-10-01T00:00:00"/>
    <x v="4"/>
    <x v="0"/>
    <x v="585"/>
    <x v="16"/>
    <x v="1"/>
    <d v="2024-10-01T00:00:00"/>
    <x v="186"/>
    <x v="4"/>
    <x v="7"/>
    <x v="0"/>
    <x v="1"/>
    <x v="1"/>
    <x v="1"/>
  </r>
  <r>
    <d v="2024-10-02T00:00:00"/>
    <x v="5"/>
    <x v="0"/>
    <x v="703"/>
    <x v="16"/>
    <x v="0"/>
    <d v="2024-10-02T00:00:00"/>
    <x v="187"/>
    <x v="5"/>
    <x v="7"/>
    <x v="0"/>
    <x v="1"/>
    <x v="1"/>
    <x v="1"/>
  </r>
  <r>
    <d v="2024-10-02T00:00:00"/>
    <x v="5"/>
    <x v="0"/>
    <x v="141"/>
    <x v="18"/>
    <x v="5"/>
    <d v="2024-10-02T00:00:00"/>
    <x v="187"/>
    <x v="5"/>
    <x v="7"/>
    <x v="0"/>
    <x v="1"/>
    <x v="1"/>
    <x v="1"/>
  </r>
  <r>
    <d v="2024-10-02T00:00:00"/>
    <x v="5"/>
    <x v="0"/>
    <x v="276"/>
    <x v="17"/>
    <x v="3"/>
    <d v="2024-10-02T00:00:00"/>
    <x v="187"/>
    <x v="5"/>
    <x v="7"/>
    <x v="0"/>
    <x v="1"/>
    <x v="1"/>
    <x v="1"/>
  </r>
  <r>
    <d v="2024-10-02T00:00:00"/>
    <x v="5"/>
    <x v="0"/>
    <x v="375"/>
    <x v="16"/>
    <x v="0"/>
    <d v="2024-10-02T00:00:00"/>
    <x v="187"/>
    <x v="5"/>
    <x v="7"/>
    <x v="0"/>
    <x v="1"/>
    <x v="1"/>
    <x v="1"/>
  </r>
  <r>
    <d v="2024-10-02T00:00:00"/>
    <x v="5"/>
    <x v="0"/>
    <x v="704"/>
    <x v="17"/>
    <x v="3"/>
    <d v="2024-10-02T00:00:00"/>
    <x v="187"/>
    <x v="5"/>
    <x v="7"/>
    <x v="0"/>
    <x v="1"/>
    <x v="1"/>
    <x v="1"/>
  </r>
  <r>
    <d v="2024-10-02T00:00:00"/>
    <x v="5"/>
    <x v="0"/>
    <x v="705"/>
    <x v="16"/>
    <x v="7"/>
    <d v="2024-10-02T00:00:00"/>
    <x v="187"/>
    <x v="5"/>
    <x v="7"/>
    <x v="0"/>
    <x v="1"/>
    <x v="1"/>
    <x v="1"/>
  </r>
  <r>
    <d v="2024-10-02T00:00:00"/>
    <x v="5"/>
    <x v="0"/>
    <x v="706"/>
    <x v="16"/>
    <x v="7"/>
    <d v="2024-10-02T00:00:00"/>
    <x v="187"/>
    <x v="5"/>
    <x v="7"/>
    <x v="0"/>
    <x v="1"/>
    <x v="1"/>
    <x v="1"/>
  </r>
  <r>
    <d v="2024-10-02T00:00:00"/>
    <x v="5"/>
    <x v="0"/>
    <x v="255"/>
    <x v="16"/>
    <x v="1"/>
    <d v="2024-10-02T00:00:00"/>
    <x v="187"/>
    <x v="5"/>
    <x v="7"/>
    <x v="0"/>
    <x v="1"/>
    <x v="1"/>
    <x v="1"/>
  </r>
  <r>
    <d v="2024-10-02T00:00:00"/>
    <x v="5"/>
    <x v="0"/>
    <x v="637"/>
    <x v="16"/>
    <x v="1"/>
    <d v="2024-10-02T00:00:00"/>
    <x v="187"/>
    <x v="5"/>
    <x v="7"/>
    <x v="0"/>
    <x v="1"/>
    <x v="1"/>
    <x v="1"/>
  </r>
  <r>
    <d v="2024-10-02T00:00:00"/>
    <x v="5"/>
    <x v="0"/>
    <x v="707"/>
    <x v="16"/>
    <x v="1"/>
    <d v="2024-10-02T00:00:00"/>
    <x v="187"/>
    <x v="5"/>
    <x v="7"/>
    <x v="0"/>
    <x v="1"/>
    <x v="1"/>
    <x v="1"/>
  </r>
  <r>
    <d v="2024-10-03T00:00:00"/>
    <x v="6"/>
    <x v="0"/>
    <x v="708"/>
    <x v="16"/>
    <x v="4"/>
    <d v="2024-10-03T00:00:00"/>
    <x v="188"/>
    <x v="6"/>
    <x v="7"/>
    <x v="0"/>
    <x v="1"/>
    <x v="1"/>
    <x v="1"/>
  </r>
  <r>
    <d v="2024-10-03T00:00:00"/>
    <x v="6"/>
    <x v="0"/>
    <x v="709"/>
    <x v="17"/>
    <x v="3"/>
    <d v="2024-10-03T00:00:00"/>
    <x v="188"/>
    <x v="6"/>
    <x v="7"/>
    <x v="0"/>
    <x v="1"/>
    <x v="1"/>
    <x v="1"/>
  </r>
  <r>
    <d v="2024-10-03T00:00:00"/>
    <x v="6"/>
    <x v="0"/>
    <x v="710"/>
    <x v="18"/>
    <x v="5"/>
    <d v="2024-10-03T00:00:00"/>
    <x v="188"/>
    <x v="6"/>
    <x v="7"/>
    <x v="0"/>
    <x v="1"/>
    <x v="1"/>
    <x v="1"/>
  </r>
  <r>
    <d v="2024-10-03T00:00:00"/>
    <x v="6"/>
    <x v="0"/>
    <x v="710"/>
    <x v="16"/>
    <x v="1"/>
    <d v="2024-10-03T00:00:00"/>
    <x v="188"/>
    <x v="6"/>
    <x v="7"/>
    <x v="0"/>
    <x v="1"/>
    <x v="1"/>
    <x v="1"/>
  </r>
  <r>
    <d v="2024-10-03T00:00:00"/>
    <x v="6"/>
    <x v="0"/>
    <x v="637"/>
    <x v="16"/>
    <x v="1"/>
    <d v="2024-10-03T00:00:00"/>
    <x v="188"/>
    <x v="6"/>
    <x v="7"/>
    <x v="0"/>
    <x v="1"/>
    <x v="1"/>
    <x v="1"/>
  </r>
  <r>
    <d v="2024-10-03T00:00:00"/>
    <x v="6"/>
    <x v="0"/>
    <x v="711"/>
    <x v="16"/>
    <x v="7"/>
    <d v="2024-10-03T00:00:00"/>
    <x v="188"/>
    <x v="6"/>
    <x v="7"/>
    <x v="0"/>
    <x v="1"/>
    <x v="1"/>
    <x v="1"/>
  </r>
  <r>
    <d v="2024-10-03T00:00:00"/>
    <x v="6"/>
    <x v="0"/>
    <x v="712"/>
    <x v="16"/>
    <x v="1"/>
    <d v="2024-10-03T00:00:00"/>
    <x v="188"/>
    <x v="6"/>
    <x v="7"/>
    <x v="0"/>
    <x v="1"/>
    <x v="1"/>
    <x v="1"/>
  </r>
  <r>
    <d v="2024-10-04T00:00:00"/>
    <x v="0"/>
    <x v="0"/>
    <x v="440"/>
    <x v="18"/>
    <x v="2"/>
    <d v="2024-10-04T00:00:00"/>
    <x v="189"/>
    <x v="0"/>
    <x v="7"/>
    <x v="0"/>
    <x v="1"/>
    <x v="1"/>
    <x v="1"/>
  </r>
  <r>
    <d v="2024-10-04T00:00:00"/>
    <x v="0"/>
    <x v="0"/>
    <x v="3"/>
    <x v="17"/>
    <x v="3"/>
    <d v="2024-10-04T00:00:00"/>
    <x v="189"/>
    <x v="0"/>
    <x v="7"/>
    <x v="0"/>
    <x v="1"/>
    <x v="1"/>
    <x v="1"/>
  </r>
  <r>
    <d v="2024-10-04T00:00:00"/>
    <x v="0"/>
    <x v="0"/>
    <x v="2"/>
    <x v="18"/>
    <x v="2"/>
    <d v="2024-10-04T00:00:00"/>
    <x v="189"/>
    <x v="0"/>
    <x v="7"/>
    <x v="0"/>
    <x v="1"/>
    <x v="1"/>
    <x v="1"/>
  </r>
  <r>
    <d v="2024-10-04T00:00:00"/>
    <x v="0"/>
    <x v="0"/>
    <x v="650"/>
    <x v="18"/>
    <x v="5"/>
    <d v="2024-10-04T00:00:00"/>
    <x v="189"/>
    <x v="0"/>
    <x v="7"/>
    <x v="0"/>
    <x v="1"/>
    <x v="1"/>
    <x v="1"/>
  </r>
  <r>
    <d v="2024-10-04T00:00:00"/>
    <x v="0"/>
    <x v="0"/>
    <x v="713"/>
    <x v="16"/>
    <x v="0"/>
    <d v="2024-10-04T00:00:00"/>
    <x v="189"/>
    <x v="0"/>
    <x v="7"/>
    <x v="0"/>
    <x v="1"/>
    <x v="1"/>
    <x v="1"/>
  </r>
  <r>
    <d v="2024-10-04T00:00:00"/>
    <x v="0"/>
    <x v="0"/>
    <x v="714"/>
    <x v="16"/>
    <x v="1"/>
    <d v="2024-10-04T00:00:00"/>
    <x v="189"/>
    <x v="0"/>
    <x v="7"/>
    <x v="0"/>
    <x v="1"/>
    <x v="1"/>
    <x v="1"/>
  </r>
  <r>
    <d v="2024-10-04T00:00:00"/>
    <x v="0"/>
    <x v="0"/>
    <x v="714"/>
    <x v="16"/>
    <x v="4"/>
    <d v="2024-10-04T00:00:00"/>
    <x v="189"/>
    <x v="0"/>
    <x v="7"/>
    <x v="0"/>
    <x v="1"/>
    <x v="1"/>
    <x v="1"/>
  </r>
  <r>
    <d v="2024-10-05T00:00:00"/>
    <x v="1"/>
    <x v="0"/>
    <x v="141"/>
    <x v="18"/>
    <x v="5"/>
    <d v="2024-10-05T00:00:00"/>
    <x v="190"/>
    <x v="1"/>
    <x v="7"/>
    <x v="0"/>
    <x v="1"/>
    <x v="1"/>
    <x v="1"/>
  </r>
  <r>
    <d v="2024-10-05T00:00:00"/>
    <x v="1"/>
    <x v="0"/>
    <x v="715"/>
    <x v="16"/>
    <x v="4"/>
    <d v="2024-10-05T00:00:00"/>
    <x v="190"/>
    <x v="1"/>
    <x v="7"/>
    <x v="0"/>
    <x v="1"/>
    <x v="1"/>
    <x v="1"/>
  </r>
  <r>
    <d v="2024-10-05T00:00:00"/>
    <x v="1"/>
    <x v="0"/>
    <x v="206"/>
    <x v="16"/>
    <x v="7"/>
    <d v="2024-10-05T00:00:00"/>
    <x v="190"/>
    <x v="1"/>
    <x v="7"/>
    <x v="0"/>
    <x v="1"/>
    <x v="1"/>
    <x v="1"/>
  </r>
  <r>
    <d v="2024-10-05T00:00:00"/>
    <x v="1"/>
    <x v="0"/>
    <x v="12"/>
    <x v="18"/>
    <x v="2"/>
    <d v="2024-10-05T00:00:00"/>
    <x v="190"/>
    <x v="1"/>
    <x v="7"/>
    <x v="0"/>
    <x v="1"/>
    <x v="1"/>
    <x v="1"/>
  </r>
  <r>
    <d v="2024-10-06T00:00:00"/>
    <x v="2"/>
    <x v="0"/>
    <x v="141"/>
    <x v="18"/>
    <x v="5"/>
    <d v="2024-10-06T00:00:00"/>
    <x v="191"/>
    <x v="2"/>
    <x v="7"/>
    <x v="0"/>
    <x v="1"/>
    <x v="1"/>
    <x v="1"/>
  </r>
  <r>
    <d v="2024-10-06T00:00:00"/>
    <x v="2"/>
    <x v="0"/>
    <x v="195"/>
    <x v="16"/>
    <x v="7"/>
    <d v="2024-10-06T00:00:00"/>
    <x v="191"/>
    <x v="2"/>
    <x v="7"/>
    <x v="0"/>
    <x v="1"/>
    <x v="1"/>
    <x v="1"/>
  </r>
  <r>
    <d v="2024-10-06T00:00:00"/>
    <x v="2"/>
    <x v="0"/>
    <x v="195"/>
    <x v="18"/>
    <x v="5"/>
    <d v="2024-10-06T00:00:00"/>
    <x v="191"/>
    <x v="2"/>
    <x v="7"/>
    <x v="0"/>
    <x v="1"/>
    <x v="1"/>
    <x v="1"/>
  </r>
  <r>
    <d v="2024-10-06T00:00:00"/>
    <x v="2"/>
    <x v="0"/>
    <x v="716"/>
    <x v="16"/>
    <x v="0"/>
    <d v="2024-10-06T00:00:00"/>
    <x v="191"/>
    <x v="2"/>
    <x v="7"/>
    <x v="0"/>
    <x v="1"/>
    <x v="1"/>
    <x v="1"/>
  </r>
  <r>
    <d v="2024-10-06T00:00:00"/>
    <x v="2"/>
    <x v="0"/>
    <x v="665"/>
    <x v="16"/>
    <x v="0"/>
    <d v="2024-10-06T00:00:00"/>
    <x v="191"/>
    <x v="2"/>
    <x v="7"/>
    <x v="0"/>
    <x v="1"/>
    <x v="1"/>
    <x v="1"/>
  </r>
  <r>
    <d v="2024-10-06T00:00:00"/>
    <x v="2"/>
    <x v="0"/>
    <x v="665"/>
    <x v="16"/>
    <x v="7"/>
    <d v="2024-10-06T00:00:00"/>
    <x v="191"/>
    <x v="2"/>
    <x v="7"/>
    <x v="0"/>
    <x v="1"/>
    <x v="1"/>
    <x v="1"/>
  </r>
  <r>
    <d v="2024-10-06T00:00:00"/>
    <x v="2"/>
    <x v="0"/>
    <x v="665"/>
    <x v="17"/>
    <x v="3"/>
    <d v="2024-10-06T00:00:00"/>
    <x v="191"/>
    <x v="2"/>
    <x v="7"/>
    <x v="0"/>
    <x v="1"/>
    <x v="1"/>
    <x v="1"/>
  </r>
  <r>
    <d v="2024-10-06T00:00:00"/>
    <x v="2"/>
    <x v="0"/>
    <x v="717"/>
    <x v="18"/>
    <x v="2"/>
    <d v="2024-10-06T00:00:00"/>
    <x v="191"/>
    <x v="2"/>
    <x v="7"/>
    <x v="0"/>
    <x v="1"/>
    <x v="1"/>
    <x v="1"/>
  </r>
  <r>
    <d v="2024-10-06T00:00:00"/>
    <x v="2"/>
    <x v="0"/>
    <x v="717"/>
    <x v="16"/>
    <x v="7"/>
    <d v="2024-10-06T00:00:00"/>
    <x v="191"/>
    <x v="2"/>
    <x v="7"/>
    <x v="0"/>
    <x v="1"/>
    <x v="1"/>
    <x v="1"/>
  </r>
  <r>
    <d v="2024-10-06T00:00:00"/>
    <x v="2"/>
    <x v="0"/>
    <x v="718"/>
    <x v="17"/>
    <x v="3"/>
    <d v="2024-10-06T00:00:00"/>
    <x v="191"/>
    <x v="2"/>
    <x v="7"/>
    <x v="0"/>
    <x v="1"/>
    <x v="1"/>
    <x v="1"/>
  </r>
  <r>
    <d v="2024-10-06T00:00:00"/>
    <x v="2"/>
    <x v="0"/>
    <x v="718"/>
    <x v="16"/>
    <x v="0"/>
    <d v="2024-10-06T00:00:00"/>
    <x v="191"/>
    <x v="2"/>
    <x v="7"/>
    <x v="0"/>
    <x v="1"/>
    <x v="1"/>
    <x v="1"/>
  </r>
  <r>
    <d v="2024-10-06T00:00:00"/>
    <x v="2"/>
    <x v="0"/>
    <x v="718"/>
    <x v="16"/>
    <x v="7"/>
    <d v="2024-10-06T00:00:00"/>
    <x v="191"/>
    <x v="2"/>
    <x v="7"/>
    <x v="0"/>
    <x v="1"/>
    <x v="1"/>
    <x v="1"/>
  </r>
  <r>
    <d v="2024-10-06T00:00:00"/>
    <x v="2"/>
    <x v="0"/>
    <x v="719"/>
    <x v="16"/>
    <x v="7"/>
    <d v="2024-10-06T00:00:00"/>
    <x v="191"/>
    <x v="2"/>
    <x v="7"/>
    <x v="0"/>
    <x v="1"/>
    <x v="1"/>
    <x v="1"/>
  </r>
  <r>
    <d v="2024-10-06T00:00:00"/>
    <x v="2"/>
    <x v="0"/>
    <x v="720"/>
    <x v="19"/>
    <x v="6"/>
    <d v="2024-10-06T00:00:00"/>
    <x v="191"/>
    <x v="2"/>
    <x v="7"/>
    <x v="0"/>
    <x v="1"/>
    <x v="1"/>
    <x v="1"/>
  </r>
  <r>
    <d v="2024-10-06T00:00:00"/>
    <x v="2"/>
    <x v="0"/>
    <x v="721"/>
    <x v="17"/>
    <x v="3"/>
    <d v="2024-10-06T00:00:00"/>
    <x v="191"/>
    <x v="2"/>
    <x v="7"/>
    <x v="0"/>
    <x v="1"/>
    <x v="1"/>
    <x v="1"/>
  </r>
  <r>
    <d v="2024-10-06T00:00:00"/>
    <x v="2"/>
    <x v="0"/>
    <x v="722"/>
    <x v="16"/>
    <x v="1"/>
    <d v="2024-10-06T00:00:00"/>
    <x v="191"/>
    <x v="2"/>
    <x v="7"/>
    <x v="0"/>
    <x v="1"/>
    <x v="1"/>
    <x v="1"/>
  </r>
  <r>
    <d v="2024-10-06T00:00:00"/>
    <x v="2"/>
    <x v="0"/>
    <x v="723"/>
    <x v="16"/>
    <x v="1"/>
    <d v="2024-10-06T00:00:00"/>
    <x v="191"/>
    <x v="2"/>
    <x v="7"/>
    <x v="0"/>
    <x v="1"/>
    <x v="1"/>
    <x v="1"/>
  </r>
  <r>
    <d v="2024-10-06T00:00:00"/>
    <x v="2"/>
    <x v="0"/>
    <x v="636"/>
    <x v="16"/>
    <x v="1"/>
    <d v="2024-10-06T00:00:00"/>
    <x v="191"/>
    <x v="2"/>
    <x v="7"/>
    <x v="0"/>
    <x v="1"/>
    <x v="1"/>
    <x v="1"/>
  </r>
  <r>
    <d v="2024-10-06T00:00:00"/>
    <x v="2"/>
    <x v="0"/>
    <x v="637"/>
    <x v="16"/>
    <x v="0"/>
    <d v="2024-10-06T00:00:00"/>
    <x v="191"/>
    <x v="2"/>
    <x v="7"/>
    <x v="0"/>
    <x v="1"/>
    <x v="1"/>
    <x v="1"/>
  </r>
  <r>
    <d v="2024-10-07T00:00:00"/>
    <x v="3"/>
    <x v="0"/>
    <x v="724"/>
    <x v="16"/>
    <x v="0"/>
    <d v="2024-10-07T00:00:00"/>
    <x v="81"/>
    <x v="3"/>
    <x v="7"/>
    <x v="0"/>
    <x v="1"/>
    <x v="1"/>
    <x v="1"/>
  </r>
  <r>
    <d v="2024-10-07T00:00:00"/>
    <x v="3"/>
    <x v="0"/>
    <x v="385"/>
    <x v="16"/>
    <x v="0"/>
    <d v="2024-10-07T00:00:00"/>
    <x v="81"/>
    <x v="3"/>
    <x v="7"/>
    <x v="0"/>
    <x v="1"/>
    <x v="1"/>
    <x v="1"/>
  </r>
  <r>
    <d v="2024-10-07T00:00:00"/>
    <x v="3"/>
    <x v="0"/>
    <x v="385"/>
    <x v="17"/>
    <x v="3"/>
    <d v="2024-10-07T00:00:00"/>
    <x v="81"/>
    <x v="3"/>
    <x v="7"/>
    <x v="0"/>
    <x v="1"/>
    <x v="1"/>
    <x v="1"/>
  </r>
  <r>
    <d v="2024-10-07T00:00:00"/>
    <x v="3"/>
    <x v="0"/>
    <x v="725"/>
    <x v="16"/>
    <x v="4"/>
    <d v="2024-10-07T00:00:00"/>
    <x v="81"/>
    <x v="3"/>
    <x v="7"/>
    <x v="0"/>
    <x v="1"/>
    <x v="1"/>
    <x v="1"/>
  </r>
  <r>
    <d v="2024-10-07T00:00:00"/>
    <x v="3"/>
    <x v="0"/>
    <x v="726"/>
    <x v="16"/>
    <x v="0"/>
    <d v="2024-10-07T00:00:00"/>
    <x v="81"/>
    <x v="3"/>
    <x v="7"/>
    <x v="0"/>
    <x v="1"/>
    <x v="1"/>
    <x v="1"/>
  </r>
  <r>
    <d v="2024-10-07T00:00:00"/>
    <x v="3"/>
    <x v="0"/>
    <x v="727"/>
    <x v="17"/>
    <x v="3"/>
    <d v="2024-10-07T00:00:00"/>
    <x v="81"/>
    <x v="3"/>
    <x v="7"/>
    <x v="0"/>
    <x v="1"/>
    <x v="1"/>
    <x v="1"/>
  </r>
  <r>
    <d v="2024-10-07T00:00:00"/>
    <x v="3"/>
    <x v="0"/>
    <x v="728"/>
    <x v="18"/>
    <x v="2"/>
    <d v="2024-10-07T00:00:00"/>
    <x v="81"/>
    <x v="3"/>
    <x v="7"/>
    <x v="0"/>
    <x v="1"/>
    <x v="1"/>
    <x v="1"/>
  </r>
  <r>
    <d v="2024-10-07T00:00:00"/>
    <x v="3"/>
    <x v="0"/>
    <x v="494"/>
    <x v="16"/>
    <x v="0"/>
    <d v="2024-10-07T00:00:00"/>
    <x v="81"/>
    <x v="3"/>
    <x v="7"/>
    <x v="0"/>
    <x v="1"/>
    <x v="1"/>
    <x v="1"/>
  </r>
  <r>
    <d v="2024-10-07T00:00:00"/>
    <x v="3"/>
    <x v="0"/>
    <x v="636"/>
    <x v="16"/>
    <x v="1"/>
    <d v="2024-10-07T00:00:00"/>
    <x v="81"/>
    <x v="3"/>
    <x v="7"/>
    <x v="0"/>
    <x v="1"/>
    <x v="1"/>
    <x v="1"/>
  </r>
  <r>
    <d v="2024-10-07T00:00:00"/>
    <x v="3"/>
    <x v="0"/>
    <x v="598"/>
    <x v="16"/>
    <x v="0"/>
    <d v="2024-10-07T00:00:00"/>
    <x v="81"/>
    <x v="3"/>
    <x v="7"/>
    <x v="0"/>
    <x v="1"/>
    <x v="1"/>
    <x v="1"/>
  </r>
  <r>
    <d v="2024-10-08T00:00:00"/>
    <x v="4"/>
    <x v="0"/>
    <x v="703"/>
    <x v="16"/>
    <x v="0"/>
    <d v="2024-10-08T00:00:00"/>
    <x v="192"/>
    <x v="4"/>
    <x v="7"/>
    <x v="0"/>
    <x v="1"/>
    <x v="1"/>
    <x v="1"/>
  </r>
  <r>
    <d v="2024-10-08T00:00:00"/>
    <x v="4"/>
    <x v="0"/>
    <x v="276"/>
    <x v="17"/>
    <x v="3"/>
    <d v="2024-10-08T00:00:00"/>
    <x v="192"/>
    <x v="4"/>
    <x v="7"/>
    <x v="0"/>
    <x v="1"/>
    <x v="1"/>
    <x v="1"/>
  </r>
  <r>
    <d v="2024-10-08T00:00:00"/>
    <x v="4"/>
    <x v="0"/>
    <x v="700"/>
    <x v="18"/>
    <x v="2"/>
    <d v="2024-10-08T00:00:00"/>
    <x v="192"/>
    <x v="4"/>
    <x v="7"/>
    <x v="0"/>
    <x v="1"/>
    <x v="1"/>
    <x v="1"/>
  </r>
  <r>
    <d v="2024-10-08T00:00:00"/>
    <x v="4"/>
    <x v="0"/>
    <x v="683"/>
    <x v="16"/>
    <x v="0"/>
    <d v="2024-10-08T00:00:00"/>
    <x v="192"/>
    <x v="4"/>
    <x v="7"/>
    <x v="0"/>
    <x v="1"/>
    <x v="1"/>
    <x v="1"/>
  </r>
  <r>
    <d v="2024-10-08T00:00:00"/>
    <x v="4"/>
    <x v="0"/>
    <x v="726"/>
    <x v="16"/>
    <x v="0"/>
    <d v="2024-10-08T00:00:00"/>
    <x v="192"/>
    <x v="4"/>
    <x v="7"/>
    <x v="0"/>
    <x v="1"/>
    <x v="1"/>
    <x v="1"/>
  </r>
  <r>
    <d v="2024-10-08T00:00:00"/>
    <x v="4"/>
    <x v="0"/>
    <x v="225"/>
    <x v="18"/>
    <x v="2"/>
    <d v="2024-10-08T00:00:00"/>
    <x v="192"/>
    <x v="4"/>
    <x v="7"/>
    <x v="0"/>
    <x v="1"/>
    <x v="1"/>
    <x v="1"/>
  </r>
  <r>
    <d v="2024-10-08T00:00:00"/>
    <x v="4"/>
    <x v="0"/>
    <x v="729"/>
    <x v="16"/>
    <x v="0"/>
    <d v="2024-10-08T00:00:00"/>
    <x v="192"/>
    <x v="4"/>
    <x v="7"/>
    <x v="0"/>
    <x v="1"/>
    <x v="1"/>
    <x v="1"/>
  </r>
  <r>
    <d v="2024-10-08T00:00:00"/>
    <x v="4"/>
    <x v="0"/>
    <x v="507"/>
    <x v="16"/>
    <x v="0"/>
    <d v="2024-10-08T00:00:00"/>
    <x v="192"/>
    <x v="4"/>
    <x v="7"/>
    <x v="0"/>
    <x v="1"/>
    <x v="1"/>
    <x v="1"/>
  </r>
  <r>
    <d v="2024-10-08T00:00:00"/>
    <x v="4"/>
    <x v="0"/>
    <x v="475"/>
    <x v="16"/>
    <x v="0"/>
    <d v="2024-10-08T00:00:00"/>
    <x v="192"/>
    <x v="4"/>
    <x v="7"/>
    <x v="0"/>
    <x v="1"/>
    <x v="1"/>
    <x v="1"/>
  </r>
  <r>
    <d v="2024-10-08T00:00:00"/>
    <x v="4"/>
    <x v="0"/>
    <x v="50"/>
    <x v="18"/>
    <x v="2"/>
    <d v="2024-10-08T00:00:00"/>
    <x v="192"/>
    <x v="4"/>
    <x v="7"/>
    <x v="0"/>
    <x v="1"/>
    <x v="1"/>
    <x v="1"/>
  </r>
  <r>
    <d v="2024-10-08T00:00:00"/>
    <x v="4"/>
    <x v="0"/>
    <x v="730"/>
    <x v="17"/>
    <x v="3"/>
    <d v="2024-10-08T00:00:00"/>
    <x v="192"/>
    <x v="4"/>
    <x v="7"/>
    <x v="0"/>
    <x v="1"/>
    <x v="1"/>
    <x v="1"/>
  </r>
  <r>
    <d v="2024-10-08T00:00:00"/>
    <x v="4"/>
    <x v="0"/>
    <x v="731"/>
    <x v="16"/>
    <x v="1"/>
    <d v="2024-10-08T00:00:00"/>
    <x v="192"/>
    <x v="4"/>
    <x v="7"/>
    <x v="0"/>
    <x v="1"/>
    <x v="1"/>
    <x v="1"/>
  </r>
  <r>
    <d v="2024-10-08T00:00:00"/>
    <x v="4"/>
    <x v="0"/>
    <x v="731"/>
    <x v="16"/>
    <x v="7"/>
    <d v="2024-10-08T00:00:00"/>
    <x v="192"/>
    <x v="4"/>
    <x v="7"/>
    <x v="0"/>
    <x v="1"/>
    <x v="1"/>
    <x v="1"/>
  </r>
  <r>
    <d v="2024-10-08T00:00:00"/>
    <x v="4"/>
    <x v="0"/>
    <x v="732"/>
    <x v="16"/>
    <x v="0"/>
    <d v="2024-10-08T00:00:00"/>
    <x v="192"/>
    <x v="4"/>
    <x v="7"/>
    <x v="0"/>
    <x v="1"/>
    <x v="1"/>
    <x v="1"/>
  </r>
  <r>
    <d v="2024-10-08T00:00:00"/>
    <x v="4"/>
    <x v="0"/>
    <x v="40"/>
    <x v="17"/>
    <x v="3"/>
    <d v="2024-10-08T00:00:00"/>
    <x v="192"/>
    <x v="4"/>
    <x v="7"/>
    <x v="0"/>
    <x v="1"/>
    <x v="1"/>
    <x v="1"/>
  </r>
  <r>
    <d v="2024-10-09T00:00:00"/>
    <x v="5"/>
    <x v="0"/>
    <x v="570"/>
    <x v="16"/>
    <x v="0"/>
    <d v="2024-10-09T00:00:00"/>
    <x v="193"/>
    <x v="5"/>
    <x v="7"/>
    <x v="0"/>
    <x v="1"/>
    <x v="1"/>
    <x v="1"/>
  </r>
  <r>
    <d v="2024-10-09T00:00:00"/>
    <x v="5"/>
    <x v="0"/>
    <x v="276"/>
    <x v="17"/>
    <x v="3"/>
    <d v="2024-10-09T00:00:00"/>
    <x v="193"/>
    <x v="5"/>
    <x v="7"/>
    <x v="0"/>
    <x v="1"/>
    <x v="1"/>
    <x v="1"/>
  </r>
  <r>
    <d v="2024-10-09T00:00:00"/>
    <x v="5"/>
    <x v="0"/>
    <x v="424"/>
    <x v="17"/>
    <x v="3"/>
    <d v="2024-10-09T00:00:00"/>
    <x v="193"/>
    <x v="5"/>
    <x v="7"/>
    <x v="0"/>
    <x v="1"/>
    <x v="1"/>
    <x v="1"/>
  </r>
  <r>
    <d v="2024-10-09T00:00:00"/>
    <x v="5"/>
    <x v="0"/>
    <x v="494"/>
    <x v="16"/>
    <x v="0"/>
    <d v="2024-10-09T00:00:00"/>
    <x v="193"/>
    <x v="5"/>
    <x v="7"/>
    <x v="0"/>
    <x v="1"/>
    <x v="1"/>
    <x v="1"/>
  </r>
  <r>
    <d v="2024-10-09T00:00:00"/>
    <x v="5"/>
    <x v="0"/>
    <x v="733"/>
    <x v="19"/>
    <x v="6"/>
    <d v="2024-10-09T00:00:00"/>
    <x v="193"/>
    <x v="5"/>
    <x v="7"/>
    <x v="0"/>
    <x v="1"/>
    <x v="1"/>
    <x v="1"/>
  </r>
  <r>
    <d v="2024-10-09T00:00:00"/>
    <x v="5"/>
    <x v="0"/>
    <x v="734"/>
    <x v="18"/>
    <x v="2"/>
    <d v="2024-10-09T00:00:00"/>
    <x v="193"/>
    <x v="5"/>
    <x v="7"/>
    <x v="0"/>
    <x v="1"/>
    <x v="1"/>
    <x v="1"/>
  </r>
  <r>
    <d v="2024-10-09T00:00:00"/>
    <x v="5"/>
    <x v="0"/>
    <x v="726"/>
    <x v="16"/>
    <x v="0"/>
    <d v="2024-10-09T00:00:00"/>
    <x v="193"/>
    <x v="5"/>
    <x v="7"/>
    <x v="0"/>
    <x v="1"/>
    <x v="1"/>
    <x v="1"/>
  </r>
  <r>
    <d v="2024-10-09T00:00:00"/>
    <x v="5"/>
    <x v="0"/>
    <x v="735"/>
    <x v="17"/>
    <x v="3"/>
    <d v="2024-10-09T00:00:00"/>
    <x v="193"/>
    <x v="5"/>
    <x v="7"/>
    <x v="0"/>
    <x v="1"/>
    <x v="1"/>
    <x v="1"/>
  </r>
  <r>
    <d v="2024-10-09T00:00:00"/>
    <x v="5"/>
    <x v="0"/>
    <x v="658"/>
    <x v="16"/>
    <x v="7"/>
    <d v="2024-10-09T00:00:00"/>
    <x v="193"/>
    <x v="5"/>
    <x v="7"/>
    <x v="0"/>
    <x v="1"/>
    <x v="1"/>
    <x v="1"/>
  </r>
  <r>
    <d v="2024-10-09T00:00:00"/>
    <x v="5"/>
    <x v="0"/>
    <x v="658"/>
    <x v="18"/>
    <x v="2"/>
    <d v="2024-10-09T00:00:00"/>
    <x v="193"/>
    <x v="5"/>
    <x v="7"/>
    <x v="0"/>
    <x v="1"/>
    <x v="1"/>
    <x v="1"/>
  </r>
  <r>
    <d v="2024-10-09T00:00:00"/>
    <x v="5"/>
    <x v="0"/>
    <x v="736"/>
    <x v="19"/>
    <x v="6"/>
    <d v="2024-10-09T00:00:00"/>
    <x v="193"/>
    <x v="5"/>
    <x v="7"/>
    <x v="0"/>
    <x v="1"/>
    <x v="1"/>
    <x v="1"/>
  </r>
  <r>
    <d v="2024-10-09T00:00:00"/>
    <x v="5"/>
    <x v="0"/>
    <x v="737"/>
    <x v="16"/>
    <x v="7"/>
    <d v="2024-10-09T00:00:00"/>
    <x v="193"/>
    <x v="5"/>
    <x v="7"/>
    <x v="0"/>
    <x v="1"/>
    <x v="1"/>
    <x v="1"/>
  </r>
  <r>
    <d v="2024-10-10T00:00:00"/>
    <x v="6"/>
    <x v="0"/>
    <x v="2"/>
    <x v="18"/>
    <x v="2"/>
    <d v="2024-10-10T00:00:00"/>
    <x v="194"/>
    <x v="6"/>
    <x v="7"/>
    <x v="0"/>
    <x v="1"/>
    <x v="1"/>
    <x v="1"/>
  </r>
  <r>
    <d v="2024-10-10T00:00:00"/>
    <x v="6"/>
    <x v="0"/>
    <x v="276"/>
    <x v="17"/>
    <x v="3"/>
    <d v="2024-10-10T00:00:00"/>
    <x v="194"/>
    <x v="6"/>
    <x v="7"/>
    <x v="0"/>
    <x v="1"/>
    <x v="1"/>
    <x v="1"/>
  </r>
  <r>
    <d v="2024-10-10T00:00:00"/>
    <x v="6"/>
    <x v="0"/>
    <x v="738"/>
    <x v="16"/>
    <x v="1"/>
    <d v="2024-10-10T00:00:00"/>
    <x v="194"/>
    <x v="6"/>
    <x v="7"/>
    <x v="0"/>
    <x v="1"/>
    <x v="1"/>
    <x v="1"/>
  </r>
  <r>
    <d v="2024-10-10T00:00:00"/>
    <x v="6"/>
    <x v="0"/>
    <x v="375"/>
    <x v="16"/>
    <x v="0"/>
    <d v="2024-10-10T00:00:00"/>
    <x v="194"/>
    <x v="6"/>
    <x v="7"/>
    <x v="0"/>
    <x v="1"/>
    <x v="1"/>
    <x v="1"/>
  </r>
  <r>
    <d v="2024-10-10T00:00:00"/>
    <x v="6"/>
    <x v="0"/>
    <x v="141"/>
    <x v="18"/>
    <x v="5"/>
    <d v="2024-10-10T00:00:00"/>
    <x v="194"/>
    <x v="6"/>
    <x v="7"/>
    <x v="0"/>
    <x v="1"/>
    <x v="1"/>
    <x v="1"/>
  </r>
  <r>
    <d v="2024-10-10T00:00:00"/>
    <x v="6"/>
    <x v="0"/>
    <x v="739"/>
    <x v="16"/>
    <x v="0"/>
    <d v="2024-10-10T00:00:00"/>
    <x v="194"/>
    <x v="6"/>
    <x v="7"/>
    <x v="0"/>
    <x v="1"/>
    <x v="1"/>
    <x v="1"/>
  </r>
  <r>
    <d v="2024-10-10T00:00:00"/>
    <x v="6"/>
    <x v="0"/>
    <x v="740"/>
    <x v="16"/>
    <x v="0"/>
    <d v="2024-10-10T00:00:00"/>
    <x v="194"/>
    <x v="6"/>
    <x v="7"/>
    <x v="0"/>
    <x v="1"/>
    <x v="1"/>
    <x v="1"/>
  </r>
  <r>
    <d v="2024-10-10T00:00:00"/>
    <x v="6"/>
    <x v="0"/>
    <x v="510"/>
    <x v="16"/>
    <x v="7"/>
    <d v="2024-10-10T00:00:00"/>
    <x v="194"/>
    <x v="6"/>
    <x v="7"/>
    <x v="0"/>
    <x v="1"/>
    <x v="1"/>
    <x v="1"/>
  </r>
  <r>
    <d v="2024-10-10T00:00:00"/>
    <x v="6"/>
    <x v="0"/>
    <x v="741"/>
    <x v="16"/>
    <x v="0"/>
    <d v="2024-10-10T00:00:00"/>
    <x v="194"/>
    <x v="6"/>
    <x v="7"/>
    <x v="0"/>
    <x v="1"/>
    <x v="1"/>
    <x v="1"/>
  </r>
  <r>
    <d v="2024-10-10T00:00:00"/>
    <x v="6"/>
    <x v="0"/>
    <x v="742"/>
    <x v="18"/>
    <x v="2"/>
    <d v="2024-10-10T00:00:00"/>
    <x v="194"/>
    <x v="6"/>
    <x v="7"/>
    <x v="0"/>
    <x v="1"/>
    <x v="1"/>
    <x v="1"/>
  </r>
  <r>
    <d v="2024-10-10T00:00:00"/>
    <x v="6"/>
    <x v="0"/>
    <x v="713"/>
    <x v="17"/>
    <x v="3"/>
    <d v="2024-10-10T00:00:00"/>
    <x v="194"/>
    <x v="6"/>
    <x v="7"/>
    <x v="0"/>
    <x v="1"/>
    <x v="1"/>
    <x v="1"/>
  </r>
  <r>
    <d v="2024-10-10T00:00:00"/>
    <x v="6"/>
    <x v="0"/>
    <x v="713"/>
    <x v="16"/>
    <x v="0"/>
    <d v="2024-10-10T00:00:00"/>
    <x v="194"/>
    <x v="6"/>
    <x v="7"/>
    <x v="0"/>
    <x v="1"/>
    <x v="1"/>
    <x v="1"/>
  </r>
  <r>
    <d v="2024-10-10T00:00:00"/>
    <x v="6"/>
    <x v="0"/>
    <x v="637"/>
    <x v="16"/>
    <x v="1"/>
    <d v="2024-10-10T00:00:00"/>
    <x v="194"/>
    <x v="6"/>
    <x v="7"/>
    <x v="0"/>
    <x v="1"/>
    <x v="1"/>
    <x v="1"/>
  </r>
  <r>
    <d v="2024-10-11T00:00:00"/>
    <x v="0"/>
    <x v="0"/>
    <x v="276"/>
    <x v="17"/>
    <x v="3"/>
    <d v="2024-10-11T00:00:00"/>
    <x v="195"/>
    <x v="0"/>
    <x v="7"/>
    <x v="0"/>
    <x v="1"/>
    <x v="1"/>
    <x v="1"/>
  </r>
  <r>
    <d v="2024-10-11T00:00:00"/>
    <x v="0"/>
    <x v="0"/>
    <x v="703"/>
    <x v="16"/>
    <x v="0"/>
    <d v="2024-10-11T00:00:00"/>
    <x v="195"/>
    <x v="0"/>
    <x v="7"/>
    <x v="0"/>
    <x v="1"/>
    <x v="1"/>
    <x v="1"/>
  </r>
  <r>
    <d v="2024-10-11T00:00:00"/>
    <x v="0"/>
    <x v="0"/>
    <x v="141"/>
    <x v="18"/>
    <x v="5"/>
    <d v="2024-10-11T00:00:00"/>
    <x v="195"/>
    <x v="0"/>
    <x v="7"/>
    <x v="0"/>
    <x v="1"/>
    <x v="1"/>
    <x v="1"/>
  </r>
  <r>
    <d v="2024-10-11T00:00:00"/>
    <x v="0"/>
    <x v="0"/>
    <x v="570"/>
    <x v="16"/>
    <x v="0"/>
    <d v="2024-10-11T00:00:00"/>
    <x v="195"/>
    <x v="0"/>
    <x v="7"/>
    <x v="0"/>
    <x v="1"/>
    <x v="1"/>
    <x v="1"/>
  </r>
  <r>
    <d v="2024-10-11T00:00:00"/>
    <x v="0"/>
    <x v="0"/>
    <x v="570"/>
    <x v="16"/>
    <x v="4"/>
    <d v="2024-10-11T00:00:00"/>
    <x v="195"/>
    <x v="0"/>
    <x v="7"/>
    <x v="0"/>
    <x v="1"/>
    <x v="1"/>
    <x v="1"/>
  </r>
  <r>
    <d v="2024-10-11T00:00:00"/>
    <x v="0"/>
    <x v="0"/>
    <x v="725"/>
    <x v="16"/>
    <x v="4"/>
    <d v="2024-10-11T00:00:00"/>
    <x v="195"/>
    <x v="0"/>
    <x v="7"/>
    <x v="0"/>
    <x v="1"/>
    <x v="1"/>
    <x v="1"/>
  </r>
  <r>
    <d v="2024-10-11T00:00:00"/>
    <x v="0"/>
    <x v="0"/>
    <x v="726"/>
    <x v="17"/>
    <x v="3"/>
    <d v="2024-10-11T00:00:00"/>
    <x v="195"/>
    <x v="0"/>
    <x v="7"/>
    <x v="0"/>
    <x v="1"/>
    <x v="1"/>
    <x v="1"/>
  </r>
  <r>
    <d v="2024-10-11T00:00:00"/>
    <x v="0"/>
    <x v="0"/>
    <x v="743"/>
    <x v="16"/>
    <x v="1"/>
    <d v="2024-10-11T00:00:00"/>
    <x v="195"/>
    <x v="0"/>
    <x v="7"/>
    <x v="0"/>
    <x v="1"/>
    <x v="1"/>
    <x v="1"/>
  </r>
  <r>
    <d v="2024-10-11T00:00:00"/>
    <x v="0"/>
    <x v="0"/>
    <x v="744"/>
    <x v="17"/>
    <x v="3"/>
    <d v="2024-10-11T00:00:00"/>
    <x v="195"/>
    <x v="0"/>
    <x v="7"/>
    <x v="0"/>
    <x v="1"/>
    <x v="1"/>
    <x v="1"/>
  </r>
  <r>
    <d v="2024-10-11T00:00:00"/>
    <x v="0"/>
    <x v="0"/>
    <x v="402"/>
    <x v="18"/>
    <x v="5"/>
    <d v="2024-10-11T00:00:00"/>
    <x v="195"/>
    <x v="0"/>
    <x v="7"/>
    <x v="0"/>
    <x v="1"/>
    <x v="1"/>
    <x v="1"/>
  </r>
  <r>
    <d v="2024-10-11T00:00:00"/>
    <x v="0"/>
    <x v="0"/>
    <x v="375"/>
    <x v="18"/>
    <x v="2"/>
    <d v="2024-10-11T00:00:00"/>
    <x v="195"/>
    <x v="0"/>
    <x v="7"/>
    <x v="0"/>
    <x v="1"/>
    <x v="1"/>
    <x v="1"/>
  </r>
  <r>
    <d v="2024-10-11T00:00:00"/>
    <x v="0"/>
    <x v="0"/>
    <x v="242"/>
    <x v="17"/>
    <x v="3"/>
    <d v="2024-10-11T00:00:00"/>
    <x v="195"/>
    <x v="0"/>
    <x v="7"/>
    <x v="0"/>
    <x v="1"/>
    <x v="1"/>
    <x v="1"/>
  </r>
  <r>
    <d v="2024-10-11T00:00:00"/>
    <x v="0"/>
    <x v="0"/>
    <x v="740"/>
    <x v="16"/>
    <x v="0"/>
    <d v="2024-10-11T00:00:00"/>
    <x v="195"/>
    <x v="0"/>
    <x v="7"/>
    <x v="0"/>
    <x v="1"/>
    <x v="1"/>
    <x v="1"/>
  </r>
  <r>
    <d v="2024-10-11T00:00:00"/>
    <x v="0"/>
    <x v="0"/>
    <x v="12"/>
    <x v="18"/>
    <x v="2"/>
    <d v="2024-10-11T00:00:00"/>
    <x v="195"/>
    <x v="0"/>
    <x v="7"/>
    <x v="0"/>
    <x v="1"/>
    <x v="1"/>
    <x v="1"/>
  </r>
  <r>
    <d v="2024-10-11T00:00:00"/>
    <x v="0"/>
    <x v="0"/>
    <x v="745"/>
    <x v="16"/>
    <x v="4"/>
    <d v="2024-10-11T00:00:00"/>
    <x v="195"/>
    <x v="0"/>
    <x v="7"/>
    <x v="0"/>
    <x v="1"/>
    <x v="1"/>
    <x v="1"/>
  </r>
  <r>
    <d v="2024-10-11T00:00:00"/>
    <x v="0"/>
    <x v="0"/>
    <x v="745"/>
    <x v="18"/>
    <x v="2"/>
    <d v="2024-10-11T00:00:00"/>
    <x v="195"/>
    <x v="0"/>
    <x v="7"/>
    <x v="0"/>
    <x v="1"/>
    <x v="1"/>
    <x v="1"/>
  </r>
  <r>
    <d v="2024-10-11T00:00:00"/>
    <x v="0"/>
    <x v="0"/>
    <x v="714"/>
    <x v="16"/>
    <x v="7"/>
    <d v="2024-10-11T00:00:00"/>
    <x v="195"/>
    <x v="0"/>
    <x v="7"/>
    <x v="0"/>
    <x v="1"/>
    <x v="1"/>
    <x v="1"/>
  </r>
  <r>
    <d v="2024-10-11T00:00:00"/>
    <x v="0"/>
    <x v="0"/>
    <x v="746"/>
    <x v="16"/>
    <x v="0"/>
    <d v="2024-10-11T00:00:00"/>
    <x v="195"/>
    <x v="0"/>
    <x v="7"/>
    <x v="0"/>
    <x v="1"/>
    <x v="1"/>
    <x v="1"/>
  </r>
  <r>
    <d v="2024-10-11T00:00:00"/>
    <x v="0"/>
    <x v="0"/>
    <x v="746"/>
    <x v="16"/>
    <x v="1"/>
    <d v="2024-10-11T00:00:00"/>
    <x v="195"/>
    <x v="0"/>
    <x v="7"/>
    <x v="0"/>
    <x v="1"/>
    <x v="1"/>
    <x v="1"/>
  </r>
  <r>
    <d v="2024-10-11T00:00:00"/>
    <x v="0"/>
    <x v="0"/>
    <x v="747"/>
    <x v="16"/>
    <x v="1"/>
    <d v="2024-10-11T00:00:00"/>
    <x v="195"/>
    <x v="0"/>
    <x v="7"/>
    <x v="0"/>
    <x v="1"/>
    <x v="1"/>
    <x v="1"/>
  </r>
  <r>
    <d v="2024-10-11T00:00:00"/>
    <x v="0"/>
    <x v="0"/>
    <x v="690"/>
    <x v="16"/>
    <x v="0"/>
    <d v="2024-10-11T00:00:00"/>
    <x v="195"/>
    <x v="0"/>
    <x v="7"/>
    <x v="0"/>
    <x v="1"/>
    <x v="1"/>
    <x v="1"/>
  </r>
  <r>
    <d v="2024-10-11T00:00:00"/>
    <x v="0"/>
    <x v="0"/>
    <x v="748"/>
    <x v="17"/>
    <x v="3"/>
    <d v="2024-10-11T00:00:00"/>
    <x v="195"/>
    <x v="0"/>
    <x v="7"/>
    <x v="0"/>
    <x v="1"/>
    <x v="1"/>
    <x v="1"/>
  </r>
  <r>
    <d v="2024-10-11T00:00:00"/>
    <x v="0"/>
    <x v="0"/>
    <x v="749"/>
    <x v="16"/>
    <x v="1"/>
    <d v="2024-10-11T00:00:00"/>
    <x v="195"/>
    <x v="0"/>
    <x v="7"/>
    <x v="0"/>
    <x v="1"/>
    <x v="1"/>
    <x v="1"/>
  </r>
  <r>
    <d v="2024-10-12T00:00:00"/>
    <x v="1"/>
    <x v="0"/>
    <x v="141"/>
    <x v="18"/>
    <x v="5"/>
    <d v="2024-10-12T00:00:00"/>
    <x v="78"/>
    <x v="1"/>
    <x v="7"/>
    <x v="0"/>
    <x v="1"/>
    <x v="1"/>
    <x v="1"/>
  </r>
  <r>
    <d v="2024-10-12T00:00:00"/>
    <x v="1"/>
    <x v="0"/>
    <x v="650"/>
    <x v="18"/>
    <x v="5"/>
    <d v="2024-10-12T00:00:00"/>
    <x v="78"/>
    <x v="1"/>
    <x v="7"/>
    <x v="0"/>
    <x v="1"/>
    <x v="1"/>
    <x v="1"/>
  </r>
  <r>
    <d v="2024-10-12T00:00:00"/>
    <x v="1"/>
    <x v="0"/>
    <x v="507"/>
    <x v="16"/>
    <x v="0"/>
    <d v="2024-10-12T00:00:00"/>
    <x v="78"/>
    <x v="1"/>
    <x v="7"/>
    <x v="0"/>
    <x v="1"/>
    <x v="1"/>
    <x v="1"/>
  </r>
  <r>
    <d v="2024-10-12T00:00:00"/>
    <x v="1"/>
    <x v="0"/>
    <x v="750"/>
    <x v="17"/>
    <x v="3"/>
    <d v="2024-10-12T00:00:00"/>
    <x v="78"/>
    <x v="1"/>
    <x v="7"/>
    <x v="0"/>
    <x v="1"/>
    <x v="1"/>
    <x v="1"/>
  </r>
  <r>
    <d v="2024-10-12T00:00:00"/>
    <x v="1"/>
    <x v="0"/>
    <x v="751"/>
    <x v="16"/>
    <x v="7"/>
    <d v="2024-10-12T00:00:00"/>
    <x v="78"/>
    <x v="1"/>
    <x v="7"/>
    <x v="0"/>
    <x v="1"/>
    <x v="1"/>
    <x v="1"/>
  </r>
  <r>
    <d v="2024-10-13T00:00:00"/>
    <x v="2"/>
    <x v="0"/>
    <x v="141"/>
    <x v="18"/>
    <x v="5"/>
    <d v="2024-10-13T00:00:00"/>
    <x v="196"/>
    <x v="2"/>
    <x v="7"/>
    <x v="0"/>
    <x v="1"/>
    <x v="1"/>
    <x v="1"/>
  </r>
  <r>
    <d v="2024-10-13T00:00:00"/>
    <x v="2"/>
    <x v="0"/>
    <x v="752"/>
    <x v="17"/>
    <x v="3"/>
    <d v="2024-10-13T00:00:00"/>
    <x v="196"/>
    <x v="2"/>
    <x v="7"/>
    <x v="0"/>
    <x v="1"/>
    <x v="1"/>
    <x v="1"/>
  </r>
  <r>
    <d v="2024-10-13T00:00:00"/>
    <x v="2"/>
    <x v="0"/>
    <x v="650"/>
    <x v="18"/>
    <x v="5"/>
    <d v="2024-10-13T00:00:00"/>
    <x v="196"/>
    <x v="2"/>
    <x v="7"/>
    <x v="0"/>
    <x v="1"/>
    <x v="1"/>
    <x v="1"/>
  </r>
  <r>
    <d v="2024-10-13T00:00:00"/>
    <x v="2"/>
    <x v="0"/>
    <x v="650"/>
    <x v="19"/>
    <x v="6"/>
    <d v="2024-10-13T00:00:00"/>
    <x v="196"/>
    <x v="2"/>
    <x v="7"/>
    <x v="0"/>
    <x v="1"/>
    <x v="1"/>
    <x v="1"/>
  </r>
  <r>
    <d v="2024-10-13T00:00:00"/>
    <x v="2"/>
    <x v="0"/>
    <x v="507"/>
    <x v="16"/>
    <x v="0"/>
    <d v="2024-10-13T00:00:00"/>
    <x v="196"/>
    <x v="2"/>
    <x v="7"/>
    <x v="0"/>
    <x v="1"/>
    <x v="1"/>
    <x v="1"/>
  </r>
  <r>
    <d v="2024-10-13T00:00:00"/>
    <x v="2"/>
    <x v="0"/>
    <x v="753"/>
    <x v="16"/>
    <x v="7"/>
    <d v="2024-10-13T00:00:00"/>
    <x v="196"/>
    <x v="2"/>
    <x v="7"/>
    <x v="0"/>
    <x v="1"/>
    <x v="1"/>
    <x v="1"/>
  </r>
  <r>
    <d v="2024-10-13T00:00:00"/>
    <x v="2"/>
    <x v="0"/>
    <x v="257"/>
    <x v="16"/>
    <x v="7"/>
    <d v="2024-10-13T00:00:00"/>
    <x v="196"/>
    <x v="2"/>
    <x v="7"/>
    <x v="0"/>
    <x v="1"/>
    <x v="1"/>
    <x v="1"/>
  </r>
  <r>
    <d v="2024-10-14T00:00:00"/>
    <x v="3"/>
    <x v="0"/>
    <x v="276"/>
    <x v="17"/>
    <x v="3"/>
    <d v="2024-10-14T00:00:00"/>
    <x v="197"/>
    <x v="3"/>
    <x v="7"/>
    <x v="0"/>
    <x v="1"/>
    <x v="1"/>
    <x v="1"/>
  </r>
  <r>
    <d v="2024-10-14T00:00:00"/>
    <x v="3"/>
    <x v="0"/>
    <x v="754"/>
    <x v="16"/>
    <x v="4"/>
    <d v="2024-10-14T00:00:00"/>
    <x v="197"/>
    <x v="3"/>
    <x v="7"/>
    <x v="0"/>
    <x v="1"/>
    <x v="1"/>
    <x v="1"/>
  </r>
  <r>
    <d v="2024-10-14T00:00:00"/>
    <x v="3"/>
    <x v="0"/>
    <x v="141"/>
    <x v="18"/>
    <x v="5"/>
    <d v="2024-10-14T00:00:00"/>
    <x v="197"/>
    <x v="3"/>
    <x v="7"/>
    <x v="0"/>
    <x v="1"/>
    <x v="1"/>
    <x v="1"/>
  </r>
  <r>
    <d v="2024-10-14T00:00:00"/>
    <x v="3"/>
    <x v="0"/>
    <x v="440"/>
    <x v="16"/>
    <x v="0"/>
    <d v="2024-10-14T00:00:00"/>
    <x v="197"/>
    <x v="3"/>
    <x v="7"/>
    <x v="0"/>
    <x v="1"/>
    <x v="1"/>
    <x v="1"/>
  </r>
  <r>
    <d v="2024-10-14T00:00:00"/>
    <x v="3"/>
    <x v="0"/>
    <x v="755"/>
    <x v="16"/>
    <x v="7"/>
    <d v="2024-10-14T00:00:00"/>
    <x v="197"/>
    <x v="3"/>
    <x v="7"/>
    <x v="0"/>
    <x v="1"/>
    <x v="1"/>
    <x v="1"/>
  </r>
  <r>
    <d v="2024-10-14T00:00:00"/>
    <x v="3"/>
    <x v="0"/>
    <x v="225"/>
    <x v="18"/>
    <x v="2"/>
    <d v="2024-10-14T00:00:00"/>
    <x v="197"/>
    <x v="3"/>
    <x v="7"/>
    <x v="0"/>
    <x v="1"/>
    <x v="1"/>
    <x v="1"/>
  </r>
  <r>
    <d v="2024-10-14T00:00:00"/>
    <x v="3"/>
    <x v="0"/>
    <x v="756"/>
    <x v="16"/>
    <x v="0"/>
    <d v="2024-10-14T00:00:00"/>
    <x v="197"/>
    <x v="3"/>
    <x v="7"/>
    <x v="0"/>
    <x v="1"/>
    <x v="1"/>
    <x v="1"/>
  </r>
  <r>
    <d v="2024-10-14T00:00:00"/>
    <x v="3"/>
    <x v="0"/>
    <x v="507"/>
    <x v="16"/>
    <x v="0"/>
    <d v="2024-10-14T00:00:00"/>
    <x v="197"/>
    <x v="3"/>
    <x v="7"/>
    <x v="0"/>
    <x v="1"/>
    <x v="1"/>
    <x v="1"/>
  </r>
  <r>
    <d v="2024-10-14T00:00:00"/>
    <x v="3"/>
    <x v="0"/>
    <x v="757"/>
    <x v="18"/>
    <x v="2"/>
    <d v="2024-10-14T00:00:00"/>
    <x v="197"/>
    <x v="3"/>
    <x v="7"/>
    <x v="0"/>
    <x v="1"/>
    <x v="1"/>
    <x v="1"/>
  </r>
  <r>
    <d v="2024-10-14T00:00:00"/>
    <x v="3"/>
    <x v="0"/>
    <x v="758"/>
    <x v="16"/>
    <x v="0"/>
    <d v="2024-10-14T00:00:00"/>
    <x v="197"/>
    <x v="3"/>
    <x v="7"/>
    <x v="0"/>
    <x v="1"/>
    <x v="1"/>
    <x v="1"/>
  </r>
  <r>
    <d v="2024-10-14T00:00:00"/>
    <x v="3"/>
    <x v="0"/>
    <x v="758"/>
    <x v="16"/>
    <x v="7"/>
    <d v="2024-10-14T00:00:00"/>
    <x v="197"/>
    <x v="3"/>
    <x v="7"/>
    <x v="0"/>
    <x v="1"/>
    <x v="1"/>
    <x v="1"/>
  </r>
  <r>
    <d v="2024-10-14T00:00:00"/>
    <x v="3"/>
    <x v="0"/>
    <x v="759"/>
    <x v="16"/>
    <x v="0"/>
    <d v="2024-10-14T00:00:00"/>
    <x v="197"/>
    <x v="3"/>
    <x v="7"/>
    <x v="0"/>
    <x v="1"/>
    <x v="1"/>
    <x v="1"/>
  </r>
  <r>
    <d v="2024-10-14T00:00:00"/>
    <x v="3"/>
    <x v="0"/>
    <x v="760"/>
    <x v="16"/>
    <x v="0"/>
    <d v="2024-10-14T00:00:00"/>
    <x v="197"/>
    <x v="3"/>
    <x v="7"/>
    <x v="0"/>
    <x v="1"/>
    <x v="1"/>
    <x v="1"/>
  </r>
  <r>
    <d v="2024-10-14T00:00:00"/>
    <x v="3"/>
    <x v="0"/>
    <x v="510"/>
    <x v="16"/>
    <x v="0"/>
    <d v="2024-10-14T00:00:00"/>
    <x v="197"/>
    <x v="3"/>
    <x v="7"/>
    <x v="0"/>
    <x v="1"/>
    <x v="1"/>
    <x v="1"/>
  </r>
  <r>
    <d v="2024-10-15T00:00:00"/>
    <x v="4"/>
    <x v="0"/>
    <x v="141"/>
    <x v="18"/>
    <x v="5"/>
    <d v="2024-10-15T00:00:00"/>
    <x v="198"/>
    <x v="4"/>
    <x v="7"/>
    <x v="0"/>
    <x v="1"/>
    <x v="1"/>
    <x v="1"/>
  </r>
  <r>
    <d v="2024-10-15T00:00:00"/>
    <x v="4"/>
    <x v="0"/>
    <x v="761"/>
    <x v="19"/>
    <x v="6"/>
    <d v="2024-10-15T00:00:00"/>
    <x v="198"/>
    <x v="4"/>
    <x v="7"/>
    <x v="0"/>
    <x v="1"/>
    <x v="1"/>
    <x v="1"/>
  </r>
  <r>
    <d v="2024-10-15T00:00:00"/>
    <x v="4"/>
    <x v="0"/>
    <x v="762"/>
    <x v="16"/>
    <x v="1"/>
    <d v="2024-10-15T00:00:00"/>
    <x v="198"/>
    <x v="4"/>
    <x v="7"/>
    <x v="0"/>
    <x v="1"/>
    <x v="1"/>
    <x v="1"/>
  </r>
  <r>
    <d v="2024-10-15T00:00:00"/>
    <x v="4"/>
    <x v="0"/>
    <x v="736"/>
    <x v="16"/>
    <x v="0"/>
    <d v="2024-10-15T00:00:00"/>
    <x v="198"/>
    <x v="4"/>
    <x v="7"/>
    <x v="0"/>
    <x v="1"/>
    <x v="1"/>
    <x v="1"/>
  </r>
  <r>
    <d v="2024-10-15T00:00:00"/>
    <x v="4"/>
    <x v="0"/>
    <x v="736"/>
    <x v="16"/>
    <x v="1"/>
    <d v="2024-10-15T00:00:00"/>
    <x v="198"/>
    <x v="4"/>
    <x v="7"/>
    <x v="0"/>
    <x v="1"/>
    <x v="1"/>
    <x v="1"/>
  </r>
  <r>
    <d v="2024-10-15T00:00:00"/>
    <x v="4"/>
    <x v="0"/>
    <x v="763"/>
    <x v="16"/>
    <x v="0"/>
    <d v="2024-10-15T00:00:00"/>
    <x v="198"/>
    <x v="4"/>
    <x v="7"/>
    <x v="0"/>
    <x v="1"/>
    <x v="1"/>
    <x v="1"/>
  </r>
  <r>
    <d v="2024-10-15T00:00:00"/>
    <x v="4"/>
    <x v="0"/>
    <x v="764"/>
    <x v="17"/>
    <x v="3"/>
    <d v="2024-10-15T00:00:00"/>
    <x v="198"/>
    <x v="4"/>
    <x v="7"/>
    <x v="0"/>
    <x v="1"/>
    <x v="1"/>
    <x v="1"/>
  </r>
  <r>
    <d v="2024-10-15T00:00:00"/>
    <x v="4"/>
    <x v="0"/>
    <x v="683"/>
    <x v="16"/>
    <x v="0"/>
    <d v="2024-10-15T00:00:00"/>
    <x v="198"/>
    <x v="4"/>
    <x v="7"/>
    <x v="0"/>
    <x v="1"/>
    <x v="1"/>
    <x v="1"/>
  </r>
  <r>
    <d v="2024-10-15T00:00:00"/>
    <x v="4"/>
    <x v="0"/>
    <x v="765"/>
    <x v="18"/>
    <x v="2"/>
    <d v="2024-10-15T00:00:00"/>
    <x v="198"/>
    <x v="4"/>
    <x v="7"/>
    <x v="0"/>
    <x v="1"/>
    <x v="1"/>
    <x v="1"/>
  </r>
  <r>
    <d v="2024-10-15T00:00:00"/>
    <x v="4"/>
    <x v="0"/>
    <x v="765"/>
    <x v="19"/>
    <x v="6"/>
    <d v="2024-10-15T00:00:00"/>
    <x v="198"/>
    <x v="4"/>
    <x v="7"/>
    <x v="0"/>
    <x v="1"/>
    <x v="1"/>
    <x v="1"/>
  </r>
  <r>
    <d v="2024-10-15T00:00:00"/>
    <x v="4"/>
    <x v="0"/>
    <x v="766"/>
    <x v="16"/>
    <x v="1"/>
    <d v="2024-10-15T00:00:00"/>
    <x v="198"/>
    <x v="4"/>
    <x v="7"/>
    <x v="0"/>
    <x v="1"/>
    <x v="1"/>
    <x v="1"/>
  </r>
  <r>
    <d v="2024-10-15T00:00:00"/>
    <x v="4"/>
    <x v="0"/>
    <x v="767"/>
    <x v="18"/>
    <x v="2"/>
    <d v="2024-10-15T00:00:00"/>
    <x v="198"/>
    <x v="4"/>
    <x v="7"/>
    <x v="0"/>
    <x v="1"/>
    <x v="1"/>
    <x v="1"/>
  </r>
  <r>
    <d v="2024-10-15T00:00:00"/>
    <x v="4"/>
    <x v="0"/>
    <x v="767"/>
    <x v="16"/>
    <x v="4"/>
    <d v="2024-10-15T00:00:00"/>
    <x v="198"/>
    <x v="4"/>
    <x v="7"/>
    <x v="0"/>
    <x v="1"/>
    <x v="1"/>
    <x v="1"/>
  </r>
  <r>
    <d v="2024-10-15T00:00:00"/>
    <x v="4"/>
    <x v="0"/>
    <x v="507"/>
    <x v="16"/>
    <x v="0"/>
    <d v="2024-10-15T00:00:00"/>
    <x v="198"/>
    <x v="4"/>
    <x v="7"/>
    <x v="0"/>
    <x v="1"/>
    <x v="1"/>
    <x v="1"/>
  </r>
  <r>
    <d v="2024-10-15T00:00:00"/>
    <x v="4"/>
    <x v="0"/>
    <x v="40"/>
    <x v="16"/>
    <x v="1"/>
    <d v="2024-10-15T00:00:00"/>
    <x v="198"/>
    <x v="4"/>
    <x v="7"/>
    <x v="0"/>
    <x v="1"/>
    <x v="1"/>
    <x v="1"/>
  </r>
  <r>
    <d v="2024-10-15T00:00:00"/>
    <x v="4"/>
    <x v="0"/>
    <x v="690"/>
    <x v="16"/>
    <x v="0"/>
    <d v="2024-10-15T00:00:00"/>
    <x v="198"/>
    <x v="4"/>
    <x v="7"/>
    <x v="0"/>
    <x v="1"/>
    <x v="1"/>
    <x v="1"/>
  </r>
  <r>
    <d v="2024-10-16T00:00:00"/>
    <x v="5"/>
    <x v="0"/>
    <x v="276"/>
    <x v="17"/>
    <x v="3"/>
    <d v="2024-10-16T00:00:00"/>
    <x v="199"/>
    <x v="5"/>
    <x v="7"/>
    <x v="0"/>
    <x v="1"/>
    <x v="1"/>
    <x v="1"/>
  </r>
  <r>
    <d v="2024-10-16T00:00:00"/>
    <x v="5"/>
    <x v="0"/>
    <x v="696"/>
    <x v="16"/>
    <x v="1"/>
    <d v="2024-10-16T00:00:00"/>
    <x v="199"/>
    <x v="5"/>
    <x v="7"/>
    <x v="0"/>
    <x v="1"/>
    <x v="1"/>
    <x v="1"/>
  </r>
  <r>
    <d v="2024-10-16T00:00:00"/>
    <x v="5"/>
    <x v="0"/>
    <x v="570"/>
    <x v="16"/>
    <x v="0"/>
    <d v="2024-10-16T00:00:00"/>
    <x v="199"/>
    <x v="5"/>
    <x v="7"/>
    <x v="0"/>
    <x v="1"/>
    <x v="1"/>
    <x v="1"/>
  </r>
  <r>
    <d v="2024-10-16T00:00:00"/>
    <x v="5"/>
    <x v="0"/>
    <x v="571"/>
    <x v="17"/>
    <x v="3"/>
    <d v="2024-10-16T00:00:00"/>
    <x v="199"/>
    <x v="5"/>
    <x v="7"/>
    <x v="0"/>
    <x v="1"/>
    <x v="1"/>
    <x v="1"/>
  </r>
  <r>
    <d v="2024-10-16T00:00:00"/>
    <x v="5"/>
    <x v="0"/>
    <x v="333"/>
    <x v="17"/>
    <x v="3"/>
    <d v="2024-10-16T00:00:00"/>
    <x v="199"/>
    <x v="5"/>
    <x v="7"/>
    <x v="0"/>
    <x v="1"/>
    <x v="1"/>
    <x v="1"/>
  </r>
  <r>
    <d v="2024-10-16T00:00:00"/>
    <x v="5"/>
    <x v="0"/>
    <x v="768"/>
    <x v="18"/>
    <x v="2"/>
    <d v="2024-10-16T00:00:00"/>
    <x v="199"/>
    <x v="5"/>
    <x v="7"/>
    <x v="0"/>
    <x v="1"/>
    <x v="1"/>
    <x v="1"/>
  </r>
  <r>
    <d v="2024-10-16T00:00:00"/>
    <x v="5"/>
    <x v="0"/>
    <x v="769"/>
    <x v="17"/>
    <x v="3"/>
    <d v="2024-10-16T00:00:00"/>
    <x v="199"/>
    <x v="5"/>
    <x v="7"/>
    <x v="0"/>
    <x v="1"/>
    <x v="1"/>
    <x v="1"/>
  </r>
  <r>
    <d v="2024-10-16T00:00:00"/>
    <x v="5"/>
    <x v="0"/>
    <x v="764"/>
    <x v="18"/>
    <x v="2"/>
    <d v="2024-10-16T00:00:00"/>
    <x v="199"/>
    <x v="5"/>
    <x v="7"/>
    <x v="0"/>
    <x v="1"/>
    <x v="1"/>
    <x v="1"/>
  </r>
  <r>
    <d v="2024-10-16T00:00:00"/>
    <x v="5"/>
    <x v="0"/>
    <x v="770"/>
    <x v="16"/>
    <x v="0"/>
    <d v="2024-10-16T00:00:00"/>
    <x v="199"/>
    <x v="5"/>
    <x v="7"/>
    <x v="0"/>
    <x v="1"/>
    <x v="1"/>
    <x v="1"/>
  </r>
  <r>
    <d v="2024-10-16T00:00:00"/>
    <x v="5"/>
    <x v="0"/>
    <x v="510"/>
    <x v="17"/>
    <x v="3"/>
    <d v="2024-10-16T00:00:00"/>
    <x v="199"/>
    <x v="5"/>
    <x v="7"/>
    <x v="0"/>
    <x v="1"/>
    <x v="1"/>
    <x v="1"/>
  </r>
  <r>
    <d v="2024-10-16T00:00:00"/>
    <x v="5"/>
    <x v="0"/>
    <x v="771"/>
    <x v="17"/>
    <x v="3"/>
    <d v="2024-10-16T00:00:00"/>
    <x v="199"/>
    <x v="5"/>
    <x v="7"/>
    <x v="0"/>
    <x v="1"/>
    <x v="1"/>
    <x v="1"/>
  </r>
  <r>
    <d v="2024-10-16T00:00:00"/>
    <x v="5"/>
    <x v="0"/>
    <x v="772"/>
    <x v="16"/>
    <x v="1"/>
    <d v="2024-10-16T00:00:00"/>
    <x v="199"/>
    <x v="5"/>
    <x v="7"/>
    <x v="0"/>
    <x v="1"/>
    <x v="1"/>
    <x v="1"/>
  </r>
  <r>
    <d v="2024-10-17T00:00:00"/>
    <x v="6"/>
    <x v="0"/>
    <x v="696"/>
    <x v="16"/>
    <x v="0"/>
    <d v="2024-10-17T00:00:00"/>
    <x v="200"/>
    <x v="6"/>
    <x v="7"/>
    <x v="0"/>
    <x v="1"/>
    <x v="1"/>
    <x v="1"/>
  </r>
  <r>
    <d v="2024-10-17T00:00:00"/>
    <x v="6"/>
    <x v="0"/>
    <x v="570"/>
    <x v="16"/>
    <x v="0"/>
    <d v="2024-10-17T00:00:00"/>
    <x v="200"/>
    <x v="6"/>
    <x v="7"/>
    <x v="0"/>
    <x v="1"/>
    <x v="1"/>
    <x v="1"/>
  </r>
  <r>
    <d v="2024-10-17T00:00:00"/>
    <x v="6"/>
    <x v="0"/>
    <x v="773"/>
    <x v="17"/>
    <x v="3"/>
    <d v="2024-10-17T00:00:00"/>
    <x v="200"/>
    <x v="6"/>
    <x v="7"/>
    <x v="0"/>
    <x v="1"/>
    <x v="1"/>
    <x v="1"/>
  </r>
  <r>
    <d v="2024-10-17T00:00:00"/>
    <x v="6"/>
    <x v="0"/>
    <x v="510"/>
    <x v="16"/>
    <x v="0"/>
    <d v="2024-10-17T00:00:00"/>
    <x v="200"/>
    <x v="6"/>
    <x v="7"/>
    <x v="0"/>
    <x v="1"/>
    <x v="1"/>
    <x v="1"/>
  </r>
  <r>
    <d v="2024-10-17T00:00:00"/>
    <x v="6"/>
    <x v="0"/>
    <x v="313"/>
    <x v="16"/>
    <x v="1"/>
    <d v="2024-10-17T00:00:00"/>
    <x v="200"/>
    <x v="6"/>
    <x v="7"/>
    <x v="0"/>
    <x v="1"/>
    <x v="1"/>
    <x v="1"/>
  </r>
  <r>
    <d v="2024-10-17T00:00:00"/>
    <x v="6"/>
    <x v="0"/>
    <x v="774"/>
    <x v="17"/>
    <x v="3"/>
    <d v="2024-10-17T00:00:00"/>
    <x v="200"/>
    <x v="6"/>
    <x v="7"/>
    <x v="0"/>
    <x v="1"/>
    <x v="1"/>
    <x v="1"/>
  </r>
  <r>
    <d v="2024-10-17T00:00:00"/>
    <x v="6"/>
    <x v="0"/>
    <x v="775"/>
    <x v="16"/>
    <x v="0"/>
    <d v="2024-10-17T00:00:00"/>
    <x v="200"/>
    <x v="6"/>
    <x v="7"/>
    <x v="0"/>
    <x v="1"/>
    <x v="1"/>
    <x v="1"/>
  </r>
  <r>
    <d v="2024-10-17T00:00:00"/>
    <x v="6"/>
    <x v="0"/>
    <x v="776"/>
    <x v="18"/>
    <x v="2"/>
    <d v="2024-10-17T00:00:00"/>
    <x v="200"/>
    <x v="6"/>
    <x v="7"/>
    <x v="0"/>
    <x v="1"/>
    <x v="1"/>
    <x v="1"/>
  </r>
  <r>
    <d v="2024-10-17T00:00:00"/>
    <x v="6"/>
    <x v="0"/>
    <x v="702"/>
    <x v="16"/>
    <x v="1"/>
    <d v="2024-10-17T00:00:00"/>
    <x v="200"/>
    <x v="6"/>
    <x v="7"/>
    <x v="0"/>
    <x v="1"/>
    <x v="1"/>
    <x v="1"/>
  </r>
  <r>
    <d v="2024-10-17T00:00:00"/>
    <x v="6"/>
    <x v="0"/>
    <x v="702"/>
    <x v="16"/>
    <x v="0"/>
    <d v="2024-10-17T00:00:00"/>
    <x v="200"/>
    <x v="6"/>
    <x v="7"/>
    <x v="0"/>
    <x v="1"/>
    <x v="1"/>
    <x v="1"/>
  </r>
  <r>
    <d v="2024-10-17T00:00:00"/>
    <x v="6"/>
    <x v="0"/>
    <x v="777"/>
    <x v="16"/>
    <x v="1"/>
    <d v="2024-10-17T00:00:00"/>
    <x v="200"/>
    <x v="6"/>
    <x v="7"/>
    <x v="0"/>
    <x v="1"/>
    <x v="1"/>
    <x v="1"/>
  </r>
  <r>
    <d v="2024-10-17T00:00:00"/>
    <x v="6"/>
    <x v="0"/>
    <x v="258"/>
    <x v="16"/>
    <x v="7"/>
    <d v="2024-10-17T00:00:00"/>
    <x v="200"/>
    <x v="6"/>
    <x v="7"/>
    <x v="0"/>
    <x v="1"/>
    <x v="1"/>
    <x v="1"/>
  </r>
  <r>
    <d v="2024-10-17T00:00:00"/>
    <x v="6"/>
    <x v="0"/>
    <x v="258"/>
    <x v="16"/>
    <x v="1"/>
    <d v="2024-10-17T00:00:00"/>
    <x v="200"/>
    <x v="6"/>
    <x v="7"/>
    <x v="0"/>
    <x v="1"/>
    <x v="1"/>
    <x v="1"/>
  </r>
  <r>
    <d v="2024-10-17T00:00:00"/>
    <x v="6"/>
    <x v="0"/>
    <x v="507"/>
    <x v="16"/>
    <x v="0"/>
    <d v="2024-10-17T00:00:00"/>
    <x v="200"/>
    <x v="6"/>
    <x v="7"/>
    <x v="0"/>
    <x v="1"/>
    <x v="1"/>
    <x v="1"/>
  </r>
  <r>
    <d v="2024-10-17T00:00:00"/>
    <x v="6"/>
    <x v="0"/>
    <x v="778"/>
    <x v="17"/>
    <x v="3"/>
    <d v="2024-10-17T00:00:00"/>
    <x v="200"/>
    <x v="6"/>
    <x v="7"/>
    <x v="0"/>
    <x v="1"/>
    <x v="1"/>
    <x v="1"/>
  </r>
  <r>
    <d v="2024-10-17T00:00:00"/>
    <x v="6"/>
    <x v="0"/>
    <x v="779"/>
    <x v="16"/>
    <x v="0"/>
    <d v="2024-10-17T00:00:00"/>
    <x v="200"/>
    <x v="6"/>
    <x v="7"/>
    <x v="0"/>
    <x v="1"/>
    <x v="1"/>
    <x v="1"/>
  </r>
  <r>
    <d v="2024-10-17T00:00:00"/>
    <x v="6"/>
    <x v="0"/>
    <x v="779"/>
    <x v="16"/>
    <x v="1"/>
    <d v="2024-10-17T00:00:00"/>
    <x v="200"/>
    <x v="6"/>
    <x v="7"/>
    <x v="0"/>
    <x v="1"/>
    <x v="1"/>
    <x v="1"/>
  </r>
  <r>
    <d v="2024-10-18T00:00:00"/>
    <x v="0"/>
    <x v="0"/>
    <x v="12"/>
    <x v="16"/>
    <x v="4"/>
    <d v="2024-10-18T00:00:00"/>
    <x v="201"/>
    <x v="0"/>
    <x v="7"/>
    <x v="0"/>
    <x v="1"/>
    <x v="1"/>
    <x v="1"/>
  </r>
  <r>
    <d v="2024-10-18T00:00:00"/>
    <x v="0"/>
    <x v="0"/>
    <x v="54"/>
    <x v="16"/>
    <x v="4"/>
    <d v="2024-10-18T00:00:00"/>
    <x v="201"/>
    <x v="0"/>
    <x v="7"/>
    <x v="0"/>
    <x v="1"/>
    <x v="1"/>
    <x v="1"/>
  </r>
  <r>
    <d v="2024-10-18T00:00:00"/>
    <x v="0"/>
    <x v="0"/>
    <x v="2"/>
    <x v="16"/>
    <x v="4"/>
    <d v="2024-10-18T00:00:00"/>
    <x v="201"/>
    <x v="0"/>
    <x v="7"/>
    <x v="0"/>
    <x v="1"/>
    <x v="1"/>
    <x v="1"/>
  </r>
  <r>
    <d v="2024-10-18T00:00:00"/>
    <x v="0"/>
    <x v="0"/>
    <x v="780"/>
    <x v="16"/>
    <x v="7"/>
    <d v="2024-10-18T00:00:00"/>
    <x v="201"/>
    <x v="0"/>
    <x v="7"/>
    <x v="0"/>
    <x v="1"/>
    <x v="1"/>
    <x v="1"/>
  </r>
  <r>
    <d v="2024-10-18T00:00:00"/>
    <x v="0"/>
    <x v="0"/>
    <x v="781"/>
    <x v="16"/>
    <x v="0"/>
    <d v="2024-10-18T00:00:00"/>
    <x v="201"/>
    <x v="0"/>
    <x v="7"/>
    <x v="0"/>
    <x v="1"/>
    <x v="1"/>
    <x v="1"/>
  </r>
  <r>
    <d v="2024-10-18T00:00:00"/>
    <x v="0"/>
    <x v="0"/>
    <x v="781"/>
    <x v="16"/>
    <x v="7"/>
    <d v="2024-10-18T00:00:00"/>
    <x v="201"/>
    <x v="0"/>
    <x v="7"/>
    <x v="0"/>
    <x v="1"/>
    <x v="1"/>
    <x v="1"/>
  </r>
  <r>
    <d v="2024-10-18T00:00:00"/>
    <x v="0"/>
    <x v="0"/>
    <x v="683"/>
    <x v="18"/>
    <x v="2"/>
    <d v="2024-10-18T00:00:00"/>
    <x v="201"/>
    <x v="0"/>
    <x v="7"/>
    <x v="0"/>
    <x v="1"/>
    <x v="1"/>
    <x v="1"/>
  </r>
  <r>
    <d v="2024-10-18T00:00:00"/>
    <x v="0"/>
    <x v="0"/>
    <x v="782"/>
    <x v="16"/>
    <x v="0"/>
    <d v="2024-10-18T00:00:00"/>
    <x v="201"/>
    <x v="0"/>
    <x v="7"/>
    <x v="0"/>
    <x v="1"/>
    <x v="1"/>
    <x v="1"/>
  </r>
  <r>
    <d v="2024-10-18T00:00:00"/>
    <x v="0"/>
    <x v="0"/>
    <x v="783"/>
    <x v="16"/>
    <x v="1"/>
    <d v="2024-10-18T00:00:00"/>
    <x v="201"/>
    <x v="0"/>
    <x v="7"/>
    <x v="0"/>
    <x v="1"/>
    <x v="1"/>
    <x v="1"/>
  </r>
  <r>
    <d v="2024-10-18T00:00:00"/>
    <x v="0"/>
    <x v="0"/>
    <x v="784"/>
    <x v="17"/>
    <x v="3"/>
    <d v="2024-10-18T00:00:00"/>
    <x v="201"/>
    <x v="0"/>
    <x v="7"/>
    <x v="0"/>
    <x v="1"/>
    <x v="1"/>
    <x v="1"/>
  </r>
  <r>
    <d v="2024-10-18T00:00:00"/>
    <x v="0"/>
    <x v="0"/>
    <x v="690"/>
    <x v="16"/>
    <x v="0"/>
    <d v="2024-10-18T00:00:00"/>
    <x v="201"/>
    <x v="0"/>
    <x v="7"/>
    <x v="0"/>
    <x v="1"/>
    <x v="1"/>
    <x v="1"/>
  </r>
  <r>
    <d v="2024-10-19T00:00:00"/>
    <x v="1"/>
    <x v="0"/>
    <x v="785"/>
    <x v="17"/>
    <x v="3"/>
    <d v="2024-10-19T00:00:00"/>
    <x v="202"/>
    <x v="1"/>
    <x v="7"/>
    <x v="0"/>
    <x v="1"/>
    <x v="1"/>
    <x v="1"/>
  </r>
  <r>
    <d v="2024-10-19T00:00:00"/>
    <x v="1"/>
    <x v="0"/>
    <x v="19"/>
    <x v="16"/>
    <x v="0"/>
    <d v="2024-10-19T00:00:00"/>
    <x v="202"/>
    <x v="1"/>
    <x v="7"/>
    <x v="0"/>
    <x v="1"/>
    <x v="1"/>
    <x v="1"/>
  </r>
  <r>
    <d v="2024-10-19T00:00:00"/>
    <x v="1"/>
    <x v="0"/>
    <x v="355"/>
    <x v="16"/>
    <x v="7"/>
    <d v="2024-10-19T00:00:00"/>
    <x v="202"/>
    <x v="1"/>
    <x v="7"/>
    <x v="0"/>
    <x v="1"/>
    <x v="1"/>
    <x v="1"/>
  </r>
  <r>
    <d v="2024-10-19T00:00:00"/>
    <x v="1"/>
    <x v="0"/>
    <x v="507"/>
    <x v="16"/>
    <x v="1"/>
    <d v="2024-10-19T00:00:00"/>
    <x v="202"/>
    <x v="1"/>
    <x v="7"/>
    <x v="0"/>
    <x v="1"/>
    <x v="1"/>
    <x v="1"/>
  </r>
  <r>
    <d v="2024-10-19T00:00:00"/>
    <x v="1"/>
    <x v="0"/>
    <x v="507"/>
    <x v="16"/>
    <x v="0"/>
    <d v="2024-10-19T00:00:00"/>
    <x v="202"/>
    <x v="1"/>
    <x v="7"/>
    <x v="0"/>
    <x v="1"/>
    <x v="1"/>
    <x v="1"/>
  </r>
  <r>
    <d v="2024-10-19T00:00:00"/>
    <x v="1"/>
    <x v="0"/>
    <x v="494"/>
    <x v="16"/>
    <x v="0"/>
    <d v="2024-10-19T00:00:00"/>
    <x v="202"/>
    <x v="1"/>
    <x v="7"/>
    <x v="0"/>
    <x v="1"/>
    <x v="1"/>
    <x v="1"/>
  </r>
  <r>
    <d v="2024-10-19T00:00:00"/>
    <x v="1"/>
    <x v="0"/>
    <x v="696"/>
    <x v="16"/>
    <x v="0"/>
    <d v="2024-10-19T00:00:00"/>
    <x v="202"/>
    <x v="1"/>
    <x v="7"/>
    <x v="0"/>
    <x v="1"/>
    <x v="1"/>
    <x v="1"/>
  </r>
  <r>
    <d v="2024-10-19T00:00:00"/>
    <x v="1"/>
    <x v="0"/>
    <x v="690"/>
    <x v="16"/>
    <x v="4"/>
    <d v="2024-10-19T00:00:00"/>
    <x v="202"/>
    <x v="1"/>
    <x v="7"/>
    <x v="0"/>
    <x v="1"/>
    <x v="1"/>
    <x v="1"/>
  </r>
  <r>
    <d v="2024-10-19T00:00:00"/>
    <x v="1"/>
    <x v="0"/>
    <x v="786"/>
    <x v="16"/>
    <x v="7"/>
    <d v="2024-10-19T00:00:00"/>
    <x v="202"/>
    <x v="1"/>
    <x v="7"/>
    <x v="0"/>
    <x v="1"/>
    <x v="1"/>
    <x v="1"/>
  </r>
  <r>
    <d v="2024-10-20T00:00:00"/>
    <x v="2"/>
    <x v="0"/>
    <x v="570"/>
    <x v="16"/>
    <x v="0"/>
    <d v="2024-10-20T00:00:00"/>
    <x v="203"/>
    <x v="2"/>
    <x v="7"/>
    <x v="0"/>
    <x v="1"/>
    <x v="1"/>
    <x v="1"/>
  </r>
  <r>
    <d v="2024-10-20T00:00:00"/>
    <x v="2"/>
    <x v="0"/>
    <x v="570"/>
    <x v="16"/>
    <x v="4"/>
    <d v="2024-10-20T00:00:00"/>
    <x v="203"/>
    <x v="2"/>
    <x v="7"/>
    <x v="0"/>
    <x v="1"/>
    <x v="1"/>
    <x v="1"/>
  </r>
  <r>
    <d v="2024-10-20T00:00:00"/>
    <x v="2"/>
    <x v="0"/>
    <x v="787"/>
    <x v="16"/>
    <x v="0"/>
    <d v="2024-10-20T00:00:00"/>
    <x v="203"/>
    <x v="2"/>
    <x v="7"/>
    <x v="0"/>
    <x v="1"/>
    <x v="1"/>
    <x v="1"/>
  </r>
  <r>
    <d v="2024-10-20T00:00:00"/>
    <x v="2"/>
    <x v="0"/>
    <x v="650"/>
    <x v="16"/>
    <x v="1"/>
    <d v="2024-10-20T00:00:00"/>
    <x v="203"/>
    <x v="2"/>
    <x v="7"/>
    <x v="0"/>
    <x v="1"/>
    <x v="1"/>
    <x v="1"/>
  </r>
  <r>
    <d v="2024-10-20T00:00:00"/>
    <x v="2"/>
    <x v="0"/>
    <x v="650"/>
    <x v="18"/>
    <x v="5"/>
    <d v="2024-10-20T00:00:00"/>
    <x v="203"/>
    <x v="2"/>
    <x v="7"/>
    <x v="0"/>
    <x v="1"/>
    <x v="1"/>
    <x v="1"/>
  </r>
  <r>
    <d v="2024-10-20T00:00:00"/>
    <x v="2"/>
    <x v="0"/>
    <x v="455"/>
    <x v="17"/>
    <x v="3"/>
    <d v="2024-10-20T00:00:00"/>
    <x v="203"/>
    <x v="2"/>
    <x v="7"/>
    <x v="0"/>
    <x v="1"/>
    <x v="1"/>
    <x v="1"/>
  </r>
  <r>
    <d v="2024-10-20T00:00:00"/>
    <x v="2"/>
    <x v="0"/>
    <x v="788"/>
    <x v="16"/>
    <x v="0"/>
    <d v="2024-10-20T00:00:00"/>
    <x v="203"/>
    <x v="2"/>
    <x v="7"/>
    <x v="0"/>
    <x v="1"/>
    <x v="1"/>
    <x v="1"/>
  </r>
  <r>
    <d v="2024-10-20T00:00:00"/>
    <x v="2"/>
    <x v="0"/>
    <x v="507"/>
    <x v="16"/>
    <x v="0"/>
    <d v="2024-10-20T00:00:00"/>
    <x v="203"/>
    <x v="2"/>
    <x v="7"/>
    <x v="0"/>
    <x v="1"/>
    <x v="1"/>
    <x v="1"/>
  </r>
  <r>
    <d v="2024-10-20T00:00:00"/>
    <x v="2"/>
    <x v="0"/>
    <x v="12"/>
    <x v="16"/>
    <x v="4"/>
    <d v="2024-10-20T00:00:00"/>
    <x v="203"/>
    <x v="2"/>
    <x v="7"/>
    <x v="0"/>
    <x v="1"/>
    <x v="1"/>
    <x v="1"/>
  </r>
  <r>
    <d v="2024-10-20T00:00:00"/>
    <x v="2"/>
    <x v="0"/>
    <x v="789"/>
    <x v="16"/>
    <x v="1"/>
    <d v="2024-10-20T00:00:00"/>
    <x v="203"/>
    <x v="2"/>
    <x v="7"/>
    <x v="0"/>
    <x v="1"/>
    <x v="1"/>
    <x v="1"/>
  </r>
  <r>
    <d v="2024-10-20T00:00:00"/>
    <x v="2"/>
    <x v="0"/>
    <x v="790"/>
    <x v="18"/>
    <x v="5"/>
    <d v="2024-10-20T00:00:00"/>
    <x v="203"/>
    <x v="2"/>
    <x v="7"/>
    <x v="0"/>
    <x v="1"/>
    <x v="1"/>
    <x v="1"/>
  </r>
  <r>
    <d v="2024-10-20T00:00:00"/>
    <x v="2"/>
    <x v="0"/>
    <x v="791"/>
    <x v="16"/>
    <x v="4"/>
    <d v="2024-10-20T00:00:00"/>
    <x v="203"/>
    <x v="2"/>
    <x v="7"/>
    <x v="0"/>
    <x v="1"/>
    <x v="1"/>
    <x v="1"/>
  </r>
  <r>
    <d v="2024-10-20T00:00:00"/>
    <x v="2"/>
    <x v="0"/>
    <x v="792"/>
    <x v="16"/>
    <x v="0"/>
    <d v="2024-10-20T00:00:00"/>
    <x v="203"/>
    <x v="2"/>
    <x v="7"/>
    <x v="0"/>
    <x v="1"/>
    <x v="1"/>
    <x v="1"/>
  </r>
  <r>
    <d v="2024-10-20T00:00:00"/>
    <x v="2"/>
    <x v="0"/>
    <x v="550"/>
    <x v="16"/>
    <x v="7"/>
    <d v="2024-10-20T00:00:00"/>
    <x v="203"/>
    <x v="2"/>
    <x v="7"/>
    <x v="0"/>
    <x v="1"/>
    <x v="1"/>
    <x v="1"/>
  </r>
  <r>
    <d v="2024-10-21T00:00:00"/>
    <x v="3"/>
    <x v="0"/>
    <x v="696"/>
    <x v="16"/>
    <x v="0"/>
    <d v="2024-10-21T00:00:00"/>
    <x v="204"/>
    <x v="3"/>
    <x v="7"/>
    <x v="0"/>
    <x v="1"/>
    <x v="1"/>
    <x v="1"/>
  </r>
  <r>
    <d v="2024-10-21T00:00:00"/>
    <x v="3"/>
    <x v="0"/>
    <x v="97"/>
    <x v="16"/>
    <x v="0"/>
    <d v="2024-10-21T00:00:00"/>
    <x v="204"/>
    <x v="3"/>
    <x v="7"/>
    <x v="0"/>
    <x v="1"/>
    <x v="1"/>
    <x v="1"/>
  </r>
  <r>
    <d v="2024-10-21T00:00:00"/>
    <x v="3"/>
    <x v="0"/>
    <x v="385"/>
    <x v="17"/>
    <x v="3"/>
    <d v="2024-10-21T00:00:00"/>
    <x v="204"/>
    <x v="3"/>
    <x v="7"/>
    <x v="0"/>
    <x v="1"/>
    <x v="1"/>
    <x v="1"/>
  </r>
  <r>
    <d v="2024-10-21T00:00:00"/>
    <x v="3"/>
    <x v="0"/>
    <x v="793"/>
    <x v="16"/>
    <x v="0"/>
    <d v="2024-10-21T00:00:00"/>
    <x v="204"/>
    <x v="3"/>
    <x v="7"/>
    <x v="0"/>
    <x v="1"/>
    <x v="1"/>
    <x v="1"/>
  </r>
  <r>
    <d v="2024-10-21T00:00:00"/>
    <x v="3"/>
    <x v="0"/>
    <x v="700"/>
    <x v="18"/>
    <x v="2"/>
    <d v="2024-10-21T00:00:00"/>
    <x v="204"/>
    <x v="3"/>
    <x v="7"/>
    <x v="0"/>
    <x v="1"/>
    <x v="1"/>
    <x v="1"/>
  </r>
  <r>
    <d v="2024-10-21T00:00:00"/>
    <x v="3"/>
    <x v="0"/>
    <x v="141"/>
    <x v="18"/>
    <x v="5"/>
    <d v="2024-10-21T00:00:00"/>
    <x v="204"/>
    <x v="3"/>
    <x v="7"/>
    <x v="0"/>
    <x v="1"/>
    <x v="1"/>
    <x v="1"/>
  </r>
  <r>
    <d v="2024-10-21T00:00:00"/>
    <x v="3"/>
    <x v="0"/>
    <x v="274"/>
    <x v="19"/>
    <x v="6"/>
    <d v="2024-10-21T00:00:00"/>
    <x v="204"/>
    <x v="3"/>
    <x v="7"/>
    <x v="0"/>
    <x v="1"/>
    <x v="1"/>
    <x v="1"/>
  </r>
  <r>
    <d v="2024-10-21T00:00:00"/>
    <x v="3"/>
    <x v="0"/>
    <x v="751"/>
    <x v="16"/>
    <x v="7"/>
    <d v="2024-10-21T00:00:00"/>
    <x v="204"/>
    <x v="3"/>
    <x v="7"/>
    <x v="0"/>
    <x v="1"/>
    <x v="1"/>
    <x v="1"/>
  </r>
  <r>
    <d v="2024-10-21T00:00:00"/>
    <x v="3"/>
    <x v="0"/>
    <x v="794"/>
    <x v="16"/>
    <x v="0"/>
    <d v="2024-10-21T00:00:00"/>
    <x v="204"/>
    <x v="3"/>
    <x v="7"/>
    <x v="0"/>
    <x v="1"/>
    <x v="1"/>
    <x v="1"/>
  </r>
  <r>
    <d v="2024-10-21T00:00:00"/>
    <x v="3"/>
    <x v="0"/>
    <x v="726"/>
    <x v="16"/>
    <x v="0"/>
    <d v="2024-10-21T00:00:00"/>
    <x v="204"/>
    <x v="3"/>
    <x v="7"/>
    <x v="0"/>
    <x v="1"/>
    <x v="1"/>
    <x v="1"/>
  </r>
  <r>
    <d v="2024-10-21T00:00:00"/>
    <x v="3"/>
    <x v="0"/>
    <x v="795"/>
    <x v="17"/>
    <x v="3"/>
    <d v="2024-10-21T00:00:00"/>
    <x v="204"/>
    <x v="3"/>
    <x v="7"/>
    <x v="0"/>
    <x v="1"/>
    <x v="1"/>
    <x v="1"/>
  </r>
  <r>
    <d v="2024-10-21T00:00:00"/>
    <x v="3"/>
    <x v="0"/>
    <x v="796"/>
    <x v="18"/>
    <x v="5"/>
    <d v="2024-10-21T00:00:00"/>
    <x v="204"/>
    <x v="3"/>
    <x v="7"/>
    <x v="0"/>
    <x v="1"/>
    <x v="1"/>
    <x v="1"/>
  </r>
  <r>
    <d v="2024-10-21T00:00:00"/>
    <x v="3"/>
    <x v="0"/>
    <x v="225"/>
    <x v="16"/>
    <x v="4"/>
    <d v="2024-10-21T00:00:00"/>
    <x v="204"/>
    <x v="3"/>
    <x v="7"/>
    <x v="0"/>
    <x v="1"/>
    <x v="1"/>
    <x v="1"/>
  </r>
  <r>
    <d v="2024-10-21T00:00:00"/>
    <x v="3"/>
    <x v="0"/>
    <x v="797"/>
    <x v="16"/>
    <x v="0"/>
    <d v="2024-10-21T00:00:00"/>
    <x v="204"/>
    <x v="3"/>
    <x v="7"/>
    <x v="0"/>
    <x v="1"/>
    <x v="1"/>
    <x v="1"/>
  </r>
  <r>
    <d v="2024-10-21T00:00:00"/>
    <x v="3"/>
    <x v="0"/>
    <x v="798"/>
    <x v="16"/>
    <x v="1"/>
    <d v="2024-10-21T00:00:00"/>
    <x v="204"/>
    <x v="3"/>
    <x v="7"/>
    <x v="0"/>
    <x v="1"/>
    <x v="1"/>
    <x v="1"/>
  </r>
  <r>
    <d v="2024-10-21T00:00:00"/>
    <x v="3"/>
    <x v="0"/>
    <x v="799"/>
    <x v="16"/>
    <x v="0"/>
    <d v="2024-10-21T00:00:00"/>
    <x v="204"/>
    <x v="3"/>
    <x v="7"/>
    <x v="0"/>
    <x v="1"/>
    <x v="1"/>
    <x v="1"/>
  </r>
  <r>
    <d v="2024-10-21T00:00:00"/>
    <x v="3"/>
    <x v="0"/>
    <x v="789"/>
    <x v="16"/>
    <x v="4"/>
    <d v="2024-10-21T00:00:00"/>
    <x v="204"/>
    <x v="3"/>
    <x v="7"/>
    <x v="0"/>
    <x v="1"/>
    <x v="1"/>
    <x v="1"/>
  </r>
  <r>
    <d v="2024-10-21T00:00:00"/>
    <x v="3"/>
    <x v="0"/>
    <x v="791"/>
    <x v="16"/>
    <x v="1"/>
    <d v="2024-10-21T00:00:00"/>
    <x v="204"/>
    <x v="3"/>
    <x v="7"/>
    <x v="0"/>
    <x v="1"/>
    <x v="1"/>
    <x v="1"/>
  </r>
  <r>
    <d v="2024-10-22T00:00:00"/>
    <x v="4"/>
    <x v="0"/>
    <x v="696"/>
    <x v="16"/>
    <x v="0"/>
    <d v="2024-10-22T00:00:00"/>
    <x v="205"/>
    <x v="4"/>
    <x v="7"/>
    <x v="0"/>
    <x v="1"/>
    <x v="1"/>
    <x v="1"/>
  </r>
  <r>
    <d v="2024-10-22T00:00:00"/>
    <x v="4"/>
    <x v="0"/>
    <x v="696"/>
    <x v="16"/>
    <x v="7"/>
    <d v="2024-10-22T00:00:00"/>
    <x v="205"/>
    <x v="4"/>
    <x v="7"/>
    <x v="0"/>
    <x v="1"/>
    <x v="1"/>
    <x v="1"/>
  </r>
  <r>
    <d v="2024-10-22T00:00:00"/>
    <x v="4"/>
    <x v="0"/>
    <x v="276"/>
    <x v="17"/>
    <x v="3"/>
    <d v="2024-10-22T00:00:00"/>
    <x v="205"/>
    <x v="4"/>
    <x v="7"/>
    <x v="0"/>
    <x v="1"/>
    <x v="1"/>
    <x v="1"/>
  </r>
  <r>
    <d v="2024-10-22T00:00:00"/>
    <x v="4"/>
    <x v="0"/>
    <x v="800"/>
    <x v="18"/>
    <x v="5"/>
    <d v="2024-10-22T00:00:00"/>
    <x v="205"/>
    <x v="4"/>
    <x v="7"/>
    <x v="0"/>
    <x v="1"/>
    <x v="1"/>
    <x v="1"/>
  </r>
  <r>
    <d v="2024-10-22T00:00:00"/>
    <x v="4"/>
    <x v="0"/>
    <x v="402"/>
    <x v="19"/>
    <x v="6"/>
    <d v="2024-10-22T00:00:00"/>
    <x v="205"/>
    <x v="4"/>
    <x v="7"/>
    <x v="0"/>
    <x v="1"/>
    <x v="1"/>
    <x v="1"/>
  </r>
  <r>
    <d v="2024-10-22T00:00:00"/>
    <x v="4"/>
    <x v="0"/>
    <x v="402"/>
    <x v="18"/>
    <x v="5"/>
    <d v="2024-10-22T00:00:00"/>
    <x v="205"/>
    <x v="4"/>
    <x v="7"/>
    <x v="0"/>
    <x v="1"/>
    <x v="1"/>
    <x v="1"/>
  </r>
  <r>
    <d v="2024-10-22T00:00:00"/>
    <x v="4"/>
    <x v="0"/>
    <x v="801"/>
    <x v="18"/>
    <x v="2"/>
    <d v="2024-10-22T00:00:00"/>
    <x v="205"/>
    <x v="4"/>
    <x v="7"/>
    <x v="0"/>
    <x v="1"/>
    <x v="1"/>
    <x v="1"/>
  </r>
  <r>
    <d v="2024-10-22T00:00:00"/>
    <x v="4"/>
    <x v="0"/>
    <x v="507"/>
    <x v="16"/>
    <x v="1"/>
    <d v="2024-10-22T00:00:00"/>
    <x v="205"/>
    <x v="4"/>
    <x v="7"/>
    <x v="0"/>
    <x v="1"/>
    <x v="1"/>
    <x v="1"/>
  </r>
  <r>
    <d v="2024-10-22T00:00:00"/>
    <x v="4"/>
    <x v="0"/>
    <x v="507"/>
    <x v="16"/>
    <x v="0"/>
    <d v="2024-10-22T00:00:00"/>
    <x v="205"/>
    <x v="4"/>
    <x v="7"/>
    <x v="0"/>
    <x v="1"/>
    <x v="1"/>
    <x v="1"/>
  </r>
  <r>
    <d v="2024-10-23T00:00:00"/>
    <x v="5"/>
    <x v="0"/>
    <x v="696"/>
    <x v="16"/>
    <x v="0"/>
    <d v="2024-10-23T00:00:00"/>
    <x v="206"/>
    <x v="5"/>
    <x v="7"/>
    <x v="0"/>
    <x v="1"/>
    <x v="1"/>
    <x v="1"/>
  </r>
  <r>
    <d v="2024-10-23T00:00:00"/>
    <x v="5"/>
    <x v="0"/>
    <x v="276"/>
    <x v="17"/>
    <x v="3"/>
    <d v="2024-10-23T00:00:00"/>
    <x v="206"/>
    <x v="5"/>
    <x v="7"/>
    <x v="0"/>
    <x v="1"/>
    <x v="1"/>
    <x v="1"/>
  </r>
  <r>
    <d v="2024-10-23T00:00:00"/>
    <x v="5"/>
    <x v="0"/>
    <x v="141"/>
    <x v="18"/>
    <x v="5"/>
    <d v="2024-10-23T00:00:00"/>
    <x v="206"/>
    <x v="5"/>
    <x v="7"/>
    <x v="0"/>
    <x v="1"/>
    <x v="1"/>
    <x v="1"/>
  </r>
  <r>
    <d v="2024-10-23T00:00:00"/>
    <x v="5"/>
    <x v="0"/>
    <x v="802"/>
    <x v="17"/>
    <x v="3"/>
    <d v="2024-10-23T00:00:00"/>
    <x v="206"/>
    <x v="5"/>
    <x v="7"/>
    <x v="0"/>
    <x v="1"/>
    <x v="1"/>
    <x v="1"/>
  </r>
  <r>
    <d v="2024-10-23T00:00:00"/>
    <x v="5"/>
    <x v="0"/>
    <x v="803"/>
    <x v="17"/>
    <x v="3"/>
    <d v="2024-10-23T00:00:00"/>
    <x v="206"/>
    <x v="5"/>
    <x v="7"/>
    <x v="0"/>
    <x v="1"/>
    <x v="1"/>
    <x v="1"/>
  </r>
  <r>
    <d v="2024-10-23T00:00:00"/>
    <x v="5"/>
    <x v="0"/>
    <x v="804"/>
    <x v="16"/>
    <x v="7"/>
    <d v="2024-10-23T00:00:00"/>
    <x v="206"/>
    <x v="5"/>
    <x v="7"/>
    <x v="0"/>
    <x v="1"/>
    <x v="1"/>
    <x v="1"/>
  </r>
  <r>
    <d v="2024-10-23T00:00:00"/>
    <x v="5"/>
    <x v="0"/>
    <x v="805"/>
    <x v="19"/>
    <x v="6"/>
    <d v="2024-10-23T00:00:00"/>
    <x v="206"/>
    <x v="5"/>
    <x v="7"/>
    <x v="0"/>
    <x v="1"/>
    <x v="1"/>
    <x v="1"/>
  </r>
  <r>
    <d v="2024-10-23T00:00:00"/>
    <x v="5"/>
    <x v="0"/>
    <x v="40"/>
    <x v="16"/>
    <x v="4"/>
    <d v="2024-10-23T00:00:00"/>
    <x v="206"/>
    <x v="5"/>
    <x v="7"/>
    <x v="0"/>
    <x v="1"/>
    <x v="1"/>
    <x v="1"/>
  </r>
  <r>
    <d v="2024-10-23T00:00:00"/>
    <x v="5"/>
    <x v="0"/>
    <x v="40"/>
    <x v="16"/>
    <x v="7"/>
    <d v="2024-10-23T00:00:00"/>
    <x v="206"/>
    <x v="5"/>
    <x v="7"/>
    <x v="0"/>
    <x v="1"/>
    <x v="1"/>
    <x v="1"/>
  </r>
  <r>
    <d v="2024-10-23T00:00:00"/>
    <x v="5"/>
    <x v="0"/>
    <x v="518"/>
    <x v="17"/>
    <x v="3"/>
    <d v="2024-10-23T00:00:00"/>
    <x v="206"/>
    <x v="5"/>
    <x v="7"/>
    <x v="0"/>
    <x v="1"/>
    <x v="1"/>
    <x v="1"/>
  </r>
  <r>
    <d v="2024-10-23T00:00:00"/>
    <x v="5"/>
    <x v="0"/>
    <x v="806"/>
    <x v="16"/>
    <x v="1"/>
    <d v="2024-10-23T00:00:00"/>
    <x v="206"/>
    <x v="5"/>
    <x v="7"/>
    <x v="0"/>
    <x v="1"/>
    <x v="1"/>
    <x v="1"/>
  </r>
  <r>
    <d v="2024-10-23T00:00:00"/>
    <x v="5"/>
    <x v="0"/>
    <x v="807"/>
    <x v="16"/>
    <x v="0"/>
    <d v="2024-10-23T00:00:00"/>
    <x v="206"/>
    <x v="5"/>
    <x v="7"/>
    <x v="0"/>
    <x v="1"/>
    <x v="1"/>
    <x v="1"/>
  </r>
  <r>
    <d v="2024-10-24T00:00:00"/>
    <x v="6"/>
    <x v="0"/>
    <x v="808"/>
    <x v="18"/>
    <x v="2"/>
    <d v="2024-10-24T00:00:00"/>
    <x v="207"/>
    <x v="6"/>
    <x v="7"/>
    <x v="0"/>
    <x v="1"/>
    <x v="1"/>
    <x v="1"/>
  </r>
  <r>
    <d v="2024-10-24T00:00:00"/>
    <x v="6"/>
    <x v="0"/>
    <x v="809"/>
    <x v="16"/>
    <x v="7"/>
    <d v="2024-10-24T00:00:00"/>
    <x v="207"/>
    <x v="6"/>
    <x v="7"/>
    <x v="0"/>
    <x v="1"/>
    <x v="1"/>
    <x v="1"/>
  </r>
  <r>
    <d v="2024-10-24T00:00:00"/>
    <x v="6"/>
    <x v="0"/>
    <x v="804"/>
    <x v="16"/>
    <x v="7"/>
    <d v="2024-10-24T00:00:00"/>
    <x v="207"/>
    <x v="6"/>
    <x v="7"/>
    <x v="0"/>
    <x v="1"/>
    <x v="1"/>
    <x v="1"/>
  </r>
  <r>
    <d v="2024-10-24T00:00:00"/>
    <x v="6"/>
    <x v="0"/>
    <x v="810"/>
    <x v="16"/>
    <x v="1"/>
    <d v="2024-10-24T00:00:00"/>
    <x v="207"/>
    <x v="6"/>
    <x v="7"/>
    <x v="0"/>
    <x v="1"/>
    <x v="1"/>
    <x v="1"/>
  </r>
  <r>
    <d v="2024-10-24T00:00:00"/>
    <x v="6"/>
    <x v="0"/>
    <x v="810"/>
    <x v="16"/>
    <x v="0"/>
    <d v="2024-10-24T00:00:00"/>
    <x v="207"/>
    <x v="6"/>
    <x v="7"/>
    <x v="0"/>
    <x v="1"/>
    <x v="1"/>
    <x v="1"/>
  </r>
  <r>
    <d v="2024-10-24T00:00:00"/>
    <x v="6"/>
    <x v="0"/>
    <x v="788"/>
    <x v="16"/>
    <x v="0"/>
    <d v="2024-10-24T00:00:00"/>
    <x v="207"/>
    <x v="6"/>
    <x v="7"/>
    <x v="0"/>
    <x v="1"/>
    <x v="1"/>
    <x v="1"/>
  </r>
  <r>
    <d v="2024-10-24T00:00:00"/>
    <x v="6"/>
    <x v="0"/>
    <x v="811"/>
    <x v="18"/>
    <x v="2"/>
    <d v="2024-10-24T00:00:00"/>
    <x v="207"/>
    <x v="6"/>
    <x v="7"/>
    <x v="0"/>
    <x v="1"/>
    <x v="1"/>
    <x v="1"/>
  </r>
  <r>
    <d v="2024-10-24T00:00:00"/>
    <x v="6"/>
    <x v="0"/>
    <x v="507"/>
    <x v="16"/>
    <x v="0"/>
    <d v="2024-10-24T00:00:00"/>
    <x v="207"/>
    <x v="6"/>
    <x v="7"/>
    <x v="0"/>
    <x v="1"/>
    <x v="1"/>
    <x v="1"/>
  </r>
  <r>
    <d v="2024-10-24T00:00:00"/>
    <x v="6"/>
    <x v="0"/>
    <x v="812"/>
    <x v="18"/>
    <x v="2"/>
    <d v="2024-10-24T00:00:00"/>
    <x v="207"/>
    <x v="6"/>
    <x v="7"/>
    <x v="0"/>
    <x v="1"/>
    <x v="1"/>
    <x v="1"/>
  </r>
  <r>
    <d v="2024-10-24T00:00:00"/>
    <x v="6"/>
    <x v="0"/>
    <x v="813"/>
    <x v="16"/>
    <x v="1"/>
    <d v="2024-10-24T00:00:00"/>
    <x v="207"/>
    <x v="6"/>
    <x v="7"/>
    <x v="0"/>
    <x v="1"/>
    <x v="1"/>
    <x v="1"/>
  </r>
  <r>
    <d v="2024-10-24T00:00:00"/>
    <x v="6"/>
    <x v="0"/>
    <x v="637"/>
    <x v="16"/>
    <x v="1"/>
    <d v="2024-10-24T00:00:00"/>
    <x v="207"/>
    <x v="6"/>
    <x v="7"/>
    <x v="0"/>
    <x v="1"/>
    <x v="1"/>
    <x v="1"/>
  </r>
  <r>
    <d v="2024-10-24T00:00:00"/>
    <x v="6"/>
    <x v="0"/>
    <x v="637"/>
    <x v="16"/>
    <x v="7"/>
    <d v="2024-10-24T00:00:00"/>
    <x v="207"/>
    <x v="6"/>
    <x v="7"/>
    <x v="0"/>
    <x v="1"/>
    <x v="1"/>
    <x v="1"/>
  </r>
  <r>
    <d v="2024-10-25T00:00:00"/>
    <x v="0"/>
    <x v="0"/>
    <x v="696"/>
    <x v="16"/>
    <x v="7"/>
    <d v="2024-10-25T00:00:00"/>
    <x v="208"/>
    <x v="0"/>
    <x v="7"/>
    <x v="0"/>
    <x v="1"/>
    <x v="1"/>
    <x v="1"/>
  </r>
  <r>
    <d v="2024-10-25T00:00:00"/>
    <x v="0"/>
    <x v="0"/>
    <x v="402"/>
    <x v="19"/>
    <x v="6"/>
    <d v="2024-10-25T00:00:00"/>
    <x v="208"/>
    <x v="0"/>
    <x v="7"/>
    <x v="0"/>
    <x v="1"/>
    <x v="1"/>
    <x v="1"/>
  </r>
  <r>
    <d v="2024-10-25T00:00:00"/>
    <x v="0"/>
    <x v="0"/>
    <x v="570"/>
    <x v="16"/>
    <x v="4"/>
    <d v="2024-10-25T00:00:00"/>
    <x v="208"/>
    <x v="0"/>
    <x v="7"/>
    <x v="0"/>
    <x v="1"/>
    <x v="1"/>
    <x v="1"/>
  </r>
  <r>
    <d v="2024-10-25T00:00:00"/>
    <x v="0"/>
    <x v="0"/>
    <x v="570"/>
    <x v="16"/>
    <x v="0"/>
    <d v="2024-10-25T00:00:00"/>
    <x v="208"/>
    <x v="0"/>
    <x v="7"/>
    <x v="0"/>
    <x v="1"/>
    <x v="1"/>
    <x v="1"/>
  </r>
  <r>
    <d v="2024-10-25T00:00:00"/>
    <x v="0"/>
    <x v="0"/>
    <x v="84"/>
    <x v="16"/>
    <x v="4"/>
    <d v="2024-10-25T00:00:00"/>
    <x v="208"/>
    <x v="0"/>
    <x v="7"/>
    <x v="0"/>
    <x v="1"/>
    <x v="1"/>
    <x v="1"/>
  </r>
  <r>
    <d v="2024-10-25T00:00:00"/>
    <x v="0"/>
    <x v="0"/>
    <x v="683"/>
    <x v="18"/>
    <x v="2"/>
    <d v="2024-10-25T00:00:00"/>
    <x v="208"/>
    <x v="0"/>
    <x v="7"/>
    <x v="0"/>
    <x v="1"/>
    <x v="1"/>
    <x v="1"/>
  </r>
  <r>
    <d v="2024-10-25T00:00:00"/>
    <x v="0"/>
    <x v="0"/>
    <x v="276"/>
    <x v="17"/>
    <x v="3"/>
    <d v="2024-10-25T00:00:00"/>
    <x v="208"/>
    <x v="0"/>
    <x v="7"/>
    <x v="0"/>
    <x v="1"/>
    <x v="1"/>
    <x v="1"/>
  </r>
  <r>
    <d v="2024-10-25T00:00:00"/>
    <x v="0"/>
    <x v="0"/>
    <x v="12"/>
    <x v="16"/>
    <x v="4"/>
    <d v="2024-10-25T00:00:00"/>
    <x v="208"/>
    <x v="0"/>
    <x v="7"/>
    <x v="0"/>
    <x v="1"/>
    <x v="1"/>
    <x v="1"/>
  </r>
  <r>
    <d v="2024-10-25T00:00:00"/>
    <x v="0"/>
    <x v="0"/>
    <x v="141"/>
    <x v="18"/>
    <x v="5"/>
    <d v="2024-10-25T00:00:00"/>
    <x v="208"/>
    <x v="0"/>
    <x v="7"/>
    <x v="0"/>
    <x v="1"/>
    <x v="1"/>
    <x v="1"/>
  </r>
  <r>
    <d v="2024-10-25T00:00:00"/>
    <x v="0"/>
    <x v="0"/>
    <x v="814"/>
    <x v="16"/>
    <x v="0"/>
    <d v="2024-10-25T00:00:00"/>
    <x v="208"/>
    <x v="0"/>
    <x v="7"/>
    <x v="0"/>
    <x v="1"/>
    <x v="1"/>
    <x v="1"/>
  </r>
  <r>
    <d v="2024-10-25T00:00:00"/>
    <x v="0"/>
    <x v="0"/>
    <x v="137"/>
    <x v="16"/>
    <x v="7"/>
    <d v="2024-10-25T00:00:00"/>
    <x v="208"/>
    <x v="0"/>
    <x v="7"/>
    <x v="0"/>
    <x v="1"/>
    <x v="1"/>
    <x v="1"/>
  </r>
  <r>
    <d v="2024-10-25T00:00:00"/>
    <x v="0"/>
    <x v="0"/>
    <x v="815"/>
    <x v="16"/>
    <x v="1"/>
    <d v="2024-10-25T00:00:00"/>
    <x v="208"/>
    <x v="0"/>
    <x v="7"/>
    <x v="0"/>
    <x v="1"/>
    <x v="1"/>
    <x v="1"/>
  </r>
  <r>
    <d v="2024-10-25T00:00:00"/>
    <x v="0"/>
    <x v="0"/>
    <x v="815"/>
    <x v="19"/>
    <x v="6"/>
    <d v="2024-10-25T00:00:00"/>
    <x v="208"/>
    <x v="0"/>
    <x v="7"/>
    <x v="0"/>
    <x v="1"/>
    <x v="1"/>
    <x v="1"/>
  </r>
  <r>
    <d v="2024-10-26T00:00:00"/>
    <x v="1"/>
    <x v="0"/>
    <x v="682"/>
    <x v="16"/>
    <x v="7"/>
    <d v="2024-10-26T00:00:00"/>
    <x v="209"/>
    <x v="1"/>
    <x v="7"/>
    <x v="0"/>
    <x v="1"/>
    <x v="1"/>
    <x v="1"/>
  </r>
  <r>
    <d v="2024-10-26T00:00:00"/>
    <x v="1"/>
    <x v="0"/>
    <x v="141"/>
    <x v="18"/>
    <x v="5"/>
    <d v="2024-10-26T00:00:00"/>
    <x v="209"/>
    <x v="1"/>
    <x v="7"/>
    <x v="0"/>
    <x v="1"/>
    <x v="1"/>
    <x v="1"/>
  </r>
  <r>
    <d v="2024-10-26T00:00:00"/>
    <x v="1"/>
    <x v="0"/>
    <x v="334"/>
    <x v="16"/>
    <x v="7"/>
    <d v="2024-10-26T00:00:00"/>
    <x v="209"/>
    <x v="1"/>
    <x v="7"/>
    <x v="0"/>
    <x v="1"/>
    <x v="1"/>
    <x v="1"/>
  </r>
  <r>
    <d v="2024-10-26T00:00:00"/>
    <x v="1"/>
    <x v="0"/>
    <x v="816"/>
    <x v="18"/>
    <x v="2"/>
    <d v="2024-10-26T00:00:00"/>
    <x v="209"/>
    <x v="1"/>
    <x v="7"/>
    <x v="0"/>
    <x v="1"/>
    <x v="1"/>
    <x v="1"/>
  </r>
  <r>
    <d v="2024-10-26T00:00:00"/>
    <x v="1"/>
    <x v="0"/>
    <x v="40"/>
    <x v="16"/>
    <x v="4"/>
    <d v="2024-10-26T00:00:00"/>
    <x v="209"/>
    <x v="1"/>
    <x v="7"/>
    <x v="0"/>
    <x v="1"/>
    <x v="1"/>
    <x v="1"/>
  </r>
  <r>
    <d v="2024-10-26T00:00:00"/>
    <x v="1"/>
    <x v="0"/>
    <x v="817"/>
    <x v="16"/>
    <x v="0"/>
    <d v="2024-10-26T00:00:00"/>
    <x v="209"/>
    <x v="1"/>
    <x v="7"/>
    <x v="0"/>
    <x v="1"/>
    <x v="1"/>
    <x v="1"/>
  </r>
  <r>
    <d v="2024-10-26T00:00:00"/>
    <x v="1"/>
    <x v="0"/>
    <x v="276"/>
    <x v="16"/>
    <x v="0"/>
    <d v="2024-10-26T00:00:00"/>
    <x v="209"/>
    <x v="1"/>
    <x v="7"/>
    <x v="0"/>
    <x v="1"/>
    <x v="1"/>
    <x v="1"/>
  </r>
  <r>
    <d v="2024-10-26T00:00:00"/>
    <x v="1"/>
    <x v="0"/>
    <x v="276"/>
    <x v="17"/>
    <x v="3"/>
    <d v="2024-10-26T00:00:00"/>
    <x v="209"/>
    <x v="1"/>
    <x v="7"/>
    <x v="0"/>
    <x v="1"/>
    <x v="1"/>
    <x v="1"/>
  </r>
  <r>
    <d v="2024-10-26T00:00:00"/>
    <x v="1"/>
    <x v="0"/>
    <x v="818"/>
    <x v="16"/>
    <x v="0"/>
    <d v="2024-10-26T00:00:00"/>
    <x v="209"/>
    <x v="1"/>
    <x v="7"/>
    <x v="0"/>
    <x v="1"/>
    <x v="1"/>
    <x v="1"/>
  </r>
  <r>
    <d v="2024-10-26T00:00:00"/>
    <x v="1"/>
    <x v="0"/>
    <x v="819"/>
    <x v="17"/>
    <x v="3"/>
    <d v="2024-10-26T00:00:00"/>
    <x v="209"/>
    <x v="1"/>
    <x v="7"/>
    <x v="0"/>
    <x v="1"/>
    <x v="1"/>
    <x v="1"/>
  </r>
  <r>
    <d v="2024-10-26T00:00:00"/>
    <x v="1"/>
    <x v="0"/>
    <x v="820"/>
    <x v="17"/>
    <x v="3"/>
    <d v="2024-10-26T00:00:00"/>
    <x v="209"/>
    <x v="1"/>
    <x v="7"/>
    <x v="0"/>
    <x v="1"/>
    <x v="1"/>
    <x v="1"/>
  </r>
  <r>
    <d v="2024-10-26T00:00:00"/>
    <x v="1"/>
    <x v="0"/>
    <x v="715"/>
    <x v="16"/>
    <x v="7"/>
    <d v="2024-10-26T00:00:00"/>
    <x v="209"/>
    <x v="1"/>
    <x v="7"/>
    <x v="0"/>
    <x v="1"/>
    <x v="1"/>
    <x v="1"/>
  </r>
  <r>
    <d v="2024-10-26T00:00:00"/>
    <x v="1"/>
    <x v="0"/>
    <x v="821"/>
    <x v="17"/>
    <x v="3"/>
    <d v="2024-10-26T00:00:00"/>
    <x v="209"/>
    <x v="1"/>
    <x v="7"/>
    <x v="0"/>
    <x v="1"/>
    <x v="1"/>
    <x v="1"/>
  </r>
  <r>
    <d v="2024-10-27T00:00:00"/>
    <x v="2"/>
    <x v="0"/>
    <x v="347"/>
    <x v="17"/>
    <x v="3"/>
    <d v="2024-10-27T00:00:00"/>
    <x v="41"/>
    <x v="2"/>
    <x v="7"/>
    <x v="0"/>
    <x v="1"/>
    <x v="1"/>
    <x v="1"/>
  </r>
  <r>
    <d v="2024-10-27T00:00:00"/>
    <x v="2"/>
    <x v="0"/>
    <x v="276"/>
    <x v="16"/>
    <x v="0"/>
    <d v="2024-10-27T00:00:00"/>
    <x v="41"/>
    <x v="2"/>
    <x v="7"/>
    <x v="0"/>
    <x v="1"/>
    <x v="1"/>
    <x v="1"/>
  </r>
  <r>
    <d v="2024-10-27T00:00:00"/>
    <x v="2"/>
    <x v="0"/>
    <x v="276"/>
    <x v="17"/>
    <x v="3"/>
    <d v="2024-10-27T00:00:00"/>
    <x v="41"/>
    <x v="2"/>
    <x v="7"/>
    <x v="0"/>
    <x v="1"/>
    <x v="1"/>
    <x v="1"/>
  </r>
  <r>
    <d v="2024-10-27T00:00:00"/>
    <x v="2"/>
    <x v="0"/>
    <x v="822"/>
    <x v="16"/>
    <x v="7"/>
    <d v="2024-10-27T00:00:00"/>
    <x v="41"/>
    <x v="2"/>
    <x v="7"/>
    <x v="0"/>
    <x v="1"/>
    <x v="1"/>
    <x v="1"/>
  </r>
  <r>
    <d v="2024-10-27T00:00:00"/>
    <x v="2"/>
    <x v="0"/>
    <x v="507"/>
    <x v="16"/>
    <x v="0"/>
    <d v="2024-10-27T00:00:00"/>
    <x v="41"/>
    <x v="2"/>
    <x v="7"/>
    <x v="0"/>
    <x v="1"/>
    <x v="1"/>
    <x v="1"/>
  </r>
  <r>
    <d v="2024-10-28T00:00:00"/>
    <x v="3"/>
    <x v="0"/>
    <x v="696"/>
    <x v="16"/>
    <x v="7"/>
    <d v="2024-10-28T00:00:00"/>
    <x v="210"/>
    <x v="3"/>
    <x v="7"/>
    <x v="0"/>
    <x v="1"/>
    <x v="1"/>
    <x v="1"/>
  </r>
  <r>
    <d v="2024-10-28T00:00:00"/>
    <x v="3"/>
    <x v="0"/>
    <x v="823"/>
    <x v="18"/>
    <x v="2"/>
    <d v="2024-10-28T00:00:00"/>
    <x v="210"/>
    <x v="3"/>
    <x v="7"/>
    <x v="0"/>
    <x v="1"/>
    <x v="1"/>
    <x v="1"/>
  </r>
  <r>
    <d v="2024-10-28T00:00:00"/>
    <x v="3"/>
    <x v="0"/>
    <x v="683"/>
    <x v="16"/>
    <x v="0"/>
    <d v="2024-10-28T00:00:00"/>
    <x v="210"/>
    <x v="3"/>
    <x v="7"/>
    <x v="0"/>
    <x v="1"/>
    <x v="1"/>
    <x v="1"/>
  </r>
  <r>
    <d v="2024-10-28T00:00:00"/>
    <x v="3"/>
    <x v="0"/>
    <x v="242"/>
    <x v="17"/>
    <x v="3"/>
    <d v="2024-10-28T00:00:00"/>
    <x v="210"/>
    <x v="3"/>
    <x v="7"/>
    <x v="0"/>
    <x v="1"/>
    <x v="1"/>
    <x v="1"/>
  </r>
  <r>
    <d v="2024-10-28T00:00:00"/>
    <x v="3"/>
    <x v="0"/>
    <x v="824"/>
    <x v="16"/>
    <x v="0"/>
    <d v="2024-10-28T00:00:00"/>
    <x v="210"/>
    <x v="3"/>
    <x v="7"/>
    <x v="0"/>
    <x v="1"/>
    <x v="1"/>
    <x v="1"/>
  </r>
  <r>
    <d v="2024-10-28T00:00:00"/>
    <x v="3"/>
    <x v="0"/>
    <x v="707"/>
    <x v="16"/>
    <x v="1"/>
    <d v="2024-10-28T00:00:00"/>
    <x v="210"/>
    <x v="3"/>
    <x v="7"/>
    <x v="0"/>
    <x v="1"/>
    <x v="1"/>
    <x v="1"/>
  </r>
  <r>
    <d v="2024-10-28T00:00:00"/>
    <x v="3"/>
    <x v="0"/>
    <x v="825"/>
    <x v="17"/>
    <x v="3"/>
    <d v="2024-10-28T00:00:00"/>
    <x v="210"/>
    <x v="3"/>
    <x v="7"/>
    <x v="0"/>
    <x v="1"/>
    <x v="1"/>
    <x v="1"/>
  </r>
  <r>
    <d v="2024-10-28T00:00:00"/>
    <x v="3"/>
    <x v="0"/>
    <x v="826"/>
    <x v="16"/>
    <x v="7"/>
    <d v="2024-10-28T00:00:00"/>
    <x v="210"/>
    <x v="3"/>
    <x v="7"/>
    <x v="0"/>
    <x v="1"/>
    <x v="1"/>
    <x v="1"/>
  </r>
  <r>
    <d v="2024-10-28T00:00:00"/>
    <x v="3"/>
    <x v="0"/>
    <x v="819"/>
    <x v="17"/>
    <x v="3"/>
    <d v="2024-10-28T00:00:00"/>
    <x v="210"/>
    <x v="3"/>
    <x v="7"/>
    <x v="0"/>
    <x v="1"/>
    <x v="1"/>
    <x v="1"/>
  </r>
  <r>
    <d v="2024-10-28T00:00:00"/>
    <x v="3"/>
    <x v="0"/>
    <x v="827"/>
    <x v="17"/>
    <x v="3"/>
    <d v="2024-10-28T00:00:00"/>
    <x v="210"/>
    <x v="3"/>
    <x v="7"/>
    <x v="0"/>
    <x v="1"/>
    <x v="1"/>
    <x v="1"/>
  </r>
  <r>
    <d v="2024-10-28T00:00:00"/>
    <x v="3"/>
    <x v="0"/>
    <x v="159"/>
    <x v="16"/>
    <x v="0"/>
    <d v="2024-10-28T00:00:00"/>
    <x v="210"/>
    <x v="3"/>
    <x v="7"/>
    <x v="0"/>
    <x v="1"/>
    <x v="1"/>
    <x v="1"/>
  </r>
  <r>
    <d v="2024-10-28T00:00:00"/>
    <x v="3"/>
    <x v="0"/>
    <x v="828"/>
    <x v="16"/>
    <x v="4"/>
    <d v="2024-10-28T00:00:00"/>
    <x v="210"/>
    <x v="3"/>
    <x v="7"/>
    <x v="0"/>
    <x v="1"/>
    <x v="1"/>
    <x v="1"/>
  </r>
  <r>
    <d v="2024-10-28T00:00:00"/>
    <x v="3"/>
    <x v="0"/>
    <x v="257"/>
    <x v="16"/>
    <x v="7"/>
    <d v="2024-10-28T00:00:00"/>
    <x v="210"/>
    <x v="3"/>
    <x v="7"/>
    <x v="0"/>
    <x v="1"/>
    <x v="1"/>
    <x v="1"/>
  </r>
  <r>
    <d v="2024-10-28T00:00:00"/>
    <x v="3"/>
    <x v="0"/>
    <x v="329"/>
    <x v="17"/>
    <x v="3"/>
    <d v="2024-10-28T00:00:00"/>
    <x v="210"/>
    <x v="3"/>
    <x v="7"/>
    <x v="0"/>
    <x v="1"/>
    <x v="1"/>
    <x v="1"/>
  </r>
  <r>
    <d v="2024-10-28T00:00:00"/>
    <x v="3"/>
    <x v="0"/>
    <x v="695"/>
    <x v="17"/>
    <x v="3"/>
    <d v="2024-10-28T00:00:00"/>
    <x v="210"/>
    <x v="3"/>
    <x v="7"/>
    <x v="0"/>
    <x v="1"/>
    <x v="1"/>
    <x v="1"/>
  </r>
  <r>
    <d v="2024-10-29T00:00:00"/>
    <x v="4"/>
    <x v="0"/>
    <x v="804"/>
    <x v="16"/>
    <x v="0"/>
    <d v="2024-10-29T00:00:00"/>
    <x v="211"/>
    <x v="4"/>
    <x v="7"/>
    <x v="0"/>
    <x v="1"/>
    <x v="1"/>
    <x v="1"/>
  </r>
  <r>
    <d v="2024-10-29T00:00:00"/>
    <x v="4"/>
    <x v="0"/>
    <x v="683"/>
    <x v="16"/>
    <x v="0"/>
    <d v="2024-10-29T00:00:00"/>
    <x v="211"/>
    <x v="4"/>
    <x v="7"/>
    <x v="0"/>
    <x v="1"/>
    <x v="1"/>
    <x v="1"/>
  </r>
  <r>
    <d v="2024-10-29T00:00:00"/>
    <x v="4"/>
    <x v="0"/>
    <x v="570"/>
    <x v="16"/>
    <x v="0"/>
    <d v="2024-10-29T00:00:00"/>
    <x v="211"/>
    <x v="4"/>
    <x v="7"/>
    <x v="0"/>
    <x v="1"/>
    <x v="1"/>
    <x v="1"/>
  </r>
  <r>
    <d v="2024-10-29T00:00:00"/>
    <x v="4"/>
    <x v="0"/>
    <x v="829"/>
    <x v="17"/>
    <x v="3"/>
    <d v="2024-10-29T00:00:00"/>
    <x v="211"/>
    <x v="4"/>
    <x v="7"/>
    <x v="0"/>
    <x v="1"/>
    <x v="1"/>
    <x v="1"/>
  </r>
  <r>
    <d v="2024-10-29T00:00:00"/>
    <x v="4"/>
    <x v="0"/>
    <x v="830"/>
    <x v="19"/>
    <x v="6"/>
    <d v="2024-10-29T00:00:00"/>
    <x v="211"/>
    <x v="4"/>
    <x v="7"/>
    <x v="0"/>
    <x v="1"/>
    <x v="1"/>
    <x v="1"/>
  </r>
  <r>
    <d v="2024-10-29T00:00:00"/>
    <x v="4"/>
    <x v="0"/>
    <x v="831"/>
    <x v="18"/>
    <x v="5"/>
    <d v="2024-10-29T00:00:00"/>
    <x v="211"/>
    <x v="4"/>
    <x v="7"/>
    <x v="0"/>
    <x v="1"/>
    <x v="1"/>
    <x v="1"/>
  </r>
  <r>
    <d v="2024-10-29T00:00:00"/>
    <x v="4"/>
    <x v="0"/>
    <x v="832"/>
    <x v="16"/>
    <x v="7"/>
    <d v="2024-10-29T00:00:00"/>
    <x v="211"/>
    <x v="4"/>
    <x v="7"/>
    <x v="0"/>
    <x v="1"/>
    <x v="1"/>
    <x v="1"/>
  </r>
  <r>
    <d v="2024-10-29T00:00:00"/>
    <x v="4"/>
    <x v="0"/>
    <x v="833"/>
    <x v="16"/>
    <x v="1"/>
    <d v="2024-10-29T00:00:00"/>
    <x v="211"/>
    <x v="4"/>
    <x v="7"/>
    <x v="0"/>
    <x v="1"/>
    <x v="1"/>
    <x v="1"/>
  </r>
  <r>
    <d v="2024-10-29T00:00:00"/>
    <x v="4"/>
    <x v="0"/>
    <x v="834"/>
    <x v="16"/>
    <x v="4"/>
    <d v="2024-10-29T00:00:00"/>
    <x v="211"/>
    <x v="4"/>
    <x v="7"/>
    <x v="0"/>
    <x v="1"/>
    <x v="1"/>
    <x v="1"/>
  </r>
  <r>
    <d v="2024-10-29T00:00:00"/>
    <x v="4"/>
    <x v="0"/>
    <x v="225"/>
    <x v="16"/>
    <x v="4"/>
    <d v="2024-10-29T00:00:00"/>
    <x v="211"/>
    <x v="4"/>
    <x v="7"/>
    <x v="0"/>
    <x v="1"/>
    <x v="1"/>
    <x v="1"/>
  </r>
  <r>
    <d v="2024-10-29T00:00:00"/>
    <x v="4"/>
    <x v="0"/>
    <x v="835"/>
    <x v="17"/>
    <x v="3"/>
    <d v="2024-10-29T00:00:00"/>
    <x v="211"/>
    <x v="4"/>
    <x v="7"/>
    <x v="0"/>
    <x v="1"/>
    <x v="1"/>
    <x v="1"/>
  </r>
  <r>
    <d v="2024-10-29T00:00:00"/>
    <x v="4"/>
    <x v="0"/>
    <x v="836"/>
    <x v="17"/>
    <x v="3"/>
    <d v="2024-10-29T00:00:00"/>
    <x v="211"/>
    <x v="4"/>
    <x v="7"/>
    <x v="0"/>
    <x v="1"/>
    <x v="1"/>
    <x v="1"/>
  </r>
  <r>
    <d v="2024-10-29T00:00:00"/>
    <x v="4"/>
    <x v="0"/>
    <x v="206"/>
    <x v="16"/>
    <x v="7"/>
    <d v="2024-10-29T00:00:00"/>
    <x v="211"/>
    <x v="4"/>
    <x v="7"/>
    <x v="0"/>
    <x v="1"/>
    <x v="1"/>
    <x v="1"/>
  </r>
  <r>
    <d v="2024-10-29T00:00:00"/>
    <x v="4"/>
    <x v="0"/>
    <x v="507"/>
    <x v="16"/>
    <x v="1"/>
    <d v="2024-10-29T00:00:00"/>
    <x v="211"/>
    <x v="4"/>
    <x v="7"/>
    <x v="0"/>
    <x v="1"/>
    <x v="1"/>
    <x v="1"/>
  </r>
  <r>
    <d v="2024-10-29T00:00:00"/>
    <x v="4"/>
    <x v="0"/>
    <x v="507"/>
    <x v="16"/>
    <x v="0"/>
    <d v="2024-10-29T00:00:00"/>
    <x v="211"/>
    <x v="4"/>
    <x v="7"/>
    <x v="0"/>
    <x v="1"/>
    <x v="1"/>
    <x v="1"/>
  </r>
  <r>
    <d v="2024-10-29T00:00:00"/>
    <x v="4"/>
    <x v="0"/>
    <x v="799"/>
    <x v="16"/>
    <x v="0"/>
    <d v="2024-10-29T00:00:00"/>
    <x v="211"/>
    <x v="4"/>
    <x v="7"/>
    <x v="0"/>
    <x v="1"/>
    <x v="1"/>
    <x v="1"/>
  </r>
  <r>
    <d v="2024-10-30T00:00:00"/>
    <x v="5"/>
    <x v="0"/>
    <x v="703"/>
    <x v="16"/>
    <x v="0"/>
    <d v="2024-10-30T00:00:00"/>
    <x v="212"/>
    <x v="5"/>
    <x v="7"/>
    <x v="0"/>
    <x v="1"/>
    <x v="1"/>
    <x v="1"/>
  </r>
  <r>
    <d v="2024-10-30T00:00:00"/>
    <x v="5"/>
    <x v="0"/>
    <x v="571"/>
    <x v="17"/>
    <x v="3"/>
    <d v="2024-10-30T00:00:00"/>
    <x v="212"/>
    <x v="5"/>
    <x v="7"/>
    <x v="0"/>
    <x v="1"/>
    <x v="1"/>
    <x v="1"/>
  </r>
  <r>
    <d v="2024-10-30T00:00:00"/>
    <x v="5"/>
    <x v="0"/>
    <x v="837"/>
    <x v="16"/>
    <x v="0"/>
    <d v="2024-10-30T00:00:00"/>
    <x v="212"/>
    <x v="5"/>
    <x v="7"/>
    <x v="0"/>
    <x v="1"/>
    <x v="1"/>
    <x v="1"/>
  </r>
  <r>
    <d v="2024-10-30T00:00:00"/>
    <x v="5"/>
    <x v="0"/>
    <x v="838"/>
    <x v="16"/>
    <x v="0"/>
    <d v="2024-10-30T00:00:00"/>
    <x v="212"/>
    <x v="5"/>
    <x v="7"/>
    <x v="0"/>
    <x v="1"/>
    <x v="1"/>
    <x v="1"/>
  </r>
  <r>
    <d v="2024-10-30T00:00:00"/>
    <x v="5"/>
    <x v="0"/>
    <x v="375"/>
    <x v="16"/>
    <x v="0"/>
    <d v="2024-10-30T00:00:00"/>
    <x v="212"/>
    <x v="5"/>
    <x v="7"/>
    <x v="0"/>
    <x v="1"/>
    <x v="1"/>
    <x v="1"/>
  </r>
  <r>
    <d v="2024-10-30T00:00:00"/>
    <x v="5"/>
    <x v="0"/>
    <x v="375"/>
    <x v="18"/>
    <x v="2"/>
    <d v="2024-10-30T00:00:00"/>
    <x v="212"/>
    <x v="5"/>
    <x v="7"/>
    <x v="0"/>
    <x v="1"/>
    <x v="1"/>
    <x v="1"/>
  </r>
  <r>
    <d v="2024-10-30T00:00:00"/>
    <x v="5"/>
    <x v="0"/>
    <x v="734"/>
    <x v="17"/>
    <x v="3"/>
    <d v="2024-10-30T00:00:00"/>
    <x v="212"/>
    <x v="5"/>
    <x v="7"/>
    <x v="0"/>
    <x v="1"/>
    <x v="1"/>
    <x v="1"/>
  </r>
  <r>
    <d v="2024-10-30T00:00:00"/>
    <x v="5"/>
    <x v="0"/>
    <x v="839"/>
    <x v="18"/>
    <x v="2"/>
    <d v="2024-10-30T00:00:00"/>
    <x v="212"/>
    <x v="5"/>
    <x v="7"/>
    <x v="0"/>
    <x v="1"/>
    <x v="1"/>
    <x v="1"/>
  </r>
  <r>
    <d v="2024-10-30T00:00:00"/>
    <x v="5"/>
    <x v="0"/>
    <x v="507"/>
    <x v="16"/>
    <x v="0"/>
    <d v="2024-10-30T00:00:00"/>
    <x v="212"/>
    <x v="5"/>
    <x v="7"/>
    <x v="0"/>
    <x v="1"/>
    <x v="1"/>
    <x v="1"/>
  </r>
  <r>
    <d v="2024-10-30T00:00:00"/>
    <x v="5"/>
    <x v="0"/>
    <x v="840"/>
    <x v="17"/>
    <x v="3"/>
    <d v="2024-10-30T00:00:00"/>
    <x v="212"/>
    <x v="5"/>
    <x v="7"/>
    <x v="0"/>
    <x v="1"/>
    <x v="1"/>
    <x v="1"/>
  </r>
  <r>
    <d v="2024-10-30T00:00:00"/>
    <x v="5"/>
    <x v="0"/>
    <x v="841"/>
    <x v="16"/>
    <x v="1"/>
    <d v="2024-10-30T00:00:00"/>
    <x v="212"/>
    <x v="5"/>
    <x v="7"/>
    <x v="0"/>
    <x v="1"/>
    <x v="1"/>
    <x v="1"/>
  </r>
  <r>
    <d v="2024-10-30T00:00:00"/>
    <x v="5"/>
    <x v="0"/>
    <x v="819"/>
    <x v="17"/>
    <x v="3"/>
    <d v="2024-10-30T00:00:00"/>
    <x v="212"/>
    <x v="5"/>
    <x v="7"/>
    <x v="0"/>
    <x v="1"/>
    <x v="1"/>
    <x v="1"/>
  </r>
  <r>
    <d v="2024-10-30T00:00:00"/>
    <x v="5"/>
    <x v="0"/>
    <x v="842"/>
    <x v="17"/>
    <x v="3"/>
    <d v="2024-10-30T00:00:00"/>
    <x v="212"/>
    <x v="5"/>
    <x v="7"/>
    <x v="0"/>
    <x v="1"/>
    <x v="1"/>
    <x v="1"/>
  </r>
  <r>
    <d v="2024-10-31T00:00:00"/>
    <x v="6"/>
    <x v="0"/>
    <x v="703"/>
    <x v="16"/>
    <x v="0"/>
    <d v="2024-10-31T00:00:00"/>
    <x v="41"/>
    <x v="6"/>
    <x v="7"/>
    <x v="0"/>
    <x v="1"/>
    <x v="1"/>
    <x v="1"/>
  </r>
  <r>
    <d v="2024-10-31T00:00:00"/>
    <x v="6"/>
    <x v="0"/>
    <x v="683"/>
    <x v="16"/>
    <x v="0"/>
    <d v="2024-10-31T00:00:00"/>
    <x v="41"/>
    <x v="6"/>
    <x v="7"/>
    <x v="0"/>
    <x v="1"/>
    <x v="1"/>
    <x v="1"/>
  </r>
  <r>
    <d v="2024-10-31T00:00:00"/>
    <x v="6"/>
    <x v="0"/>
    <x v="276"/>
    <x v="17"/>
    <x v="3"/>
    <d v="2024-10-31T00:00:00"/>
    <x v="41"/>
    <x v="6"/>
    <x v="7"/>
    <x v="0"/>
    <x v="1"/>
    <x v="1"/>
    <x v="1"/>
  </r>
  <r>
    <d v="2024-10-31T00:00:00"/>
    <x v="6"/>
    <x v="0"/>
    <x v="843"/>
    <x v="16"/>
    <x v="0"/>
    <d v="2024-10-31T00:00:00"/>
    <x v="41"/>
    <x v="6"/>
    <x v="7"/>
    <x v="0"/>
    <x v="1"/>
    <x v="1"/>
    <x v="1"/>
  </r>
  <r>
    <d v="2024-10-31T00:00:00"/>
    <x v="6"/>
    <x v="0"/>
    <x v="844"/>
    <x v="17"/>
    <x v="3"/>
    <d v="2024-10-31T00:00:00"/>
    <x v="41"/>
    <x v="6"/>
    <x v="7"/>
    <x v="0"/>
    <x v="1"/>
    <x v="1"/>
    <x v="1"/>
  </r>
  <r>
    <d v="2024-11-01T00:00:00"/>
    <x v="0"/>
    <x v="0"/>
    <x v="842"/>
    <x v="16"/>
    <x v="4"/>
    <d v="2024-11-01T00:00:00"/>
    <x v="213"/>
    <x v="0"/>
    <x v="8"/>
    <x v="0"/>
    <x v="1"/>
    <x v="1"/>
    <x v="1"/>
  </r>
  <r>
    <d v="2024-11-01T00:00:00"/>
    <x v="0"/>
    <x v="0"/>
    <x v="304"/>
    <x v="18"/>
    <x v="2"/>
    <d v="2024-11-01T00:00:00"/>
    <x v="213"/>
    <x v="0"/>
    <x v="8"/>
    <x v="0"/>
    <x v="1"/>
    <x v="1"/>
    <x v="1"/>
  </r>
  <r>
    <d v="2024-11-01T00:00:00"/>
    <x v="0"/>
    <x v="0"/>
    <x v="612"/>
    <x v="16"/>
    <x v="0"/>
    <d v="2024-11-01T00:00:00"/>
    <x v="213"/>
    <x v="0"/>
    <x v="8"/>
    <x v="0"/>
    <x v="1"/>
    <x v="1"/>
    <x v="1"/>
  </r>
  <r>
    <d v="2024-11-01T00:00:00"/>
    <x v="0"/>
    <x v="0"/>
    <x v="12"/>
    <x v="16"/>
    <x v="4"/>
    <d v="2024-11-01T00:00:00"/>
    <x v="213"/>
    <x v="0"/>
    <x v="8"/>
    <x v="0"/>
    <x v="1"/>
    <x v="1"/>
    <x v="1"/>
  </r>
  <r>
    <d v="2024-11-01T00:00:00"/>
    <x v="0"/>
    <x v="0"/>
    <x v="845"/>
    <x v="18"/>
    <x v="5"/>
    <d v="2024-11-01T00:00:00"/>
    <x v="213"/>
    <x v="0"/>
    <x v="8"/>
    <x v="0"/>
    <x v="1"/>
    <x v="1"/>
    <x v="1"/>
  </r>
  <r>
    <d v="2024-11-01T00:00:00"/>
    <x v="0"/>
    <x v="0"/>
    <x v="695"/>
    <x v="17"/>
    <x v="3"/>
    <d v="2024-11-01T00:00:00"/>
    <x v="213"/>
    <x v="0"/>
    <x v="8"/>
    <x v="0"/>
    <x v="1"/>
    <x v="1"/>
    <x v="1"/>
  </r>
  <r>
    <d v="2024-11-02T00:00:00"/>
    <x v="1"/>
    <x v="0"/>
    <x v="141"/>
    <x v="18"/>
    <x v="5"/>
    <d v="2024-11-02T00:00:00"/>
    <x v="214"/>
    <x v="1"/>
    <x v="8"/>
    <x v="0"/>
    <x v="1"/>
    <x v="1"/>
    <x v="1"/>
  </r>
  <r>
    <d v="2024-11-02T00:00:00"/>
    <x v="1"/>
    <x v="0"/>
    <x v="828"/>
    <x v="16"/>
    <x v="4"/>
    <d v="2024-11-02T00:00:00"/>
    <x v="214"/>
    <x v="1"/>
    <x v="8"/>
    <x v="0"/>
    <x v="1"/>
    <x v="1"/>
    <x v="1"/>
  </r>
  <r>
    <d v="2024-11-02T00:00:00"/>
    <x v="1"/>
    <x v="0"/>
    <x v="97"/>
    <x v="17"/>
    <x v="3"/>
    <d v="2024-11-02T00:00:00"/>
    <x v="214"/>
    <x v="1"/>
    <x v="8"/>
    <x v="0"/>
    <x v="1"/>
    <x v="1"/>
    <x v="1"/>
  </r>
  <r>
    <d v="2024-11-02T00:00:00"/>
    <x v="1"/>
    <x v="0"/>
    <x v="846"/>
    <x v="17"/>
    <x v="3"/>
    <d v="2024-11-02T00:00:00"/>
    <x v="214"/>
    <x v="1"/>
    <x v="8"/>
    <x v="0"/>
    <x v="1"/>
    <x v="1"/>
    <x v="1"/>
  </r>
  <r>
    <d v="2024-11-02T00:00:00"/>
    <x v="1"/>
    <x v="0"/>
    <x v="507"/>
    <x v="16"/>
    <x v="1"/>
    <d v="2024-11-02T00:00:00"/>
    <x v="214"/>
    <x v="1"/>
    <x v="8"/>
    <x v="0"/>
    <x v="1"/>
    <x v="1"/>
    <x v="1"/>
  </r>
  <r>
    <d v="2024-11-02T00:00:00"/>
    <x v="1"/>
    <x v="0"/>
    <x v="507"/>
    <x v="16"/>
    <x v="0"/>
    <d v="2024-11-02T00:00:00"/>
    <x v="214"/>
    <x v="1"/>
    <x v="8"/>
    <x v="0"/>
    <x v="1"/>
    <x v="1"/>
    <x v="1"/>
  </r>
  <r>
    <d v="2024-11-02T00:00:00"/>
    <x v="1"/>
    <x v="0"/>
    <x v="847"/>
    <x v="16"/>
    <x v="0"/>
    <d v="2024-11-02T00:00:00"/>
    <x v="214"/>
    <x v="1"/>
    <x v="8"/>
    <x v="0"/>
    <x v="1"/>
    <x v="1"/>
    <x v="1"/>
  </r>
  <r>
    <d v="2024-11-02T00:00:00"/>
    <x v="1"/>
    <x v="0"/>
    <x v="620"/>
    <x v="17"/>
    <x v="3"/>
    <d v="2024-11-02T00:00:00"/>
    <x v="214"/>
    <x v="1"/>
    <x v="8"/>
    <x v="0"/>
    <x v="1"/>
    <x v="1"/>
    <x v="1"/>
  </r>
  <r>
    <d v="2024-11-02T00:00:00"/>
    <x v="1"/>
    <x v="0"/>
    <x v="848"/>
    <x v="18"/>
    <x v="2"/>
    <d v="2024-11-02T00:00:00"/>
    <x v="214"/>
    <x v="1"/>
    <x v="8"/>
    <x v="0"/>
    <x v="1"/>
    <x v="1"/>
    <x v="1"/>
  </r>
  <r>
    <d v="2024-11-03T00:00:00"/>
    <x v="2"/>
    <x v="0"/>
    <x v="141"/>
    <x v="18"/>
    <x v="5"/>
    <d v="2024-11-03T00:00:00"/>
    <x v="215"/>
    <x v="2"/>
    <x v="8"/>
    <x v="0"/>
    <x v="1"/>
    <x v="1"/>
    <x v="1"/>
  </r>
  <r>
    <d v="2024-11-03T00:00:00"/>
    <x v="2"/>
    <x v="0"/>
    <x v="40"/>
    <x v="17"/>
    <x v="3"/>
    <d v="2024-11-03T00:00:00"/>
    <x v="215"/>
    <x v="2"/>
    <x v="8"/>
    <x v="0"/>
    <x v="1"/>
    <x v="1"/>
    <x v="1"/>
  </r>
  <r>
    <d v="2024-11-03T00:00:00"/>
    <x v="2"/>
    <x v="0"/>
    <x v="849"/>
    <x v="16"/>
    <x v="0"/>
    <d v="2024-11-03T00:00:00"/>
    <x v="215"/>
    <x v="2"/>
    <x v="8"/>
    <x v="0"/>
    <x v="1"/>
    <x v="1"/>
    <x v="1"/>
  </r>
  <r>
    <d v="2024-11-03T00:00:00"/>
    <x v="2"/>
    <x v="0"/>
    <x v="849"/>
    <x v="17"/>
    <x v="3"/>
    <d v="2024-11-03T00:00:00"/>
    <x v="215"/>
    <x v="2"/>
    <x v="8"/>
    <x v="0"/>
    <x v="1"/>
    <x v="1"/>
    <x v="1"/>
  </r>
  <r>
    <d v="2024-11-03T00:00:00"/>
    <x v="2"/>
    <x v="0"/>
    <x v="228"/>
    <x v="16"/>
    <x v="4"/>
    <d v="2024-11-03T00:00:00"/>
    <x v="215"/>
    <x v="2"/>
    <x v="8"/>
    <x v="0"/>
    <x v="1"/>
    <x v="1"/>
    <x v="1"/>
  </r>
  <r>
    <d v="2024-11-03T00:00:00"/>
    <x v="2"/>
    <x v="0"/>
    <x v="850"/>
    <x v="18"/>
    <x v="2"/>
    <d v="2024-11-03T00:00:00"/>
    <x v="215"/>
    <x v="2"/>
    <x v="8"/>
    <x v="0"/>
    <x v="1"/>
    <x v="1"/>
    <x v="1"/>
  </r>
  <r>
    <d v="2024-11-03T00:00:00"/>
    <x v="2"/>
    <x v="0"/>
    <x v="851"/>
    <x v="17"/>
    <x v="3"/>
    <d v="2024-11-03T00:00:00"/>
    <x v="215"/>
    <x v="2"/>
    <x v="8"/>
    <x v="0"/>
    <x v="1"/>
    <x v="1"/>
    <x v="1"/>
  </r>
  <r>
    <d v="2024-11-03T00:00:00"/>
    <x v="2"/>
    <x v="0"/>
    <x v="622"/>
    <x v="16"/>
    <x v="1"/>
    <d v="2024-11-03T00:00:00"/>
    <x v="215"/>
    <x v="2"/>
    <x v="8"/>
    <x v="0"/>
    <x v="1"/>
    <x v="1"/>
    <x v="1"/>
  </r>
  <r>
    <d v="2024-11-03T00:00:00"/>
    <x v="2"/>
    <x v="0"/>
    <x v="852"/>
    <x v="18"/>
    <x v="2"/>
    <d v="2024-11-03T00:00:00"/>
    <x v="215"/>
    <x v="2"/>
    <x v="8"/>
    <x v="0"/>
    <x v="1"/>
    <x v="1"/>
    <x v="1"/>
  </r>
  <r>
    <d v="2024-11-03T00:00:00"/>
    <x v="2"/>
    <x v="0"/>
    <x v="225"/>
    <x v="16"/>
    <x v="4"/>
    <d v="2024-11-03T00:00:00"/>
    <x v="215"/>
    <x v="2"/>
    <x v="8"/>
    <x v="0"/>
    <x v="1"/>
    <x v="1"/>
    <x v="1"/>
  </r>
  <r>
    <d v="2024-11-04T00:00:00"/>
    <x v="3"/>
    <x v="0"/>
    <x v="696"/>
    <x v="16"/>
    <x v="0"/>
    <d v="2024-11-04T00:00:00"/>
    <x v="216"/>
    <x v="3"/>
    <x v="8"/>
    <x v="0"/>
    <x v="1"/>
    <x v="1"/>
    <x v="1"/>
  </r>
  <r>
    <d v="2024-11-04T00:00:00"/>
    <x v="3"/>
    <x v="0"/>
    <x v="276"/>
    <x v="16"/>
    <x v="0"/>
    <d v="2024-11-04T00:00:00"/>
    <x v="216"/>
    <x v="3"/>
    <x v="8"/>
    <x v="0"/>
    <x v="1"/>
    <x v="1"/>
    <x v="1"/>
  </r>
  <r>
    <d v="2024-11-04T00:00:00"/>
    <x v="3"/>
    <x v="0"/>
    <x v="276"/>
    <x v="17"/>
    <x v="3"/>
    <d v="2024-11-04T00:00:00"/>
    <x v="216"/>
    <x v="3"/>
    <x v="8"/>
    <x v="0"/>
    <x v="1"/>
    <x v="1"/>
    <x v="1"/>
  </r>
  <r>
    <d v="2024-11-04T00:00:00"/>
    <x v="3"/>
    <x v="0"/>
    <x v="853"/>
    <x v="18"/>
    <x v="2"/>
    <d v="2024-11-04T00:00:00"/>
    <x v="216"/>
    <x v="3"/>
    <x v="8"/>
    <x v="0"/>
    <x v="1"/>
    <x v="1"/>
    <x v="1"/>
  </r>
  <r>
    <d v="2024-11-04T00:00:00"/>
    <x v="3"/>
    <x v="0"/>
    <x v="854"/>
    <x v="17"/>
    <x v="3"/>
    <d v="2024-11-04T00:00:00"/>
    <x v="216"/>
    <x v="3"/>
    <x v="8"/>
    <x v="0"/>
    <x v="1"/>
    <x v="1"/>
    <x v="1"/>
  </r>
  <r>
    <d v="2024-11-04T00:00:00"/>
    <x v="3"/>
    <x v="0"/>
    <x v="12"/>
    <x v="16"/>
    <x v="4"/>
    <d v="2024-11-04T00:00:00"/>
    <x v="216"/>
    <x v="3"/>
    <x v="8"/>
    <x v="0"/>
    <x v="1"/>
    <x v="1"/>
    <x v="1"/>
  </r>
  <r>
    <d v="2024-11-05T00:00:00"/>
    <x v="4"/>
    <x v="0"/>
    <x v="696"/>
    <x v="16"/>
    <x v="4"/>
    <d v="2024-11-05T00:00:00"/>
    <x v="217"/>
    <x v="4"/>
    <x v="8"/>
    <x v="0"/>
    <x v="1"/>
    <x v="1"/>
    <x v="1"/>
  </r>
  <r>
    <d v="2024-11-05T00:00:00"/>
    <x v="4"/>
    <x v="0"/>
    <x v="276"/>
    <x v="17"/>
    <x v="3"/>
    <d v="2024-11-05T00:00:00"/>
    <x v="217"/>
    <x v="4"/>
    <x v="8"/>
    <x v="0"/>
    <x v="1"/>
    <x v="1"/>
    <x v="1"/>
  </r>
  <r>
    <d v="2024-11-05T00:00:00"/>
    <x v="4"/>
    <x v="0"/>
    <x v="731"/>
    <x v="16"/>
    <x v="7"/>
    <d v="2024-11-05T00:00:00"/>
    <x v="217"/>
    <x v="4"/>
    <x v="8"/>
    <x v="0"/>
    <x v="1"/>
    <x v="1"/>
    <x v="1"/>
  </r>
  <r>
    <d v="2024-11-05T00:00:00"/>
    <x v="4"/>
    <x v="0"/>
    <x v="731"/>
    <x v="17"/>
    <x v="3"/>
    <d v="2024-11-05T00:00:00"/>
    <x v="217"/>
    <x v="4"/>
    <x v="8"/>
    <x v="0"/>
    <x v="1"/>
    <x v="1"/>
    <x v="1"/>
  </r>
  <r>
    <d v="2024-11-05T00:00:00"/>
    <x v="4"/>
    <x v="0"/>
    <x v="12"/>
    <x v="17"/>
    <x v="3"/>
    <d v="2024-11-05T00:00:00"/>
    <x v="217"/>
    <x v="4"/>
    <x v="8"/>
    <x v="0"/>
    <x v="1"/>
    <x v="1"/>
    <x v="1"/>
  </r>
  <r>
    <d v="2024-11-05T00:00:00"/>
    <x v="4"/>
    <x v="0"/>
    <x v="855"/>
    <x v="16"/>
    <x v="4"/>
    <d v="2024-11-05T00:00:00"/>
    <x v="217"/>
    <x v="4"/>
    <x v="8"/>
    <x v="0"/>
    <x v="1"/>
    <x v="1"/>
    <x v="1"/>
  </r>
  <r>
    <d v="2024-11-05T00:00:00"/>
    <x v="4"/>
    <x v="0"/>
    <x v="856"/>
    <x v="16"/>
    <x v="0"/>
    <d v="2024-11-05T00:00:00"/>
    <x v="217"/>
    <x v="4"/>
    <x v="8"/>
    <x v="0"/>
    <x v="1"/>
    <x v="1"/>
    <x v="1"/>
  </r>
  <r>
    <d v="2024-11-05T00:00:00"/>
    <x v="4"/>
    <x v="0"/>
    <x v="857"/>
    <x v="16"/>
    <x v="0"/>
    <d v="2024-11-05T00:00:00"/>
    <x v="217"/>
    <x v="4"/>
    <x v="8"/>
    <x v="0"/>
    <x v="1"/>
    <x v="1"/>
    <x v="1"/>
  </r>
  <r>
    <d v="2024-11-05T00:00:00"/>
    <x v="4"/>
    <x v="0"/>
    <x v="858"/>
    <x v="16"/>
    <x v="0"/>
    <d v="2024-11-05T00:00:00"/>
    <x v="217"/>
    <x v="4"/>
    <x v="8"/>
    <x v="0"/>
    <x v="1"/>
    <x v="1"/>
    <x v="1"/>
  </r>
  <r>
    <d v="2024-11-05T00:00:00"/>
    <x v="4"/>
    <x v="0"/>
    <x v="455"/>
    <x v="16"/>
    <x v="7"/>
    <d v="2024-11-05T00:00:00"/>
    <x v="217"/>
    <x v="4"/>
    <x v="8"/>
    <x v="0"/>
    <x v="1"/>
    <x v="1"/>
    <x v="1"/>
  </r>
  <r>
    <d v="2024-11-05T00:00:00"/>
    <x v="4"/>
    <x v="0"/>
    <x v="859"/>
    <x v="16"/>
    <x v="4"/>
    <d v="2024-11-05T00:00:00"/>
    <x v="217"/>
    <x v="4"/>
    <x v="8"/>
    <x v="0"/>
    <x v="1"/>
    <x v="1"/>
    <x v="1"/>
  </r>
  <r>
    <d v="2024-11-05T00:00:00"/>
    <x v="4"/>
    <x v="0"/>
    <x v="722"/>
    <x v="16"/>
    <x v="1"/>
    <d v="2024-11-05T00:00:00"/>
    <x v="217"/>
    <x v="4"/>
    <x v="8"/>
    <x v="0"/>
    <x v="1"/>
    <x v="1"/>
    <x v="1"/>
  </r>
  <r>
    <d v="2024-11-05T00:00:00"/>
    <x v="4"/>
    <x v="0"/>
    <x v="637"/>
    <x v="16"/>
    <x v="1"/>
    <d v="2024-11-05T00:00:00"/>
    <x v="217"/>
    <x v="4"/>
    <x v="8"/>
    <x v="0"/>
    <x v="1"/>
    <x v="1"/>
    <x v="1"/>
  </r>
  <r>
    <d v="2024-11-05T00:00:00"/>
    <x v="4"/>
    <x v="0"/>
    <x v="637"/>
    <x v="17"/>
    <x v="3"/>
    <d v="2024-11-05T00:00:00"/>
    <x v="217"/>
    <x v="4"/>
    <x v="8"/>
    <x v="0"/>
    <x v="1"/>
    <x v="1"/>
    <x v="1"/>
  </r>
  <r>
    <d v="2024-11-06T00:00:00"/>
    <x v="5"/>
    <x v="0"/>
    <x v="570"/>
    <x v="16"/>
    <x v="0"/>
    <d v="2024-11-06T00:00:00"/>
    <x v="218"/>
    <x v="5"/>
    <x v="8"/>
    <x v="0"/>
    <x v="1"/>
    <x v="1"/>
    <x v="1"/>
  </r>
  <r>
    <d v="2024-11-06T00:00:00"/>
    <x v="5"/>
    <x v="0"/>
    <x v="860"/>
    <x v="19"/>
    <x v="6"/>
    <d v="2024-11-06T00:00:00"/>
    <x v="218"/>
    <x v="5"/>
    <x v="8"/>
    <x v="0"/>
    <x v="1"/>
    <x v="1"/>
    <x v="1"/>
  </r>
  <r>
    <d v="2024-11-06T00:00:00"/>
    <x v="5"/>
    <x v="0"/>
    <x v="742"/>
    <x v="18"/>
    <x v="2"/>
    <d v="2024-11-06T00:00:00"/>
    <x v="218"/>
    <x v="5"/>
    <x v="8"/>
    <x v="0"/>
    <x v="1"/>
    <x v="1"/>
    <x v="1"/>
  </r>
  <r>
    <d v="2024-11-06T00:00:00"/>
    <x v="5"/>
    <x v="0"/>
    <x v="622"/>
    <x v="16"/>
    <x v="7"/>
    <d v="2024-11-06T00:00:00"/>
    <x v="218"/>
    <x v="5"/>
    <x v="8"/>
    <x v="0"/>
    <x v="1"/>
    <x v="1"/>
    <x v="1"/>
  </r>
  <r>
    <d v="2024-11-06T00:00:00"/>
    <x v="5"/>
    <x v="0"/>
    <x v="861"/>
    <x v="16"/>
    <x v="0"/>
    <d v="2024-11-06T00:00:00"/>
    <x v="218"/>
    <x v="5"/>
    <x v="8"/>
    <x v="0"/>
    <x v="1"/>
    <x v="1"/>
    <x v="1"/>
  </r>
  <r>
    <d v="2024-11-06T00:00:00"/>
    <x v="5"/>
    <x v="0"/>
    <x v="862"/>
    <x v="16"/>
    <x v="7"/>
    <d v="2024-11-06T00:00:00"/>
    <x v="218"/>
    <x v="5"/>
    <x v="8"/>
    <x v="0"/>
    <x v="1"/>
    <x v="1"/>
    <x v="1"/>
  </r>
  <r>
    <d v="2024-11-06T00:00:00"/>
    <x v="5"/>
    <x v="0"/>
    <x v="863"/>
    <x v="16"/>
    <x v="1"/>
    <d v="2024-11-06T00:00:00"/>
    <x v="218"/>
    <x v="5"/>
    <x v="8"/>
    <x v="0"/>
    <x v="1"/>
    <x v="1"/>
    <x v="1"/>
  </r>
  <r>
    <d v="2024-11-07T00:00:00"/>
    <x v="6"/>
    <x v="0"/>
    <x v="864"/>
    <x v="16"/>
    <x v="0"/>
    <d v="2024-11-07T00:00:00"/>
    <x v="219"/>
    <x v="6"/>
    <x v="8"/>
    <x v="0"/>
    <x v="1"/>
    <x v="1"/>
    <x v="1"/>
  </r>
  <r>
    <d v="2024-11-07T00:00:00"/>
    <x v="6"/>
    <x v="0"/>
    <x v="865"/>
    <x v="18"/>
    <x v="2"/>
    <d v="2024-11-07T00:00:00"/>
    <x v="219"/>
    <x v="6"/>
    <x v="8"/>
    <x v="0"/>
    <x v="1"/>
    <x v="1"/>
    <x v="1"/>
  </r>
  <r>
    <d v="2024-11-07T00:00:00"/>
    <x v="6"/>
    <x v="0"/>
    <x v="866"/>
    <x v="18"/>
    <x v="2"/>
    <d v="2024-11-07T00:00:00"/>
    <x v="219"/>
    <x v="6"/>
    <x v="8"/>
    <x v="0"/>
    <x v="1"/>
    <x v="1"/>
    <x v="1"/>
  </r>
  <r>
    <d v="2024-11-07T00:00:00"/>
    <x v="6"/>
    <x v="0"/>
    <x v="828"/>
    <x v="16"/>
    <x v="4"/>
    <d v="2024-11-07T00:00:00"/>
    <x v="219"/>
    <x v="6"/>
    <x v="8"/>
    <x v="0"/>
    <x v="1"/>
    <x v="1"/>
    <x v="1"/>
  </r>
  <r>
    <d v="2024-11-07T00:00:00"/>
    <x v="6"/>
    <x v="0"/>
    <x v="867"/>
    <x v="16"/>
    <x v="1"/>
    <d v="2024-11-07T00:00:00"/>
    <x v="219"/>
    <x v="6"/>
    <x v="8"/>
    <x v="0"/>
    <x v="1"/>
    <x v="1"/>
    <x v="1"/>
  </r>
  <r>
    <d v="2024-11-07T00:00:00"/>
    <x v="6"/>
    <x v="0"/>
    <x v="867"/>
    <x v="16"/>
    <x v="0"/>
    <d v="2024-11-07T00:00:00"/>
    <x v="219"/>
    <x v="6"/>
    <x v="8"/>
    <x v="0"/>
    <x v="1"/>
    <x v="1"/>
    <x v="1"/>
  </r>
  <r>
    <d v="2024-11-07T00:00:00"/>
    <x v="6"/>
    <x v="0"/>
    <x v="507"/>
    <x v="16"/>
    <x v="0"/>
    <d v="2024-11-07T00:00:00"/>
    <x v="219"/>
    <x v="6"/>
    <x v="8"/>
    <x v="0"/>
    <x v="1"/>
    <x v="1"/>
    <x v="1"/>
  </r>
  <r>
    <d v="2024-11-08T00:00:00"/>
    <x v="0"/>
    <x v="0"/>
    <x v="276"/>
    <x v="17"/>
    <x v="3"/>
    <d v="2024-11-08T00:00:00"/>
    <x v="184"/>
    <x v="0"/>
    <x v="8"/>
    <x v="0"/>
    <x v="1"/>
    <x v="1"/>
    <x v="1"/>
  </r>
  <r>
    <d v="2024-11-08T00:00:00"/>
    <x v="0"/>
    <x v="0"/>
    <x v="375"/>
    <x v="18"/>
    <x v="2"/>
    <d v="2024-11-08T00:00:00"/>
    <x v="184"/>
    <x v="0"/>
    <x v="8"/>
    <x v="0"/>
    <x v="1"/>
    <x v="1"/>
    <x v="1"/>
  </r>
  <r>
    <d v="2024-11-08T00:00:00"/>
    <x v="0"/>
    <x v="0"/>
    <x v="494"/>
    <x v="16"/>
    <x v="7"/>
    <d v="2024-11-08T00:00:00"/>
    <x v="184"/>
    <x v="0"/>
    <x v="8"/>
    <x v="0"/>
    <x v="1"/>
    <x v="1"/>
    <x v="1"/>
  </r>
  <r>
    <d v="2024-11-08T00:00:00"/>
    <x v="0"/>
    <x v="0"/>
    <x v="868"/>
    <x v="16"/>
    <x v="0"/>
    <d v="2024-11-08T00:00:00"/>
    <x v="184"/>
    <x v="0"/>
    <x v="8"/>
    <x v="0"/>
    <x v="1"/>
    <x v="1"/>
    <x v="1"/>
  </r>
  <r>
    <d v="2024-11-08T00:00:00"/>
    <x v="0"/>
    <x v="0"/>
    <x v="869"/>
    <x v="17"/>
    <x v="3"/>
    <d v="2024-11-08T00:00:00"/>
    <x v="184"/>
    <x v="0"/>
    <x v="8"/>
    <x v="0"/>
    <x v="1"/>
    <x v="1"/>
    <x v="1"/>
  </r>
  <r>
    <d v="2024-11-08T00:00:00"/>
    <x v="0"/>
    <x v="0"/>
    <x v="870"/>
    <x v="17"/>
    <x v="3"/>
    <d v="2024-11-08T00:00:00"/>
    <x v="184"/>
    <x v="0"/>
    <x v="8"/>
    <x v="0"/>
    <x v="1"/>
    <x v="1"/>
    <x v="1"/>
  </r>
  <r>
    <d v="2024-11-08T00:00:00"/>
    <x v="0"/>
    <x v="0"/>
    <x v="871"/>
    <x v="16"/>
    <x v="1"/>
    <d v="2024-11-08T00:00:00"/>
    <x v="184"/>
    <x v="0"/>
    <x v="8"/>
    <x v="0"/>
    <x v="1"/>
    <x v="1"/>
    <x v="1"/>
  </r>
  <r>
    <d v="2024-11-08T00:00:00"/>
    <x v="0"/>
    <x v="0"/>
    <x v="872"/>
    <x v="16"/>
    <x v="1"/>
    <d v="2024-11-08T00:00:00"/>
    <x v="184"/>
    <x v="0"/>
    <x v="8"/>
    <x v="0"/>
    <x v="1"/>
    <x v="1"/>
    <x v="1"/>
  </r>
  <r>
    <d v="2024-11-08T00:00:00"/>
    <x v="0"/>
    <x v="0"/>
    <x v="690"/>
    <x v="16"/>
    <x v="0"/>
    <d v="2024-11-08T00:00:00"/>
    <x v="184"/>
    <x v="0"/>
    <x v="8"/>
    <x v="0"/>
    <x v="1"/>
    <x v="1"/>
    <x v="1"/>
  </r>
  <r>
    <d v="2024-11-09T00:00:00"/>
    <x v="1"/>
    <x v="0"/>
    <x v="276"/>
    <x v="17"/>
    <x v="3"/>
    <d v="2024-11-09T00:00:00"/>
    <x v="208"/>
    <x v="1"/>
    <x v="8"/>
    <x v="0"/>
    <x v="1"/>
    <x v="1"/>
    <x v="1"/>
  </r>
  <r>
    <d v="2024-11-09T00:00:00"/>
    <x v="1"/>
    <x v="0"/>
    <x v="141"/>
    <x v="18"/>
    <x v="5"/>
    <d v="2024-11-09T00:00:00"/>
    <x v="208"/>
    <x v="1"/>
    <x v="8"/>
    <x v="0"/>
    <x v="1"/>
    <x v="1"/>
    <x v="1"/>
  </r>
  <r>
    <d v="2024-11-09T00:00:00"/>
    <x v="1"/>
    <x v="0"/>
    <x v="873"/>
    <x v="16"/>
    <x v="0"/>
    <d v="2024-11-09T00:00:00"/>
    <x v="208"/>
    <x v="1"/>
    <x v="8"/>
    <x v="0"/>
    <x v="1"/>
    <x v="1"/>
    <x v="1"/>
  </r>
  <r>
    <d v="2024-11-09T00:00:00"/>
    <x v="1"/>
    <x v="0"/>
    <x v="871"/>
    <x v="16"/>
    <x v="1"/>
    <d v="2024-11-09T00:00:00"/>
    <x v="208"/>
    <x v="1"/>
    <x v="8"/>
    <x v="0"/>
    <x v="1"/>
    <x v="1"/>
    <x v="1"/>
  </r>
  <r>
    <d v="2024-11-09T00:00:00"/>
    <x v="1"/>
    <x v="0"/>
    <x v="874"/>
    <x v="16"/>
    <x v="1"/>
    <d v="2024-11-09T00:00:00"/>
    <x v="208"/>
    <x v="1"/>
    <x v="8"/>
    <x v="0"/>
    <x v="1"/>
    <x v="1"/>
    <x v="1"/>
  </r>
  <r>
    <d v="2024-11-09T00:00:00"/>
    <x v="1"/>
    <x v="0"/>
    <x v="875"/>
    <x v="18"/>
    <x v="2"/>
    <d v="2024-11-09T00:00:00"/>
    <x v="208"/>
    <x v="1"/>
    <x v="8"/>
    <x v="0"/>
    <x v="1"/>
    <x v="1"/>
    <x v="1"/>
  </r>
  <r>
    <d v="2024-11-09T00:00:00"/>
    <x v="1"/>
    <x v="0"/>
    <x v="570"/>
    <x v="16"/>
    <x v="0"/>
    <d v="2024-11-09T00:00:00"/>
    <x v="208"/>
    <x v="1"/>
    <x v="8"/>
    <x v="0"/>
    <x v="1"/>
    <x v="1"/>
    <x v="1"/>
  </r>
  <r>
    <d v="2024-11-09T00:00:00"/>
    <x v="1"/>
    <x v="0"/>
    <x v="570"/>
    <x v="16"/>
    <x v="4"/>
    <d v="2024-11-09T00:00:00"/>
    <x v="208"/>
    <x v="1"/>
    <x v="8"/>
    <x v="0"/>
    <x v="1"/>
    <x v="1"/>
    <x v="1"/>
  </r>
  <r>
    <d v="2024-11-09T00:00:00"/>
    <x v="1"/>
    <x v="0"/>
    <x v="876"/>
    <x v="18"/>
    <x v="2"/>
    <d v="2024-11-09T00:00:00"/>
    <x v="208"/>
    <x v="1"/>
    <x v="8"/>
    <x v="0"/>
    <x v="1"/>
    <x v="1"/>
    <x v="1"/>
  </r>
  <r>
    <d v="2024-11-09T00:00:00"/>
    <x v="1"/>
    <x v="0"/>
    <x v="876"/>
    <x v="16"/>
    <x v="0"/>
    <d v="2024-11-09T00:00:00"/>
    <x v="208"/>
    <x v="1"/>
    <x v="8"/>
    <x v="0"/>
    <x v="1"/>
    <x v="1"/>
    <x v="1"/>
  </r>
  <r>
    <d v="2024-11-09T00:00:00"/>
    <x v="1"/>
    <x v="0"/>
    <x v="877"/>
    <x v="16"/>
    <x v="4"/>
    <d v="2024-11-09T00:00:00"/>
    <x v="208"/>
    <x v="1"/>
    <x v="8"/>
    <x v="0"/>
    <x v="1"/>
    <x v="1"/>
    <x v="1"/>
  </r>
  <r>
    <d v="2024-11-09T00:00:00"/>
    <x v="1"/>
    <x v="0"/>
    <x v="878"/>
    <x v="18"/>
    <x v="2"/>
    <d v="2024-11-09T00:00:00"/>
    <x v="208"/>
    <x v="1"/>
    <x v="8"/>
    <x v="0"/>
    <x v="1"/>
    <x v="1"/>
    <x v="1"/>
  </r>
  <r>
    <d v="2024-11-09T00:00:00"/>
    <x v="1"/>
    <x v="0"/>
    <x v="879"/>
    <x v="18"/>
    <x v="2"/>
    <d v="2024-11-09T00:00:00"/>
    <x v="208"/>
    <x v="1"/>
    <x v="8"/>
    <x v="0"/>
    <x v="1"/>
    <x v="1"/>
    <x v="1"/>
  </r>
  <r>
    <d v="2024-11-10T00:00:00"/>
    <x v="2"/>
    <x v="0"/>
    <x v="880"/>
    <x v="18"/>
    <x v="2"/>
    <d v="2024-11-10T00:00:00"/>
    <x v="220"/>
    <x v="2"/>
    <x v="8"/>
    <x v="0"/>
    <x v="1"/>
    <x v="1"/>
    <x v="1"/>
  </r>
  <r>
    <d v="2024-11-10T00:00:00"/>
    <x v="2"/>
    <x v="0"/>
    <x v="881"/>
    <x v="16"/>
    <x v="4"/>
    <d v="2024-11-10T00:00:00"/>
    <x v="220"/>
    <x v="2"/>
    <x v="8"/>
    <x v="0"/>
    <x v="1"/>
    <x v="1"/>
    <x v="1"/>
  </r>
  <r>
    <d v="2024-11-10T00:00:00"/>
    <x v="2"/>
    <x v="0"/>
    <x v="882"/>
    <x v="16"/>
    <x v="1"/>
    <d v="2024-11-10T00:00:00"/>
    <x v="220"/>
    <x v="2"/>
    <x v="8"/>
    <x v="0"/>
    <x v="1"/>
    <x v="1"/>
    <x v="1"/>
  </r>
  <r>
    <d v="2024-11-10T00:00:00"/>
    <x v="2"/>
    <x v="0"/>
    <x v="883"/>
    <x v="16"/>
    <x v="1"/>
    <d v="2024-11-10T00:00:00"/>
    <x v="220"/>
    <x v="2"/>
    <x v="8"/>
    <x v="0"/>
    <x v="1"/>
    <x v="1"/>
    <x v="1"/>
  </r>
  <r>
    <d v="2024-11-10T00:00:00"/>
    <x v="2"/>
    <x v="0"/>
    <x v="884"/>
    <x v="16"/>
    <x v="7"/>
    <d v="2024-11-10T00:00:00"/>
    <x v="220"/>
    <x v="2"/>
    <x v="8"/>
    <x v="0"/>
    <x v="1"/>
    <x v="1"/>
    <x v="1"/>
  </r>
  <r>
    <d v="2024-11-11T00:00:00"/>
    <x v="3"/>
    <x v="0"/>
    <x v="696"/>
    <x v="16"/>
    <x v="7"/>
    <d v="2024-11-11T00:00:00"/>
    <x v="221"/>
    <x v="3"/>
    <x v="8"/>
    <x v="0"/>
    <x v="1"/>
    <x v="1"/>
    <x v="1"/>
  </r>
  <r>
    <d v="2024-11-11T00:00:00"/>
    <x v="3"/>
    <x v="0"/>
    <x v="276"/>
    <x v="17"/>
    <x v="3"/>
    <d v="2024-11-11T00:00:00"/>
    <x v="221"/>
    <x v="3"/>
    <x v="8"/>
    <x v="0"/>
    <x v="1"/>
    <x v="1"/>
    <x v="1"/>
  </r>
  <r>
    <d v="2024-11-11T00:00:00"/>
    <x v="3"/>
    <x v="0"/>
    <x v="141"/>
    <x v="18"/>
    <x v="5"/>
    <d v="2024-11-11T00:00:00"/>
    <x v="221"/>
    <x v="3"/>
    <x v="8"/>
    <x v="0"/>
    <x v="1"/>
    <x v="1"/>
    <x v="1"/>
  </r>
  <r>
    <d v="2024-11-11T00:00:00"/>
    <x v="3"/>
    <x v="0"/>
    <x v="206"/>
    <x v="16"/>
    <x v="7"/>
    <d v="2024-11-11T00:00:00"/>
    <x v="221"/>
    <x v="3"/>
    <x v="8"/>
    <x v="0"/>
    <x v="1"/>
    <x v="1"/>
    <x v="1"/>
  </r>
  <r>
    <d v="2024-11-11T00:00:00"/>
    <x v="3"/>
    <x v="0"/>
    <x v="206"/>
    <x v="16"/>
    <x v="1"/>
    <d v="2024-11-11T00:00:00"/>
    <x v="221"/>
    <x v="3"/>
    <x v="8"/>
    <x v="0"/>
    <x v="1"/>
    <x v="1"/>
    <x v="1"/>
  </r>
  <r>
    <d v="2024-11-11T00:00:00"/>
    <x v="3"/>
    <x v="0"/>
    <x v="885"/>
    <x v="16"/>
    <x v="7"/>
    <d v="2024-11-11T00:00:00"/>
    <x v="221"/>
    <x v="3"/>
    <x v="8"/>
    <x v="0"/>
    <x v="1"/>
    <x v="1"/>
    <x v="1"/>
  </r>
  <r>
    <d v="2024-11-11T00:00:00"/>
    <x v="3"/>
    <x v="0"/>
    <x v="886"/>
    <x v="16"/>
    <x v="0"/>
    <d v="2024-11-11T00:00:00"/>
    <x v="221"/>
    <x v="3"/>
    <x v="8"/>
    <x v="0"/>
    <x v="1"/>
    <x v="1"/>
    <x v="1"/>
  </r>
  <r>
    <d v="2024-11-11T00:00:00"/>
    <x v="3"/>
    <x v="0"/>
    <x v="887"/>
    <x v="16"/>
    <x v="1"/>
    <d v="2024-11-11T00:00:00"/>
    <x v="221"/>
    <x v="3"/>
    <x v="8"/>
    <x v="0"/>
    <x v="1"/>
    <x v="1"/>
    <x v="1"/>
  </r>
  <r>
    <d v="2024-11-11T00:00:00"/>
    <x v="3"/>
    <x v="0"/>
    <x v="888"/>
    <x v="16"/>
    <x v="0"/>
    <d v="2024-11-11T00:00:00"/>
    <x v="221"/>
    <x v="3"/>
    <x v="8"/>
    <x v="0"/>
    <x v="1"/>
    <x v="1"/>
    <x v="1"/>
  </r>
  <r>
    <d v="2024-11-12T00:00:00"/>
    <x v="4"/>
    <x v="0"/>
    <x v="889"/>
    <x v="16"/>
    <x v="0"/>
    <d v="2024-11-12T00:00:00"/>
    <x v="222"/>
    <x v="4"/>
    <x v="8"/>
    <x v="0"/>
    <x v="1"/>
    <x v="1"/>
    <x v="1"/>
  </r>
  <r>
    <d v="2024-11-12T00:00:00"/>
    <x v="4"/>
    <x v="0"/>
    <x v="890"/>
    <x v="16"/>
    <x v="0"/>
    <d v="2024-11-12T00:00:00"/>
    <x v="222"/>
    <x v="4"/>
    <x v="8"/>
    <x v="0"/>
    <x v="1"/>
    <x v="1"/>
    <x v="1"/>
  </r>
  <r>
    <d v="2024-11-12T00:00:00"/>
    <x v="4"/>
    <x v="0"/>
    <x v="691"/>
    <x v="16"/>
    <x v="0"/>
    <d v="2024-11-12T00:00:00"/>
    <x v="222"/>
    <x v="4"/>
    <x v="8"/>
    <x v="0"/>
    <x v="1"/>
    <x v="1"/>
    <x v="1"/>
  </r>
  <r>
    <d v="2024-11-12T00:00:00"/>
    <x v="4"/>
    <x v="0"/>
    <x v="891"/>
    <x v="16"/>
    <x v="1"/>
    <d v="2024-11-12T00:00:00"/>
    <x v="222"/>
    <x v="4"/>
    <x v="8"/>
    <x v="0"/>
    <x v="1"/>
    <x v="1"/>
    <x v="1"/>
  </r>
  <r>
    <d v="2024-11-12T00:00:00"/>
    <x v="4"/>
    <x v="0"/>
    <x v="891"/>
    <x v="16"/>
    <x v="4"/>
    <d v="2024-11-12T00:00:00"/>
    <x v="222"/>
    <x v="4"/>
    <x v="8"/>
    <x v="0"/>
    <x v="1"/>
    <x v="1"/>
    <x v="1"/>
  </r>
  <r>
    <d v="2024-11-12T00:00:00"/>
    <x v="4"/>
    <x v="0"/>
    <x v="696"/>
    <x v="16"/>
    <x v="7"/>
    <d v="2024-11-12T00:00:00"/>
    <x v="222"/>
    <x v="4"/>
    <x v="8"/>
    <x v="0"/>
    <x v="1"/>
    <x v="1"/>
    <x v="1"/>
  </r>
  <r>
    <d v="2024-11-12T00:00:00"/>
    <x v="4"/>
    <x v="0"/>
    <x v="892"/>
    <x v="16"/>
    <x v="0"/>
    <d v="2024-11-12T00:00:00"/>
    <x v="222"/>
    <x v="4"/>
    <x v="8"/>
    <x v="0"/>
    <x v="1"/>
    <x v="1"/>
    <x v="1"/>
  </r>
  <r>
    <d v="2024-11-12T00:00:00"/>
    <x v="4"/>
    <x v="0"/>
    <x v="893"/>
    <x v="16"/>
    <x v="4"/>
    <d v="2024-11-12T00:00:00"/>
    <x v="222"/>
    <x v="4"/>
    <x v="8"/>
    <x v="0"/>
    <x v="1"/>
    <x v="1"/>
    <x v="1"/>
  </r>
  <r>
    <d v="2024-11-13T00:00:00"/>
    <x v="5"/>
    <x v="0"/>
    <x v="894"/>
    <x v="17"/>
    <x v="3"/>
    <d v="2024-11-13T00:00:00"/>
    <x v="223"/>
    <x v="5"/>
    <x v="8"/>
    <x v="0"/>
    <x v="1"/>
    <x v="1"/>
    <x v="1"/>
  </r>
  <r>
    <d v="2024-11-13T00:00:00"/>
    <x v="5"/>
    <x v="0"/>
    <x v="892"/>
    <x v="16"/>
    <x v="0"/>
    <d v="2024-11-13T00:00:00"/>
    <x v="223"/>
    <x v="5"/>
    <x v="8"/>
    <x v="0"/>
    <x v="1"/>
    <x v="1"/>
    <x v="1"/>
  </r>
  <r>
    <d v="2024-11-13T00:00:00"/>
    <x v="5"/>
    <x v="0"/>
    <x v="895"/>
    <x v="17"/>
    <x v="3"/>
    <d v="2024-11-13T00:00:00"/>
    <x v="223"/>
    <x v="5"/>
    <x v="8"/>
    <x v="0"/>
    <x v="1"/>
    <x v="1"/>
    <x v="1"/>
  </r>
  <r>
    <d v="2024-11-13T00:00:00"/>
    <x v="5"/>
    <x v="0"/>
    <x v="896"/>
    <x v="17"/>
    <x v="3"/>
    <d v="2024-11-13T00:00:00"/>
    <x v="223"/>
    <x v="5"/>
    <x v="8"/>
    <x v="0"/>
    <x v="1"/>
    <x v="1"/>
    <x v="1"/>
  </r>
  <r>
    <d v="2024-11-14T00:00:00"/>
    <x v="6"/>
    <x v="0"/>
    <x v="892"/>
    <x v="16"/>
    <x v="0"/>
    <d v="2024-11-14T00:00:00"/>
    <x v="224"/>
    <x v="6"/>
    <x v="8"/>
    <x v="0"/>
    <x v="1"/>
    <x v="1"/>
    <x v="1"/>
  </r>
  <r>
    <d v="2024-11-14T00:00:00"/>
    <x v="6"/>
    <x v="0"/>
    <x v="897"/>
    <x v="18"/>
    <x v="2"/>
    <d v="2024-11-14T00:00:00"/>
    <x v="224"/>
    <x v="6"/>
    <x v="8"/>
    <x v="0"/>
    <x v="1"/>
    <x v="1"/>
    <x v="1"/>
  </r>
  <r>
    <d v="2024-11-14T00:00:00"/>
    <x v="6"/>
    <x v="0"/>
    <x v="898"/>
    <x v="19"/>
    <x v="6"/>
    <d v="2024-11-14T00:00:00"/>
    <x v="224"/>
    <x v="6"/>
    <x v="8"/>
    <x v="0"/>
    <x v="1"/>
    <x v="1"/>
    <x v="1"/>
  </r>
  <r>
    <d v="2024-11-14T00:00:00"/>
    <x v="6"/>
    <x v="0"/>
    <x v="899"/>
    <x v="16"/>
    <x v="7"/>
    <d v="2024-11-14T00:00:00"/>
    <x v="224"/>
    <x v="6"/>
    <x v="8"/>
    <x v="0"/>
    <x v="1"/>
    <x v="1"/>
    <x v="1"/>
  </r>
  <r>
    <d v="2024-11-14T00:00:00"/>
    <x v="6"/>
    <x v="0"/>
    <x v="900"/>
    <x v="16"/>
    <x v="0"/>
    <d v="2024-11-14T00:00:00"/>
    <x v="224"/>
    <x v="6"/>
    <x v="8"/>
    <x v="0"/>
    <x v="1"/>
    <x v="1"/>
    <x v="1"/>
  </r>
  <r>
    <d v="2024-11-14T00:00:00"/>
    <x v="6"/>
    <x v="0"/>
    <x v="900"/>
    <x v="16"/>
    <x v="7"/>
    <d v="2024-11-14T00:00:00"/>
    <x v="224"/>
    <x v="6"/>
    <x v="8"/>
    <x v="0"/>
    <x v="1"/>
    <x v="1"/>
    <x v="1"/>
  </r>
  <r>
    <d v="2024-11-14T00:00:00"/>
    <x v="6"/>
    <x v="0"/>
    <x v="819"/>
    <x v="17"/>
    <x v="3"/>
    <d v="2024-11-14T00:00:00"/>
    <x v="224"/>
    <x v="6"/>
    <x v="8"/>
    <x v="0"/>
    <x v="1"/>
    <x v="1"/>
    <x v="1"/>
  </r>
  <r>
    <d v="2024-11-14T00:00:00"/>
    <x v="6"/>
    <x v="0"/>
    <x v="819"/>
    <x v="16"/>
    <x v="7"/>
    <d v="2024-11-14T00:00:00"/>
    <x v="224"/>
    <x v="6"/>
    <x v="8"/>
    <x v="0"/>
    <x v="1"/>
    <x v="1"/>
    <x v="1"/>
  </r>
  <r>
    <d v="2024-11-14T00:00:00"/>
    <x v="6"/>
    <x v="0"/>
    <x v="507"/>
    <x v="16"/>
    <x v="1"/>
    <d v="2024-11-14T00:00:00"/>
    <x v="224"/>
    <x v="6"/>
    <x v="8"/>
    <x v="0"/>
    <x v="1"/>
    <x v="1"/>
    <x v="1"/>
  </r>
  <r>
    <d v="2024-11-14T00:00:00"/>
    <x v="6"/>
    <x v="0"/>
    <x v="877"/>
    <x v="16"/>
    <x v="4"/>
    <d v="2024-11-14T00:00:00"/>
    <x v="224"/>
    <x v="6"/>
    <x v="8"/>
    <x v="0"/>
    <x v="1"/>
    <x v="1"/>
    <x v="1"/>
  </r>
  <r>
    <d v="2024-11-14T00:00:00"/>
    <x v="6"/>
    <x v="0"/>
    <x v="877"/>
    <x v="16"/>
    <x v="1"/>
    <d v="2024-11-14T00:00:00"/>
    <x v="224"/>
    <x v="6"/>
    <x v="8"/>
    <x v="0"/>
    <x v="1"/>
    <x v="1"/>
    <x v="1"/>
  </r>
  <r>
    <d v="2024-11-14T00:00:00"/>
    <x v="6"/>
    <x v="0"/>
    <x v="19"/>
    <x v="16"/>
    <x v="0"/>
    <d v="2024-11-14T00:00:00"/>
    <x v="224"/>
    <x v="6"/>
    <x v="8"/>
    <x v="0"/>
    <x v="1"/>
    <x v="1"/>
    <x v="1"/>
  </r>
  <r>
    <d v="2024-11-14T00:00:00"/>
    <x v="6"/>
    <x v="0"/>
    <x v="901"/>
    <x v="16"/>
    <x v="0"/>
    <d v="2024-11-14T00:00:00"/>
    <x v="224"/>
    <x v="6"/>
    <x v="8"/>
    <x v="0"/>
    <x v="1"/>
    <x v="1"/>
    <x v="1"/>
  </r>
  <r>
    <d v="2024-11-15T00:00:00"/>
    <x v="0"/>
    <x v="0"/>
    <x v="902"/>
    <x v="17"/>
    <x v="3"/>
    <d v="2024-11-15T00:00:00"/>
    <x v="225"/>
    <x v="0"/>
    <x v="8"/>
    <x v="0"/>
    <x v="1"/>
    <x v="1"/>
    <x v="1"/>
  </r>
  <r>
    <d v="2024-11-15T00:00:00"/>
    <x v="0"/>
    <x v="0"/>
    <x v="769"/>
    <x v="17"/>
    <x v="3"/>
    <d v="2024-11-15T00:00:00"/>
    <x v="225"/>
    <x v="0"/>
    <x v="8"/>
    <x v="0"/>
    <x v="1"/>
    <x v="1"/>
    <x v="1"/>
  </r>
  <r>
    <d v="2024-11-15T00:00:00"/>
    <x v="0"/>
    <x v="0"/>
    <x v="903"/>
    <x v="16"/>
    <x v="4"/>
    <d v="2024-11-15T00:00:00"/>
    <x v="225"/>
    <x v="0"/>
    <x v="8"/>
    <x v="0"/>
    <x v="1"/>
    <x v="1"/>
    <x v="1"/>
  </r>
  <r>
    <d v="2024-11-15T00:00:00"/>
    <x v="0"/>
    <x v="0"/>
    <x v="904"/>
    <x v="16"/>
    <x v="4"/>
    <d v="2024-11-15T00:00:00"/>
    <x v="225"/>
    <x v="0"/>
    <x v="8"/>
    <x v="0"/>
    <x v="1"/>
    <x v="1"/>
    <x v="1"/>
  </r>
  <r>
    <d v="2024-11-15T00:00:00"/>
    <x v="0"/>
    <x v="0"/>
    <x v="494"/>
    <x v="16"/>
    <x v="0"/>
    <d v="2024-11-15T00:00:00"/>
    <x v="225"/>
    <x v="0"/>
    <x v="8"/>
    <x v="0"/>
    <x v="1"/>
    <x v="1"/>
    <x v="1"/>
  </r>
  <r>
    <d v="2024-11-15T00:00:00"/>
    <x v="0"/>
    <x v="0"/>
    <x v="905"/>
    <x v="18"/>
    <x v="2"/>
    <d v="2024-11-15T00:00:00"/>
    <x v="225"/>
    <x v="0"/>
    <x v="8"/>
    <x v="0"/>
    <x v="1"/>
    <x v="1"/>
    <x v="1"/>
  </r>
  <r>
    <d v="2024-11-15T00:00:00"/>
    <x v="0"/>
    <x v="0"/>
    <x v="851"/>
    <x v="17"/>
    <x v="3"/>
    <d v="2024-11-15T00:00:00"/>
    <x v="225"/>
    <x v="0"/>
    <x v="8"/>
    <x v="0"/>
    <x v="1"/>
    <x v="1"/>
    <x v="1"/>
  </r>
  <r>
    <d v="2024-11-15T00:00:00"/>
    <x v="0"/>
    <x v="0"/>
    <x v="906"/>
    <x v="16"/>
    <x v="0"/>
    <d v="2024-11-15T00:00:00"/>
    <x v="225"/>
    <x v="0"/>
    <x v="8"/>
    <x v="0"/>
    <x v="1"/>
    <x v="1"/>
    <x v="1"/>
  </r>
  <r>
    <d v="2024-11-15T00:00:00"/>
    <x v="0"/>
    <x v="0"/>
    <x v="907"/>
    <x v="16"/>
    <x v="1"/>
    <d v="2024-11-15T00:00:00"/>
    <x v="225"/>
    <x v="0"/>
    <x v="8"/>
    <x v="0"/>
    <x v="1"/>
    <x v="1"/>
    <x v="1"/>
  </r>
  <r>
    <d v="2024-11-15T00:00:00"/>
    <x v="0"/>
    <x v="0"/>
    <x v="287"/>
    <x v="17"/>
    <x v="3"/>
    <d v="2024-11-15T00:00:00"/>
    <x v="225"/>
    <x v="0"/>
    <x v="8"/>
    <x v="0"/>
    <x v="1"/>
    <x v="1"/>
    <x v="1"/>
  </r>
  <r>
    <d v="2024-11-16T00:00:00"/>
    <x v="1"/>
    <x v="0"/>
    <x v="141"/>
    <x v="18"/>
    <x v="5"/>
    <d v="2024-11-16T00:00:00"/>
    <x v="226"/>
    <x v="1"/>
    <x v="8"/>
    <x v="0"/>
    <x v="1"/>
    <x v="1"/>
    <x v="1"/>
  </r>
  <r>
    <d v="2024-11-16T00:00:00"/>
    <x v="1"/>
    <x v="0"/>
    <x v="908"/>
    <x v="18"/>
    <x v="5"/>
    <d v="2024-11-16T00:00:00"/>
    <x v="226"/>
    <x v="1"/>
    <x v="8"/>
    <x v="0"/>
    <x v="1"/>
    <x v="1"/>
    <x v="1"/>
  </r>
  <r>
    <d v="2024-11-16T00:00:00"/>
    <x v="1"/>
    <x v="0"/>
    <x v="909"/>
    <x v="16"/>
    <x v="1"/>
    <d v="2024-11-16T00:00:00"/>
    <x v="226"/>
    <x v="1"/>
    <x v="8"/>
    <x v="0"/>
    <x v="1"/>
    <x v="1"/>
    <x v="1"/>
  </r>
  <r>
    <d v="2024-11-16T00:00:00"/>
    <x v="1"/>
    <x v="0"/>
    <x v="910"/>
    <x v="16"/>
    <x v="0"/>
    <d v="2024-11-16T00:00:00"/>
    <x v="226"/>
    <x v="1"/>
    <x v="8"/>
    <x v="0"/>
    <x v="1"/>
    <x v="1"/>
    <x v="1"/>
  </r>
  <r>
    <d v="2024-11-16T00:00:00"/>
    <x v="1"/>
    <x v="0"/>
    <x v="302"/>
    <x v="18"/>
    <x v="2"/>
    <d v="2024-11-16T00:00:00"/>
    <x v="226"/>
    <x v="1"/>
    <x v="8"/>
    <x v="0"/>
    <x v="1"/>
    <x v="1"/>
    <x v="1"/>
  </r>
  <r>
    <d v="2024-11-16T00:00:00"/>
    <x v="1"/>
    <x v="0"/>
    <x v="911"/>
    <x v="16"/>
    <x v="7"/>
    <d v="2024-11-16T00:00:00"/>
    <x v="226"/>
    <x v="1"/>
    <x v="8"/>
    <x v="0"/>
    <x v="1"/>
    <x v="1"/>
    <x v="1"/>
  </r>
  <r>
    <d v="2024-11-16T00:00:00"/>
    <x v="1"/>
    <x v="0"/>
    <x v="912"/>
    <x v="17"/>
    <x v="3"/>
    <d v="2024-11-16T00:00:00"/>
    <x v="226"/>
    <x v="1"/>
    <x v="8"/>
    <x v="0"/>
    <x v="1"/>
    <x v="1"/>
    <x v="1"/>
  </r>
  <r>
    <d v="2024-11-16T00:00:00"/>
    <x v="1"/>
    <x v="0"/>
    <x v="913"/>
    <x v="16"/>
    <x v="0"/>
    <d v="2024-11-16T00:00:00"/>
    <x v="226"/>
    <x v="1"/>
    <x v="8"/>
    <x v="0"/>
    <x v="1"/>
    <x v="1"/>
    <x v="1"/>
  </r>
  <r>
    <d v="2024-11-16T00:00:00"/>
    <x v="1"/>
    <x v="0"/>
    <x v="819"/>
    <x v="17"/>
    <x v="3"/>
    <d v="2024-11-16T00:00:00"/>
    <x v="226"/>
    <x v="1"/>
    <x v="8"/>
    <x v="0"/>
    <x v="1"/>
    <x v="1"/>
    <x v="1"/>
  </r>
  <r>
    <d v="2024-11-16T00:00:00"/>
    <x v="1"/>
    <x v="0"/>
    <x v="914"/>
    <x v="16"/>
    <x v="0"/>
    <d v="2024-11-16T00:00:00"/>
    <x v="226"/>
    <x v="1"/>
    <x v="8"/>
    <x v="0"/>
    <x v="1"/>
    <x v="1"/>
    <x v="1"/>
  </r>
  <r>
    <d v="2024-11-16T00:00:00"/>
    <x v="1"/>
    <x v="0"/>
    <x v="915"/>
    <x v="17"/>
    <x v="3"/>
    <d v="2024-11-16T00:00:00"/>
    <x v="226"/>
    <x v="1"/>
    <x v="8"/>
    <x v="0"/>
    <x v="1"/>
    <x v="1"/>
    <x v="1"/>
  </r>
  <r>
    <d v="2024-11-17T00:00:00"/>
    <x v="2"/>
    <x v="0"/>
    <x v="916"/>
    <x v="17"/>
    <x v="3"/>
    <d v="2024-11-17T00:00:00"/>
    <x v="227"/>
    <x v="2"/>
    <x v="8"/>
    <x v="0"/>
    <x v="1"/>
    <x v="1"/>
    <x v="1"/>
  </r>
  <r>
    <d v="2024-11-17T00:00:00"/>
    <x v="2"/>
    <x v="0"/>
    <x v="917"/>
    <x v="17"/>
    <x v="3"/>
    <d v="2024-11-17T00:00:00"/>
    <x v="227"/>
    <x v="2"/>
    <x v="8"/>
    <x v="0"/>
    <x v="1"/>
    <x v="1"/>
    <x v="1"/>
  </r>
  <r>
    <d v="2024-11-17T00:00:00"/>
    <x v="2"/>
    <x v="0"/>
    <x v="918"/>
    <x v="18"/>
    <x v="2"/>
    <d v="2024-11-17T00:00:00"/>
    <x v="227"/>
    <x v="2"/>
    <x v="8"/>
    <x v="0"/>
    <x v="1"/>
    <x v="1"/>
    <x v="1"/>
  </r>
  <r>
    <d v="2024-11-17T00:00:00"/>
    <x v="2"/>
    <x v="0"/>
    <x v="919"/>
    <x v="17"/>
    <x v="3"/>
    <d v="2024-11-17T00:00:00"/>
    <x v="227"/>
    <x v="2"/>
    <x v="8"/>
    <x v="0"/>
    <x v="1"/>
    <x v="1"/>
    <x v="1"/>
  </r>
  <r>
    <d v="2024-11-17T00:00:00"/>
    <x v="2"/>
    <x v="0"/>
    <x v="920"/>
    <x v="16"/>
    <x v="0"/>
    <d v="2024-11-17T00:00:00"/>
    <x v="227"/>
    <x v="2"/>
    <x v="8"/>
    <x v="0"/>
    <x v="1"/>
    <x v="1"/>
    <x v="1"/>
  </r>
  <r>
    <d v="2024-11-17T00:00:00"/>
    <x v="2"/>
    <x v="0"/>
    <x v="921"/>
    <x v="16"/>
    <x v="1"/>
    <d v="2024-11-17T00:00:00"/>
    <x v="227"/>
    <x v="2"/>
    <x v="8"/>
    <x v="0"/>
    <x v="1"/>
    <x v="1"/>
    <x v="1"/>
  </r>
  <r>
    <d v="2024-11-17T00:00:00"/>
    <x v="2"/>
    <x v="0"/>
    <x v="922"/>
    <x v="16"/>
    <x v="1"/>
    <d v="2024-11-17T00:00:00"/>
    <x v="227"/>
    <x v="2"/>
    <x v="8"/>
    <x v="0"/>
    <x v="1"/>
    <x v="1"/>
    <x v="1"/>
  </r>
  <r>
    <d v="2024-11-18T00:00:00"/>
    <x v="3"/>
    <x v="0"/>
    <x v="769"/>
    <x v="17"/>
    <x v="3"/>
    <d v="2024-11-18T00:00:00"/>
    <x v="228"/>
    <x v="3"/>
    <x v="8"/>
    <x v="0"/>
    <x v="1"/>
    <x v="1"/>
    <x v="1"/>
  </r>
  <r>
    <d v="2024-11-18T00:00:00"/>
    <x v="3"/>
    <x v="0"/>
    <x v="923"/>
    <x v="17"/>
    <x v="3"/>
    <d v="2024-11-18T00:00:00"/>
    <x v="228"/>
    <x v="3"/>
    <x v="8"/>
    <x v="0"/>
    <x v="1"/>
    <x v="1"/>
    <x v="1"/>
  </r>
  <r>
    <d v="2024-11-18T00:00:00"/>
    <x v="3"/>
    <x v="0"/>
    <x v="570"/>
    <x v="16"/>
    <x v="0"/>
    <d v="2024-11-18T00:00:00"/>
    <x v="228"/>
    <x v="3"/>
    <x v="8"/>
    <x v="0"/>
    <x v="1"/>
    <x v="1"/>
    <x v="1"/>
  </r>
  <r>
    <d v="2024-11-18T00:00:00"/>
    <x v="3"/>
    <x v="0"/>
    <x v="924"/>
    <x v="16"/>
    <x v="0"/>
    <d v="2024-11-18T00:00:00"/>
    <x v="228"/>
    <x v="3"/>
    <x v="8"/>
    <x v="0"/>
    <x v="1"/>
    <x v="1"/>
    <x v="1"/>
  </r>
  <r>
    <d v="2024-11-18T00:00:00"/>
    <x v="3"/>
    <x v="0"/>
    <x v="906"/>
    <x v="16"/>
    <x v="0"/>
    <d v="2024-11-18T00:00:00"/>
    <x v="228"/>
    <x v="3"/>
    <x v="8"/>
    <x v="0"/>
    <x v="1"/>
    <x v="1"/>
    <x v="1"/>
  </r>
  <r>
    <d v="2024-11-18T00:00:00"/>
    <x v="3"/>
    <x v="0"/>
    <x v="925"/>
    <x v="16"/>
    <x v="0"/>
    <d v="2024-11-18T00:00:00"/>
    <x v="228"/>
    <x v="3"/>
    <x v="8"/>
    <x v="0"/>
    <x v="1"/>
    <x v="1"/>
    <x v="1"/>
  </r>
  <r>
    <d v="2024-11-19T00:00:00"/>
    <x v="4"/>
    <x v="0"/>
    <x v="696"/>
    <x v="16"/>
    <x v="4"/>
    <d v="2024-11-19T00:00:00"/>
    <x v="229"/>
    <x v="4"/>
    <x v="8"/>
    <x v="0"/>
    <x v="1"/>
    <x v="1"/>
    <x v="1"/>
  </r>
  <r>
    <d v="2024-11-19T00:00:00"/>
    <x v="4"/>
    <x v="0"/>
    <x v="923"/>
    <x v="17"/>
    <x v="3"/>
    <d v="2024-11-19T00:00:00"/>
    <x v="229"/>
    <x v="4"/>
    <x v="8"/>
    <x v="0"/>
    <x v="1"/>
    <x v="1"/>
    <x v="1"/>
  </r>
  <r>
    <d v="2024-11-19T00:00:00"/>
    <x v="4"/>
    <x v="0"/>
    <x v="923"/>
    <x v="16"/>
    <x v="0"/>
    <d v="2024-11-19T00:00:00"/>
    <x v="229"/>
    <x v="4"/>
    <x v="8"/>
    <x v="0"/>
    <x v="1"/>
    <x v="1"/>
    <x v="1"/>
  </r>
  <r>
    <d v="2024-11-19T00:00:00"/>
    <x v="4"/>
    <x v="0"/>
    <x v="926"/>
    <x v="19"/>
    <x v="6"/>
    <d v="2024-11-19T00:00:00"/>
    <x v="229"/>
    <x v="4"/>
    <x v="8"/>
    <x v="0"/>
    <x v="1"/>
    <x v="1"/>
    <x v="1"/>
  </r>
  <r>
    <d v="2024-11-19T00:00:00"/>
    <x v="4"/>
    <x v="0"/>
    <x v="927"/>
    <x v="16"/>
    <x v="0"/>
    <d v="2024-11-19T00:00:00"/>
    <x v="229"/>
    <x v="4"/>
    <x v="8"/>
    <x v="0"/>
    <x v="1"/>
    <x v="1"/>
    <x v="1"/>
  </r>
  <r>
    <d v="2024-11-19T00:00:00"/>
    <x v="4"/>
    <x v="0"/>
    <x v="276"/>
    <x v="17"/>
    <x v="3"/>
    <d v="2024-11-19T00:00:00"/>
    <x v="229"/>
    <x v="4"/>
    <x v="8"/>
    <x v="0"/>
    <x v="1"/>
    <x v="1"/>
    <x v="1"/>
  </r>
  <r>
    <d v="2024-11-19T00:00:00"/>
    <x v="4"/>
    <x v="0"/>
    <x v="928"/>
    <x v="16"/>
    <x v="0"/>
    <d v="2024-11-19T00:00:00"/>
    <x v="229"/>
    <x v="4"/>
    <x v="8"/>
    <x v="0"/>
    <x v="1"/>
    <x v="1"/>
    <x v="1"/>
  </r>
  <r>
    <d v="2024-11-19T00:00:00"/>
    <x v="4"/>
    <x v="0"/>
    <x v="12"/>
    <x v="16"/>
    <x v="4"/>
    <d v="2024-11-19T00:00:00"/>
    <x v="229"/>
    <x v="4"/>
    <x v="8"/>
    <x v="0"/>
    <x v="1"/>
    <x v="1"/>
    <x v="1"/>
  </r>
  <r>
    <d v="2024-11-19T00:00:00"/>
    <x v="4"/>
    <x v="0"/>
    <x v="206"/>
    <x v="16"/>
    <x v="7"/>
    <d v="2024-11-19T00:00:00"/>
    <x v="229"/>
    <x v="4"/>
    <x v="8"/>
    <x v="0"/>
    <x v="1"/>
    <x v="1"/>
    <x v="1"/>
  </r>
  <r>
    <d v="2024-11-19T00:00:00"/>
    <x v="4"/>
    <x v="0"/>
    <x v="929"/>
    <x v="16"/>
    <x v="7"/>
    <d v="2024-11-19T00:00:00"/>
    <x v="229"/>
    <x v="4"/>
    <x v="8"/>
    <x v="0"/>
    <x v="1"/>
    <x v="1"/>
    <x v="1"/>
  </r>
  <r>
    <d v="2024-11-20T00:00:00"/>
    <x v="5"/>
    <x v="0"/>
    <x v="930"/>
    <x v="17"/>
    <x v="3"/>
    <d v="2024-11-20T00:00:00"/>
    <x v="230"/>
    <x v="5"/>
    <x v="8"/>
    <x v="0"/>
    <x v="1"/>
    <x v="1"/>
    <x v="1"/>
  </r>
  <r>
    <d v="2024-11-20T00:00:00"/>
    <x v="5"/>
    <x v="0"/>
    <x v="906"/>
    <x v="16"/>
    <x v="0"/>
    <d v="2024-11-20T00:00:00"/>
    <x v="230"/>
    <x v="5"/>
    <x v="8"/>
    <x v="0"/>
    <x v="1"/>
    <x v="1"/>
    <x v="1"/>
  </r>
  <r>
    <d v="2024-11-20T00:00:00"/>
    <x v="5"/>
    <x v="0"/>
    <x v="931"/>
    <x v="16"/>
    <x v="7"/>
    <d v="2024-11-20T00:00:00"/>
    <x v="230"/>
    <x v="5"/>
    <x v="8"/>
    <x v="0"/>
    <x v="1"/>
    <x v="1"/>
    <x v="1"/>
  </r>
  <r>
    <d v="2024-11-20T00:00:00"/>
    <x v="5"/>
    <x v="0"/>
    <x v="931"/>
    <x v="16"/>
    <x v="1"/>
    <d v="2024-11-20T00:00:00"/>
    <x v="230"/>
    <x v="5"/>
    <x v="8"/>
    <x v="0"/>
    <x v="1"/>
    <x v="1"/>
    <x v="1"/>
  </r>
  <r>
    <d v="2024-11-21T00:00:00"/>
    <x v="6"/>
    <x v="0"/>
    <x v="141"/>
    <x v="18"/>
    <x v="5"/>
    <d v="2024-11-21T00:00:00"/>
    <x v="218"/>
    <x v="6"/>
    <x v="8"/>
    <x v="0"/>
    <x v="1"/>
    <x v="1"/>
    <x v="1"/>
  </r>
  <r>
    <d v="2024-11-21T00:00:00"/>
    <x v="6"/>
    <x v="0"/>
    <x v="906"/>
    <x v="16"/>
    <x v="0"/>
    <d v="2024-11-21T00:00:00"/>
    <x v="218"/>
    <x v="6"/>
    <x v="8"/>
    <x v="0"/>
    <x v="1"/>
    <x v="1"/>
    <x v="1"/>
  </r>
  <r>
    <d v="2024-11-21T00:00:00"/>
    <x v="6"/>
    <x v="0"/>
    <x v="903"/>
    <x v="16"/>
    <x v="4"/>
    <d v="2024-11-21T00:00:00"/>
    <x v="218"/>
    <x v="6"/>
    <x v="8"/>
    <x v="0"/>
    <x v="1"/>
    <x v="1"/>
    <x v="1"/>
  </r>
  <r>
    <d v="2024-11-21T00:00:00"/>
    <x v="6"/>
    <x v="0"/>
    <x v="932"/>
    <x v="16"/>
    <x v="4"/>
    <d v="2024-11-21T00:00:00"/>
    <x v="218"/>
    <x v="6"/>
    <x v="8"/>
    <x v="0"/>
    <x v="1"/>
    <x v="1"/>
    <x v="1"/>
  </r>
  <r>
    <d v="2024-11-21T00:00:00"/>
    <x v="6"/>
    <x v="0"/>
    <x v="933"/>
    <x v="17"/>
    <x v="3"/>
    <d v="2024-11-21T00:00:00"/>
    <x v="218"/>
    <x v="6"/>
    <x v="8"/>
    <x v="0"/>
    <x v="1"/>
    <x v="1"/>
    <x v="1"/>
  </r>
  <r>
    <d v="2024-11-21T00:00:00"/>
    <x v="6"/>
    <x v="0"/>
    <x v="934"/>
    <x v="18"/>
    <x v="5"/>
    <d v="2024-11-21T00:00:00"/>
    <x v="218"/>
    <x v="6"/>
    <x v="8"/>
    <x v="0"/>
    <x v="1"/>
    <x v="1"/>
    <x v="1"/>
  </r>
  <r>
    <d v="2024-11-21T00:00:00"/>
    <x v="6"/>
    <x v="0"/>
    <x v="935"/>
    <x v="16"/>
    <x v="1"/>
    <d v="2024-11-21T00:00:00"/>
    <x v="218"/>
    <x v="6"/>
    <x v="8"/>
    <x v="0"/>
    <x v="1"/>
    <x v="1"/>
    <x v="1"/>
  </r>
  <r>
    <d v="2024-11-22T00:00:00"/>
    <x v="0"/>
    <x v="0"/>
    <x v="906"/>
    <x v="16"/>
    <x v="0"/>
    <d v="2024-11-22T00:00:00"/>
    <x v="231"/>
    <x v="0"/>
    <x v="8"/>
    <x v="0"/>
    <x v="1"/>
    <x v="1"/>
    <x v="1"/>
  </r>
  <r>
    <d v="2024-11-22T00:00:00"/>
    <x v="0"/>
    <x v="0"/>
    <x v="696"/>
    <x v="16"/>
    <x v="7"/>
    <d v="2024-11-22T00:00:00"/>
    <x v="231"/>
    <x v="0"/>
    <x v="8"/>
    <x v="0"/>
    <x v="1"/>
    <x v="1"/>
    <x v="1"/>
  </r>
  <r>
    <d v="2024-11-22T00:00:00"/>
    <x v="0"/>
    <x v="0"/>
    <x v="936"/>
    <x v="16"/>
    <x v="0"/>
    <d v="2024-11-22T00:00:00"/>
    <x v="231"/>
    <x v="0"/>
    <x v="8"/>
    <x v="0"/>
    <x v="1"/>
    <x v="1"/>
    <x v="1"/>
  </r>
  <r>
    <d v="2024-11-22T00:00:00"/>
    <x v="0"/>
    <x v="0"/>
    <x v="937"/>
    <x v="16"/>
    <x v="4"/>
    <d v="2024-11-22T00:00:00"/>
    <x v="231"/>
    <x v="0"/>
    <x v="8"/>
    <x v="0"/>
    <x v="1"/>
    <x v="1"/>
    <x v="1"/>
  </r>
  <r>
    <d v="2024-11-22T00:00:00"/>
    <x v="0"/>
    <x v="0"/>
    <x v="938"/>
    <x v="16"/>
    <x v="1"/>
    <d v="2024-11-22T00:00:00"/>
    <x v="231"/>
    <x v="0"/>
    <x v="8"/>
    <x v="0"/>
    <x v="1"/>
    <x v="1"/>
    <x v="1"/>
  </r>
  <r>
    <d v="2024-11-22T00:00:00"/>
    <x v="0"/>
    <x v="0"/>
    <x v="938"/>
    <x v="16"/>
    <x v="0"/>
    <d v="2024-11-22T00:00:00"/>
    <x v="231"/>
    <x v="0"/>
    <x v="8"/>
    <x v="0"/>
    <x v="1"/>
    <x v="1"/>
    <x v="1"/>
  </r>
  <r>
    <d v="2024-11-23T00:00:00"/>
    <x v="1"/>
    <x v="0"/>
    <x v="543"/>
    <x v="18"/>
    <x v="5"/>
    <d v="2024-11-23T00:00:00"/>
    <x v="216"/>
    <x v="1"/>
    <x v="8"/>
    <x v="0"/>
    <x v="1"/>
    <x v="1"/>
    <x v="1"/>
  </r>
  <r>
    <d v="2024-11-23T00:00:00"/>
    <x v="1"/>
    <x v="0"/>
    <x v="683"/>
    <x v="16"/>
    <x v="0"/>
    <d v="2024-11-23T00:00:00"/>
    <x v="216"/>
    <x v="1"/>
    <x v="8"/>
    <x v="0"/>
    <x v="1"/>
    <x v="1"/>
    <x v="1"/>
  </r>
  <r>
    <d v="2024-11-23T00:00:00"/>
    <x v="1"/>
    <x v="0"/>
    <x v="172"/>
    <x v="16"/>
    <x v="7"/>
    <d v="2024-11-23T00:00:00"/>
    <x v="216"/>
    <x v="1"/>
    <x v="8"/>
    <x v="0"/>
    <x v="1"/>
    <x v="1"/>
    <x v="1"/>
  </r>
  <r>
    <d v="2024-11-23T00:00:00"/>
    <x v="1"/>
    <x v="0"/>
    <x v="939"/>
    <x v="18"/>
    <x v="2"/>
    <d v="2024-11-23T00:00:00"/>
    <x v="216"/>
    <x v="1"/>
    <x v="8"/>
    <x v="0"/>
    <x v="1"/>
    <x v="1"/>
    <x v="1"/>
  </r>
  <r>
    <d v="2024-11-23T00:00:00"/>
    <x v="1"/>
    <x v="0"/>
    <x v="494"/>
    <x v="16"/>
    <x v="1"/>
    <d v="2024-11-23T00:00:00"/>
    <x v="216"/>
    <x v="1"/>
    <x v="8"/>
    <x v="0"/>
    <x v="1"/>
    <x v="1"/>
    <x v="1"/>
  </r>
  <r>
    <d v="2024-11-23T00:00:00"/>
    <x v="1"/>
    <x v="0"/>
    <x v="940"/>
    <x v="16"/>
    <x v="0"/>
    <d v="2024-11-23T00:00:00"/>
    <x v="216"/>
    <x v="1"/>
    <x v="8"/>
    <x v="0"/>
    <x v="1"/>
    <x v="1"/>
    <x v="1"/>
  </r>
  <r>
    <d v="2024-11-24T00:00:00"/>
    <x v="2"/>
    <x v="0"/>
    <x v="570"/>
    <x v="16"/>
    <x v="0"/>
    <d v="2024-11-24T00:00:00"/>
    <x v="232"/>
    <x v="2"/>
    <x v="8"/>
    <x v="0"/>
    <x v="1"/>
    <x v="1"/>
    <x v="1"/>
  </r>
  <r>
    <d v="2024-11-25T00:00:00"/>
    <x v="3"/>
    <x v="0"/>
    <x v="696"/>
    <x v="16"/>
    <x v="7"/>
    <d v="2024-11-25T00:00:00"/>
    <x v="233"/>
    <x v="3"/>
    <x v="8"/>
    <x v="0"/>
    <x v="1"/>
    <x v="1"/>
    <x v="1"/>
  </r>
  <r>
    <d v="2024-11-25T00:00:00"/>
    <x v="3"/>
    <x v="0"/>
    <x v="941"/>
    <x v="16"/>
    <x v="0"/>
    <d v="2024-11-25T00:00:00"/>
    <x v="233"/>
    <x v="3"/>
    <x v="8"/>
    <x v="0"/>
    <x v="1"/>
    <x v="1"/>
    <x v="1"/>
  </r>
  <r>
    <d v="2024-11-25T00:00:00"/>
    <x v="3"/>
    <x v="0"/>
    <x v="276"/>
    <x v="17"/>
    <x v="3"/>
    <d v="2024-11-25T00:00:00"/>
    <x v="233"/>
    <x v="3"/>
    <x v="8"/>
    <x v="0"/>
    <x v="1"/>
    <x v="1"/>
    <x v="1"/>
  </r>
  <r>
    <d v="2024-11-25T00:00:00"/>
    <x v="3"/>
    <x v="0"/>
    <x v="141"/>
    <x v="18"/>
    <x v="5"/>
    <d v="2024-11-25T00:00:00"/>
    <x v="233"/>
    <x v="3"/>
    <x v="8"/>
    <x v="0"/>
    <x v="1"/>
    <x v="1"/>
    <x v="1"/>
  </r>
  <r>
    <d v="2024-11-25T00:00:00"/>
    <x v="3"/>
    <x v="0"/>
    <x v="942"/>
    <x v="16"/>
    <x v="0"/>
    <d v="2024-11-25T00:00:00"/>
    <x v="233"/>
    <x v="3"/>
    <x v="8"/>
    <x v="0"/>
    <x v="1"/>
    <x v="1"/>
    <x v="1"/>
  </r>
  <r>
    <d v="2024-11-25T00:00:00"/>
    <x v="3"/>
    <x v="0"/>
    <x v="943"/>
    <x v="16"/>
    <x v="0"/>
    <d v="2024-11-25T00:00:00"/>
    <x v="233"/>
    <x v="3"/>
    <x v="8"/>
    <x v="0"/>
    <x v="1"/>
    <x v="1"/>
    <x v="1"/>
  </r>
  <r>
    <d v="2024-11-25T00:00:00"/>
    <x v="3"/>
    <x v="0"/>
    <x v="871"/>
    <x v="16"/>
    <x v="1"/>
    <d v="2024-11-25T00:00:00"/>
    <x v="233"/>
    <x v="3"/>
    <x v="8"/>
    <x v="0"/>
    <x v="1"/>
    <x v="1"/>
    <x v="1"/>
  </r>
  <r>
    <d v="2024-11-25T00:00:00"/>
    <x v="3"/>
    <x v="0"/>
    <x v="944"/>
    <x v="17"/>
    <x v="3"/>
    <d v="2024-11-25T00:00:00"/>
    <x v="233"/>
    <x v="3"/>
    <x v="8"/>
    <x v="0"/>
    <x v="1"/>
    <x v="1"/>
    <x v="1"/>
  </r>
  <r>
    <d v="2024-11-25T00:00:00"/>
    <x v="3"/>
    <x v="0"/>
    <x v="945"/>
    <x v="16"/>
    <x v="1"/>
    <d v="2024-11-25T00:00:00"/>
    <x v="233"/>
    <x v="3"/>
    <x v="8"/>
    <x v="0"/>
    <x v="1"/>
    <x v="1"/>
    <x v="1"/>
  </r>
  <r>
    <d v="2024-11-25T00:00:00"/>
    <x v="3"/>
    <x v="0"/>
    <x v="637"/>
    <x v="16"/>
    <x v="1"/>
    <d v="2024-11-25T00:00:00"/>
    <x v="233"/>
    <x v="3"/>
    <x v="8"/>
    <x v="0"/>
    <x v="1"/>
    <x v="1"/>
    <x v="1"/>
  </r>
  <r>
    <d v="2024-11-25T00:00:00"/>
    <x v="3"/>
    <x v="0"/>
    <x v="637"/>
    <x v="16"/>
    <x v="7"/>
    <d v="2024-11-25T00:00:00"/>
    <x v="233"/>
    <x v="3"/>
    <x v="8"/>
    <x v="0"/>
    <x v="1"/>
    <x v="1"/>
    <x v="1"/>
  </r>
  <r>
    <d v="2024-11-26T00:00:00"/>
    <x v="4"/>
    <x v="0"/>
    <x v="570"/>
    <x v="16"/>
    <x v="0"/>
    <d v="2024-11-26T00:00:00"/>
    <x v="184"/>
    <x v="4"/>
    <x v="8"/>
    <x v="0"/>
    <x v="1"/>
    <x v="1"/>
    <x v="1"/>
  </r>
  <r>
    <d v="2024-11-26T00:00:00"/>
    <x v="4"/>
    <x v="0"/>
    <x v="903"/>
    <x v="16"/>
    <x v="4"/>
    <d v="2024-11-26T00:00:00"/>
    <x v="184"/>
    <x v="4"/>
    <x v="8"/>
    <x v="0"/>
    <x v="1"/>
    <x v="1"/>
    <x v="1"/>
  </r>
  <r>
    <d v="2024-11-26T00:00:00"/>
    <x v="4"/>
    <x v="0"/>
    <x v="946"/>
    <x v="18"/>
    <x v="2"/>
    <d v="2024-11-26T00:00:00"/>
    <x v="184"/>
    <x v="4"/>
    <x v="8"/>
    <x v="0"/>
    <x v="1"/>
    <x v="1"/>
    <x v="1"/>
  </r>
  <r>
    <d v="2024-11-26T00:00:00"/>
    <x v="4"/>
    <x v="0"/>
    <x v="947"/>
    <x v="16"/>
    <x v="4"/>
    <d v="2024-11-26T00:00:00"/>
    <x v="184"/>
    <x v="4"/>
    <x v="8"/>
    <x v="0"/>
    <x v="1"/>
    <x v="1"/>
    <x v="1"/>
  </r>
  <r>
    <d v="2024-11-26T00:00:00"/>
    <x v="4"/>
    <x v="0"/>
    <x v="948"/>
    <x v="16"/>
    <x v="0"/>
    <d v="2024-11-26T00:00:00"/>
    <x v="184"/>
    <x v="4"/>
    <x v="8"/>
    <x v="0"/>
    <x v="1"/>
    <x v="1"/>
    <x v="1"/>
  </r>
  <r>
    <d v="2024-11-26T00:00:00"/>
    <x v="4"/>
    <x v="0"/>
    <x v="949"/>
    <x v="16"/>
    <x v="0"/>
    <d v="2024-11-26T00:00:00"/>
    <x v="184"/>
    <x v="4"/>
    <x v="8"/>
    <x v="0"/>
    <x v="1"/>
    <x v="1"/>
    <x v="1"/>
  </r>
  <r>
    <d v="2024-11-26T00:00:00"/>
    <x v="4"/>
    <x v="0"/>
    <x v="950"/>
    <x v="18"/>
    <x v="2"/>
    <d v="2024-11-26T00:00:00"/>
    <x v="184"/>
    <x v="4"/>
    <x v="8"/>
    <x v="0"/>
    <x v="1"/>
    <x v="1"/>
    <x v="1"/>
  </r>
  <r>
    <d v="2024-11-26T00:00:00"/>
    <x v="4"/>
    <x v="0"/>
    <x v="950"/>
    <x v="17"/>
    <x v="3"/>
    <d v="2024-11-26T00:00:00"/>
    <x v="184"/>
    <x v="4"/>
    <x v="8"/>
    <x v="0"/>
    <x v="1"/>
    <x v="1"/>
    <x v="1"/>
  </r>
  <r>
    <d v="2024-11-26T00:00:00"/>
    <x v="4"/>
    <x v="0"/>
    <x v="951"/>
    <x v="16"/>
    <x v="4"/>
    <d v="2024-11-26T00:00:00"/>
    <x v="184"/>
    <x v="4"/>
    <x v="8"/>
    <x v="0"/>
    <x v="1"/>
    <x v="1"/>
    <x v="1"/>
  </r>
  <r>
    <d v="2024-11-28T00:00:00"/>
    <x v="6"/>
    <x v="0"/>
    <x v="952"/>
    <x v="16"/>
    <x v="7"/>
    <d v="2024-11-28T00:00:00"/>
    <x v="234"/>
    <x v="6"/>
    <x v="8"/>
    <x v="0"/>
    <x v="1"/>
    <x v="1"/>
    <x v="1"/>
  </r>
  <r>
    <d v="2024-11-28T00:00:00"/>
    <x v="6"/>
    <x v="0"/>
    <x v="276"/>
    <x v="17"/>
    <x v="3"/>
    <d v="2024-11-28T00:00:00"/>
    <x v="234"/>
    <x v="6"/>
    <x v="8"/>
    <x v="0"/>
    <x v="1"/>
    <x v="1"/>
    <x v="1"/>
  </r>
  <r>
    <d v="2024-11-28T00:00:00"/>
    <x v="6"/>
    <x v="0"/>
    <x v="12"/>
    <x v="17"/>
    <x v="3"/>
    <d v="2024-11-28T00:00:00"/>
    <x v="234"/>
    <x v="6"/>
    <x v="8"/>
    <x v="0"/>
    <x v="1"/>
    <x v="1"/>
    <x v="1"/>
  </r>
  <r>
    <d v="2024-11-28T00:00:00"/>
    <x v="6"/>
    <x v="0"/>
    <x v="19"/>
    <x v="16"/>
    <x v="0"/>
    <d v="2024-11-28T00:00:00"/>
    <x v="234"/>
    <x v="6"/>
    <x v="8"/>
    <x v="0"/>
    <x v="1"/>
    <x v="1"/>
    <x v="1"/>
  </r>
  <r>
    <d v="2024-11-28T00:00:00"/>
    <x v="6"/>
    <x v="0"/>
    <x v="507"/>
    <x v="16"/>
    <x v="0"/>
    <d v="2024-11-28T00:00:00"/>
    <x v="234"/>
    <x v="6"/>
    <x v="8"/>
    <x v="0"/>
    <x v="1"/>
    <x v="1"/>
    <x v="1"/>
  </r>
  <r>
    <d v="2024-11-28T00:00:00"/>
    <x v="6"/>
    <x v="0"/>
    <x v="748"/>
    <x v="16"/>
    <x v="7"/>
    <d v="2024-11-28T00:00:00"/>
    <x v="234"/>
    <x v="6"/>
    <x v="8"/>
    <x v="0"/>
    <x v="1"/>
    <x v="1"/>
    <x v="1"/>
  </r>
  <r>
    <d v="2024-11-29T00:00:00"/>
    <x v="0"/>
    <x v="0"/>
    <x v="696"/>
    <x v="16"/>
    <x v="4"/>
    <d v="2024-11-29T00:00:00"/>
    <x v="234"/>
    <x v="0"/>
    <x v="8"/>
    <x v="0"/>
    <x v="1"/>
    <x v="1"/>
    <x v="1"/>
  </r>
  <r>
    <d v="2024-11-29T00:00:00"/>
    <x v="0"/>
    <x v="0"/>
    <x v="570"/>
    <x v="16"/>
    <x v="0"/>
    <d v="2024-11-29T00:00:00"/>
    <x v="234"/>
    <x v="0"/>
    <x v="8"/>
    <x v="0"/>
    <x v="1"/>
    <x v="1"/>
    <x v="1"/>
  </r>
  <r>
    <d v="2024-11-29T00:00:00"/>
    <x v="0"/>
    <x v="0"/>
    <x v="385"/>
    <x v="17"/>
    <x v="3"/>
    <d v="2024-11-29T00:00:00"/>
    <x v="234"/>
    <x v="0"/>
    <x v="8"/>
    <x v="0"/>
    <x v="1"/>
    <x v="1"/>
    <x v="1"/>
  </r>
  <r>
    <d v="2024-11-29T00:00:00"/>
    <x v="0"/>
    <x v="0"/>
    <x v="953"/>
    <x v="17"/>
    <x v="3"/>
    <d v="2024-11-29T00:00:00"/>
    <x v="234"/>
    <x v="0"/>
    <x v="8"/>
    <x v="0"/>
    <x v="1"/>
    <x v="1"/>
    <x v="1"/>
  </r>
  <r>
    <d v="2024-11-29T00:00:00"/>
    <x v="0"/>
    <x v="0"/>
    <x v="954"/>
    <x v="16"/>
    <x v="0"/>
    <d v="2024-11-29T00:00:00"/>
    <x v="234"/>
    <x v="0"/>
    <x v="8"/>
    <x v="0"/>
    <x v="1"/>
    <x v="1"/>
    <x v="1"/>
  </r>
  <r>
    <d v="2024-11-29T00:00:00"/>
    <x v="0"/>
    <x v="0"/>
    <x v="955"/>
    <x v="16"/>
    <x v="4"/>
    <d v="2024-11-29T00:00:00"/>
    <x v="234"/>
    <x v="0"/>
    <x v="8"/>
    <x v="0"/>
    <x v="1"/>
    <x v="1"/>
    <x v="1"/>
  </r>
  <r>
    <d v="2024-11-30T00:00:00"/>
    <x v="1"/>
    <x v="0"/>
    <x v="570"/>
    <x v="16"/>
    <x v="4"/>
    <d v="2024-11-30T00:00:00"/>
    <x v="216"/>
    <x v="1"/>
    <x v="8"/>
    <x v="0"/>
    <x v="1"/>
    <x v="1"/>
    <x v="1"/>
  </r>
  <r>
    <d v="2024-11-30T00:00:00"/>
    <x v="1"/>
    <x v="0"/>
    <x v="956"/>
    <x v="18"/>
    <x v="2"/>
    <d v="2024-11-30T00:00:00"/>
    <x v="216"/>
    <x v="1"/>
    <x v="8"/>
    <x v="0"/>
    <x v="1"/>
    <x v="1"/>
    <x v="1"/>
  </r>
  <r>
    <d v="2024-11-30T00:00:00"/>
    <x v="1"/>
    <x v="0"/>
    <x v="956"/>
    <x v="16"/>
    <x v="1"/>
    <d v="2024-11-30T00:00:00"/>
    <x v="216"/>
    <x v="1"/>
    <x v="8"/>
    <x v="0"/>
    <x v="1"/>
    <x v="1"/>
    <x v="1"/>
  </r>
  <r>
    <d v="2024-11-30T00:00:00"/>
    <x v="1"/>
    <x v="0"/>
    <x v="494"/>
    <x v="16"/>
    <x v="4"/>
    <d v="2024-11-30T00:00:00"/>
    <x v="216"/>
    <x v="1"/>
    <x v="8"/>
    <x v="0"/>
    <x v="1"/>
    <x v="1"/>
    <x v="1"/>
  </r>
  <r>
    <d v="2024-11-30T00:00:00"/>
    <x v="1"/>
    <x v="0"/>
    <x v="97"/>
    <x v="17"/>
    <x v="3"/>
    <d v="2024-11-30T00:00:00"/>
    <x v="216"/>
    <x v="1"/>
    <x v="8"/>
    <x v="0"/>
    <x v="1"/>
    <x v="1"/>
    <x v="1"/>
  </r>
  <r>
    <d v="2024-11-30T00:00:00"/>
    <x v="1"/>
    <x v="0"/>
    <x v="957"/>
    <x v="17"/>
    <x v="3"/>
    <d v="2024-11-30T00:00:00"/>
    <x v="216"/>
    <x v="1"/>
    <x v="8"/>
    <x v="0"/>
    <x v="1"/>
    <x v="1"/>
    <x v="1"/>
  </r>
  <r>
    <d v="2024-12-01T00:00:00"/>
    <x v="2"/>
    <x v="0"/>
    <x v="40"/>
    <x v="17"/>
    <x v="3"/>
    <d v="2024-12-01T00:00:00"/>
    <x v="235"/>
    <x v="2"/>
    <x v="9"/>
    <x v="0"/>
    <x v="1"/>
    <x v="1"/>
    <x v="1"/>
  </r>
  <r>
    <d v="2024-12-01T00:00:00"/>
    <x v="2"/>
    <x v="0"/>
    <x v="385"/>
    <x v="17"/>
    <x v="3"/>
    <d v="2024-12-01T00:00:00"/>
    <x v="235"/>
    <x v="2"/>
    <x v="9"/>
    <x v="0"/>
    <x v="1"/>
    <x v="1"/>
    <x v="1"/>
  </r>
  <r>
    <d v="2024-12-01T00:00:00"/>
    <x v="2"/>
    <x v="0"/>
    <x v="958"/>
    <x v="17"/>
    <x v="3"/>
    <d v="2024-12-01T00:00:00"/>
    <x v="235"/>
    <x v="2"/>
    <x v="9"/>
    <x v="0"/>
    <x v="1"/>
    <x v="1"/>
    <x v="1"/>
  </r>
  <r>
    <d v="2024-12-01T00:00:00"/>
    <x v="2"/>
    <x v="0"/>
    <x v="959"/>
    <x v="16"/>
    <x v="4"/>
    <d v="2024-12-01T00:00:00"/>
    <x v="235"/>
    <x v="2"/>
    <x v="9"/>
    <x v="0"/>
    <x v="1"/>
    <x v="1"/>
    <x v="1"/>
  </r>
  <r>
    <d v="2024-12-01T00:00:00"/>
    <x v="2"/>
    <x v="0"/>
    <x v="960"/>
    <x v="16"/>
    <x v="7"/>
    <d v="2024-12-01T00:00:00"/>
    <x v="235"/>
    <x v="2"/>
    <x v="9"/>
    <x v="0"/>
    <x v="1"/>
    <x v="1"/>
    <x v="1"/>
  </r>
  <r>
    <d v="2024-12-01T00:00:00"/>
    <x v="2"/>
    <x v="0"/>
    <x v="961"/>
    <x v="16"/>
    <x v="0"/>
    <d v="2024-12-01T00:00:00"/>
    <x v="235"/>
    <x v="2"/>
    <x v="9"/>
    <x v="0"/>
    <x v="1"/>
    <x v="1"/>
    <x v="1"/>
  </r>
  <r>
    <d v="2024-12-01T00:00:00"/>
    <x v="2"/>
    <x v="0"/>
    <x v="962"/>
    <x v="16"/>
    <x v="0"/>
    <d v="2024-12-01T00:00:00"/>
    <x v="235"/>
    <x v="2"/>
    <x v="9"/>
    <x v="0"/>
    <x v="1"/>
    <x v="1"/>
    <x v="1"/>
  </r>
  <r>
    <d v="2024-12-01T00:00:00"/>
    <x v="2"/>
    <x v="0"/>
    <x v="963"/>
    <x v="16"/>
    <x v="0"/>
    <d v="2024-12-01T00:00:00"/>
    <x v="235"/>
    <x v="2"/>
    <x v="9"/>
    <x v="0"/>
    <x v="1"/>
    <x v="1"/>
    <x v="1"/>
  </r>
  <r>
    <d v="2024-12-01T00:00:00"/>
    <x v="2"/>
    <x v="0"/>
    <x v="964"/>
    <x v="16"/>
    <x v="0"/>
    <d v="2024-12-01T00:00:00"/>
    <x v="235"/>
    <x v="2"/>
    <x v="9"/>
    <x v="0"/>
    <x v="1"/>
    <x v="1"/>
    <x v="1"/>
  </r>
  <r>
    <d v="2024-12-01T00:00:00"/>
    <x v="2"/>
    <x v="0"/>
    <x v="965"/>
    <x v="17"/>
    <x v="3"/>
    <d v="2024-12-01T00:00:00"/>
    <x v="235"/>
    <x v="2"/>
    <x v="9"/>
    <x v="0"/>
    <x v="1"/>
    <x v="1"/>
    <x v="1"/>
  </r>
  <r>
    <d v="2024-12-01T00:00:00"/>
    <x v="2"/>
    <x v="0"/>
    <x v="966"/>
    <x v="17"/>
    <x v="3"/>
    <d v="2024-12-01T00:00:00"/>
    <x v="235"/>
    <x v="2"/>
    <x v="9"/>
    <x v="0"/>
    <x v="1"/>
    <x v="1"/>
    <x v="1"/>
  </r>
  <r>
    <d v="2024-12-02T00:00:00"/>
    <x v="3"/>
    <x v="0"/>
    <x v="696"/>
    <x v="16"/>
    <x v="0"/>
    <d v="2024-12-02T00:00:00"/>
    <x v="205"/>
    <x v="3"/>
    <x v="9"/>
    <x v="0"/>
    <x v="1"/>
    <x v="1"/>
    <x v="1"/>
  </r>
  <r>
    <d v="2024-12-02T00:00:00"/>
    <x v="3"/>
    <x v="0"/>
    <x v="967"/>
    <x v="18"/>
    <x v="2"/>
    <d v="2024-12-02T00:00:00"/>
    <x v="205"/>
    <x v="3"/>
    <x v="9"/>
    <x v="0"/>
    <x v="1"/>
    <x v="1"/>
    <x v="1"/>
  </r>
  <r>
    <d v="2024-12-02T00:00:00"/>
    <x v="3"/>
    <x v="0"/>
    <x v="276"/>
    <x v="17"/>
    <x v="3"/>
    <d v="2024-12-02T00:00:00"/>
    <x v="205"/>
    <x v="3"/>
    <x v="9"/>
    <x v="0"/>
    <x v="1"/>
    <x v="1"/>
    <x v="1"/>
  </r>
  <r>
    <d v="2024-12-02T00:00:00"/>
    <x v="3"/>
    <x v="0"/>
    <x v="968"/>
    <x v="16"/>
    <x v="4"/>
    <d v="2024-12-02T00:00:00"/>
    <x v="205"/>
    <x v="3"/>
    <x v="9"/>
    <x v="0"/>
    <x v="1"/>
    <x v="1"/>
    <x v="1"/>
  </r>
  <r>
    <d v="2024-12-02T00:00:00"/>
    <x v="3"/>
    <x v="0"/>
    <x v="141"/>
    <x v="18"/>
    <x v="5"/>
    <d v="2024-12-02T00:00:00"/>
    <x v="205"/>
    <x v="3"/>
    <x v="9"/>
    <x v="0"/>
    <x v="1"/>
    <x v="1"/>
    <x v="1"/>
  </r>
  <r>
    <d v="2024-12-02T00:00:00"/>
    <x v="3"/>
    <x v="0"/>
    <x v="969"/>
    <x v="19"/>
    <x v="6"/>
    <d v="2024-12-02T00:00:00"/>
    <x v="205"/>
    <x v="3"/>
    <x v="9"/>
    <x v="0"/>
    <x v="1"/>
    <x v="1"/>
    <x v="1"/>
  </r>
  <r>
    <d v="2024-12-02T00:00:00"/>
    <x v="3"/>
    <x v="0"/>
    <x v="970"/>
    <x v="16"/>
    <x v="7"/>
    <d v="2024-12-02T00:00:00"/>
    <x v="205"/>
    <x v="3"/>
    <x v="9"/>
    <x v="0"/>
    <x v="1"/>
    <x v="1"/>
    <x v="1"/>
  </r>
  <r>
    <d v="2024-12-02T00:00:00"/>
    <x v="3"/>
    <x v="0"/>
    <x v="971"/>
    <x v="18"/>
    <x v="2"/>
    <d v="2024-12-02T00:00:00"/>
    <x v="205"/>
    <x v="3"/>
    <x v="9"/>
    <x v="0"/>
    <x v="1"/>
    <x v="1"/>
    <x v="1"/>
  </r>
  <r>
    <d v="2024-12-02T00:00:00"/>
    <x v="3"/>
    <x v="0"/>
    <x v="972"/>
    <x v="16"/>
    <x v="7"/>
    <d v="2024-12-02T00:00:00"/>
    <x v="205"/>
    <x v="3"/>
    <x v="9"/>
    <x v="0"/>
    <x v="1"/>
    <x v="1"/>
    <x v="1"/>
  </r>
  <r>
    <d v="2024-12-03T00:00:00"/>
    <x v="4"/>
    <x v="0"/>
    <x v="570"/>
    <x v="16"/>
    <x v="0"/>
    <d v="2024-12-03T00:00:00"/>
    <x v="236"/>
    <x v="4"/>
    <x v="9"/>
    <x v="0"/>
    <x v="1"/>
    <x v="1"/>
    <x v="1"/>
  </r>
  <r>
    <d v="2024-12-03T00:00:00"/>
    <x v="4"/>
    <x v="0"/>
    <x v="276"/>
    <x v="17"/>
    <x v="3"/>
    <d v="2024-12-03T00:00:00"/>
    <x v="236"/>
    <x v="4"/>
    <x v="9"/>
    <x v="0"/>
    <x v="1"/>
    <x v="1"/>
    <x v="1"/>
  </r>
  <r>
    <d v="2024-12-03T00:00:00"/>
    <x v="4"/>
    <x v="0"/>
    <x v="973"/>
    <x v="18"/>
    <x v="2"/>
    <d v="2024-12-03T00:00:00"/>
    <x v="236"/>
    <x v="4"/>
    <x v="9"/>
    <x v="0"/>
    <x v="1"/>
    <x v="1"/>
    <x v="1"/>
  </r>
  <r>
    <d v="2024-12-03T00:00:00"/>
    <x v="4"/>
    <x v="0"/>
    <x v="974"/>
    <x v="17"/>
    <x v="3"/>
    <d v="2024-12-03T00:00:00"/>
    <x v="236"/>
    <x v="4"/>
    <x v="9"/>
    <x v="0"/>
    <x v="1"/>
    <x v="1"/>
    <x v="1"/>
  </r>
  <r>
    <d v="2024-12-03T00:00:00"/>
    <x v="4"/>
    <x v="0"/>
    <x v="819"/>
    <x v="17"/>
    <x v="3"/>
    <d v="2024-12-03T00:00:00"/>
    <x v="236"/>
    <x v="4"/>
    <x v="9"/>
    <x v="0"/>
    <x v="1"/>
    <x v="1"/>
    <x v="1"/>
  </r>
  <r>
    <d v="2024-12-03T00:00:00"/>
    <x v="4"/>
    <x v="0"/>
    <x v="975"/>
    <x v="16"/>
    <x v="4"/>
    <d v="2024-12-03T00:00:00"/>
    <x v="236"/>
    <x v="4"/>
    <x v="9"/>
    <x v="0"/>
    <x v="1"/>
    <x v="1"/>
    <x v="1"/>
  </r>
  <r>
    <d v="2024-12-03T00:00:00"/>
    <x v="4"/>
    <x v="0"/>
    <x v="685"/>
    <x v="16"/>
    <x v="0"/>
    <d v="2024-12-03T00:00:00"/>
    <x v="236"/>
    <x v="4"/>
    <x v="9"/>
    <x v="0"/>
    <x v="1"/>
    <x v="1"/>
    <x v="1"/>
  </r>
  <r>
    <d v="2024-12-03T00:00:00"/>
    <x v="4"/>
    <x v="0"/>
    <x v="685"/>
    <x v="16"/>
    <x v="7"/>
    <d v="2024-12-03T00:00:00"/>
    <x v="236"/>
    <x v="4"/>
    <x v="9"/>
    <x v="0"/>
    <x v="1"/>
    <x v="1"/>
    <x v="1"/>
  </r>
  <r>
    <d v="2024-12-03T00:00:00"/>
    <x v="4"/>
    <x v="0"/>
    <x v="685"/>
    <x v="16"/>
    <x v="1"/>
    <d v="2024-12-03T00:00:00"/>
    <x v="236"/>
    <x v="4"/>
    <x v="9"/>
    <x v="0"/>
    <x v="1"/>
    <x v="1"/>
    <x v="1"/>
  </r>
  <r>
    <d v="2024-12-03T00:00:00"/>
    <x v="4"/>
    <x v="0"/>
    <x v="976"/>
    <x v="17"/>
    <x v="3"/>
    <d v="2024-12-03T00:00:00"/>
    <x v="236"/>
    <x v="4"/>
    <x v="9"/>
    <x v="0"/>
    <x v="1"/>
    <x v="1"/>
    <x v="1"/>
  </r>
  <r>
    <d v="2024-12-03T00:00:00"/>
    <x v="4"/>
    <x v="0"/>
    <x v="206"/>
    <x v="16"/>
    <x v="7"/>
    <d v="2024-12-03T00:00:00"/>
    <x v="236"/>
    <x v="4"/>
    <x v="9"/>
    <x v="0"/>
    <x v="1"/>
    <x v="1"/>
    <x v="1"/>
  </r>
  <r>
    <d v="2024-12-04T00:00:00"/>
    <x v="5"/>
    <x v="0"/>
    <x v="141"/>
    <x v="18"/>
    <x v="5"/>
    <d v="2024-12-04T00:00:00"/>
    <x v="237"/>
    <x v="5"/>
    <x v="9"/>
    <x v="0"/>
    <x v="1"/>
    <x v="1"/>
    <x v="1"/>
  </r>
  <r>
    <d v="2024-12-04T00:00:00"/>
    <x v="5"/>
    <x v="0"/>
    <x v="977"/>
    <x v="16"/>
    <x v="0"/>
    <d v="2024-12-04T00:00:00"/>
    <x v="237"/>
    <x v="5"/>
    <x v="9"/>
    <x v="0"/>
    <x v="1"/>
    <x v="1"/>
    <x v="1"/>
  </r>
  <r>
    <d v="2024-12-04T00:00:00"/>
    <x v="5"/>
    <x v="0"/>
    <x v="978"/>
    <x v="16"/>
    <x v="0"/>
    <d v="2024-12-04T00:00:00"/>
    <x v="237"/>
    <x v="5"/>
    <x v="9"/>
    <x v="0"/>
    <x v="1"/>
    <x v="1"/>
    <x v="1"/>
  </r>
  <r>
    <d v="2024-12-04T00:00:00"/>
    <x v="5"/>
    <x v="0"/>
    <x v="979"/>
    <x v="18"/>
    <x v="2"/>
    <d v="2024-12-04T00:00:00"/>
    <x v="237"/>
    <x v="5"/>
    <x v="9"/>
    <x v="0"/>
    <x v="1"/>
    <x v="1"/>
    <x v="1"/>
  </r>
  <r>
    <d v="2024-12-04T00:00:00"/>
    <x v="5"/>
    <x v="0"/>
    <x v="276"/>
    <x v="17"/>
    <x v="3"/>
    <d v="2024-12-04T00:00:00"/>
    <x v="237"/>
    <x v="5"/>
    <x v="9"/>
    <x v="0"/>
    <x v="1"/>
    <x v="1"/>
    <x v="1"/>
  </r>
  <r>
    <d v="2024-12-04T00:00:00"/>
    <x v="5"/>
    <x v="0"/>
    <x v="980"/>
    <x v="17"/>
    <x v="3"/>
    <d v="2024-12-04T00:00:00"/>
    <x v="237"/>
    <x v="5"/>
    <x v="9"/>
    <x v="0"/>
    <x v="1"/>
    <x v="1"/>
    <x v="1"/>
  </r>
  <r>
    <d v="2024-12-04T00:00:00"/>
    <x v="5"/>
    <x v="0"/>
    <x v="783"/>
    <x v="16"/>
    <x v="1"/>
    <d v="2024-12-04T00:00:00"/>
    <x v="237"/>
    <x v="5"/>
    <x v="9"/>
    <x v="0"/>
    <x v="1"/>
    <x v="1"/>
    <x v="1"/>
  </r>
  <r>
    <d v="2024-12-04T00:00:00"/>
    <x v="5"/>
    <x v="0"/>
    <x v="981"/>
    <x v="17"/>
    <x v="3"/>
    <d v="2024-12-04T00:00:00"/>
    <x v="237"/>
    <x v="5"/>
    <x v="9"/>
    <x v="0"/>
    <x v="1"/>
    <x v="1"/>
    <x v="1"/>
  </r>
  <r>
    <d v="2024-12-04T00:00:00"/>
    <x v="5"/>
    <x v="0"/>
    <x v="982"/>
    <x v="16"/>
    <x v="1"/>
    <d v="2024-12-04T00:00:00"/>
    <x v="237"/>
    <x v="5"/>
    <x v="9"/>
    <x v="0"/>
    <x v="1"/>
    <x v="1"/>
    <x v="1"/>
  </r>
  <r>
    <d v="2024-12-05T00:00:00"/>
    <x v="6"/>
    <x v="0"/>
    <x v="983"/>
    <x v="18"/>
    <x v="2"/>
    <d v="2024-12-05T00:00:00"/>
    <x v="238"/>
    <x v="6"/>
    <x v="9"/>
    <x v="0"/>
    <x v="1"/>
    <x v="1"/>
    <x v="1"/>
  </r>
  <r>
    <d v="2024-12-05T00:00:00"/>
    <x v="6"/>
    <x v="0"/>
    <x v="141"/>
    <x v="18"/>
    <x v="5"/>
    <d v="2024-12-05T00:00:00"/>
    <x v="238"/>
    <x v="6"/>
    <x v="9"/>
    <x v="0"/>
    <x v="1"/>
    <x v="1"/>
    <x v="1"/>
  </r>
  <r>
    <d v="2024-12-05T00:00:00"/>
    <x v="6"/>
    <x v="0"/>
    <x v="276"/>
    <x v="17"/>
    <x v="3"/>
    <d v="2024-12-05T00:00:00"/>
    <x v="238"/>
    <x v="6"/>
    <x v="9"/>
    <x v="0"/>
    <x v="1"/>
    <x v="1"/>
    <x v="1"/>
  </r>
  <r>
    <d v="2024-12-05T00:00:00"/>
    <x v="6"/>
    <x v="0"/>
    <x v="579"/>
    <x v="16"/>
    <x v="0"/>
    <d v="2024-12-05T00:00:00"/>
    <x v="238"/>
    <x v="6"/>
    <x v="9"/>
    <x v="0"/>
    <x v="1"/>
    <x v="1"/>
    <x v="1"/>
  </r>
  <r>
    <d v="2024-12-05T00:00:00"/>
    <x v="6"/>
    <x v="0"/>
    <x v="984"/>
    <x v="18"/>
    <x v="2"/>
    <d v="2024-12-05T00:00:00"/>
    <x v="238"/>
    <x v="6"/>
    <x v="9"/>
    <x v="0"/>
    <x v="1"/>
    <x v="1"/>
    <x v="1"/>
  </r>
  <r>
    <d v="2024-12-05T00:00:00"/>
    <x v="6"/>
    <x v="0"/>
    <x v="985"/>
    <x v="16"/>
    <x v="7"/>
    <d v="2024-12-05T00:00:00"/>
    <x v="238"/>
    <x v="6"/>
    <x v="9"/>
    <x v="0"/>
    <x v="1"/>
    <x v="1"/>
    <x v="1"/>
  </r>
  <r>
    <d v="2024-12-05T00:00:00"/>
    <x v="6"/>
    <x v="0"/>
    <x v="906"/>
    <x v="16"/>
    <x v="0"/>
    <d v="2024-12-05T00:00:00"/>
    <x v="238"/>
    <x v="6"/>
    <x v="9"/>
    <x v="0"/>
    <x v="1"/>
    <x v="1"/>
    <x v="1"/>
  </r>
  <r>
    <d v="2024-12-05T00:00:00"/>
    <x v="6"/>
    <x v="0"/>
    <x v="771"/>
    <x v="16"/>
    <x v="0"/>
    <d v="2024-12-05T00:00:00"/>
    <x v="238"/>
    <x v="6"/>
    <x v="9"/>
    <x v="0"/>
    <x v="1"/>
    <x v="1"/>
    <x v="1"/>
  </r>
  <r>
    <d v="2024-12-06T00:00:00"/>
    <x v="0"/>
    <x v="0"/>
    <x v="906"/>
    <x v="16"/>
    <x v="0"/>
    <d v="2024-12-06T00:00:00"/>
    <x v="239"/>
    <x v="0"/>
    <x v="9"/>
    <x v="0"/>
    <x v="1"/>
    <x v="1"/>
    <x v="1"/>
  </r>
  <r>
    <d v="2024-12-06T00:00:00"/>
    <x v="0"/>
    <x v="0"/>
    <x v="938"/>
    <x v="16"/>
    <x v="1"/>
    <d v="2024-12-06T00:00:00"/>
    <x v="239"/>
    <x v="0"/>
    <x v="9"/>
    <x v="0"/>
    <x v="1"/>
    <x v="1"/>
    <x v="1"/>
  </r>
  <r>
    <d v="2024-12-06T00:00:00"/>
    <x v="0"/>
    <x v="0"/>
    <x v="731"/>
    <x v="16"/>
    <x v="0"/>
    <d v="2024-12-06T00:00:00"/>
    <x v="239"/>
    <x v="0"/>
    <x v="9"/>
    <x v="0"/>
    <x v="1"/>
    <x v="1"/>
    <x v="1"/>
  </r>
  <r>
    <d v="2024-12-06T00:00:00"/>
    <x v="0"/>
    <x v="0"/>
    <x v="731"/>
    <x v="16"/>
    <x v="1"/>
    <d v="2024-12-06T00:00:00"/>
    <x v="239"/>
    <x v="0"/>
    <x v="9"/>
    <x v="0"/>
    <x v="1"/>
    <x v="1"/>
    <x v="1"/>
  </r>
  <r>
    <d v="2024-12-07T00:00:00"/>
    <x v="1"/>
    <x v="0"/>
    <x v="986"/>
    <x v="17"/>
    <x v="3"/>
    <d v="2024-12-07T00:00:00"/>
    <x v="240"/>
    <x v="1"/>
    <x v="9"/>
    <x v="0"/>
    <x v="1"/>
    <x v="1"/>
    <x v="1"/>
  </r>
  <r>
    <d v="2024-12-07T00:00:00"/>
    <x v="1"/>
    <x v="0"/>
    <x v="987"/>
    <x v="18"/>
    <x v="2"/>
    <d v="2024-12-07T00:00:00"/>
    <x v="240"/>
    <x v="1"/>
    <x v="9"/>
    <x v="0"/>
    <x v="1"/>
    <x v="1"/>
    <x v="1"/>
  </r>
  <r>
    <d v="2024-12-07T00:00:00"/>
    <x v="1"/>
    <x v="0"/>
    <x v="409"/>
    <x v="16"/>
    <x v="0"/>
    <d v="2024-12-07T00:00:00"/>
    <x v="240"/>
    <x v="1"/>
    <x v="9"/>
    <x v="0"/>
    <x v="1"/>
    <x v="1"/>
    <x v="1"/>
  </r>
  <r>
    <d v="2024-12-07T00:00:00"/>
    <x v="1"/>
    <x v="0"/>
    <x v="206"/>
    <x v="16"/>
    <x v="7"/>
    <d v="2024-12-07T00:00:00"/>
    <x v="240"/>
    <x v="1"/>
    <x v="9"/>
    <x v="0"/>
    <x v="1"/>
    <x v="1"/>
    <x v="1"/>
  </r>
  <r>
    <d v="2024-12-07T00:00:00"/>
    <x v="1"/>
    <x v="0"/>
    <x v="988"/>
    <x v="17"/>
    <x v="3"/>
    <d v="2024-12-07T00:00:00"/>
    <x v="240"/>
    <x v="1"/>
    <x v="9"/>
    <x v="0"/>
    <x v="1"/>
    <x v="1"/>
    <x v="1"/>
  </r>
  <r>
    <d v="2024-12-07T00:00:00"/>
    <x v="1"/>
    <x v="0"/>
    <x v="989"/>
    <x v="18"/>
    <x v="2"/>
    <d v="2024-12-07T00:00:00"/>
    <x v="240"/>
    <x v="1"/>
    <x v="9"/>
    <x v="0"/>
    <x v="1"/>
    <x v="1"/>
    <x v="1"/>
  </r>
  <r>
    <d v="2024-12-08T00:00:00"/>
    <x v="2"/>
    <x v="0"/>
    <x v="141"/>
    <x v="18"/>
    <x v="5"/>
    <d v="2024-12-08T00:00:00"/>
    <x v="241"/>
    <x v="2"/>
    <x v="9"/>
    <x v="0"/>
    <x v="1"/>
    <x v="1"/>
    <x v="1"/>
  </r>
  <r>
    <d v="2024-12-08T00:00:00"/>
    <x v="2"/>
    <x v="0"/>
    <x v="787"/>
    <x v="16"/>
    <x v="0"/>
    <d v="2024-12-08T00:00:00"/>
    <x v="241"/>
    <x v="2"/>
    <x v="9"/>
    <x v="0"/>
    <x v="1"/>
    <x v="1"/>
    <x v="1"/>
  </r>
  <r>
    <d v="2024-12-08T00:00:00"/>
    <x v="2"/>
    <x v="0"/>
    <x v="787"/>
    <x v="16"/>
    <x v="7"/>
    <d v="2024-12-08T00:00:00"/>
    <x v="241"/>
    <x v="2"/>
    <x v="9"/>
    <x v="0"/>
    <x v="1"/>
    <x v="1"/>
    <x v="1"/>
  </r>
  <r>
    <d v="2024-12-08T00:00:00"/>
    <x v="2"/>
    <x v="0"/>
    <x v="990"/>
    <x v="18"/>
    <x v="5"/>
    <d v="2024-12-08T00:00:00"/>
    <x v="241"/>
    <x v="2"/>
    <x v="9"/>
    <x v="0"/>
    <x v="1"/>
    <x v="1"/>
    <x v="1"/>
  </r>
  <r>
    <d v="2024-12-08T00:00:00"/>
    <x v="2"/>
    <x v="0"/>
    <x v="991"/>
    <x v="17"/>
    <x v="3"/>
    <d v="2024-12-08T00:00:00"/>
    <x v="241"/>
    <x v="2"/>
    <x v="9"/>
    <x v="0"/>
    <x v="1"/>
    <x v="1"/>
    <x v="1"/>
  </r>
  <r>
    <d v="2024-12-08T00:00:00"/>
    <x v="2"/>
    <x v="0"/>
    <x v="206"/>
    <x v="16"/>
    <x v="7"/>
    <d v="2024-12-08T00:00:00"/>
    <x v="241"/>
    <x v="2"/>
    <x v="9"/>
    <x v="0"/>
    <x v="1"/>
    <x v="1"/>
    <x v="1"/>
  </r>
  <r>
    <d v="2024-12-08T00:00:00"/>
    <x v="2"/>
    <x v="0"/>
    <x v="992"/>
    <x v="19"/>
    <x v="6"/>
    <d v="2024-12-08T00:00:00"/>
    <x v="241"/>
    <x v="2"/>
    <x v="9"/>
    <x v="0"/>
    <x v="1"/>
    <x v="1"/>
    <x v="1"/>
  </r>
  <r>
    <d v="2024-12-08T00:00:00"/>
    <x v="2"/>
    <x v="0"/>
    <x v="97"/>
    <x v="16"/>
    <x v="7"/>
    <d v="2024-12-08T00:00:00"/>
    <x v="241"/>
    <x v="2"/>
    <x v="9"/>
    <x v="0"/>
    <x v="1"/>
    <x v="1"/>
    <x v="1"/>
  </r>
  <r>
    <d v="2024-12-08T00:00:00"/>
    <x v="2"/>
    <x v="0"/>
    <x v="993"/>
    <x v="17"/>
    <x v="3"/>
    <d v="2024-12-08T00:00:00"/>
    <x v="241"/>
    <x v="2"/>
    <x v="9"/>
    <x v="0"/>
    <x v="1"/>
    <x v="1"/>
    <x v="1"/>
  </r>
  <r>
    <d v="2024-12-08T00:00:00"/>
    <x v="2"/>
    <x v="0"/>
    <x v="976"/>
    <x v="17"/>
    <x v="3"/>
    <d v="2024-12-08T00:00:00"/>
    <x v="241"/>
    <x v="2"/>
    <x v="9"/>
    <x v="0"/>
    <x v="1"/>
    <x v="1"/>
    <x v="1"/>
  </r>
  <r>
    <d v="2024-12-09T00:00:00"/>
    <x v="3"/>
    <x v="0"/>
    <x v="994"/>
    <x v="16"/>
    <x v="7"/>
    <d v="2024-12-09T00:00:00"/>
    <x v="121"/>
    <x v="3"/>
    <x v="9"/>
    <x v="0"/>
    <x v="1"/>
    <x v="1"/>
    <x v="1"/>
  </r>
  <r>
    <d v="2024-12-09T00:00:00"/>
    <x v="3"/>
    <x v="0"/>
    <x v="995"/>
    <x v="18"/>
    <x v="2"/>
    <d v="2024-12-09T00:00:00"/>
    <x v="121"/>
    <x v="3"/>
    <x v="9"/>
    <x v="0"/>
    <x v="1"/>
    <x v="1"/>
    <x v="1"/>
  </r>
  <r>
    <d v="2024-12-09T00:00:00"/>
    <x v="3"/>
    <x v="0"/>
    <x v="276"/>
    <x v="17"/>
    <x v="3"/>
    <d v="2024-12-09T00:00:00"/>
    <x v="121"/>
    <x v="3"/>
    <x v="9"/>
    <x v="0"/>
    <x v="1"/>
    <x v="1"/>
    <x v="1"/>
  </r>
  <r>
    <d v="2024-12-09T00:00:00"/>
    <x v="3"/>
    <x v="0"/>
    <x v="802"/>
    <x v="18"/>
    <x v="5"/>
    <d v="2024-12-09T00:00:00"/>
    <x v="121"/>
    <x v="3"/>
    <x v="9"/>
    <x v="0"/>
    <x v="1"/>
    <x v="1"/>
    <x v="1"/>
  </r>
  <r>
    <d v="2024-12-09T00:00:00"/>
    <x v="3"/>
    <x v="0"/>
    <x v="996"/>
    <x v="16"/>
    <x v="4"/>
    <d v="2024-12-09T00:00:00"/>
    <x v="121"/>
    <x v="3"/>
    <x v="9"/>
    <x v="0"/>
    <x v="1"/>
    <x v="1"/>
    <x v="1"/>
  </r>
  <r>
    <d v="2024-12-10T00:00:00"/>
    <x v="4"/>
    <x v="0"/>
    <x v="141"/>
    <x v="18"/>
    <x v="5"/>
    <d v="2024-12-10T00:00:00"/>
    <x v="242"/>
    <x v="4"/>
    <x v="9"/>
    <x v="0"/>
    <x v="1"/>
    <x v="1"/>
    <x v="1"/>
  </r>
  <r>
    <d v="2024-12-10T00:00:00"/>
    <x v="4"/>
    <x v="0"/>
    <x v="938"/>
    <x v="16"/>
    <x v="1"/>
    <d v="2024-12-10T00:00:00"/>
    <x v="242"/>
    <x v="4"/>
    <x v="9"/>
    <x v="0"/>
    <x v="1"/>
    <x v="1"/>
    <x v="1"/>
  </r>
  <r>
    <d v="2024-12-11T00:00:00"/>
    <x v="5"/>
    <x v="0"/>
    <x v="570"/>
    <x v="16"/>
    <x v="0"/>
    <d v="2024-12-11T00:00:00"/>
    <x v="218"/>
    <x v="5"/>
    <x v="9"/>
    <x v="0"/>
    <x v="1"/>
    <x v="1"/>
    <x v="1"/>
  </r>
  <r>
    <d v="2024-12-11T00:00:00"/>
    <x v="5"/>
    <x v="0"/>
    <x v="141"/>
    <x v="18"/>
    <x v="5"/>
    <d v="2024-12-11T00:00:00"/>
    <x v="218"/>
    <x v="5"/>
    <x v="9"/>
    <x v="0"/>
    <x v="1"/>
    <x v="1"/>
    <x v="1"/>
  </r>
  <r>
    <d v="2024-12-11T00:00:00"/>
    <x v="5"/>
    <x v="0"/>
    <x v="997"/>
    <x v="16"/>
    <x v="1"/>
    <d v="2024-12-11T00:00:00"/>
    <x v="218"/>
    <x v="5"/>
    <x v="9"/>
    <x v="0"/>
    <x v="1"/>
    <x v="1"/>
    <x v="1"/>
  </r>
  <r>
    <d v="2024-12-11T00:00:00"/>
    <x v="5"/>
    <x v="0"/>
    <x v="998"/>
    <x v="19"/>
    <x v="6"/>
    <d v="2024-12-11T00:00:00"/>
    <x v="218"/>
    <x v="5"/>
    <x v="9"/>
    <x v="0"/>
    <x v="1"/>
    <x v="1"/>
    <x v="1"/>
  </r>
  <r>
    <d v="2024-12-11T00:00:00"/>
    <x v="5"/>
    <x v="0"/>
    <x v="999"/>
    <x v="16"/>
    <x v="4"/>
    <d v="2024-12-11T00:00:00"/>
    <x v="218"/>
    <x v="5"/>
    <x v="9"/>
    <x v="0"/>
    <x v="1"/>
    <x v="1"/>
    <x v="1"/>
  </r>
  <r>
    <d v="2024-12-11T00:00:00"/>
    <x v="5"/>
    <x v="0"/>
    <x v="690"/>
    <x v="16"/>
    <x v="0"/>
    <d v="2024-12-11T00:00:00"/>
    <x v="218"/>
    <x v="5"/>
    <x v="9"/>
    <x v="0"/>
    <x v="1"/>
    <x v="1"/>
    <x v="1"/>
  </r>
  <r>
    <d v="2024-12-11T00:00:00"/>
    <x v="5"/>
    <x v="0"/>
    <x v="1000"/>
    <x v="16"/>
    <x v="0"/>
    <d v="2024-12-11T00:00:00"/>
    <x v="218"/>
    <x v="5"/>
    <x v="9"/>
    <x v="0"/>
    <x v="1"/>
    <x v="1"/>
    <x v="1"/>
  </r>
  <r>
    <d v="2024-12-12T00:00:00"/>
    <x v="6"/>
    <x v="0"/>
    <x v="1001"/>
    <x v="17"/>
    <x v="3"/>
    <d v="2024-12-12T00:00:00"/>
    <x v="117"/>
    <x v="6"/>
    <x v="9"/>
    <x v="0"/>
    <x v="1"/>
    <x v="1"/>
    <x v="1"/>
  </r>
  <r>
    <d v="2024-12-12T00:00:00"/>
    <x v="6"/>
    <x v="0"/>
    <x v="1002"/>
    <x v="18"/>
    <x v="2"/>
    <d v="2024-12-12T00:00:00"/>
    <x v="117"/>
    <x v="6"/>
    <x v="9"/>
    <x v="0"/>
    <x v="1"/>
    <x v="1"/>
    <x v="1"/>
  </r>
  <r>
    <d v="2024-12-12T00:00:00"/>
    <x v="6"/>
    <x v="0"/>
    <x v="1003"/>
    <x v="19"/>
    <x v="6"/>
    <d v="2024-12-12T00:00:00"/>
    <x v="117"/>
    <x v="6"/>
    <x v="9"/>
    <x v="0"/>
    <x v="1"/>
    <x v="1"/>
    <x v="1"/>
  </r>
  <r>
    <d v="2024-12-12T00:00:00"/>
    <x v="6"/>
    <x v="0"/>
    <x v="1003"/>
    <x v="18"/>
    <x v="2"/>
    <d v="2024-12-12T00:00:00"/>
    <x v="117"/>
    <x v="6"/>
    <x v="9"/>
    <x v="0"/>
    <x v="1"/>
    <x v="1"/>
    <x v="1"/>
  </r>
  <r>
    <d v="2024-12-12T00:00:00"/>
    <x v="6"/>
    <x v="0"/>
    <x v="922"/>
    <x v="16"/>
    <x v="4"/>
    <d v="2024-12-12T00:00:00"/>
    <x v="117"/>
    <x v="6"/>
    <x v="9"/>
    <x v="0"/>
    <x v="1"/>
    <x v="1"/>
    <x v="1"/>
  </r>
  <r>
    <d v="2024-12-13T00:00:00"/>
    <x v="0"/>
    <x v="0"/>
    <x v="1004"/>
    <x v="18"/>
    <x v="2"/>
    <d v="2024-12-13T00:00:00"/>
    <x v="219"/>
    <x v="0"/>
    <x v="9"/>
    <x v="0"/>
    <x v="1"/>
    <x v="1"/>
    <x v="1"/>
  </r>
  <r>
    <d v="2024-12-13T00:00:00"/>
    <x v="0"/>
    <x v="0"/>
    <x v="1003"/>
    <x v="18"/>
    <x v="2"/>
    <d v="2024-12-13T00:00:00"/>
    <x v="219"/>
    <x v="0"/>
    <x v="9"/>
    <x v="0"/>
    <x v="1"/>
    <x v="1"/>
    <x v="1"/>
  </r>
  <r>
    <d v="2024-12-13T00:00:00"/>
    <x v="0"/>
    <x v="0"/>
    <x v="1003"/>
    <x v="16"/>
    <x v="1"/>
    <d v="2024-12-13T00:00:00"/>
    <x v="219"/>
    <x v="0"/>
    <x v="9"/>
    <x v="0"/>
    <x v="1"/>
    <x v="1"/>
    <x v="1"/>
  </r>
  <r>
    <d v="2024-12-13T00:00:00"/>
    <x v="0"/>
    <x v="0"/>
    <x v="1005"/>
    <x v="16"/>
    <x v="1"/>
    <d v="2024-12-13T00:00:00"/>
    <x v="219"/>
    <x v="0"/>
    <x v="9"/>
    <x v="0"/>
    <x v="1"/>
    <x v="1"/>
    <x v="1"/>
  </r>
  <r>
    <d v="2024-12-13T00:00:00"/>
    <x v="0"/>
    <x v="0"/>
    <x v="494"/>
    <x v="16"/>
    <x v="4"/>
    <d v="2024-12-13T00:00:00"/>
    <x v="219"/>
    <x v="0"/>
    <x v="9"/>
    <x v="0"/>
    <x v="1"/>
    <x v="1"/>
    <x v="1"/>
  </r>
  <r>
    <d v="2024-12-13T00:00:00"/>
    <x v="0"/>
    <x v="0"/>
    <x v="876"/>
    <x v="16"/>
    <x v="7"/>
    <d v="2024-12-13T00:00:00"/>
    <x v="219"/>
    <x v="0"/>
    <x v="9"/>
    <x v="0"/>
    <x v="1"/>
    <x v="1"/>
    <x v="1"/>
  </r>
  <r>
    <d v="2024-12-13T00:00:00"/>
    <x v="0"/>
    <x v="0"/>
    <x v="748"/>
    <x v="16"/>
    <x v="0"/>
    <d v="2024-12-13T00:00:00"/>
    <x v="219"/>
    <x v="0"/>
    <x v="9"/>
    <x v="0"/>
    <x v="1"/>
    <x v="1"/>
    <x v="1"/>
  </r>
  <r>
    <d v="2024-12-14T00:00:00"/>
    <x v="1"/>
    <x v="0"/>
    <x v="1006"/>
    <x v="17"/>
    <x v="3"/>
    <d v="2024-12-14T00:00:00"/>
    <x v="243"/>
    <x v="1"/>
    <x v="9"/>
    <x v="0"/>
    <x v="1"/>
    <x v="1"/>
    <x v="1"/>
  </r>
  <r>
    <d v="2024-12-14T00:00:00"/>
    <x v="1"/>
    <x v="0"/>
    <x v="1007"/>
    <x v="16"/>
    <x v="4"/>
    <d v="2024-12-14T00:00:00"/>
    <x v="243"/>
    <x v="1"/>
    <x v="9"/>
    <x v="0"/>
    <x v="1"/>
    <x v="1"/>
    <x v="1"/>
  </r>
  <r>
    <d v="2024-12-14T00:00:00"/>
    <x v="1"/>
    <x v="0"/>
    <x v="664"/>
    <x v="16"/>
    <x v="7"/>
    <d v="2024-12-14T00:00:00"/>
    <x v="243"/>
    <x v="1"/>
    <x v="9"/>
    <x v="0"/>
    <x v="1"/>
    <x v="1"/>
    <x v="1"/>
  </r>
  <r>
    <d v="2024-12-14T00:00:00"/>
    <x v="1"/>
    <x v="0"/>
    <x v="1008"/>
    <x v="18"/>
    <x v="2"/>
    <d v="2024-12-14T00:00:00"/>
    <x v="243"/>
    <x v="1"/>
    <x v="9"/>
    <x v="0"/>
    <x v="1"/>
    <x v="1"/>
    <x v="1"/>
  </r>
  <r>
    <d v="2024-12-14T00:00:00"/>
    <x v="1"/>
    <x v="0"/>
    <x v="1008"/>
    <x v="16"/>
    <x v="0"/>
    <d v="2024-12-14T00:00:00"/>
    <x v="243"/>
    <x v="1"/>
    <x v="9"/>
    <x v="0"/>
    <x v="1"/>
    <x v="1"/>
    <x v="1"/>
  </r>
  <r>
    <d v="2024-12-14T00:00:00"/>
    <x v="1"/>
    <x v="0"/>
    <x v="612"/>
    <x v="16"/>
    <x v="4"/>
    <d v="2024-12-14T00:00:00"/>
    <x v="243"/>
    <x v="1"/>
    <x v="9"/>
    <x v="0"/>
    <x v="1"/>
    <x v="1"/>
    <x v="1"/>
  </r>
  <r>
    <d v="2024-12-14T00:00:00"/>
    <x v="1"/>
    <x v="0"/>
    <x v="40"/>
    <x v="18"/>
    <x v="2"/>
    <d v="2024-12-14T00:00:00"/>
    <x v="243"/>
    <x v="1"/>
    <x v="9"/>
    <x v="0"/>
    <x v="1"/>
    <x v="1"/>
    <x v="1"/>
  </r>
  <r>
    <d v="2024-12-14T00:00:00"/>
    <x v="1"/>
    <x v="0"/>
    <x v="1003"/>
    <x v="18"/>
    <x v="2"/>
    <d v="2024-12-14T00:00:00"/>
    <x v="243"/>
    <x v="1"/>
    <x v="9"/>
    <x v="0"/>
    <x v="1"/>
    <x v="1"/>
    <x v="1"/>
  </r>
  <r>
    <d v="2024-12-14T00:00:00"/>
    <x v="1"/>
    <x v="0"/>
    <x v="1009"/>
    <x v="17"/>
    <x v="3"/>
    <d v="2024-12-14T00:00:00"/>
    <x v="243"/>
    <x v="1"/>
    <x v="9"/>
    <x v="0"/>
    <x v="1"/>
    <x v="1"/>
    <x v="1"/>
  </r>
  <r>
    <d v="2024-12-15T00:00:00"/>
    <x v="2"/>
    <x v="0"/>
    <x v="570"/>
    <x v="16"/>
    <x v="0"/>
    <d v="2024-12-15T00:00:00"/>
    <x v="244"/>
    <x v="2"/>
    <x v="9"/>
    <x v="0"/>
    <x v="1"/>
    <x v="1"/>
    <x v="1"/>
  </r>
  <r>
    <d v="2024-12-15T00:00:00"/>
    <x v="2"/>
    <x v="0"/>
    <x v="570"/>
    <x v="16"/>
    <x v="4"/>
    <d v="2024-12-15T00:00:00"/>
    <x v="244"/>
    <x v="2"/>
    <x v="9"/>
    <x v="0"/>
    <x v="1"/>
    <x v="1"/>
    <x v="1"/>
  </r>
  <r>
    <d v="2024-12-15T00:00:00"/>
    <x v="2"/>
    <x v="0"/>
    <x v="798"/>
    <x v="16"/>
    <x v="1"/>
    <d v="2024-12-15T00:00:00"/>
    <x v="244"/>
    <x v="2"/>
    <x v="9"/>
    <x v="0"/>
    <x v="1"/>
    <x v="1"/>
    <x v="1"/>
  </r>
  <r>
    <d v="2024-12-16T00:00:00"/>
    <x v="3"/>
    <x v="0"/>
    <x v="570"/>
    <x v="16"/>
    <x v="0"/>
    <d v="2024-12-16T00:00:00"/>
    <x v="245"/>
    <x v="3"/>
    <x v="9"/>
    <x v="0"/>
    <x v="1"/>
    <x v="1"/>
    <x v="1"/>
  </r>
  <r>
    <d v="2024-12-16T00:00:00"/>
    <x v="3"/>
    <x v="0"/>
    <x v="1010"/>
    <x v="16"/>
    <x v="1"/>
    <d v="2024-12-16T00:00:00"/>
    <x v="245"/>
    <x v="3"/>
    <x v="9"/>
    <x v="0"/>
    <x v="1"/>
    <x v="1"/>
    <x v="1"/>
  </r>
  <r>
    <d v="2024-12-16T00:00:00"/>
    <x v="3"/>
    <x v="0"/>
    <x v="714"/>
    <x v="16"/>
    <x v="4"/>
    <d v="2024-12-16T00:00:00"/>
    <x v="245"/>
    <x v="3"/>
    <x v="9"/>
    <x v="0"/>
    <x v="1"/>
    <x v="1"/>
    <x v="1"/>
  </r>
  <r>
    <d v="2024-12-16T00:00:00"/>
    <x v="3"/>
    <x v="0"/>
    <x v="1011"/>
    <x v="17"/>
    <x v="3"/>
    <d v="2024-12-16T00:00:00"/>
    <x v="245"/>
    <x v="3"/>
    <x v="9"/>
    <x v="0"/>
    <x v="1"/>
    <x v="1"/>
    <x v="1"/>
  </r>
  <r>
    <d v="2024-12-16T00:00:00"/>
    <x v="3"/>
    <x v="0"/>
    <x v="886"/>
    <x v="16"/>
    <x v="0"/>
    <d v="2024-12-16T00:00:00"/>
    <x v="245"/>
    <x v="3"/>
    <x v="9"/>
    <x v="0"/>
    <x v="1"/>
    <x v="1"/>
    <x v="1"/>
  </r>
  <r>
    <d v="2024-12-16T00:00:00"/>
    <x v="3"/>
    <x v="0"/>
    <x v="896"/>
    <x v="16"/>
    <x v="1"/>
    <d v="2024-12-16T00:00:00"/>
    <x v="245"/>
    <x v="3"/>
    <x v="9"/>
    <x v="0"/>
    <x v="1"/>
    <x v="1"/>
    <x v="1"/>
  </r>
  <r>
    <d v="2024-12-16T00:00:00"/>
    <x v="3"/>
    <x v="0"/>
    <x v="12"/>
    <x v="16"/>
    <x v="0"/>
    <d v="2024-12-16T00:00:00"/>
    <x v="245"/>
    <x v="3"/>
    <x v="9"/>
    <x v="0"/>
    <x v="1"/>
    <x v="1"/>
    <x v="1"/>
  </r>
  <r>
    <d v="2024-12-16T00:00:00"/>
    <x v="3"/>
    <x v="0"/>
    <x v="12"/>
    <x v="17"/>
    <x v="3"/>
    <d v="2024-12-16T00:00:00"/>
    <x v="245"/>
    <x v="3"/>
    <x v="9"/>
    <x v="0"/>
    <x v="1"/>
    <x v="1"/>
    <x v="1"/>
  </r>
  <r>
    <d v="2024-12-17T00:00:00"/>
    <x v="4"/>
    <x v="0"/>
    <x v="1012"/>
    <x v="18"/>
    <x v="5"/>
    <d v="2024-12-17T00:00:00"/>
    <x v="218"/>
    <x v="4"/>
    <x v="9"/>
    <x v="0"/>
    <x v="1"/>
    <x v="1"/>
    <x v="1"/>
  </r>
  <r>
    <d v="2024-12-17T00:00:00"/>
    <x v="4"/>
    <x v="0"/>
    <x v="1013"/>
    <x v="16"/>
    <x v="7"/>
    <d v="2024-12-17T00:00:00"/>
    <x v="218"/>
    <x v="4"/>
    <x v="9"/>
    <x v="0"/>
    <x v="1"/>
    <x v="1"/>
    <x v="1"/>
  </r>
  <r>
    <d v="2024-12-17T00:00:00"/>
    <x v="4"/>
    <x v="0"/>
    <x v="276"/>
    <x v="17"/>
    <x v="3"/>
    <d v="2024-12-17T00:00:00"/>
    <x v="218"/>
    <x v="4"/>
    <x v="9"/>
    <x v="0"/>
    <x v="1"/>
    <x v="1"/>
    <x v="1"/>
  </r>
  <r>
    <d v="2024-12-17T00:00:00"/>
    <x v="4"/>
    <x v="0"/>
    <x v="1014"/>
    <x v="18"/>
    <x v="2"/>
    <d v="2024-12-17T00:00:00"/>
    <x v="218"/>
    <x v="4"/>
    <x v="9"/>
    <x v="0"/>
    <x v="1"/>
    <x v="1"/>
    <x v="1"/>
  </r>
  <r>
    <d v="2024-12-17T00:00:00"/>
    <x v="4"/>
    <x v="0"/>
    <x v="1014"/>
    <x v="16"/>
    <x v="4"/>
    <d v="2024-12-17T00:00:00"/>
    <x v="218"/>
    <x v="4"/>
    <x v="9"/>
    <x v="0"/>
    <x v="1"/>
    <x v="1"/>
    <x v="1"/>
  </r>
  <r>
    <d v="2024-12-17T00:00:00"/>
    <x v="4"/>
    <x v="0"/>
    <x v="664"/>
    <x v="16"/>
    <x v="7"/>
    <d v="2024-12-17T00:00:00"/>
    <x v="218"/>
    <x v="4"/>
    <x v="9"/>
    <x v="0"/>
    <x v="1"/>
    <x v="1"/>
    <x v="1"/>
  </r>
  <r>
    <d v="2024-12-17T00:00:00"/>
    <x v="4"/>
    <x v="0"/>
    <x v="907"/>
    <x v="16"/>
    <x v="4"/>
    <d v="2024-12-17T00:00:00"/>
    <x v="218"/>
    <x v="4"/>
    <x v="9"/>
    <x v="0"/>
    <x v="1"/>
    <x v="1"/>
    <x v="1"/>
  </r>
  <r>
    <d v="2024-12-18T00:00:00"/>
    <x v="5"/>
    <x v="0"/>
    <x v="1015"/>
    <x v="16"/>
    <x v="0"/>
    <d v="2024-12-18T00:00:00"/>
    <x v="230"/>
    <x v="5"/>
    <x v="9"/>
    <x v="0"/>
    <x v="1"/>
    <x v="1"/>
    <x v="1"/>
  </r>
  <r>
    <d v="2024-12-18T00:00:00"/>
    <x v="5"/>
    <x v="0"/>
    <x v="1016"/>
    <x v="17"/>
    <x v="3"/>
    <d v="2024-12-18T00:00:00"/>
    <x v="230"/>
    <x v="5"/>
    <x v="9"/>
    <x v="0"/>
    <x v="1"/>
    <x v="1"/>
    <x v="1"/>
  </r>
  <r>
    <d v="2024-12-18T00:00:00"/>
    <x v="5"/>
    <x v="0"/>
    <x v="1016"/>
    <x v="16"/>
    <x v="0"/>
    <d v="2024-12-18T00:00:00"/>
    <x v="230"/>
    <x v="5"/>
    <x v="9"/>
    <x v="0"/>
    <x v="1"/>
    <x v="1"/>
    <x v="1"/>
  </r>
  <r>
    <d v="2024-12-18T00:00:00"/>
    <x v="5"/>
    <x v="0"/>
    <x v="1016"/>
    <x v="16"/>
    <x v="7"/>
    <d v="2024-12-18T00:00:00"/>
    <x v="230"/>
    <x v="5"/>
    <x v="9"/>
    <x v="0"/>
    <x v="1"/>
    <x v="1"/>
    <x v="1"/>
  </r>
  <r>
    <d v="2024-12-19T00:00:00"/>
    <x v="6"/>
    <x v="0"/>
    <x v="1017"/>
    <x v="16"/>
    <x v="1"/>
    <d v="2024-12-19T00:00:00"/>
    <x v="229"/>
    <x v="6"/>
    <x v="9"/>
    <x v="0"/>
    <x v="1"/>
    <x v="1"/>
    <x v="1"/>
  </r>
  <r>
    <d v="2024-12-19T00:00:00"/>
    <x v="6"/>
    <x v="0"/>
    <x v="276"/>
    <x v="17"/>
    <x v="3"/>
    <d v="2024-12-19T00:00:00"/>
    <x v="229"/>
    <x v="6"/>
    <x v="9"/>
    <x v="0"/>
    <x v="1"/>
    <x v="1"/>
    <x v="1"/>
  </r>
  <r>
    <d v="2024-12-19T00:00:00"/>
    <x v="6"/>
    <x v="0"/>
    <x v="1018"/>
    <x v="19"/>
    <x v="6"/>
    <d v="2024-12-19T00:00:00"/>
    <x v="229"/>
    <x v="6"/>
    <x v="9"/>
    <x v="0"/>
    <x v="1"/>
    <x v="1"/>
    <x v="1"/>
  </r>
  <r>
    <d v="2024-12-19T00:00:00"/>
    <x v="6"/>
    <x v="0"/>
    <x v="1019"/>
    <x v="16"/>
    <x v="1"/>
    <d v="2024-12-19T00:00:00"/>
    <x v="229"/>
    <x v="6"/>
    <x v="9"/>
    <x v="0"/>
    <x v="1"/>
    <x v="1"/>
    <x v="1"/>
  </r>
  <r>
    <d v="2024-12-19T00:00:00"/>
    <x v="6"/>
    <x v="0"/>
    <x v="206"/>
    <x v="16"/>
    <x v="7"/>
    <d v="2024-12-19T00:00:00"/>
    <x v="229"/>
    <x v="6"/>
    <x v="9"/>
    <x v="0"/>
    <x v="1"/>
    <x v="1"/>
    <x v="1"/>
  </r>
  <r>
    <d v="2024-12-19T00:00:00"/>
    <x v="6"/>
    <x v="0"/>
    <x v="40"/>
    <x v="16"/>
    <x v="7"/>
    <d v="2024-12-19T00:00:00"/>
    <x v="229"/>
    <x v="6"/>
    <x v="9"/>
    <x v="0"/>
    <x v="1"/>
    <x v="1"/>
    <x v="1"/>
  </r>
  <r>
    <d v="2024-12-19T00:00:00"/>
    <x v="6"/>
    <x v="0"/>
    <x v="1020"/>
    <x v="17"/>
    <x v="3"/>
    <d v="2024-12-19T00:00:00"/>
    <x v="229"/>
    <x v="6"/>
    <x v="9"/>
    <x v="0"/>
    <x v="1"/>
    <x v="1"/>
    <x v="1"/>
  </r>
  <r>
    <d v="2024-12-19T00:00:00"/>
    <x v="6"/>
    <x v="0"/>
    <x v="1020"/>
    <x v="16"/>
    <x v="1"/>
    <d v="2024-12-19T00:00:00"/>
    <x v="229"/>
    <x v="6"/>
    <x v="9"/>
    <x v="0"/>
    <x v="1"/>
    <x v="1"/>
    <x v="1"/>
  </r>
  <r>
    <d v="2024-12-19T00:00:00"/>
    <x v="6"/>
    <x v="0"/>
    <x v="1021"/>
    <x v="16"/>
    <x v="0"/>
    <d v="2024-12-19T00:00:00"/>
    <x v="229"/>
    <x v="6"/>
    <x v="9"/>
    <x v="0"/>
    <x v="1"/>
    <x v="1"/>
    <x v="1"/>
  </r>
  <r>
    <d v="2024-12-19T00:00:00"/>
    <x v="6"/>
    <x v="0"/>
    <x v="1021"/>
    <x v="16"/>
    <x v="7"/>
    <d v="2024-12-19T00:00:00"/>
    <x v="229"/>
    <x v="6"/>
    <x v="9"/>
    <x v="0"/>
    <x v="1"/>
    <x v="1"/>
    <x v="1"/>
  </r>
  <r>
    <d v="2024-12-20T00:00:00"/>
    <x v="0"/>
    <x v="0"/>
    <x v="141"/>
    <x v="18"/>
    <x v="5"/>
    <d v="2024-12-20T00:00:00"/>
    <x v="246"/>
    <x v="0"/>
    <x v="9"/>
    <x v="0"/>
    <x v="1"/>
    <x v="1"/>
    <x v="1"/>
  </r>
  <r>
    <d v="2024-12-20T00:00:00"/>
    <x v="0"/>
    <x v="0"/>
    <x v="276"/>
    <x v="17"/>
    <x v="3"/>
    <d v="2024-12-20T00:00:00"/>
    <x v="246"/>
    <x v="0"/>
    <x v="9"/>
    <x v="0"/>
    <x v="1"/>
    <x v="1"/>
    <x v="1"/>
  </r>
  <r>
    <d v="2024-12-20T00:00:00"/>
    <x v="0"/>
    <x v="0"/>
    <x v="1022"/>
    <x v="16"/>
    <x v="7"/>
    <d v="2024-12-20T00:00:00"/>
    <x v="246"/>
    <x v="0"/>
    <x v="9"/>
    <x v="0"/>
    <x v="1"/>
    <x v="1"/>
    <x v="1"/>
  </r>
  <r>
    <d v="2024-12-20T00:00:00"/>
    <x v="0"/>
    <x v="0"/>
    <x v="819"/>
    <x v="19"/>
    <x v="6"/>
    <d v="2024-12-20T00:00:00"/>
    <x v="246"/>
    <x v="0"/>
    <x v="9"/>
    <x v="0"/>
    <x v="1"/>
    <x v="1"/>
    <x v="1"/>
  </r>
  <r>
    <d v="2024-12-20T00:00:00"/>
    <x v="0"/>
    <x v="0"/>
    <x v="819"/>
    <x v="17"/>
    <x v="3"/>
    <d v="2024-12-20T00:00:00"/>
    <x v="246"/>
    <x v="0"/>
    <x v="9"/>
    <x v="0"/>
    <x v="1"/>
    <x v="1"/>
    <x v="1"/>
  </r>
  <r>
    <d v="2024-12-20T00:00:00"/>
    <x v="0"/>
    <x v="0"/>
    <x v="1023"/>
    <x v="18"/>
    <x v="5"/>
    <d v="2024-12-20T00:00:00"/>
    <x v="246"/>
    <x v="0"/>
    <x v="9"/>
    <x v="0"/>
    <x v="1"/>
    <x v="1"/>
    <x v="1"/>
  </r>
  <r>
    <d v="2024-12-20T00:00:00"/>
    <x v="0"/>
    <x v="0"/>
    <x v="1024"/>
    <x v="16"/>
    <x v="7"/>
    <d v="2024-12-20T00:00:00"/>
    <x v="246"/>
    <x v="0"/>
    <x v="9"/>
    <x v="0"/>
    <x v="1"/>
    <x v="1"/>
    <x v="1"/>
  </r>
  <r>
    <d v="2024-12-20T00:00:00"/>
    <x v="0"/>
    <x v="0"/>
    <x v="206"/>
    <x v="16"/>
    <x v="7"/>
    <d v="2024-12-20T00:00:00"/>
    <x v="246"/>
    <x v="0"/>
    <x v="9"/>
    <x v="0"/>
    <x v="1"/>
    <x v="1"/>
    <x v="1"/>
  </r>
  <r>
    <d v="2024-12-21T00:00:00"/>
    <x v="1"/>
    <x v="0"/>
    <x v="1025"/>
    <x v="16"/>
    <x v="7"/>
    <d v="2024-12-21T00:00:00"/>
    <x v="247"/>
    <x v="1"/>
    <x v="9"/>
    <x v="0"/>
    <x v="1"/>
    <x v="1"/>
    <x v="1"/>
  </r>
  <r>
    <d v="2024-12-21T00:00:00"/>
    <x v="1"/>
    <x v="0"/>
    <x v="1025"/>
    <x v="16"/>
    <x v="0"/>
    <d v="2024-12-21T00:00:00"/>
    <x v="247"/>
    <x v="1"/>
    <x v="9"/>
    <x v="0"/>
    <x v="1"/>
    <x v="1"/>
    <x v="1"/>
  </r>
  <r>
    <d v="2024-12-21T00:00:00"/>
    <x v="1"/>
    <x v="0"/>
    <x v="1026"/>
    <x v="18"/>
    <x v="2"/>
    <d v="2024-12-21T00:00:00"/>
    <x v="247"/>
    <x v="1"/>
    <x v="9"/>
    <x v="0"/>
    <x v="1"/>
    <x v="1"/>
    <x v="1"/>
  </r>
  <r>
    <d v="2024-12-21T00:00:00"/>
    <x v="1"/>
    <x v="0"/>
    <x v="507"/>
    <x v="16"/>
    <x v="1"/>
    <d v="2024-12-21T00:00:00"/>
    <x v="247"/>
    <x v="1"/>
    <x v="9"/>
    <x v="0"/>
    <x v="1"/>
    <x v="1"/>
    <x v="1"/>
  </r>
  <r>
    <d v="2024-12-21T00:00:00"/>
    <x v="1"/>
    <x v="0"/>
    <x v="507"/>
    <x v="16"/>
    <x v="0"/>
    <d v="2024-12-21T00:00:00"/>
    <x v="247"/>
    <x v="1"/>
    <x v="9"/>
    <x v="0"/>
    <x v="1"/>
    <x v="1"/>
    <x v="1"/>
  </r>
  <r>
    <d v="2024-12-21T00:00:00"/>
    <x v="1"/>
    <x v="0"/>
    <x v="842"/>
    <x v="17"/>
    <x v="3"/>
    <d v="2024-12-21T00:00:00"/>
    <x v="247"/>
    <x v="1"/>
    <x v="9"/>
    <x v="0"/>
    <x v="1"/>
    <x v="1"/>
    <x v="1"/>
  </r>
  <r>
    <d v="2024-12-21T00:00:00"/>
    <x v="1"/>
    <x v="0"/>
    <x v="1027"/>
    <x v="16"/>
    <x v="0"/>
    <d v="2024-12-21T00:00:00"/>
    <x v="247"/>
    <x v="1"/>
    <x v="9"/>
    <x v="0"/>
    <x v="1"/>
    <x v="1"/>
    <x v="1"/>
  </r>
  <r>
    <d v="2024-12-21T00:00:00"/>
    <x v="1"/>
    <x v="0"/>
    <x v="1020"/>
    <x v="16"/>
    <x v="4"/>
    <d v="2024-12-21T00:00:00"/>
    <x v="247"/>
    <x v="1"/>
    <x v="9"/>
    <x v="0"/>
    <x v="1"/>
    <x v="1"/>
    <x v="1"/>
  </r>
  <r>
    <d v="2024-12-21T00:00:00"/>
    <x v="1"/>
    <x v="0"/>
    <x v="1028"/>
    <x v="16"/>
    <x v="1"/>
    <d v="2024-12-21T00:00:00"/>
    <x v="247"/>
    <x v="1"/>
    <x v="9"/>
    <x v="0"/>
    <x v="1"/>
    <x v="1"/>
    <x v="1"/>
  </r>
  <r>
    <d v="2024-12-21T00:00:00"/>
    <x v="1"/>
    <x v="0"/>
    <x v="1029"/>
    <x v="18"/>
    <x v="5"/>
    <d v="2024-12-21T00:00:00"/>
    <x v="247"/>
    <x v="1"/>
    <x v="9"/>
    <x v="0"/>
    <x v="1"/>
    <x v="1"/>
    <x v="1"/>
  </r>
  <r>
    <d v="2024-12-21T00:00:00"/>
    <x v="1"/>
    <x v="0"/>
    <x v="1030"/>
    <x v="17"/>
    <x v="3"/>
    <d v="2024-12-21T00:00:00"/>
    <x v="247"/>
    <x v="1"/>
    <x v="9"/>
    <x v="0"/>
    <x v="1"/>
    <x v="1"/>
    <x v="1"/>
  </r>
  <r>
    <d v="2024-12-21T00:00:00"/>
    <x v="1"/>
    <x v="0"/>
    <x v="1030"/>
    <x v="18"/>
    <x v="5"/>
    <d v="2024-12-21T00:00:00"/>
    <x v="247"/>
    <x v="1"/>
    <x v="9"/>
    <x v="0"/>
    <x v="1"/>
    <x v="1"/>
    <x v="1"/>
  </r>
  <r>
    <d v="2024-12-21T00:00:00"/>
    <x v="1"/>
    <x v="0"/>
    <x v="1031"/>
    <x v="16"/>
    <x v="0"/>
    <d v="2024-12-21T00:00:00"/>
    <x v="247"/>
    <x v="1"/>
    <x v="9"/>
    <x v="0"/>
    <x v="1"/>
    <x v="1"/>
    <x v="1"/>
  </r>
  <r>
    <d v="2024-12-22T00:00:00"/>
    <x v="2"/>
    <x v="0"/>
    <x v="333"/>
    <x v="16"/>
    <x v="7"/>
    <d v="2024-12-22T00:00:00"/>
    <x v="234"/>
    <x v="2"/>
    <x v="9"/>
    <x v="0"/>
    <x v="1"/>
    <x v="1"/>
    <x v="1"/>
  </r>
  <r>
    <d v="2024-12-22T00:00:00"/>
    <x v="2"/>
    <x v="0"/>
    <x v="206"/>
    <x v="16"/>
    <x v="7"/>
    <d v="2024-12-22T00:00:00"/>
    <x v="234"/>
    <x v="2"/>
    <x v="9"/>
    <x v="0"/>
    <x v="1"/>
    <x v="1"/>
    <x v="1"/>
  </r>
  <r>
    <d v="2024-12-22T00:00:00"/>
    <x v="2"/>
    <x v="0"/>
    <x v="1032"/>
    <x v="16"/>
    <x v="1"/>
    <d v="2024-12-22T00:00:00"/>
    <x v="234"/>
    <x v="2"/>
    <x v="9"/>
    <x v="0"/>
    <x v="1"/>
    <x v="1"/>
    <x v="1"/>
  </r>
  <r>
    <d v="2024-12-22T00:00:00"/>
    <x v="2"/>
    <x v="0"/>
    <x v="636"/>
    <x v="16"/>
    <x v="1"/>
    <d v="2024-12-22T00:00:00"/>
    <x v="234"/>
    <x v="2"/>
    <x v="9"/>
    <x v="0"/>
    <x v="1"/>
    <x v="1"/>
    <x v="1"/>
  </r>
  <r>
    <d v="2024-12-22T00:00:00"/>
    <x v="2"/>
    <x v="0"/>
    <x v="1033"/>
    <x v="16"/>
    <x v="4"/>
    <d v="2024-12-22T00:00:00"/>
    <x v="234"/>
    <x v="2"/>
    <x v="9"/>
    <x v="0"/>
    <x v="1"/>
    <x v="1"/>
    <x v="1"/>
  </r>
  <r>
    <d v="2024-12-22T00:00:00"/>
    <x v="2"/>
    <x v="0"/>
    <x v="1034"/>
    <x v="18"/>
    <x v="5"/>
    <d v="2024-12-22T00:00:00"/>
    <x v="234"/>
    <x v="2"/>
    <x v="9"/>
    <x v="0"/>
    <x v="1"/>
    <x v="1"/>
    <x v="1"/>
  </r>
  <r>
    <d v="2024-12-23T00:00:00"/>
    <x v="3"/>
    <x v="0"/>
    <x v="1029"/>
    <x v="18"/>
    <x v="5"/>
    <d v="2024-12-23T00:00:00"/>
    <x v="237"/>
    <x v="3"/>
    <x v="9"/>
    <x v="0"/>
    <x v="1"/>
    <x v="1"/>
    <x v="1"/>
  </r>
  <r>
    <d v="2024-12-23T00:00:00"/>
    <x v="3"/>
    <x v="0"/>
    <x v="276"/>
    <x v="17"/>
    <x v="3"/>
    <d v="2024-12-23T00:00:00"/>
    <x v="237"/>
    <x v="3"/>
    <x v="9"/>
    <x v="0"/>
    <x v="1"/>
    <x v="1"/>
    <x v="1"/>
  </r>
  <r>
    <d v="2024-12-23T00:00:00"/>
    <x v="3"/>
    <x v="0"/>
    <x v="42"/>
    <x v="17"/>
    <x v="3"/>
    <d v="2024-12-23T00:00:00"/>
    <x v="237"/>
    <x v="3"/>
    <x v="9"/>
    <x v="0"/>
    <x v="1"/>
    <x v="1"/>
    <x v="1"/>
  </r>
  <r>
    <d v="2024-12-23T00:00:00"/>
    <x v="3"/>
    <x v="0"/>
    <x v="570"/>
    <x v="16"/>
    <x v="7"/>
    <d v="2024-12-23T00:00:00"/>
    <x v="237"/>
    <x v="3"/>
    <x v="9"/>
    <x v="0"/>
    <x v="1"/>
    <x v="1"/>
    <x v="1"/>
  </r>
  <r>
    <d v="2024-12-23T00:00:00"/>
    <x v="3"/>
    <x v="0"/>
    <x v="1035"/>
    <x v="16"/>
    <x v="0"/>
    <d v="2024-12-23T00:00:00"/>
    <x v="237"/>
    <x v="3"/>
    <x v="9"/>
    <x v="0"/>
    <x v="1"/>
    <x v="1"/>
    <x v="1"/>
  </r>
  <r>
    <d v="2024-12-23T00:00:00"/>
    <x v="3"/>
    <x v="0"/>
    <x v="1036"/>
    <x v="17"/>
    <x v="3"/>
    <d v="2024-12-23T00:00:00"/>
    <x v="237"/>
    <x v="3"/>
    <x v="9"/>
    <x v="0"/>
    <x v="1"/>
    <x v="1"/>
    <x v="1"/>
  </r>
  <r>
    <d v="2024-12-23T00:00:00"/>
    <x v="3"/>
    <x v="0"/>
    <x v="906"/>
    <x v="16"/>
    <x v="0"/>
    <d v="2024-12-23T00:00:00"/>
    <x v="237"/>
    <x v="3"/>
    <x v="9"/>
    <x v="0"/>
    <x v="1"/>
    <x v="1"/>
    <x v="1"/>
  </r>
  <r>
    <d v="2024-12-23T00:00:00"/>
    <x v="3"/>
    <x v="0"/>
    <x v="1037"/>
    <x v="18"/>
    <x v="5"/>
    <d v="2024-12-23T00:00:00"/>
    <x v="237"/>
    <x v="3"/>
    <x v="9"/>
    <x v="0"/>
    <x v="1"/>
    <x v="1"/>
    <x v="1"/>
  </r>
  <r>
    <d v="2024-12-23T00:00:00"/>
    <x v="3"/>
    <x v="0"/>
    <x v="1037"/>
    <x v="16"/>
    <x v="0"/>
    <d v="2024-12-23T00:00:00"/>
    <x v="237"/>
    <x v="3"/>
    <x v="9"/>
    <x v="0"/>
    <x v="1"/>
    <x v="1"/>
    <x v="1"/>
  </r>
  <r>
    <d v="2024-12-24T00:00:00"/>
    <x v="4"/>
    <x v="0"/>
    <x v="1038"/>
    <x v="17"/>
    <x v="3"/>
    <d v="2024-12-24T00:00:00"/>
    <x v="240"/>
    <x v="4"/>
    <x v="9"/>
    <x v="0"/>
    <x v="1"/>
    <x v="1"/>
    <x v="1"/>
  </r>
  <r>
    <d v="2024-12-24T00:00:00"/>
    <x v="4"/>
    <x v="0"/>
    <x v="1039"/>
    <x v="16"/>
    <x v="1"/>
    <d v="2024-12-24T00:00:00"/>
    <x v="240"/>
    <x v="4"/>
    <x v="9"/>
    <x v="0"/>
    <x v="1"/>
    <x v="1"/>
    <x v="1"/>
  </r>
  <r>
    <d v="2024-12-24T00:00:00"/>
    <x v="4"/>
    <x v="0"/>
    <x v="1029"/>
    <x v="18"/>
    <x v="5"/>
    <d v="2024-12-24T00:00:00"/>
    <x v="240"/>
    <x v="4"/>
    <x v="9"/>
    <x v="0"/>
    <x v="1"/>
    <x v="1"/>
    <x v="1"/>
  </r>
  <r>
    <d v="2024-12-24T00:00:00"/>
    <x v="4"/>
    <x v="0"/>
    <x v="1040"/>
    <x v="16"/>
    <x v="0"/>
    <d v="2024-12-24T00:00:00"/>
    <x v="240"/>
    <x v="4"/>
    <x v="9"/>
    <x v="0"/>
    <x v="1"/>
    <x v="1"/>
    <x v="1"/>
  </r>
  <r>
    <d v="2024-12-24T00:00:00"/>
    <x v="4"/>
    <x v="0"/>
    <x v="1039"/>
    <x v="19"/>
    <x v="6"/>
    <d v="2024-12-24T00:00:00"/>
    <x v="240"/>
    <x v="4"/>
    <x v="9"/>
    <x v="0"/>
    <x v="1"/>
    <x v="1"/>
    <x v="1"/>
  </r>
  <r>
    <d v="2024-12-24T00:00:00"/>
    <x v="4"/>
    <x v="0"/>
    <x v="97"/>
    <x v="16"/>
    <x v="7"/>
    <d v="2024-12-24T00:00:00"/>
    <x v="240"/>
    <x v="4"/>
    <x v="9"/>
    <x v="0"/>
    <x v="1"/>
    <x v="1"/>
    <x v="1"/>
  </r>
  <r>
    <d v="2024-12-25T00:00:00"/>
    <x v="5"/>
    <x v="0"/>
    <x v="1041"/>
    <x v="16"/>
    <x v="0"/>
    <d v="2024-12-25T00:00:00"/>
    <x v="248"/>
    <x v="5"/>
    <x v="9"/>
    <x v="0"/>
    <x v="1"/>
    <x v="1"/>
    <x v="1"/>
  </r>
  <r>
    <d v="2024-12-25T00:00:00"/>
    <x v="5"/>
    <x v="0"/>
    <x v="1042"/>
    <x v="17"/>
    <x v="3"/>
    <d v="2024-12-25T00:00:00"/>
    <x v="248"/>
    <x v="5"/>
    <x v="9"/>
    <x v="0"/>
    <x v="1"/>
    <x v="1"/>
    <x v="1"/>
  </r>
  <r>
    <d v="2024-12-25T00:00:00"/>
    <x v="5"/>
    <x v="0"/>
    <x v="1042"/>
    <x v="18"/>
    <x v="2"/>
    <d v="2024-12-25T00:00:00"/>
    <x v="248"/>
    <x v="5"/>
    <x v="9"/>
    <x v="0"/>
    <x v="1"/>
    <x v="1"/>
    <x v="1"/>
  </r>
  <r>
    <d v="2024-12-25T00:00:00"/>
    <x v="5"/>
    <x v="0"/>
    <x v="1043"/>
    <x v="17"/>
    <x v="3"/>
    <d v="2024-12-25T00:00:00"/>
    <x v="248"/>
    <x v="5"/>
    <x v="9"/>
    <x v="0"/>
    <x v="1"/>
    <x v="1"/>
    <x v="1"/>
  </r>
  <r>
    <d v="2024-12-25T00:00:00"/>
    <x v="5"/>
    <x v="0"/>
    <x v="1044"/>
    <x v="18"/>
    <x v="2"/>
    <d v="2024-12-25T00:00:00"/>
    <x v="248"/>
    <x v="5"/>
    <x v="9"/>
    <x v="0"/>
    <x v="1"/>
    <x v="1"/>
    <x v="1"/>
  </r>
  <r>
    <d v="2024-12-25T00:00:00"/>
    <x v="5"/>
    <x v="0"/>
    <x v="97"/>
    <x v="16"/>
    <x v="7"/>
    <d v="2024-12-25T00:00:00"/>
    <x v="248"/>
    <x v="5"/>
    <x v="9"/>
    <x v="0"/>
    <x v="1"/>
    <x v="1"/>
    <x v="1"/>
  </r>
  <r>
    <d v="2024-12-25T00:00:00"/>
    <x v="5"/>
    <x v="0"/>
    <x v="1045"/>
    <x v="16"/>
    <x v="4"/>
    <d v="2024-12-25T00:00:00"/>
    <x v="248"/>
    <x v="5"/>
    <x v="9"/>
    <x v="0"/>
    <x v="1"/>
    <x v="1"/>
    <x v="1"/>
  </r>
  <r>
    <d v="2024-12-25T00:00:00"/>
    <x v="5"/>
    <x v="0"/>
    <x v="1046"/>
    <x v="16"/>
    <x v="0"/>
    <d v="2024-12-25T00:00:00"/>
    <x v="248"/>
    <x v="5"/>
    <x v="9"/>
    <x v="0"/>
    <x v="1"/>
    <x v="1"/>
    <x v="1"/>
  </r>
  <r>
    <d v="2024-12-25T00:00:00"/>
    <x v="5"/>
    <x v="0"/>
    <x v="154"/>
    <x v="16"/>
    <x v="7"/>
    <d v="2024-12-25T00:00:00"/>
    <x v="248"/>
    <x v="5"/>
    <x v="9"/>
    <x v="0"/>
    <x v="1"/>
    <x v="1"/>
    <x v="1"/>
  </r>
  <r>
    <d v="2024-12-25T00:00:00"/>
    <x v="5"/>
    <x v="0"/>
    <x v="154"/>
    <x v="17"/>
    <x v="3"/>
    <d v="2024-12-25T00:00:00"/>
    <x v="248"/>
    <x v="5"/>
    <x v="9"/>
    <x v="0"/>
    <x v="1"/>
    <x v="1"/>
    <x v="1"/>
  </r>
  <r>
    <d v="2024-12-26T00:00:00"/>
    <x v="6"/>
    <x v="0"/>
    <x v="1047"/>
    <x v="16"/>
    <x v="7"/>
    <d v="2024-12-26T00:00:00"/>
    <x v="249"/>
    <x v="6"/>
    <x v="9"/>
    <x v="0"/>
    <x v="1"/>
    <x v="1"/>
    <x v="1"/>
  </r>
  <r>
    <d v="2024-12-26T00:00:00"/>
    <x v="6"/>
    <x v="0"/>
    <x v="1048"/>
    <x v="19"/>
    <x v="6"/>
    <d v="2024-12-26T00:00:00"/>
    <x v="249"/>
    <x v="6"/>
    <x v="9"/>
    <x v="0"/>
    <x v="1"/>
    <x v="1"/>
    <x v="1"/>
  </r>
  <r>
    <d v="2024-12-27T00:00:00"/>
    <x v="0"/>
    <x v="0"/>
    <x v="1049"/>
    <x v="18"/>
    <x v="2"/>
    <d v="2024-12-27T00:00:00"/>
    <x v="250"/>
    <x v="0"/>
    <x v="9"/>
    <x v="0"/>
    <x v="1"/>
    <x v="1"/>
    <x v="1"/>
  </r>
  <r>
    <d v="2024-12-27T00:00:00"/>
    <x v="0"/>
    <x v="0"/>
    <x v="1029"/>
    <x v="18"/>
    <x v="5"/>
    <d v="2024-12-27T00:00:00"/>
    <x v="250"/>
    <x v="0"/>
    <x v="9"/>
    <x v="0"/>
    <x v="1"/>
    <x v="1"/>
    <x v="1"/>
  </r>
  <r>
    <d v="2024-12-27T00:00:00"/>
    <x v="0"/>
    <x v="0"/>
    <x v="141"/>
    <x v="18"/>
    <x v="5"/>
    <d v="2024-12-27T00:00:00"/>
    <x v="250"/>
    <x v="0"/>
    <x v="9"/>
    <x v="0"/>
    <x v="1"/>
    <x v="1"/>
    <x v="1"/>
  </r>
  <r>
    <d v="2024-12-27T00:00:00"/>
    <x v="0"/>
    <x v="0"/>
    <x v="276"/>
    <x v="17"/>
    <x v="3"/>
    <d v="2024-12-27T00:00:00"/>
    <x v="250"/>
    <x v="0"/>
    <x v="9"/>
    <x v="0"/>
    <x v="1"/>
    <x v="1"/>
    <x v="1"/>
  </r>
  <r>
    <d v="2024-12-27T00:00:00"/>
    <x v="0"/>
    <x v="0"/>
    <x v="1050"/>
    <x v="16"/>
    <x v="0"/>
    <d v="2024-12-27T00:00:00"/>
    <x v="250"/>
    <x v="0"/>
    <x v="9"/>
    <x v="0"/>
    <x v="1"/>
    <x v="1"/>
    <x v="1"/>
  </r>
  <r>
    <d v="2024-12-27T00:00:00"/>
    <x v="0"/>
    <x v="0"/>
    <x v="1051"/>
    <x v="18"/>
    <x v="2"/>
    <d v="2024-12-27T00:00:00"/>
    <x v="250"/>
    <x v="0"/>
    <x v="9"/>
    <x v="0"/>
    <x v="1"/>
    <x v="1"/>
    <x v="1"/>
  </r>
  <r>
    <d v="2024-12-27T00:00:00"/>
    <x v="0"/>
    <x v="0"/>
    <x v="1051"/>
    <x v="17"/>
    <x v="3"/>
    <d v="2024-12-27T00:00:00"/>
    <x v="250"/>
    <x v="0"/>
    <x v="9"/>
    <x v="0"/>
    <x v="1"/>
    <x v="1"/>
    <x v="1"/>
  </r>
  <r>
    <d v="2024-12-27T00:00:00"/>
    <x v="0"/>
    <x v="0"/>
    <x v="701"/>
    <x v="16"/>
    <x v="4"/>
    <d v="2024-12-27T00:00:00"/>
    <x v="250"/>
    <x v="0"/>
    <x v="9"/>
    <x v="0"/>
    <x v="1"/>
    <x v="1"/>
    <x v="1"/>
  </r>
  <r>
    <d v="2024-12-28T00:00:00"/>
    <x v="1"/>
    <x v="0"/>
    <x v="1029"/>
    <x v="18"/>
    <x v="5"/>
    <d v="2024-12-28T00:00:00"/>
    <x v="251"/>
    <x v="1"/>
    <x v="9"/>
    <x v="0"/>
    <x v="1"/>
    <x v="1"/>
    <x v="1"/>
  </r>
  <r>
    <d v="2024-12-28T00:00:00"/>
    <x v="1"/>
    <x v="0"/>
    <x v="141"/>
    <x v="18"/>
    <x v="5"/>
    <d v="2024-12-28T00:00:00"/>
    <x v="251"/>
    <x v="1"/>
    <x v="9"/>
    <x v="0"/>
    <x v="1"/>
    <x v="1"/>
    <x v="1"/>
  </r>
  <r>
    <d v="2024-12-28T00:00:00"/>
    <x v="1"/>
    <x v="0"/>
    <x v="727"/>
    <x v="17"/>
    <x v="3"/>
    <d v="2024-12-28T00:00:00"/>
    <x v="251"/>
    <x v="1"/>
    <x v="9"/>
    <x v="0"/>
    <x v="1"/>
    <x v="1"/>
    <x v="1"/>
  </r>
  <r>
    <d v="2024-12-28T00:00:00"/>
    <x v="1"/>
    <x v="0"/>
    <x v="570"/>
    <x v="16"/>
    <x v="0"/>
    <d v="2024-12-28T00:00:00"/>
    <x v="251"/>
    <x v="1"/>
    <x v="9"/>
    <x v="0"/>
    <x v="1"/>
    <x v="1"/>
    <x v="1"/>
  </r>
  <r>
    <d v="2024-12-28T00:00:00"/>
    <x v="1"/>
    <x v="0"/>
    <x v="1052"/>
    <x v="16"/>
    <x v="7"/>
    <d v="2024-12-28T00:00:00"/>
    <x v="251"/>
    <x v="1"/>
    <x v="9"/>
    <x v="0"/>
    <x v="1"/>
    <x v="1"/>
    <x v="1"/>
  </r>
  <r>
    <d v="2024-12-28T00:00:00"/>
    <x v="1"/>
    <x v="0"/>
    <x v="1053"/>
    <x v="16"/>
    <x v="1"/>
    <d v="2024-12-28T00:00:00"/>
    <x v="251"/>
    <x v="1"/>
    <x v="9"/>
    <x v="0"/>
    <x v="1"/>
    <x v="1"/>
    <x v="1"/>
  </r>
  <r>
    <d v="2024-12-28T00:00:00"/>
    <x v="1"/>
    <x v="0"/>
    <x v="507"/>
    <x v="16"/>
    <x v="0"/>
    <d v="2024-12-28T00:00:00"/>
    <x v="251"/>
    <x v="1"/>
    <x v="9"/>
    <x v="0"/>
    <x v="1"/>
    <x v="1"/>
    <x v="1"/>
  </r>
  <r>
    <d v="2024-12-28T00:00:00"/>
    <x v="1"/>
    <x v="0"/>
    <x v="1054"/>
    <x v="16"/>
    <x v="7"/>
    <d v="2024-12-28T00:00:00"/>
    <x v="251"/>
    <x v="1"/>
    <x v="9"/>
    <x v="0"/>
    <x v="1"/>
    <x v="1"/>
    <x v="1"/>
  </r>
  <r>
    <d v="2024-12-29T00:00:00"/>
    <x v="2"/>
    <x v="0"/>
    <x v="1029"/>
    <x v="18"/>
    <x v="5"/>
    <d v="2024-12-29T00:00:00"/>
    <x v="252"/>
    <x v="2"/>
    <x v="9"/>
    <x v="0"/>
    <x v="1"/>
    <x v="1"/>
    <x v="1"/>
  </r>
  <r>
    <d v="2024-12-29T00:00:00"/>
    <x v="2"/>
    <x v="0"/>
    <x v="1055"/>
    <x v="19"/>
    <x v="6"/>
    <d v="2024-12-29T00:00:00"/>
    <x v="252"/>
    <x v="2"/>
    <x v="9"/>
    <x v="0"/>
    <x v="1"/>
    <x v="1"/>
    <x v="1"/>
  </r>
  <r>
    <d v="2024-12-29T00:00:00"/>
    <x v="2"/>
    <x v="0"/>
    <x v="1055"/>
    <x v="18"/>
    <x v="2"/>
    <d v="2024-12-29T00:00:00"/>
    <x v="252"/>
    <x v="2"/>
    <x v="9"/>
    <x v="0"/>
    <x v="1"/>
    <x v="1"/>
    <x v="1"/>
  </r>
  <r>
    <d v="2024-12-29T00:00:00"/>
    <x v="2"/>
    <x v="0"/>
    <x v="1056"/>
    <x v="18"/>
    <x v="5"/>
    <d v="2024-12-29T00:00:00"/>
    <x v="252"/>
    <x v="2"/>
    <x v="9"/>
    <x v="0"/>
    <x v="1"/>
    <x v="1"/>
    <x v="1"/>
  </r>
  <r>
    <d v="2024-12-29T00:00:00"/>
    <x v="2"/>
    <x v="0"/>
    <x v="1057"/>
    <x v="19"/>
    <x v="6"/>
    <d v="2024-12-29T00:00:00"/>
    <x v="252"/>
    <x v="2"/>
    <x v="9"/>
    <x v="0"/>
    <x v="1"/>
    <x v="1"/>
    <x v="1"/>
  </r>
  <r>
    <d v="2024-12-29T00:00:00"/>
    <x v="2"/>
    <x v="0"/>
    <x v="1058"/>
    <x v="16"/>
    <x v="1"/>
    <d v="2024-12-29T00:00:00"/>
    <x v="252"/>
    <x v="2"/>
    <x v="9"/>
    <x v="0"/>
    <x v="1"/>
    <x v="1"/>
    <x v="1"/>
  </r>
  <r>
    <d v="2024-12-29T00:00:00"/>
    <x v="2"/>
    <x v="0"/>
    <x v="729"/>
    <x v="16"/>
    <x v="0"/>
    <d v="2024-12-29T00:00:00"/>
    <x v="252"/>
    <x v="2"/>
    <x v="9"/>
    <x v="0"/>
    <x v="1"/>
    <x v="1"/>
    <x v="1"/>
  </r>
  <r>
    <d v="2024-12-30T00:00:00"/>
    <x v="3"/>
    <x v="0"/>
    <x v="1029"/>
    <x v="18"/>
    <x v="5"/>
    <d v="2024-12-30T00:00:00"/>
    <x v="237"/>
    <x v="3"/>
    <x v="9"/>
    <x v="0"/>
    <x v="1"/>
    <x v="1"/>
    <x v="1"/>
  </r>
  <r>
    <d v="2024-12-30T00:00:00"/>
    <x v="3"/>
    <x v="0"/>
    <x v="276"/>
    <x v="17"/>
    <x v="3"/>
    <d v="2024-12-30T00:00:00"/>
    <x v="237"/>
    <x v="3"/>
    <x v="9"/>
    <x v="0"/>
    <x v="1"/>
    <x v="1"/>
    <x v="1"/>
  </r>
  <r>
    <d v="2024-12-30T00:00:00"/>
    <x v="3"/>
    <x v="0"/>
    <x v="1059"/>
    <x v="16"/>
    <x v="0"/>
    <d v="2024-12-30T00:00:00"/>
    <x v="237"/>
    <x v="3"/>
    <x v="9"/>
    <x v="0"/>
    <x v="1"/>
    <x v="1"/>
    <x v="1"/>
  </r>
  <r>
    <d v="2024-12-30T00:00:00"/>
    <x v="3"/>
    <x v="0"/>
    <x v="1059"/>
    <x v="16"/>
    <x v="1"/>
    <d v="2024-12-30T00:00:00"/>
    <x v="237"/>
    <x v="3"/>
    <x v="9"/>
    <x v="0"/>
    <x v="1"/>
    <x v="1"/>
    <x v="1"/>
  </r>
  <r>
    <d v="2024-12-30T00:00:00"/>
    <x v="3"/>
    <x v="0"/>
    <x v="920"/>
    <x v="16"/>
    <x v="0"/>
    <d v="2024-12-30T00:00:00"/>
    <x v="237"/>
    <x v="3"/>
    <x v="9"/>
    <x v="0"/>
    <x v="1"/>
    <x v="1"/>
    <x v="1"/>
  </r>
  <r>
    <d v="2024-12-30T00:00:00"/>
    <x v="3"/>
    <x v="0"/>
    <x v="920"/>
    <x v="17"/>
    <x v="3"/>
    <d v="2024-12-30T00:00:00"/>
    <x v="237"/>
    <x v="3"/>
    <x v="9"/>
    <x v="0"/>
    <x v="1"/>
    <x v="1"/>
    <x v="1"/>
  </r>
  <r>
    <d v="2024-12-30T00:00:00"/>
    <x v="3"/>
    <x v="0"/>
    <x v="1003"/>
    <x v="17"/>
    <x v="3"/>
    <d v="2024-12-30T00:00:00"/>
    <x v="237"/>
    <x v="3"/>
    <x v="9"/>
    <x v="0"/>
    <x v="1"/>
    <x v="1"/>
    <x v="1"/>
  </r>
  <r>
    <d v="2024-12-30T00:00:00"/>
    <x v="3"/>
    <x v="0"/>
    <x v="1060"/>
    <x v="18"/>
    <x v="2"/>
    <d v="2024-12-30T00:00:00"/>
    <x v="237"/>
    <x v="3"/>
    <x v="9"/>
    <x v="0"/>
    <x v="1"/>
    <x v="1"/>
    <x v="1"/>
  </r>
  <r>
    <d v="2024-12-30T00:00:00"/>
    <x v="3"/>
    <x v="0"/>
    <x v="886"/>
    <x v="16"/>
    <x v="7"/>
    <d v="2024-12-30T00:00:00"/>
    <x v="237"/>
    <x v="3"/>
    <x v="9"/>
    <x v="0"/>
    <x v="1"/>
    <x v="1"/>
    <x v="1"/>
  </r>
  <r>
    <d v="2024-12-31T00:00:00"/>
    <x v="4"/>
    <x v="0"/>
    <x v="1029"/>
    <x v="18"/>
    <x v="5"/>
    <d v="2024-12-31T00:00:00"/>
    <x v="253"/>
    <x v="4"/>
    <x v="9"/>
    <x v="0"/>
    <x v="1"/>
    <x v="1"/>
    <x v="1"/>
  </r>
  <r>
    <d v="2024-12-31T00:00:00"/>
    <x v="4"/>
    <x v="0"/>
    <x v="1034"/>
    <x v="16"/>
    <x v="7"/>
    <d v="2024-12-31T00:00:00"/>
    <x v="253"/>
    <x v="4"/>
    <x v="9"/>
    <x v="0"/>
    <x v="1"/>
    <x v="1"/>
    <x v="1"/>
  </r>
  <r>
    <d v="2024-12-31T00:00:00"/>
    <x v="4"/>
    <x v="0"/>
    <x v="1034"/>
    <x v="18"/>
    <x v="5"/>
    <d v="2024-12-31T00:00:00"/>
    <x v="253"/>
    <x v="4"/>
    <x v="9"/>
    <x v="0"/>
    <x v="1"/>
    <x v="1"/>
    <x v="1"/>
  </r>
  <r>
    <d v="2024-12-31T00:00:00"/>
    <x v="4"/>
    <x v="0"/>
    <x v="1061"/>
    <x v="16"/>
    <x v="4"/>
    <d v="2024-12-31T00:00:00"/>
    <x v="253"/>
    <x v="4"/>
    <x v="9"/>
    <x v="0"/>
    <x v="1"/>
    <x v="1"/>
    <x v="1"/>
  </r>
  <r>
    <d v="2024-12-31T00:00:00"/>
    <x v="4"/>
    <x v="0"/>
    <x v="1062"/>
    <x v="17"/>
    <x v="3"/>
    <d v="2024-12-31T00:00:00"/>
    <x v="253"/>
    <x v="4"/>
    <x v="9"/>
    <x v="0"/>
    <x v="1"/>
    <x v="1"/>
    <x v="1"/>
  </r>
  <r>
    <d v="2024-12-31T00:00:00"/>
    <x v="4"/>
    <x v="0"/>
    <x v="195"/>
    <x v="16"/>
    <x v="7"/>
    <d v="2024-12-31T00:00:00"/>
    <x v="253"/>
    <x v="4"/>
    <x v="9"/>
    <x v="0"/>
    <x v="1"/>
    <x v="1"/>
    <x v="1"/>
  </r>
  <r>
    <d v="2024-12-31T00:00:00"/>
    <x v="4"/>
    <x v="0"/>
    <x v="195"/>
    <x v="17"/>
    <x v="3"/>
    <d v="2024-12-31T00:00:00"/>
    <x v="253"/>
    <x v="4"/>
    <x v="9"/>
    <x v="0"/>
    <x v="1"/>
    <x v="1"/>
    <x v="1"/>
  </r>
  <r>
    <d v="2024-12-31T00:00:00"/>
    <x v="4"/>
    <x v="0"/>
    <x v="12"/>
    <x v="19"/>
    <x v="6"/>
    <d v="2024-12-31T00:00:00"/>
    <x v="253"/>
    <x v="4"/>
    <x v="9"/>
    <x v="0"/>
    <x v="1"/>
    <x v="1"/>
    <x v="1"/>
  </r>
  <r>
    <d v="2024-12-31T00:00:00"/>
    <x v="4"/>
    <x v="0"/>
    <x v="12"/>
    <x v="18"/>
    <x v="2"/>
    <d v="2024-12-31T00:00:00"/>
    <x v="253"/>
    <x v="4"/>
    <x v="9"/>
    <x v="0"/>
    <x v="1"/>
    <x v="1"/>
    <x v="1"/>
  </r>
  <r>
    <d v="2024-12-31T00:00:00"/>
    <x v="4"/>
    <x v="0"/>
    <x v="1063"/>
    <x v="16"/>
    <x v="7"/>
    <d v="2024-12-31T00:00:00"/>
    <x v="253"/>
    <x v="4"/>
    <x v="9"/>
    <x v="0"/>
    <x v="1"/>
    <x v="1"/>
    <x v="1"/>
  </r>
  <r>
    <d v="2024-12-31T00:00:00"/>
    <x v="4"/>
    <x v="0"/>
    <x v="525"/>
    <x v="16"/>
    <x v="0"/>
    <d v="2024-12-31T00:00:00"/>
    <x v="253"/>
    <x v="4"/>
    <x v="9"/>
    <x v="0"/>
    <x v="1"/>
    <x v="1"/>
    <x v="1"/>
  </r>
  <r>
    <d v="2024-12-31T00:00:00"/>
    <x v="4"/>
    <x v="0"/>
    <x v="1064"/>
    <x v="17"/>
    <x v="3"/>
    <d v="2024-12-31T00:00:00"/>
    <x v="253"/>
    <x v="4"/>
    <x v="9"/>
    <x v="0"/>
    <x v="1"/>
    <x v="1"/>
    <x v="1"/>
  </r>
  <r>
    <d v="2024-12-31T00:00:00"/>
    <x v="4"/>
    <x v="0"/>
    <x v="1065"/>
    <x v="16"/>
    <x v="7"/>
    <d v="2024-12-31T00:00:00"/>
    <x v="253"/>
    <x v="4"/>
    <x v="9"/>
    <x v="0"/>
    <x v="1"/>
    <x v="1"/>
    <x v="1"/>
  </r>
  <r>
    <d v="2024-12-31T00:00:00"/>
    <x v="4"/>
    <x v="0"/>
    <x v="1066"/>
    <x v="16"/>
    <x v="0"/>
    <d v="2024-12-31T00:00:00"/>
    <x v="253"/>
    <x v="4"/>
    <x v="9"/>
    <x v="0"/>
    <x v="1"/>
    <x v="1"/>
    <x v="1"/>
  </r>
  <r>
    <d v="2024-12-31T00:00:00"/>
    <x v="4"/>
    <x v="0"/>
    <x v="1066"/>
    <x v="16"/>
    <x v="1"/>
    <d v="2024-12-31T00:00:00"/>
    <x v="253"/>
    <x v="4"/>
    <x v="9"/>
    <x v="0"/>
    <x v="1"/>
    <x v="1"/>
    <x v="1"/>
  </r>
  <r>
    <d v="2025-01-02T00:00:00"/>
    <x v="6"/>
    <x v="0"/>
    <x v="276"/>
    <x v="17"/>
    <x v="3"/>
    <d v="2025-01-02T00:00:00"/>
    <x v="254"/>
    <x v="6"/>
    <x v="10"/>
    <x v="1"/>
    <x v="1"/>
    <x v="1"/>
    <x v="1"/>
  </r>
  <r>
    <d v="2025-01-02T00:00:00"/>
    <x v="6"/>
    <x v="0"/>
    <x v="1067"/>
    <x v="16"/>
    <x v="4"/>
    <d v="2025-01-02T00:00:00"/>
    <x v="254"/>
    <x v="6"/>
    <x v="10"/>
    <x v="1"/>
    <x v="1"/>
    <x v="1"/>
    <x v="1"/>
  </r>
  <r>
    <d v="2025-01-02T00:00:00"/>
    <x v="6"/>
    <x v="0"/>
    <x v="1068"/>
    <x v="18"/>
    <x v="5"/>
    <d v="2025-01-02T00:00:00"/>
    <x v="254"/>
    <x v="6"/>
    <x v="10"/>
    <x v="1"/>
    <x v="1"/>
    <x v="1"/>
    <x v="1"/>
  </r>
  <r>
    <d v="2025-01-02T00:00:00"/>
    <x v="6"/>
    <x v="0"/>
    <x v="1069"/>
    <x v="18"/>
    <x v="2"/>
    <d v="2025-01-02T00:00:00"/>
    <x v="254"/>
    <x v="6"/>
    <x v="10"/>
    <x v="1"/>
    <x v="1"/>
    <x v="1"/>
    <x v="1"/>
  </r>
  <r>
    <d v="2025-01-02T00:00:00"/>
    <x v="6"/>
    <x v="0"/>
    <x v="877"/>
    <x v="16"/>
    <x v="1"/>
    <d v="2025-01-02T00:00:00"/>
    <x v="254"/>
    <x v="6"/>
    <x v="10"/>
    <x v="1"/>
    <x v="1"/>
    <x v="1"/>
    <x v="1"/>
  </r>
  <r>
    <d v="2025-01-02T00:00:00"/>
    <x v="6"/>
    <x v="0"/>
    <x v="877"/>
    <x v="17"/>
    <x v="3"/>
    <d v="2025-01-02T00:00:00"/>
    <x v="254"/>
    <x v="6"/>
    <x v="10"/>
    <x v="1"/>
    <x v="1"/>
    <x v="1"/>
    <x v="1"/>
  </r>
  <r>
    <d v="2025-01-02T00:00:00"/>
    <x v="6"/>
    <x v="0"/>
    <x v="525"/>
    <x v="16"/>
    <x v="7"/>
    <d v="2025-01-02T00:00:00"/>
    <x v="254"/>
    <x v="6"/>
    <x v="10"/>
    <x v="1"/>
    <x v="1"/>
    <x v="1"/>
    <x v="1"/>
  </r>
  <r>
    <d v="2025-01-03T00:00:00"/>
    <x v="0"/>
    <x v="0"/>
    <x v="1029"/>
    <x v="18"/>
    <x v="5"/>
    <d v="2025-01-03T00:00:00"/>
    <x v="255"/>
    <x v="0"/>
    <x v="10"/>
    <x v="1"/>
    <x v="1"/>
    <x v="1"/>
    <x v="1"/>
  </r>
  <r>
    <d v="2025-01-03T00:00:00"/>
    <x v="0"/>
    <x v="0"/>
    <x v="276"/>
    <x v="17"/>
    <x v="3"/>
    <d v="2025-01-03T00:00:00"/>
    <x v="255"/>
    <x v="0"/>
    <x v="10"/>
    <x v="1"/>
    <x v="1"/>
    <x v="1"/>
    <x v="1"/>
  </r>
  <r>
    <d v="2025-01-03T00:00:00"/>
    <x v="0"/>
    <x v="0"/>
    <x v="1070"/>
    <x v="17"/>
    <x v="3"/>
    <d v="2025-01-03T00:00:00"/>
    <x v="255"/>
    <x v="0"/>
    <x v="10"/>
    <x v="1"/>
    <x v="1"/>
    <x v="1"/>
    <x v="1"/>
  </r>
  <r>
    <d v="2025-01-03T00:00:00"/>
    <x v="0"/>
    <x v="0"/>
    <x v="620"/>
    <x v="16"/>
    <x v="7"/>
    <d v="2025-01-03T00:00:00"/>
    <x v="255"/>
    <x v="0"/>
    <x v="10"/>
    <x v="1"/>
    <x v="1"/>
    <x v="1"/>
    <x v="1"/>
  </r>
  <r>
    <d v="2025-01-03T00:00:00"/>
    <x v="0"/>
    <x v="0"/>
    <x v="1071"/>
    <x v="18"/>
    <x v="2"/>
    <d v="2025-01-03T00:00:00"/>
    <x v="255"/>
    <x v="0"/>
    <x v="10"/>
    <x v="1"/>
    <x v="1"/>
    <x v="1"/>
    <x v="1"/>
  </r>
  <r>
    <d v="2025-01-03T00:00:00"/>
    <x v="0"/>
    <x v="0"/>
    <x v="1072"/>
    <x v="18"/>
    <x v="2"/>
    <d v="2025-01-03T00:00:00"/>
    <x v="255"/>
    <x v="0"/>
    <x v="10"/>
    <x v="1"/>
    <x v="1"/>
    <x v="1"/>
    <x v="1"/>
  </r>
  <r>
    <d v="2025-01-03T00:00:00"/>
    <x v="0"/>
    <x v="0"/>
    <x v="690"/>
    <x v="16"/>
    <x v="0"/>
    <d v="2025-01-03T00:00:00"/>
    <x v="255"/>
    <x v="0"/>
    <x v="10"/>
    <x v="1"/>
    <x v="1"/>
    <x v="1"/>
    <x v="1"/>
  </r>
  <r>
    <d v="2025-01-04T00:00:00"/>
    <x v="1"/>
    <x v="0"/>
    <x v="1029"/>
    <x v="18"/>
    <x v="5"/>
    <d v="2025-01-04T00:00:00"/>
    <x v="256"/>
    <x v="1"/>
    <x v="10"/>
    <x v="1"/>
    <x v="1"/>
    <x v="1"/>
    <x v="1"/>
  </r>
  <r>
    <d v="2025-01-04T00:00:00"/>
    <x v="1"/>
    <x v="0"/>
    <x v="1073"/>
    <x v="18"/>
    <x v="2"/>
    <d v="2025-01-04T00:00:00"/>
    <x v="256"/>
    <x v="1"/>
    <x v="10"/>
    <x v="1"/>
    <x v="1"/>
    <x v="1"/>
    <x v="1"/>
  </r>
  <r>
    <d v="2025-01-04T00:00:00"/>
    <x v="1"/>
    <x v="0"/>
    <x v="1074"/>
    <x v="16"/>
    <x v="7"/>
    <d v="2025-01-04T00:00:00"/>
    <x v="256"/>
    <x v="1"/>
    <x v="10"/>
    <x v="1"/>
    <x v="1"/>
    <x v="1"/>
    <x v="1"/>
  </r>
  <r>
    <d v="2025-01-04T00:00:00"/>
    <x v="1"/>
    <x v="0"/>
    <x v="877"/>
    <x v="16"/>
    <x v="4"/>
    <d v="2025-01-04T00:00:00"/>
    <x v="256"/>
    <x v="1"/>
    <x v="10"/>
    <x v="1"/>
    <x v="1"/>
    <x v="1"/>
    <x v="1"/>
  </r>
  <r>
    <d v="2025-01-04T00:00:00"/>
    <x v="1"/>
    <x v="0"/>
    <x v="1034"/>
    <x v="17"/>
    <x v="3"/>
    <d v="2025-01-04T00:00:00"/>
    <x v="256"/>
    <x v="1"/>
    <x v="10"/>
    <x v="1"/>
    <x v="1"/>
    <x v="1"/>
    <x v="1"/>
  </r>
  <r>
    <d v="2025-01-04T00:00:00"/>
    <x v="1"/>
    <x v="0"/>
    <x v="1034"/>
    <x v="16"/>
    <x v="7"/>
    <d v="2025-01-04T00:00:00"/>
    <x v="256"/>
    <x v="1"/>
    <x v="10"/>
    <x v="1"/>
    <x v="1"/>
    <x v="1"/>
    <x v="1"/>
  </r>
  <r>
    <d v="2025-01-04T00:00:00"/>
    <x v="1"/>
    <x v="0"/>
    <x v="1034"/>
    <x v="18"/>
    <x v="5"/>
    <d v="2025-01-04T00:00:00"/>
    <x v="256"/>
    <x v="1"/>
    <x v="10"/>
    <x v="1"/>
    <x v="1"/>
    <x v="1"/>
    <x v="1"/>
  </r>
  <r>
    <d v="2025-01-04T00:00:00"/>
    <x v="1"/>
    <x v="0"/>
    <x v="1075"/>
    <x v="18"/>
    <x v="2"/>
    <d v="2025-01-04T00:00:00"/>
    <x v="256"/>
    <x v="1"/>
    <x v="10"/>
    <x v="1"/>
    <x v="1"/>
    <x v="1"/>
    <x v="1"/>
  </r>
  <r>
    <d v="2025-01-04T00:00:00"/>
    <x v="1"/>
    <x v="0"/>
    <x v="1000"/>
    <x v="16"/>
    <x v="0"/>
    <d v="2025-01-04T00:00:00"/>
    <x v="256"/>
    <x v="1"/>
    <x v="10"/>
    <x v="1"/>
    <x v="1"/>
    <x v="1"/>
    <x v="1"/>
  </r>
  <r>
    <d v="2025-01-05T00:00:00"/>
    <x v="2"/>
    <x v="0"/>
    <x v="1076"/>
    <x v="17"/>
    <x v="3"/>
    <d v="2025-01-05T00:00:00"/>
    <x v="257"/>
    <x v="2"/>
    <x v="10"/>
    <x v="1"/>
    <x v="1"/>
    <x v="1"/>
    <x v="1"/>
  </r>
  <r>
    <d v="2025-01-05T00:00:00"/>
    <x v="2"/>
    <x v="0"/>
    <x v="1077"/>
    <x v="16"/>
    <x v="0"/>
    <d v="2025-01-05T00:00:00"/>
    <x v="257"/>
    <x v="2"/>
    <x v="10"/>
    <x v="1"/>
    <x v="1"/>
    <x v="1"/>
    <x v="1"/>
  </r>
  <r>
    <d v="2025-01-05T00:00:00"/>
    <x v="2"/>
    <x v="0"/>
    <x v="1078"/>
    <x v="17"/>
    <x v="3"/>
    <d v="2025-01-05T00:00:00"/>
    <x v="257"/>
    <x v="2"/>
    <x v="10"/>
    <x v="1"/>
    <x v="1"/>
    <x v="1"/>
    <x v="1"/>
  </r>
  <r>
    <d v="2025-01-06T00:00:00"/>
    <x v="3"/>
    <x v="0"/>
    <x v="1079"/>
    <x v="18"/>
    <x v="2"/>
    <d v="2025-01-06T00:00:00"/>
    <x v="258"/>
    <x v="3"/>
    <x v="10"/>
    <x v="1"/>
    <x v="1"/>
    <x v="1"/>
    <x v="1"/>
  </r>
  <r>
    <d v="2025-01-07T00:00:00"/>
    <x v="4"/>
    <x v="0"/>
    <x v="1080"/>
    <x v="16"/>
    <x v="7"/>
    <d v="2025-01-07T00:00:00"/>
    <x v="259"/>
    <x v="4"/>
    <x v="10"/>
    <x v="1"/>
    <x v="1"/>
    <x v="1"/>
    <x v="1"/>
  </r>
  <r>
    <d v="2025-01-07T00:00:00"/>
    <x v="4"/>
    <x v="0"/>
    <x v="1081"/>
    <x v="16"/>
    <x v="4"/>
    <d v="2025-01-07T00:00:00"/>
    <x v="259"/>
    <x v="4"/>
    <x v="10"/>
    <x v="1"/>
    <x v="1"/>
    <x v="1"/>
    <x v="1"/>
  </r>
  <r>
    <d v="2025-01-08T00:00:00"/>
    <x v="5"/>
    <x v="0"/>
    <x v="1082"/>
    <x v="17"/>
    <x v="3"/>
    <d v="2025-01-08T00:00:00"/>
    <x v="223"/>
    <x v="5"/>
    <x v="10"/>
    <x v="1"/>
    <x v="1"/>
    <x v="1"/>
    <x v="1"/>
  </r>
  <r>
    <d v="2025-01-08T00:00:00"/>
    <x v="5"/>
    <x v="0"/>
    <x v="1083"/>
    <x v="16"/>
    <x v="0"/>
    <d v="2025-01-08T00:00:00"/>
    <x v="223"/>
    <x v="5"/>
    <x v="10"/>
    <x v="1"/>
    <x v="1"/>
    <x v="1"/>
    <x v="1"/>
  </r>
  <r>
    <d v="2025-01-08T00:00:00"/>
    <x v="5"/>
    <x v="0"/>
    <x v="1034"/>
    <x v="18"/>
    <x v="5"/>
    <d v="2025-01-08T00:00:00"/>
    <x v="223"/>
    <x v="5"/>
    <x v="10"/>
    <x v="1"/>
    <x v="1"/>
    <x v="1"/>
    <x v="1"/>
  </r>
  <r>
    <d v="2025-01-08T00:00:00"/>
    <x v="5"/>
    <x v="0"/>
    <x v="206"/>
    <x v="16"/>
    <x v="7"/>
    <d v="2025-01-08T00:00:00"/>
    <x v="223"/>
    <x v="5"/>
    <x v="10"/>
    <x v="1"/>
    <x v="1"/>
    <x v="1"/>
    <x v="1"/>
  </r>
  <r>
    <d v="2025-01-09T00:00:00"/>
    <x v="6"/>
    <x v="0"/>
    <x v="1084"/>
    <x v="18"/>
    <x v="2"/>
    <d v="2025-01-09T00:00:00"/>
    <x v="260"/>
    <x v="6"/>
    <x v="10"/>
    <x v="1"/>
    <x v="1"/>
    <x v="1"/>
    <x v="1"/>
  </r>
  <r>
    <d v="2025-01-09T00:00:00"/>
    <x v="6"/>
    <x v="0"/>
    <x v="570"/>
    <x v="16"/>
    <x v="0"/>
    <d v="2025-01-09T00:00:00"/>
    <x v="260"/>
    <x v="6"/>
    <x v="10"/>
    <x v="1"/>
    <x v="1"/>
    <x v="1"/>
    <x v="1"/>
  </r>
  <r>
    <d v="2025-01-09T00:00:00"/>
    <x v="6"/>
    <x v="0"/>
    <x v="385"/>
    <x v="17"/>
    <x v="3"/>
    <d v="2025-01-09T00:00:00"/>
    <x v="260"/>
    <x v="6"/>
    <x v="10"/>
    <x v="1"/>
    <x v="1"/>
    <x v="1"/>
    <x v="1"/>
  </r>
  <r>
    <d v="2025-01-09T00:00:00"/>
    <x v="6"/>
    <x v="0"/>
    <x v="348"/>
    <x v="19"/>
    <x v="6"/>
    <d v="2025-01-09T00:00:00"/>
    <x v="260"/>
    <x v="6"/>
    <x v="10"/>
    <x v="1"/>
    <x v="1"/>
    <x v="1"/>
    <x v="1"/>
  </r>
  <r>
    <d v="2025-01-09T00:00:00"/>
    <x v="6"/>
    <x v="0"/>
    <x v="1085"/>
    <x v="16"/>
    <x v="0"/>
    <d v="2025-01-09T00:00:00"/>
    <x v="260"/>
    <x v="6"/>
    <x v="10"/>
    <x v="1"/>
    <x v="1"/>
    <x v="1"/>
    <x v="1"/>
  </r>
  <r>
    <d v="2025-01-09T00:00:00"/>
    <x v="6"/>
    <x v="0"/>
    <x v="141"/>
    <x v="17"/>
    <x v="3"/>
    <d v="2025-01-09T00:00:00"/>
    <x v="260"/>
    <x v="6"/>
    <x v="10"/>
    <x v="1"/>
    <x v="1"/>
    <x v="1"/>
    <x v="1"/>
  </r>
  <r>
    <d v="2025-01-09T00:00:00"/>
    <x v="6"/>
    <x v="0"/>
    <x v="141"/>
    <x v="18"/>
    <x v="5"/>
    <d v="2025-01-09T00:00:00"/>
    <x v="260"/>
    <x v="6"/>
    <x v="10"/>
    <x v="1"/>
    <x v="1"/>
    <x v="1"/>
    <x v="1"/>
  </r>
  <r>
    <d v="2025-01-09T00:00:00"/>
    <x v="6"/>
    <x v="0"/>
    <x v="12"/>
    <x v="17"/>
    <x v="3"/>
    <d v="2025-01-09T00:00:00"/>
    <x v="260"/>
    <x v="6"/>
    <x v="10"/>
    <x v="1"/>
    <x v="1"/>
    <x v="1"/>
    <x v="1"/>
  </r>
  <r>
    <d v="2025-01-09T00:00:00"/>
    <x v="6"/>
    <x v="0"/>
    <x v="329"/>
    <x v="16"/>
    <x v="0"/>
    <d v="2025-01-09T00:00:00"/>
    <x v="260"/>
    <x v="6"/>
    <x v="10"/>
    <x v="1"/>
    <x v="1"/>
    <x v="1"/>
    <x v="1"/>
  </r>
  <r>
    <d v="2025-01-10T00:00:00"/>
    <x v="0"/>
    <x v="0"/>
    <x v="224"/>
    <x v="17"/>
    <x v="3"/>
    <d v="2025-01-10T00:00:00"/>
    <x v="261"/>
    <x v="0"/>
    <x v="10"/>
    <x v="1"/>
    <x v="1"/>
    <x v="1"/>
    <x v="1"/>
  </r>
  <r>
    <d v="2025-01-10T00:00:00"/>
    <x v="0"/>
    <x v="0"/>
    <x v="385"/>
    <x v="17"/>
    <x v="3"/>
    <d v="2025-01-10T00:00:00"/>
    <x v="261"/>
    <x v="0"/>
    <x v="10"/>
    <x v="1"/>
    <x v="1"/>
    <x v="1"/>
    <x v="1"/>
  </r>
  <r>
    <d v="2025-01-10T00:00:00"/>
    <x v="0"/>
    <x v="0"/>
    <x v="1086"/>
    <x v="16"/>
    <x v="7"/>
    <d v="2025-01-10T00:00:00"/>
    <x v="261"/>
    <x v="0"/>
    <x v="10"/>
    <x v="1"/>
    <x v="1"/>
    <x v="1"/>
    <x v="1"/>
  </r>
  <r>
    <d v="2025-01-10T00:00:00"/>
    <x v="0"/>
    <x v="0"/>
    <x v="1045"/>
    <x v="16"/>
    <x v="1"/>
    <d v="2025-01-10T00:00:00"/>
    <x v="261"/>
    <x v="0"/>
    <x v="10"/>
    <x v="1"/>
    <x v="1"/>
    <x v="1"/>
    <x v="1"/>
  </r>
  <r>
    <d v="2025-01-11T00:00:00"/>
    <x v="1"/>
    <x v="0"/>
    <x v="842"/>
    <x v="17"/>
    <x v="3"/>
    <d v="2025-01-11T00:00:00"/>
    <x v="262"/>
    <x v="1"/>
    <x v="10"/>
    <x v="1"/>
    <x v="1"/>
    <x v="1"/>
    <x v="1"/>
  </r>
  <r>
    <d v="2025-01-11T00:00:00"/>
    <x v="1"/>
    <x v="0"/>
    <x v="1087"/>
    <x v="16"/>
    <x v="1"/>
    <d v="2025-01-11T00:00:00"/>
    <x v="262"/>
    <x v="1"/>
    <x v="10"/>
    <x v="1"/>
    <x v="1"/>
    <x v="1"/>
    <x v="1"/>
  </r>
  <r>
    <d v="2025-01-11T00:00:00"/>
    <x v="1"/>
    <x v="0"/>
    <x v="1088"/>
    <x v="18"/>
    <x v="2"/>
    <d v="2025-01-11T00:00:00"/>
    <x v="262"/>
    <x v="1"/>
    <x v="10"/>
    <x v="1"/>
    <x v="1"/>
    <x v="1"/>
    <x v="1"/>
  </r>
  <r>
    <d v="2025-01-11T00:00:00"/>
    <x v="1"/>
    <x v="0"/>
    <x v="1089"/>
    <x v="16"/>
    <x v="0"/>
    <d v="2025-01-11T00:00:00"/>
    <x v="262"/>
    <x v="1"/>
    <x v="10"/>
    <x v="1"/>
    <x v="1"/>
    <x v="1"/>
    <x v="1"/>
  </r>
  <r>
    <d v="2025-01-11T00:00:00"/>
    <x v="1"/>
    <x v="0"/>
    <x v="1090"/>
    <x v="17"/>
    <x v="3"/>
    <d v="2025-01-11T00:00:00"/>
    <x v="262"/>
    <x v="1"/>
    <x v="10"/>
    <x v="1"/>
    <x v="1"/>
    <x v="1"/>
    <x v="1"/>
  </r>
  <r>
    <d v="2025-01-11T00:00:00"/>
    <x v="1"/>
    <x v="0"/>
    <x v="1091"/>
    <x v="17"/>
    <x v="3"/>
    <d v="2025-01-11T00:00:00"/>
    <x v="262"/>
    <x v="1"/>
    <x v="10"/>
    <x v="1"/>
    <x v="1"/>
    <x v="1"/>
    <x v="1"/>
  </r>
  <r>
    <d v="2025-01-11T00:00:00"/>
    <x v="1"/>
    <x v="0"/>
    <x v="1091"/>
    <x v="16"/>
    <x v="7"/>
    <d v="2025-01-11T00:00:00"/>
    <x v="262"/>
    <x v="1"/>
    <x v="10"/>
    <x v="1"/>
    <x v="1"/>
    <x v="1"/>
    <x v="1"/>
  </r>
  <r>
    <d v="2025-01-11T00:00:00"/>
    <x v="1"/>
    <x v="0"/>
    <x v="1092"/>
    <x v="16"/>
    <x v="0"/>
    <d v="2025-01-11T00:00:00"/>
    <x v="262"/>
    <x v="1"/>
    <x v="10"/>
    <x v="1"/>
    <x v="1"/>
    <x v="1"/>
    <x v="1"/>
  </r>
  <r>
    <d v="2025-01-11T00:00:00"/>
    <x v="1"/>
    <x v="0"/>
    <x v="1093"/>
    <x v="18"/>
    <x v="5"/>
    <d v="2025-01-11T00:00:00"/>
    <x v="262"/>
    <x v="1"/>
    <x v="10"/>
    <x v="1"/>
    <x v="1"/>
    <x v="1"/>
    <x v="1"/>
  </r>
  <r>
    <d v="2025-01-11T00:00:00"/>
    <x v="1"/>
    <x v="0"/>
    <x v="1094"/>
    <x v="16"/>
    <x v="0"/>
    <d v="2025-01-11T00:00:00"/>
    <x v="262"/>
    <x v="1"/>
    <x v="10"/>
    <x v="1"/>
    <x v="1"/>
    <x v="1"/>
    <x v="1"/>
  </r>
  <r>
    <d v="2025-01-11T00:00:00"/>
    <x v="1"/>
    <x v="0"/>
    <x v="1095"/>
    <x v="17"/>
    <x v="3"/>
    <d v="2025-01-11T00:00:00"/>
    <x v="262"/>
    <x v="1"/>
    <x v="10"/>
    <x v="1"/>
    <x v="1"/>
    <x v="1"/>
    <x v="1"/>
  </r>
  <r>
    <d v="2025-01-12T00:00:00"/>
    <x v="2"/>
    <x v="0"/>
    <x v="842"/>
    <x v="17"/>
    <x v="3"/>
    <d v="2025-01-12T00:00:00"/>
    <x v="78"/>
    <x v="2"/>
    <x v="10"/>
    <x v="1"/>
    <x v="1"/>
    <x v="1"/>
    <x v="1"/>
  </r>
  <r>
    <d v="2025-01-12T00:00:00"/>
    <x v="2"/>
    <x v="0"/>
    <x v="842"/>
    <x v="18"/>
    <x v="2"/>
    <d v="2025-01-12T00:00:00"/>
    <x v="78"/>
    <x v="2"/>
    <x v="10"/>
    <x v="1"/>
    <x v="1"/>
    <x v="1"/>
    <x v="1"/>
  </r>
  <r>
    <d v="2025-01-12T00:00:00"/>
    <x v="2"/>
    <x v="0"/>
    <x v="12"/>
    <x v="17"/>
    <x v="3"/>
    <d v="2025-01-12T00:00:00"/>
    <x v="78"/>
    <x v="2"/>
    <x v="10"/>
    <x v="1"/>
    <x v="1"/>
    <x v="1"/>
    <x v="1"/>
  </r>
  <r>
    <d v="2025-01-12T00:00:00"/>
    <x v="2"/>
    <x v="0"/>
    <x v="1096"/>
    <x v="16"/>
    <x v="1"/>
    <d v="2025-01-12T00:00:00"/>
    <x v="78"/>
    <x v="2"/>
    <x v="10"/>
    <x v="1"/>
    <x v="1"/>
    <x v="1"/>
    <x v="1"/>
  </r>
  <r>
    <d v="2025-01-12T00:00:00"/>
    <x v="2"/>
    <x v="0"/>
    <x v="1097"/>
    <x v="17"/>
    <x v="3"/>
    <d v="2025-01-12T00:00:00"/>
    <x v="78"/>
    <x v="2"/>
    <x v="10"/>
    <x v="1"/>
    <x v="1"/>
    <x v="1"/>
    <x v="1"/>
  </r>
  <r>
    <d v="2025-01-13T00:00:00"/>
    <x v="3"/>
    <x v="0"/>
    <x v="533"/>
    <x v="17"/>
    <x v="3"/>
    <d v="2025-01-13T00:00:00"/>
    <x v="238"/>
    <x v="3"/>
    <x v="10"/>
    <x v="1"/>
    <x v="1"/>
    <x v="1"/>
    <x v="1"/>
  </r>
  <r>
    <d v="2025-01-13T00:00:00"/>
    <x v="3"/>
    <x v="0"/>
    <x v="276"/>
    <x v="17"/>
    <x v="3"/>
    <d v="2025-01-13T00:00:00"/>
    <x v="238"/>
    <x v="3"/>
    <x v="10"/>
    <x v="1"/>
    <x v="1"/>
    <x v="1"/>
    <x v="1"/>
  </r>
  <r>
    <d v="2025-01-13T00:00:00"/>
    <x v="3"/>
    <x v="0"/>
    <x v="1034"/>
    <x v="18"/>
    <x v="5"/>
    <d v="2025-01-13T00:00:00"/>
    <x v="238"/>
    <x v="3"/>
    <x v="10"/>
    <x v="1"/>
    <x v="1"/>
    <x v="1"/>
    <x v="1"/>
  </r>
  <r>
    <d v="2025-01-13T00:00:00"/>
    <x v="3"/>
    <x v="0"/>
    <x v="906"/>
    <x v="16"/>
    <x v="0"/>
    <d v="2025-01-13T00:00:00"/>
    <x v="238"/>
    <x v="3"/>
    <x v="10"/>
    <x v="1"/>
    <x v="1"/>
    <x v="1"/>
    <x v="1"/>
  </r>
  <r>
    <d v="2025-01-13T00:00:00"/>
    <x v="3"/>
    <x v="0"/>
    <x v="1098"/>
    <x v="16"/>
    <x v="0"/>
    <d v="2025-01-13T00:00:00"/>
    <x v="238"/>
    <x v="3"/>
    <x v="10"/>
    <x v="1"/>
    <x v="1"/>
    <x v="1"/>
    <x v="1"/>
  </r>
  <r>
    <d v="2025-01-13T00:00:00"/>
    <x v="3"/>
    <x v="0"/>
    <x v="1098"/>
    <x v="16"/>
    <x v="7"/>
    <d v="2025-01-13T00:00:00"/>
    <x v="238"/>
    <x v="3"/>
    <x v="10"/>
    <x v="1"/>
    <x v="1"/>
    <x v="1"/>
    <x v="1"/>
  </r>
  <r>
    <d v="2025-01-13T00:00:00"/>
    <x v="3"/>
    <x v="0"/>
    <x v="1099"/>
    <x v="16"/>
    <x v="0"/>
    <d v="2025-01-13T00:00:00"/>
    <x v="238"/>
    <x v="3"/>
    <x v="10"/>
    <x v="1"/>
    <x v="1"/>
    <x v="1"/>
    <x v="1"/>
  </r>
  <r>
    <d v="2025-01-13T00:00:00"/>
    <x v="3"/>
    <x v="0"/>
    <x v="50"/>
    <x v="19"/>
    <x v="6"/>
    <d v="2025-01-13T00:00:00"/>
    <x v="238"/>
    <x v="3"/>
    <x v="10"/>
    <x v="1"/>
    <x v="1"/>
    <x v="1"/>
    <x v="1"/>
  </r>
  <r>
    <d v="2025-01-14T00:00:00"/>
    <x v="4"/>
    <x v="0"/>
    <x v="682"/>
    <x v="16"/>
    <x v="0"/>
    <d v="2025-01-14T00:00:00"/>
    <x v="219"/>
    <x v="4"/>
    <x v="10"/>
    <x v="1"/>
    <x v="1"/>
    <x v="1"/>
    <x v="1"/>
  </r>
  <r>
    <d v="2025-01-14T00:00:00"/>
    <x v="4"/>
    <x v="0"/>
    <x v="1029"/>
    <x v="18"/>
    <x v="5"/>
    <d v="2025-01-14T00:00:00"/>
    <x v="219"/>
    <x v="4"/>
    <x v="10"/>
    <x v="1"/>
    <x v="1"/>
    <x v="1"/>
    <x v="1"/>
  </r>
  <r>
    <d v="2025-01-14T00:00:00"/>
    <x v="4"/>
    <x v="0"/>
    <x v="276"/>
    <x v="17"/>
    <x v="3"/>
    <d v="2025-01-14T00:00:00"/>
    <x v="219"/>
    <x v="4"/>
    <x v="10"/>
    <x v="1"/>
    <x v="1"/>
    <x v="1"/>
    <x v="1"/>
  </r>
  <r>
    <d v="2025-01-14T00:00:00"/>
    <x v="4"/>
    <x v="0"/>
    <x v="1100"/>
    <x v="16"/>
    <x v="0"/>
    <d v="2025-01-14T00:00:00"/>
    <x v="219"/>
    <x v="4"/>
    <x v="10"/>
    <x v="1"/>
    <x v="1"/>
    <x v="1"/>
    <x v="1"/>
  </r>
  <r>
    <d v="2025-01-14T00:00:00"/>
    <x v="4"/>
    <x v="0"/>
    <x v="1101"/>
    <x v="17"/>
    <x v="3"/>
    <d v="2025-01-14T00:00:00"/>
    <x v="219"/>
    <x v="4"/>
    <x v="10"/>
    <x v="1"/>
    <x v="1"/>
    <x v="1"/>
    <x v="1"/>
  </r>
  <r>
    <d v="2025-01-14T00:00:00"/>
    <x v="4"/>
    <x v="0"/>
    <x v="206"/>
    <x v="16"/>
    <x v="7"/>
    <d v="2025-01-14T00:00:00"/>
    <x v="219"/>
    <x v="4"/>
    <x v="10"/>
    <x v="1"/>
    <x v="1"/>
    <x v="1"/>
    <x v="1"/>
  </r>
  <r>
    <d v="2025-01-14T00:00:00"/>
    <x v="4"/>
    <x v="0"/>
    <x v="1097"/>
    <x v="16"/>
    <x v="0"/>
    <d v="2025-01-14T00:00:00"/>
    <x v="219"/>
    <x v="4"/>
    <x v="10"/>
    <x v="1"/>
    <x v="1"/>
    <x v="1"/>
    <x v="1"/>
  </r>
  <r>
    <d v="2025-01-15T00:00:00"/>
    <x v="5"/>
    <x v="0"/>
    <x v="419"/>
    <x v="17"/>
    <x v="3"/>
    <d v="2025-01-15T00:00:00"/>
    <x v="221"/>
    <x v="5"/>
    <x v="10"/>
    <x v="1"/>
    <x v="1"/>
    <x v="1"/>
    <x v="1"/>
  </r>
  <r>
    <d v="2025-01-15T00:00:00"/>
    <x v="5"/>
    <x v="0"/>
    <x v="1102"/>
    <x v="18"/>
    <x v="2"/>
    <d v="2025-01-15T00:00:00"/>
    <x v="221"/>
    <x v="5"/>
    <x v="10"/>
    <x v="1"/>
    <x v="1"/>
    <x v="1"/>
    <x v="1"/>
  </r>
  <r>
    <d v="2025-01-15T00:00:00"/>
    <x v="5"/>
    <x v="0"/>
    <x v="886"/>
    <x v="16"/>
    <x v="7"/>
    <d v="2025-01-15T00:00:00"/>
    <x v="221"/>
    <x v="5"/>
    <x v="10"/>
    <x v="1"/>
    <x v="1"/>
    <x v="1"/>
    <x v="1"/>
  </r>
  <r>
    <d v="2025-01-15T00:00:00"/>
    <x v="5"/>
    <x v="0"/>
    <x v="634"/>
    <x v="16"/>
    <x v="0"/>
    <d v="2025-01-15T00:00:00"/>
    <x v="221"/>
    <x v="5"/>
    <x v="10"/>
    <x v="1"/>
    <x v="1"/>
    <x v="1"/>
    <x v="1"/>
  </r>
  <r>
    <d v="2025-01-15T00:00:00"/>
    <x v="5"/>
    <x v="0"/>
    <x v="1103"/>
    <x v="16"/>
    <x v="7"/>
    <d v="2025-01-15T00:00:00"/>
    <x v="221"/>
    <x v="5"/>
    <x v="10"/>
    <x v="1"/>
    <x v="1"/>
    <x v="1"/>
    <x v="1"/>
  </r>
  <r>
    <d v="2025-01-15T00:00:00"/>
    <x v="5"/>
    <x v="0"/>
    <x v="1104"/>
    <x v="16"/>
    <x v="0"/>
    <d v="2025-01-15T00:00:00"/>
    <x v="221"/>
    <x v="5"/>
    <x v="10"/>
    <x v="1"/>
    <x v="1"/>
    <x v="1"/>
    <x v="1"/>
  </r>
  <r>
    <d v="2025-01-15T00:00:00"/>
    <x v="5"/>
    <x v="0"/>
    <x v="1105"/>
    <x v="16"/>
    <x v="0"/>
    <d v="2025-01-15T00:00:00"/>
    <x v="221"/>
    <x v="5"/>
    <x v="10"/>
    <x v="1"/>
    <x v="1"/>
    <x v="1"/>
    <x v="1"/>
  </r>
  <r>
    <d v="2025-01-15T00:00:00"/>
    <x v="5"/>
    <x v="0"/>
    <x v="1097"/>
    <x v="16"/>
    <x v="0"/>
    <d v="2025-01-15T00:00:00"/>
    <x v="221"/>
    <x v="5"/>
    <x v="10"/>
    <x v="1"/>
    <x v="1"/>
    <x v="1"/>
    <x v="1"/>
  </r>
  <r>
    <d v="2025-01-15T00:00:00"/>
    <x v="5"/>
    <x v="0"/>
    <x v="731"/>
    <x v="16"/>
    <x v="7"/>
    <d v="2025-01-15T00:00:00"/>
    <x v="221"/>
    <x v="5"/>
    <x v="10"/>
    <x v="1"/>
    <x v="1"/>
    <x v="1"/>
    <x v="1"/>
  </r>
  <r>
    <d v="2025-01-16T00:00:00"/>
    <x v="6"/>
    <x v="0"/>
    <x v="886"/>
    <x v="16"/>
    <x v="0"/>
    <d v="2025-01-16T00:00:00"/>
    <x v="263"/>
    <x v="6"/>
    <x v="10"/>
    <x v="1"/>
    <x v="1"/>
    <x v="1"/>
    <x v="1"/>
  </r>
  <r>
    <d v="2025-01-16T00:00:00"/>
    <x v="6"/>
    <x v="0"/>
    <x v="419"/>
    <x v="17"/>
    <x v="3"/>
    <d v="2025-01-16T00:00:00"/>
    <x v="263"/>
    <x v="6"/>
    <x v="10"/>
    <x v="1"/>
    <x v="1"/>
    <x v="1"/>
    <x v="1"/>
  </r>
  <r>
    <d v="2025-01-16T00:00:00"/>
    <x v="6"/>
    <x v="0"/>
    <x v="12"/>
    <x v="17"/>
    <x v="3"/>
    <d v="2025-01-16T00:00:00"/>
    <x v="263"/>
    <x v="6"/>
    <x v="10"/>
    <x v="1"/>
    <x v="1"/>
    <x v="1"/>
    <x v="1"/>
  </r>
  <r>
    <d v="2025-01-16T00:00:00"/>
    <x v="6"/>
    <x v="0"/>
    <x v="141"/>
    <x v="18"/>
    <x v="5"/>
    <d v="2025-01-16T00:00:00"/>
    <x v="263"/>
    <x v="6"/>
    <x v="10"/>
    <x v="1"/>
    <x v="1"/>
    <x v="1"/>
    <x v="1"/>
  </r>
  <r>
    <d v="2025-01-16T00:00:00"/>
    <x v="6"/>
    <x v="0"/>
    <x v="1106"/>
    <x v="16"/>
    <x v="0"/>
    <d v="2025-01-16T00:00:00"/>
    <x v="263"/>
    <x v="6"/>
    <x v="10"/>
    <x v="1"/>
    <x v="1"/>
    <x v="1"/>
    <x v="1"/>
  </r>
  <r>
    <d v="2025-01-16T00:00:00"/>
    <x v="6"/>
    <x v="0"/>
    <x v="406"/>
    <x v="16"/>
    <x v="0"/>
    <d v="2025-01-16T00:00:00"/>
    <x v="263"/>
    <x v="6"/>
    <x v="10"/>
    <x v="1"/>
    <x v="1"/>
    <x v="1"/>
    <x v="1"/>
  </r>
  <r>
    <d v="2025-01-16T00:00:00"/>
    <x v="6"/>
    <x v="0"/>
    <x v="1097"/>
    <x v="16"/>
    <x v="7"/>
    <d v="2025-01-16T00:00:00"/>
    <x v="263"/>
    <x v="6"/>
    <x v="10"/>
    <x v="1"/>
    <x v="1"/>
    <x v="1"/>
    <x v="1"/>
  </r>
  <r>
    <d v="2025-01-16T00:00:00"/>
    <x v="6"/>
    <x v="0"/>
    <x v="1045"/>
    <x v="16"/>
    <x v="1"/>
    <d v="2025-01-16T00:00:00"/>
    <x v="263"/>
    <x v="6"/>
    <x v="10"/>
    <x v="1"/>
    <x v="1"/>
    <x v="1"/>
    <x v="1"/>
  </r>
  <r>
    <d v="2025-01-16T00:00:00"/>
    <x v="6"/>
    <x v="0"/>
    <x v="1107"/>
    <x v="18"/>
    <x v="5"/>
    <d v="2025-01-16T00:00:00"/>
    <x v="263"/>
    <x v="6"/>
    <x v="10"/>
    <x v="1"/>
    <x v="1"/>
    <x v="1"/>
    <x v="1"/>
  </r>
  <r>
    <d v="2025-01-17T00:00:00"/>
    <x v="0"/>
    <x v="0"/>
    <x v="1108"/>
    <x v="16"/>
    <x v="4"/>
    <d v="2025-01-17T00:00:00"/>
    <x v="245"/>
    <x v="0"/>
    <x v="10"/>
    <x v="1"/>
    <x v="1"/>
    <x v="1"/>
    <x v="1"/>
  </r>
  <r>
    <d v="2025-01-17T00:00:00"/>
    <x v="0"/>
    <x v="0"/>
    <x v="1109"/>
    <x v="16"/>
    <x v="0"/>
    <d v="2025-01-17T00:00:00"/>
    <x v="245"/>
    <x v="0"/>
    <x v="10"/>
    <x v="1"/>
    <x v="1"/>
    <x v="1"/>
    <x v="1"/>
  </r>
  <r>
    <d v="2025-01-17T00:00:00"/>
    <x v="0"/>
    <x v="0"/>
    <x v="1109"/>
    <x v="16"/>
    <x v="7"/>
    <d v="2025-01-17T00:00:00"/>
    <x v="245"/>
    <x v="0"/>
    <x v="10"/>
    <x v="1"/>
    <x v="1"/>
    <x v="1"/>
    <x v="1"/>
  </r>
  <r>
    <d v="2025-01-17T00:00:00"/>
    <x v="0"/>
    <x v="0"/>
    <x v="276"/>
    <x v="17"/>
    <x v="3"/>
    <d v="2025-01-17T00:00:00"/>
    <x v="245"/>
    <x v="0"/>
    <x v="10"/>
    <x v="1"/>
    <x v="1"/>
    <x v="1"/>
    <x v="1"/>
  </r>
  <r>
    <d v="2025-01-17T00:00:00"/>
    <x v="0"/>
    <x v="0"/>
    <x v="12"/>
    <x v="17"/>
    <x v="3"/>
    <d v="2025-01-17T00:00:00"/>
    <x v="245"/>
    <x v="0"/>
    <x v="10"/>
    <x v="1"/>
    <x v="1"/>
    <x v="1"/>
    <x v="1"/>
  </r>
  <r>
    <d v="2025-01-17T00:00:00"/>
    <x v="0"/>
    <x v="0"/>
    <x v="1110"/>
    <x v="16"/>
    <x v="4"/>
    <d v="2025-01-17T00:00:00"/>
    <x v="245"/>
    <x v="0"/>
    <x v="10"/>
    <x v="1"/>
    <x v="1"/>
    <x v="1"/>
    <x v="1"/>
  </r>
  <r>
    <d v="2025-01-17T00:00:00"/>
    <x v="0"/>
    <x v="0"/>
    <x v="906"/>
    <x v="16"/>
    <x v="1"/>
    <d v="2025-01-17T00:00:00"/>
    <x v="245"/>
    <x v="0"/>
    <x v="10"/>
    <x v="1"/>
    <x v="1"/>
    <x v="1"/>
    <x v="1"/>
  </r>
  <r>
    <d v="2025-01-17T00:00:00"/>
    <x v="0"/>
    <x v="0"/>
    <x v="877"/>
    <x v="16"/>
    <x v="1"/>
    <d v="2025-01-17T00:00:00"/>
    <x v="245"/>
    <x v="0"/>
    <x v="10"/>
    <x v="1"/>
    <x v="1"/>
    <x v="1"/>
    <x v="1"/>
  </r>
  <r>
    <d v="2025-01-18T00:00:00"/>
    <x v="1"/>
    <x v="0"/>
    <x v="1082"/>
    <x v="17"/>
    <x v="3"/>
    <d v="2025-01-18T00:00:00"/>
    <x v="264"/>
    <x v="1"/>
    <x v="10"/>
    <x v="1"/>
    <x v="1"/>
    <x v="1"/>
    <x v="1"/>
  </r>
  <r>
    <d v="2025-01-18T00:00:00"/>
    <x v="1"/>
    <x v="0"/>
    <x v="507"/>
    <x v="16"/>
    <x v="1"/>
    <d v="2025-01-18T00:00:00"/>
    <x v="264"/>
    <x v="1"/>
    <x v="10"/>
    <x v="1"/>
    <x v="1"/>
    <x v="1"/>
    <x v="1"/>
  </r>
  <r>
    <d v="2025-01-18T00:00:00"/>
    <x v="1"/>
    <x v="0"/>
    <x v="507"/>
    <x v="16"/>
    <x v="0"/>
    <d v="2025-01-18T00:00:00"/>
    <x v="264"/>
    <x v="1"/>
    <x v="10"/>
    <x v="1"/>
    <x v="1"/>
    <x v="1"/>
    <x v="1"/>
  </r>
  <r>
    <d v="2025-01-20T00:00:00"/>
    <x v="3"/>
    <x v="0"/>
    <x v="12"/>
    <x v="17"/>
    <x v="3"/>
    <d v="2025-01-20T00:00:00"/>
    <x v="256"/>
    <x v="3"/>
    <x v="10"/>
    <x v="1"/>
    <x v="1"/>
    <x v="1"/>
    <x v="1"/>
  </r>
  <r>
    <d v="2025-01-20T00:00:00"/>
    <x v="3"/>
    <x v="0"/>
    <x v="276"/>
    <x v="17"/>
    <x v="3"/>
    <d v="2025-01-20T00:00:00"/>
    <x v="256"/>
    <x v="3"/>
    <x v="10"/>
    <x v="1"/>
    <x v="1"/>
    <x v="1"/>
    <x v="1"/>
  </r>
  <r>
    <d v="2025-01-20T00:00:00"/>
    <x v="3"/>
    <x v="0"/>
    <x v="141"/>
    <x v="18"/>
    <x v="5"/>
    <d v="2025-01-20T00:00:00"/>
    <x v="256"/>
    <x v="3"/>
    <x v="10"/>
    <x v="1"/>
    <x v="1"/>
    <x v="1"/>
    <x v="1"/>
  </r>
  <r>
    <d v="2025-01-20T00:00:00"/>
    <x v="3"/>
    <x v="0"/>
    <x v="1111"/>
    <x v="18"/>
    <x v="2"/>
    <d v="2025-01-20T00:00:00"/>
    <x v="256"/>
    <x v="3"/>
    <x v="10"/>
    <x v="1"/>
    <x v="1"/>
    <x v="1"/>
    <x v="1"/>
  </r>
  <r>
    <d v="2025-01-20T00:00:00"/>
    <x v="3"/>
    <x v="0"/>
    <x v="1111"/>
    <x v="18"/>
    <x v="5"/>
    <d v="2025-01-20T00:00:00"/>
    <x v="256"/>
    <x v="3"/>
    <x v="10"/>
    <x v="1"/>
    <x v="1"/>
    <x v="1"/>
    <x v="1"/>
  </r>
  <r>
    <d v="2025-01-20T00:00:00"/>
    <x v="3"/>
    <x v="0"/>
    <x v="1112"/>
    <x v="17"/>
    <x v="3"/>
    <d v="2025-01-20T00:00:00"/>
    <x v="256"/>
    <x v="3"/>
    <x v="10"/>
    <x v="1"/>
    <x v="1"/>
    <x v="1"/>
    <x v="1"/>
  </r>
  <r>
    <d v="2025-01-20T00:00:00"/>
    <x v="3"/>
    <x v="0"/>
    <x v="1113"/>
    <x v="16"/>
    <x v="1"/>
    <d v="2025-01-20T00:00:00"/>
    <x v="256"/>
    <x v="3"/>
    <x v="10"/>
    <x v="1"/>
    <x v="1"/>
    <x v="1"/>
    <x v="1"/>
  </r>
  <r>
    <d v="2025-01-20T00:00:00"/>
    <x v="3"/>
    <x v="0"/>
    <x v="1114"/>
    <x v="16"/>
    <x v="7"/>
    <d v="2025-01-20T00:00:00"/>
    <x v="256"/>
    <x v="3"/>
    <x v="10"/>
    <x v="1"/>
    <x v="1"/>
    <x v="1"/>
    <x v="1"/>
  </r>
  <r>
    <d v="2025-01-20T00:00:00"/>
    <x v="3"/>
    <x v="0"/>
    <x v="1115"/>
    <x v="16"/>
    <x v="0"/>
    <d v="2025-01-20T00:00:00"/>
    <x v="256"/>
    <x v="3"/>
    <x v="10"/>
    <x v="1"/>
    <x v="1"/>
    <x v="1"/>
    <x v="1"/>
  </r>
  <r>
    <d v="2025-01-21T00:00:00"/>
    <x v="4"/>
    <x v="0"/>
    <x v="1010"/>
    <x v="16"/>
    <x v="4"/>
    <d v="2025-01-21T00:00:00"/>
    <x v="189"/>
    <x v="4"/>
    <x v="10"/>
    <x v="1"/>
    <x v="1"/>
    <x v="1"/>
    <x v="1"/>
  </r>
  <r>
    <d v="2025-01-21T00:00:00"/>
    <x v="4"/>
    <x v="0"/>
    <x v="141"/>
    <x v="18"/>
    <x v="5"/>
    <d v="2025-01-21T00:00:00"/>
    <x v="189"/>
    <x v="4"/>
    <x v="10"/>
    <x v="1"/>
    <x v="1"/>
    <x v="1"/>
    <x v="1"/>
  </r>
  <r>
    <d v="2025-01-21T00:00:00"/>
    <x v="4"/>
    <x v="0"/>
    <x v="1082"/>
    <x v="17"/>
    <x v="3"/>
    <d v="2025-01-21T00:00:00"/>
    <x v="189"/>
    <x v="4"/>
    <x v="10"/>
    <x v="1"/>
    <x v="1"/>
    <x v="1"/>
    <x v="1"/>
  </r>
  <r>
    <d v="2025-01-21T00:00:00"/>
    <x v="4"/>
    <x v="0"/>
    <x v="1116"/>
    <x v="18"/>
    <x v="2"/>
    <d v="2025-01-21T00:00:00"/>
    <x v="189"/>
    <x v="4"/>
    <x v="10"/>
    <x v="1"/>
    <x v="1"/>
    <x v="1"/>
    <x v="1"/>
  </r>
  <r>
    <d v="2025-01-21T00:00:00"/>
    <x v="4"/>
    <x v="0"/>
    <x v="1117"/>
    <x v="16"/>
    <x v="1"/>
    <d v="2025-01-21T00:00:00"/>
    <x v="189"/>
    <x v="4"/>
    <x v="10"/>
    <x v="1"/>
    <x v="1"/>
    <x v="1"/>
    <x v="1"/>
  </r>
  <r>
    <d v="2025-01-21T00:00:00"/>
    <x v="4"/>
    <x v="0"/>
    <x v="333"/>
    <x v="16"/>
    <x v="0"/>
    <d v="2025-01-21T00:00:00"/>
    <x v="189"/>
    <x v="4"/>
    <x v="10"/>
    <x v="1"/>
    <x v="1"/>
    <x v="1"/>
    <x v="1"/>
  </r>
  <r>
    <d v="2025-01-21T00:00:00"/>
    <x v="4"/>
    <x v="0"/>
    <x v="1110"/>
    <x v="18"/>
    <x v="2"/>
    <d v="2025-01-21T00:00:00"/>
    <x v="189"/>
    <x v="4"/>
    <x v="10"/>
    <x v="1"/>
    <x v="1"/>
    <x v="1"/>
    <x v="1"/>
  </r>
  <r>
    <d v="2025-01-22T00:00:00"/>
    <x v="5"/>
    <x v="0"/>
    <x v="1118"/>
    <x v="19"/>
    <x v="6"/>
    <d v="2025-01-22T00:00:00"/>
    <x v="254"/>
    <x v="5"/>
    <x v="10"/>
    <x v="1"/>
    <x v="1"/>
    <x v="1"/>
    <x v="1"/>
  </r>
  <r>
    <d v="2025-01-22T00:00:00"/>
    <x v="5"/>
    <x v="0"/>
    <x v="463"/>
    <x v="17"/>
    <x v="3"/>
    <d v="2025-01-22T00:00:00"/>
    <x v="254"/>
    <x v="5"/>
    <x v="10"/>
    <x v="1"/>
    <x v="1"/>
    <x v="1"/>
    <x v="1"/>
  </r>
  <r>
    <d v="2025-01-22T00:00:00"/>
    <x v="5"/>
    <x v="0"/>
    <x v="1119"/>
    <x v="16"/>
    <x v="4"/>
    <d v="2025-01-22T00:00:00"/>
    <x v="254"/>
    <x v="5"/>
    <x v="10"/>
    <x v="1"/>
    <x v="1"/>
    <x v="1"/>
    <x v="1"/>
  </r>
  <r>
    <d v="2025-01-22T00:00:00"/>
    <x v="5"/>
    <x v="0"/>
    <x v="1051"/>
    <x v="17"/>
    <x v="3"/>
    <d v="2025-01-22T00:00:00"/>
    <x v="254"/>
    <x v="5"/>
    <x v="10"/>
    <x v="1"/>
    <x v="1"/>
    <x v="1"/>
    <x v="1"/>
  </r>
  <r>
    <d v="2025-01-22T00:00:00"/>
    <x v="5"/>
    <x v="0"/>
    <x v="1051"/>
    <x v="16"/>
    <x v="7"/>
    <d v="2025-01-22T00:00:00"/>
    <x v="254"/>
    <x v="5"/>
    <x v="10"/>
    <x v="1"/>
    <x v="1"/>
    <x v="1"/>
    <x v="1"/>
  </r>
  <r>
    <d v="2025-01-22T00:00:00"/>
    <x v="5"/>
    <x v="0"/>
    <x v="1120"/>
    <x v="16"/>
    <x v="0"/>
    <d v="2025-01-22T00:00:00"/>
    <x v="254"/>
    <x v="5"/>
    <x v="10"/>
    <x v="1"/>
    <x v="1"/>
    <x v="1"/>
    <x v="1"/>
  </r>
  <r>
    <d v="2025-01-22T00:00:00"/>
    <x v="5"/>
    <x v="0"/>
    <x v="1121"/>
    <x v="17"/>
    <x v="3"/>
    <d v="2025-01-22T00:00:00"/>
    <x v="254"/>
    <x v="5"/>
    <x v="10"/>
    <x v="1"/>
    <x v="1"/>
    <x v="1"/>
    <x v="1"/>
  </r>
  <r>
    <d v="2025-01-24T00:00:00"/>
    <x v="0"/>
    <x v="0"/>
    <x v="1034"/>
    <x v="16"/>
    <x v="7"/>
    <d v="2025-01-24T00:00:00"/>
    <x v="219"/>
    <x v="0"/>
    <x v="10"/>
    <x v="1"/>
    <x v="1"/>
    <x v="1"/>
    <x v="1"/>
  </r>
  <r>
    <d v="2025-01-24T00:00:00"/>
    <x v="0"/>
    <x v="0"/>
    <x v="1034"/>
    <x v="18"/>
    <x v="5"/>
    <d v="2025-01-24T00:00:00"/>
    <x v="219"/>
    <x v="0"/>
    <x v="10"/>
    <x v="1"/>
    <x v="1"/>
    <x v="1"/>
    <x v="1"/>
  </r>
  <r>
    <d v="2025-01-24T00:00:00"/>
    <x v="0"/>
    <x v="0"/>
    <x v="1122"/>
    <x v="16"/>
    <x v="4"/>
    <d v="2025-01-24T00:00:00"/>
    <x v="219"/>
    <x v="0"/>
    <x v="10"/>
    <x v="1"/>
    <x v="1"/>
    <x v="1"/>
    <x v="1"/>
  </r>
  <r>
    <d v="2025-01-24T00:00:00"/>
    <x v="0"/>
    <x v="0"/>
    <x v="1123"/>
    <x v="18"/>
    <x v="2"/>
    <d v="2025-01-24T00:00:00"/>
    <x v="219"/>
    <x v="0"/>
    <x v="10"/>
    <x v="1"/>
    <x v="1"/>
    <x v="1"/>
    <x v="1"/>
  </r>
  <r>
    <d v="2025-01-24T00:00:00"/>
    <x v="0"/>
    <x v="0"/>
    <x v="1045"/>
    <x v="16"/>
    <x v="4"/>
    <d v="2025-01-24T00:00:00"/>
    <x v="219"/>
    <x v="0"/>
    <x v="10"/>
    <x v="1"/>
    <x v="1"/>
    <x v="1"/>
    <x v="1"/>
  </r>
  <r>
    <d v="2025-01-24T00:00:00"/>
    <x v="0"/>
    <x v="0"/>
    <x v="1124"/>
    <x v="16"/>
    <x v="1"/>
    <d v="2025-01-24T00:00:00"/>
    <x v="219"/>
    <x v="0"/>
    <x v="10"/>
    <x v="1"/>
    <x v="1"/>
    <x v="1"/>
    <x v="1"/>
  </r>
  <r>
    <d v="2025-01-24T00:00:00"/>
    <x v="0"/>
    <x v="0"/>
    <x v="1124"/>
    <x v="16"/>
    <x v="0"/>
    <d v="2025-01-24T00:00:00"/>
    <x v="219"/>
    <x v="0"/>
    <x v="10"/>
    <x v="1"/>
    <x v="1"/>
    <x v="1"/>
    <x v="1"/>
  </r>
  <r>
    <d v="2025-01-25T00:00:00"/>
    <x v="1"/>
    <x v="0"/>
    <x v="1114"/>
    <x v="16"/>
    <x v="7"/>
    <d v="2025-01-25T00:00:00"/>
    <x v="265"/>
    <x v="1"/>
    <x v="10"/>
    <x v="1"/>
    <x v="1"/>
    <x v="1"/>
    <x v="1"/>
  </r>
  <r>
    <d v="2025-01-25T00:00:00"/>
    <x v="1"/>
    <x v="0"/>
    <x v="1125"/>
    <x v="16"/>
    <x v="7"/>
    <d v="2025-01-25T00:00:00"/>
    <x v="265"/>
    <x v="1"/>
    <x v="10"/>
    <x v="1"/>
    <x v="1"/>
    <x v="1"/>
    <x v="1"/>
  </r>
  <r>
    <d v="2025-01-25T00:00:00"/>
    <x v="1"/>
    <x v="0"/>
    <x v="1126"/>
    <x v="18"/>
    <x v="2"/>
    <d v="2025-01-25T00:00:00"/>
    <x v="265"/>
    <x v="1"/>
    <x v="10"/>
    <x v="1"/>
    <x v="1"/>
    <x v="1"/>
    <x v="1"/>
  </r>
  <r>
    <d v="2025-01-26T00:00:00"/>
    <x v="2"/>
    <x v="0"/>
    <x v="1127"/>
    <x v="18"/>
    <x v="2"/>
    <d v="2025-01-26T00:00:00"/>
    <x v="266"/>
    <x v="2"/>
    <x v="10"/>
    <x v="1"/>
    <x v="1"/>
    <x v="1"/>
    <x v="1"/>
  </r>
  <r>
    <d v="2025-01-26T00:00:00"/>
    <x v="2"/>
    <x v="0"/>
    <x v="1127"/>
    <x v="19"/>
    <x v="6"/>
    <d v="2025-01-26T00:00:00"/>
    <x v="266"/>
    <x v="2"/>
    <x v="10"/>
    <x v="1"/>
    <x v="1"/>
    <x v="1"/>
    <x v="1"/>
  </r>
  <r>
    <d v="2025-01-27T00:00:00"/>
    <x v="3"/>
    <x v="0"/>
    <x v="141"/>
    <x v="18"/>
    <x v="5"/>
    <d v="2025-01-27T00:00:00"/>
    <x v="267"/>
    <x v="3"/>
    <x v="10"/>
    <x v="1"/>
    <x v="1"/>
    <x v="1"/>
    <x v="1"/>
  </r>
  <r>
    <d v="2025-01-27T00:00:00"/>
    <x v="3"/>
    <x v="0"/>
    <x v="141"/>
    <x v="18"/>
    <x v="2"/>
    <d v="2025-01-27T00:00:00"/>
    <x v="267"/>
    <x v="3"/>
    <x v="10"/>
    <x v="1"/>
    <x v="1"/>
    <x v="1"/>
    <x v="1"/>
  </r>
  <r>
    <d v="2025-01-27T00:00:00"/>
    <x v="3"/>
    <x v="0"/>
    <x v="1128"/>
    <x v="16"/>
    <x v="7"/>
    <d v="2025-01-27T00:00:00"/>
    <x v="267"/>
    <x v="3"/>
    <x v="10"/>
    <x v="1"/>
    <x v="1"/>
    <x v="1"/>
    <x v="1"/>
  </r>
  <r>
    <d v="2025-01-27T00:00:00"/>
    <x v="3"/>
    <x v="0"/>
    <x v="276"/>
    <x v="17"/>
    <x v="3"/>
    <d v="2025-01-27T00:00:00"/>
    <x v="267"/>
    <x v="3"/>
    <x v="10"/>
    <x v="1"/>
    <x v="1"/>
    <x v="1"/>
    <x v="1"/>
  </r>
  <r>
    <d v="2025-01-27T00:00:00"/>
    <x v="3"/>
    <x v="0"/>
    <x v="141"/>
    <x v="17"/>
    <x v="3"/>
    <d v="2025-01-27T00:00:00"/>
    <x v="267"/>
    <x v="3"/>
    <x v="10"/>
    <x v="1"/>
    <x v="1"/>
    <x v="1"/>
    <x v="1"/>
  </r>
  <r>
    <d v="2025-01-27T00:00:00"/>
    <x v="3"/>
    <x v="0"/>
    <x v="1129"/>
    <x v="16"/>
    <x v="0"/>
    <d v="2025-01-27T00:00:00"/>
    <x v="267"/>
    <x v="3"/>
    <x v="10"/>
    <x v="1"/>
    <x v="1"/>
    <x v="1"/>
    <x v="1"/>
  </r>
  <r>
    <d v="2025-01-27T00:00:00"/>
    <x v="3"/>
    <x v="0"/>
    <x v="1130"/>
    <x v="16"/>
    <x v="0"/>
    <d v="2025-01-27T00:00:00"/>
    <x v="267"/>
    <x v="3"/>
    <x v="10"/>
    <x v="1"/>
    <x v="1"/>
    <x v="1"/>
    <x v="1"/>
  </r>
  <r>
    <d v="2025-01-27T00:00:00"/>
    <x v="3"/>
    <x v="0"/>
    <x v="1131"/>
    <x v="16"/>
    <x v="0"/>
    <d v="2025-01-27T00:00:00"/>
    <x v="267"/>
    <x v="3"/>
    <x v="10"/>
    <x v="1"/>
    <x v="1"/>
    <x v="1"/>
    <x v="1"/>
  </r>
  <r>
    <d v="2025-01-28T00:00:00"/>
    <x v="4"/>
    <x v="0"/>
    <x v="197"/>
    <x v="16"/>
    <x v="0"/>
    <d v="2025-01-28T00:00:00"/>
    <x v="256"/>
    <x v="4"/>
    <x v="10"/>
    <x v="1"/>
    <x v="1"/>
    <x v="1"/>
    <x v="1"/>
  </r>
  <r>
    <d v="2025-01-28T00:00:00"/>
    <x v="4"/>
    <x v="0"/>
    <x v="1132"/>
    <x v="18"/>
    <x v="2"/>
    <d v="2025-01-28T00:00:00"/>
    <x v="256"/>
    <x v="4"/>
    <x v="10"/>
    <x v="1"/>
    <x v="1"/>
    <x v="1"/>
    <x v="1"/>
  </r>
  <r>
    <d v="2025-01-28T00:00:00"/>
    <x v="4"/>
    <x v="0"/>
    <x v="224"/>
    <x v="17"/>
    <x v="3"/>
    <d v="2025-01-28T00:00:00"/>
    <x v="256"/>
    <x v="4"/>
    <x v="10"/>
    <x v="1"/>
    <x v="1"/>
    <x v="1"/>
    <x v="1"/>
  </r>
  <r>
    <d v="2025-01-28T00:00:00"/>
    <x v="4"/>
    <x v="0"/>
    <x v="1133"/>
    <x v="18"/>
    <x v="2"/>
    <d v="2025-01-28T00:00:00"/>
    <x v="256"/>
    <x v="4"/>
    <x v="10"/>
    <x v="1"/>
    <x v="1"/>
    <x v="1"/>
    <x v="1"/>
  </r>
  <r>
    <d v="2025-01-28T00:00:00"/>
    <x v="4"/>
    <x v="0"/>
    <x v="1134"/>
    <x v="16"/>
    <x v="4"/>
    <d v="2025-01-28T00:00:00"/>
    <x v="256"/>
    <x v="4"/>
    <x v="10"/>
    <x v="1"/>
    <x v="1"/>
    <x v="1"/>
    <x v="1"/>
  </r>
  <r>
    <d v="2025-01-28T00:00:00"/>
    <x v="4"/>
    <x v="0"/>
    <x v="1134"/>
    <x v="18"/>
    <x v="5"/>
    <d v="2025-01-28T00:00:00"/>
    <x v="256"/>
    <x v="4"/>
    <x v="10"/>
    <x v="1"/>
    <x v="1"/>
    <x v="1"/>
    <x v="1"/>
  </r>
  <r>
    <d v="2025-01-28T00:00:00"/>
    <x v="4"/>
    <x v="0"/>
    <x v="1135"/>
    <x v="18"/>
    <x v="2"/>
    <d v="2025-01-28T00:00:00"/>
    <x v="256"/>
    <x v="4"/>
    <x v="10"/>
    <x v="1"/>
    <x v="1"/>
    <x v="1"/>
    <x v="1"/>
  </r>
  <r>
    <d v="2025-01-28T00:00:00"/>
    <x v="4"/>
    <x v="0"/>
    <x v="1136"/>
    <x v="16"/>
    <x v="0"/>
    <d v="2025-01-28T00:00:00"/>
    <x v="256"/>
    <x v="4"/>
    <x v="10"/>
    <x v="1"/>
    <x v="1"/>
    <x v="1"/>
    <x v="1"/>
  </r>
  <r>
    <d v="2025-01-28T00:00:00"/>
    <x v="4"/>
    <x v="0"/>
    <x v="1137"/>
    <x v="16"/>
    <x v="7"/>
    <d v="2025-01-28T00:00:00"/>
    <x v="256"/>
    <x v="4"/>
    <x v="10"/>
    <x v="1"/>
    <x v="1"/>
    <x v="1"/>
    <x v="1"/>
  </r>
  <r>
    <d v="2025-01-29T00:00:00"/>
    <x v="5"/>
    <x v="0"/>
    <x v="1069"/>
    <x v="18"/>
    <x v="2"/>
    <d v="2025-01-29T00:00:00"/>
    <x v="268"/>
    <x v="5"/>
    <x v="10"/>
    <x v="1"/>
    <x v="1"/>
    <x v="1"/>
    <x v="1"/>
  </r>
  <r>
    <d v="2025-01-29T00:00:00"/>
    <x v="5"/>
    <x v="0"/>
    <x v="1138"/>
    <x v="18"/>
    <x v="2"/>
    <d v="2025-01-29T00:00:00"/>
    <x v="268"/>
    <x v="5"/>
    <x v="10"/>
    <x v="1"/>
    <x v="1"/>
    <x v="1"/>
    <x v="1"/>
  </r>
  <r>
    <d v="2025-01-29T00:00:00"/>
    <x v="5"/>
    <x v="0"/>
    <x v="1139"/>
    <x v="17"/>
    <x v="3"/>
    <d v="2025-01-29T00:00:00"/>
    <x v="268"/>
    <x v="5"/>
    <x v="10"/>
    <x v="1"/>
    <x v="1"/>
    <x v="1"/>
    <x v="1"/>
  </r>
  <r>
    <d v="2025-01-29T00:00:00"/>
    <x v="5"/>
    <x v="0"/>
    <x v="1139"/>
    <x v="19"/>
    <x v="6"/>
    <d v="2025-01-29T00:00:00"/>
    <x v="268"/>
    <x v="5"/>
    <x v="10"/>
    <x v="1"/>
    <x v="1"/>
    <x v="1"/>
    <x v="1"/>
  </r>
  <r>
    <d v="2025-01-30T00:00:00"/>
    <x v="6"/>
    <x v="0"/>
    <x v="224"/>
    <x v="17"/>
    <x v="3"/>
    <d v="2025-01-30T00:00:00"/>
    <x v="260"/>
    <x v="6"/>
    <x v="10"/>
    <x v="1"/>
    <x v="1"/>
    <x v="1"/>
    <x v="1"/>
  </r>
  <r>
    <d v="2025-01-30T00:00:00"/>
    <x v="6"/>
    <x v="0"/>
    <x v="276"/>
    <x v="17"/>
    <x v="3"/>
    <d v="2025-01-30T00:00:00"/>
    <x v="260"/>
    <x v="6"/>
    <x v="10"/>
    <x v="1"/>
    <x v="1"/>
    <x v="1"/>
    <x v="1"/>
  </r>
  <r>
    <d v="2025-01-30T00:00:00"/>
    <x v="6"/>
    <x v="0"/>
    <x v="862"/>
    <x v="18"/>
    <x v="5"/>
    <d v="2025-01-30T00:00:00"/>
    <x v="260"/>
    <x v="6"/>
    <x v="10"/>
    <x v="1"/>
    <x v="1"/>
    <x v="1"/>
    <x v="1"/>
  </r>
  <r>
    <d v="2025-01-30T00:00:00"/>
    <x v="6"/>
    <x v="0"/>
    <x v="1140"/>
    <x v="16"/>
    <x v="1"/>
    <d v="2025-01-30T00:00:00"/>
    <x v="260"/>
    <x v="6"/>
    <x v="10"/>
    <x v="1"/>
    <x v="1"/>
    <x v="1"/>
    <x v="1"/>
  </r>
  <r>
    <d v="2025-01-30T00:00:00"/>
    <x v="6"/>
    <x v="0"/>
    <x v="1141"/>
    <x v="18"/>
    <x v="2"/>
    <d v="2025-01-30T00:00:00"/>
    <x v="260"/>
    <x v="6"/>
    <x v="10"/>
    <x v="1"/>
    <x v="1"/>
    <x v="1"/>
    <x v="1"/>
  </r>
  <r>
    <d v="2025-01-30T00:00:00"/>
    <x v="6"/>
    <x v="0"/>
    <x v="1142"/>
    <x v="17"/>
    <x v="3"/>
    <d v="2025-01-30T00:00:00"/>
    <x v="260"/>
    <x v="6"/>
    <x v="10"/>
    <x v="1"/>
    <x v="1"/>
    <x v="1"/>
    <x v="1"/>
  </r>
  <r>
    <d v="2025-01-30T00:00:00"/>
    <x v="6"/>
    <x v="0"/>
    <x v="1143"/>
    <x v="16"/>
    <x v="1"/>
    <d v="2025-01-30T00:00:00"/>
    <x v="260"/>
    <x v="6"/>
    <x v="10"/>
    <x v="1"/>
    <x v="1"/>
    <x v="1"/>
    <x v="1"/>
  </r>
  <r>
    <d v="2025-01-30T00:00:00"/>
    <x v="6"/>
    <x v="0"/>
    <x v="1069"/>
    <x v="17"/>
    <x v="3"/>
    <d v="2025-01-30T00:00:00"/>
    <x v="260"/>
    <x v="6"/>
    <x v="10"/>
    <x v="1"/>
    <x v="1"/>
    <x v="1"/>
    <x v="1"/>
  </r>
  <r>
    <d v="2025-01-30T00:00:00"/>
    <x v="6"/>
    <x v="0"/>
    <x v="1144"/>
    <x v="18"/>
    <x v="5"/>
    <d v="2025-01-30T00:00:00"/>
    <x v="260"/>
    <x v="6"/>
    <x v="10"/>
    <x v="1"/>
    <x v="1"/>
    <x v="1"/>
    <x v="1"/>
  </r>
  <r>
    <d v="2025-01-31T00:00:00"/>
    <x v="0"/>
    <x v="0"/>
    <x v="141"/>
    <x v="18"/>
    <x v="2"/>
    <d v="2025-01-31T00:00:00"/>
    <x v="269"/>
    <x v="0"/>
    <x v="10"/>
    <x v="1"/>
    <x v="1"/>
    <x v="1"/>
    <x v="1"/>
  </r>
  <r>
    <d v="2025-01-31T00:00:00"/>
    <x v="0"/>
    <x v="0"/>
    <x v="141"/>
    <x v="17"/>
    <x v="3"/>
    <d v="2025-01-31T00:00:00"/>
    <x v="269"/>
    <x v="0"/>
    <x v="10"/>
    <x v="1"/>
    <x v="1"/>
    <x v="1"/>
    <x v="1"/>
  </r>
  <r>
    <d v="2025-01-31T00:00:00"/>
    <x v="0"/>
    <x v="0"/>
    <x v="304"/>
    <x v="17"/>
    <x v="3"/>
    <d v="2025-01-31T00:00:00"/>
    <x v="269"/>
    <x v="0"/>
    <x v="10"/>
    <x v="1"/>
    <x v="1"/>
    <x v="1"/>
    <x v="1"/>
  </r>
  <r>
    <d v="2025-01-31T00:00:00"/>
    <x v="0"/>
    <x v="0"/>
    <x v="1145"/>
    <x v="16"/>
    <x v="4"/>
    <d v="2025-01-31T00:00:00"/>
    <x v="269"/>
    <x v="0"/>
    <x v="10"/>
    <x v="1"/>
    <x v="1"/>
    <x v="1"/>
    <x v="1"/>
  </r>
  <r>
    <d v="2025-01-31T00:00:00"/>
    <x v="0"/>
    <x v="0"/>
    <x v="333"/>
    <x v="16"/>
    <x v="7"/>
    <d v="2025-01-31T00:00:00"/>
    <x v="269"/>
    <x v="0"/>
    <x v="10"/>
    <x v="1"/>
    <x v="1"/>
    <x v="1"/>
    <x v="1"/>
  </r>
  <r>
    <d v="2025-01-31T00:00:00"/>
    <x v="0"/>
    <x v="0"/>
    <x v="1133"/>
    <x v="16"/>
    <x v="0"/>
    <d v="2025-01-31T00:00:00"/>
    <x v="269"/>
    <x v="0"/>
    <x v="10"/>
    <x v="1"/>
    <x v="1"/>
    <x v="1"/>
    <x v="1"/>
  </r>
  <r>
    <d v="2025-01-31T00:00:00"/>
    <x v="0"/>
    <x v="0"/>
    <x v="507"/>
    <x v="16"/>
    <x v="0"/>
    <d v="2025-01-31T00:00:00"/>
    <x v="269"/>
    <x v="0"/>
    <x v="10"/>
    <x v="1"/>
    <x v="1"/>
    <x v="1"/>
    <x v="1"/>
  </r>
  <r>
    <d v="2025-01-31T00:00:00"/>
    <x v="0"/>
    <x v="0"/>
    <x v="1146"/>
    <x v="16"/>
    <x v="7"/>
    <d v="2025-01-31T00:00:00"/>
    <x v="269"/>
    <x v="0"/>
    <x v="10"/>
    <x v="1"/>
    <x v="1"/>
    <x v="1"/>
    <x v="1"/>
  </r>
  <r>
    <d v="2025-01-31T00:00:00"/>
    <x v="0"/>
    <x v="0"/>
    <x v="1147"/>
    <x v="17"/>
    <x v="3"/>
    <d v="2025-01-31T00:00:00"/>
    <x v="269"/>
    <x v="0"/>
    <x v="10"/>
    <x v="1"/>
    <x v="1"/>
    <x v="1"/>
    <x v="1"/>
  </r>
  <r>
    <d v="2025-01-31T00:00:00"/>
    <x v="0"/>
    <x v="0"/>
    <x v="1148"/>
    <x v="18"/>
    <x v="2"/>
    <d v="2025-01-31T00:00:00"/>
    <x v="269"/>
    <x v="0"/>
    <x v="10"/>
    <x v="1"/>
    <x v="1"/>
    <x v="1"/>
    <x v="1"/>
  </r>
  <r>
    <d v="2025-02-01T00:00:00"/>
    <x v="1"/>
    <x v="0"/>
    <x v="304"/>
    <x v="17"/>
    <x v="3"/>
    <d v="2025-02-01T00:00:00"/>
    <x v="227"/>
    <x v="1"/>
    <x v="11"/>
    <x v="1"/>
    <x v="1"/>
    <x v="1"/>
    <x v="1"/>
  </r>
  <r>
    <d v="2025-02-01T00:00:00"/>
    <x v="1"/>
    <x v="0"/>
    <x v="224"/>
    <x v="17"/>
    <x v="3"/>
    <d v="2025-02-01T00:00:00"/>
    <x v="227"/>
    <x v="1"/>
    <x v="11"/>
    <x v="1"/>
    <x v="1"/>
    <x v="1"/>
    <x v="1"/>
  </r>
  <r>
    <d v="2025-02-01T00:00:00"/>
    <x v="1"/>
    <x v="0"/>
    <x v="141"/>
    <x v="18"/>
    <x v="5"/>
    <d v="2025-02-01T00:00:00"/>
    <x v="227"/>
    <x v="1"/>
    <x v="11"/>
    <x v="1"/>
    <x v="1"/>
    <x v="1"/>
    <x v="1"/>
  </r>
  <r>
    <d v="2025-02-01T00:00:00"/>
    <x v="1"/>
    <x v="0"/>
    <x v="1149"/>
    <x v="16"/>
    <x v="7"/>
    <d v="2025-02-01T00:00:00"/>
    <x v="227"/>
    <x v="1"/>
    <x v="11"/>
    <x v="1"/>
    <x v="1"/>
    <x v="1"/>
    <x v="1"/>
  </r>
  <r>
    <d v="2025-02-01T00:00:00"/>
    <x v="1"/>
    <x v="0"/>
    <x v="1069"/>
    <x v="16"/>
    <x v="0"/>
    <d v="2025-02-01T00:00:00"/>
    <x v="227"/>
    <x v="1"/>
    <x v="11"/>
    <x v="1"/>
    <x v="1"/>
    <x v="1"/>
    <x v="1"/>
  </r>
  <r>
    <d v="2025-02-01T00:00:00"/>
    <x v="1"/>
    <x v="0"/>
    <x v="1114"/>
    <x v="16"/>
    <x v="7"/>
    <d v="2025-02-01T00:00:00"/>
    <x v="227"/>
    <x v="1"/>
    <x v="11"/>
    <x v="1"/>
    <x v="1"/>
    <x v="1"/>
    <x v="1"/>
  </r>
  <r>
    <d v="2025-02-01T00:00:00"/>
    <x v="1"/>
    <x v="0"/>
    <x v="427"/>
    <x v="17"/>
    <x v="3"/>
    <d v="2025-02-01T00:00:00"/>
    <x v="227"/>
    <x v="1"/>
    <x v="11"/>
    <x v="1"/>
    <x v="1"/>
    <x v="1"/>
    <x v="1"/>
  </r>
  <r>
    <d v="2025-02-02T00:00:00"/>
    <x v="2"/>
    <x v="0"/>
    <x v="1132"/>
    <x v="16"/>
    <x v="7"/>
    <d v="2025-02-02T00:00:00"/>
    <x v="270"/>
    <x v="2"/>
    <x v="11"/>
    <x v="1"/>
    <x v="1"/>
    <x v="1"/>
    <x v="1"/>
  </r>
  <r>
    <d v="2025-02-02T00:00:00"/>
    <x v="2"/>
    <x v="0"/>
    <x v="1150"/>
    <x v="16"/>
    <x v="0"/>
    <d v="2025-02-02T00:00:00"/>
    <x v="270"/>
    <x v="2"/>
    <x v="11"/>
    <x v="1"/>
    <x v="1"/>
    <x v="1"/>
    <x v="1"/>
  </r>
  <r>
    <d v="2025-02-02T00:00:00"/>
    <x v="2"/>
    <x v="0"/>
    <x v="1151"/>
    <x v="16"/>
    <x v="0"/>
    <d v="2025-02-02T00:00:00"/>
    <x v="270"/>
    <x v="2"/>
    <x v="11"/>
    <x v="1"/>
    <x v="1"/>
    <x v="1"/>
    <x v="1"/>
  </r>
  <r>
    <d v="2025-02-02T00:00:00"/>
    <x v="2"/>
    <x v="0"/>
    <x v="265"/>
    <x v="17"/>
    <x v="3"/>
    <d v="2025-02-02T00:00:00"/>
    <x v="270"/>
    <x v="2"/>
    <x v="11"/>
    <x v="1"/>
    <x v="1"/>
    <x v="1"/>
    <x v="1"/>
  </r>
  <r>
    <d v="2025-02-02T00:00:00"/>
    <x v="2"/>
    <x v="0"/>
    <x v="507"/>
    <x v="16"/>
    <x v="0"/>
    <d v="2025-02-02T00:00:00"/>
    <x v="270"/>
    <x v="2"/>
    <x v="11"/>
    <x v="1"/>
    <x v="1"/>
    <x v="1"/>
    <x v="1"/>
  </r>
  <r>
    <d v="2025-02-02T00:00:00"/>
    <x v="2"/>
    <x v="0"/>
    <x v="1152"/>
    <x v="16"/>
    <x v="0"/>
    <d v="2025-02-02T00:00:00"/>
    <x v="270"/>
    <x v="2"/>
    <x v="11"/>
    <x v="1"/>
    <x v="1"/>
    <x v="1"/>
    <x v="1"/>
  </r>
  <r>
    <d v="2025-02-03T00:00:00"/>
    <x v="3"/>
    <x v="0"/>
    <x v="1152"/>
    <x v="16"/>
    <x v="7"/>
    <d v="2025-02-03T00:00:00"/>
    <x v="271"/>
    <x v="3"/>
    <x v="11"/>
    <x v="1"/>
    <x v="1"/>
    <x v="1"/>
    <x v="1"/>
  </r>
  <r>
    <d v="2025-02-03T00:00:00"/>
    <x v="3"/>
    <x v="0"/>
    <x v="1152"/>
    <x v="17"/>
    <x v="3"/>
    <d v="2025-02-03T00:00:00"/>
    <x v="271"/>
    <x v="3"/>
    <x v="11"/>
    <x v="1"/>
    <x v="1"/>
    <x v="1"/>
    <x v="1"/>
  </r>
  <r>
    <d v="2025-02-03T00:00:00"/>
    <x v="3"/>
    <x v="0"/>
    <x v="1152"/>
    <x v="19"/>
    <x v="6"/>
    <d v="2025-02-03T00:00:00"/>
    <x v="271"/>
    <x v="3"/>
    <x v="11"/>
    <x v="1"/>
    <x v="1"/>
    <x v="1"/>
    <x v="1"/>
  </r>
  <r>
    <d v="2025-02-03T00:00:00"/>
    <x v="3"/>
    <x v="0"/>
    <x v="1153"/>
    <x v="17"/>
    <x v="3"/>
    <d v="2025-02-03T00:00:00"/>
    <x v="271"/>
    <x v="3"/>
    <x v="11"/>
    <x v="1"/>
    <x v="1"/>
    <x v="1"/>
    <x v="1"/>
  </r>
  <r>
    <d v="2025-02-03T00:00:00"/>
    <x v="3"/>
    <x v="0"/>
    <x v="1154"/>
    <x v="18"/>
    <x v="2"/>
    <d v="2025-02-03T00:00:00"/>
    <x v="271"/>
    <x v="3"/>
    <x v="11"/>
    <x v="1"/>
    <x v="1"/>
    <x v="1"/>
    <x v="1"/>
  </r>
  <r>
    <d v="2025-02-03T00:00:00"/>
    <x v="3"/>
    <x v="0"/>
    <x v="1155"/>
    <x v="16"/>
    <x v="7"/>
    <d v="2025-02-03T00:00:00"/>
    <x v="271"/>
    <x v="3"/>
    <x v="11"/>
    <x v="1"/>
    <x v="1"/>
    <x v="1"/>
    <x v="1"/>
  </r>
  <r>
    <d v="2025-02-03T00:00:00"/>
    <x v="3"/>
    <x v="0"/>
    <x v="1156"/>
    <x v="17"/>
    <x v="3"/>
    <d v="2025-02-03T00:00:00"/>
    <x v="271"/>
    <x v="3"/>
    <x v="11"/>
    <x v="1"/>
    <x v="1"/>
    <x v="1"/>
    <x v="1"/>
  </r>
  <r>
    <d v="2025-02-03T00:00:00"/>
    <x v="3"/>
    <x v="0"/>
    <x v="1157"/>
    <x v="16"/>
    <x v="7"/>
    <d v="2025-02-03T00:00:00"/>
    <x v="271"/>
    <x v="3"/>
    <x v="11"/>
    <x v="1"/>
    <x v="1"/>
    <x v="1"/>
    <x v="1"/>
  </r>
  <r>
    <d v="2025-02-03T00:00:00"/>
    <x v="3"/>
    <x v="0"/>
    <x v="1158"/>
    <x v="16"/>
    <x v="7"/>
    <d v="2025-02-03T00:00:00"/>
    <x v="271"/>
    <x v="3"/>
    <x v="11"/>
    <x v="1"/>
    <x v="1"/>
    <x v="1"/>
    <x v="1"/>
  </r>
  <r>
    <d v="2025-02-03T00:00:00"/>
    <x v="3"/>
    <x v="0"/>
    <x v="1159"/>
    <x v="18"/>
    <x v="2"/>
    <d v="2025-02-03T00:00:00"/>
    <x v="271"/>
    <x v="3"/>
    <x v="11"/>
    <x v="1"/>
    <x v="1"/>
    <x v="1"/>
    <x v="1"/>
  </r>
  <r>
    <d v="2025-02-03T00:00:00"/>
    <x v="3"/>
    <x v="0"/>
    <x v="1160"/>
    <x v="18"/>
    <x v="2"/>
    <d v="2025-02-03T00:00:00"/>
    <x v="271"/>
    <x v="3"/>
    <x v="11"/>
    <x v="1"/>
    <x v="1"/>
    <x v="1"/>
    <x v="1"/>
  </r>
  <r>
    <d v="2025-02-03T00:00:00"/>
    <x v="3"/>
    <x v="0"/>
    <x v="19"/>
    <x v="16"/>
    <x v="0"/>
    <d v="2025-02-03T00:00:00"/>
    <x v="271"/>
    <x v="3"/>
    <x v="11"/>
    <x v="1"/>
    <x v="1"/>
    <x v="1"/>
    <x v="1"/>
  </r>
  <r>
    <d v="2025-02-03T00:00:00"/>
    <x v="3"/>
    <x v="0"/>
    <x v="507"/>
    <x v="16"/>
    <x v="0"/>
    <d v="2025-02-03T00:00:00"/>
    <x v="271"/>
    <x v="3"/>
    <x v="11"/>
    <x v="1"/>
    <x v="1"/>
    <x v="1"/>
    <x v="1"/>
  </r>
  <r>
    <d v="2025-02-03T00:00:00"/>
    <x v="3"/>
    <x v="0"/>
    <x v="1161"/>
    <x v="16"/>
    <x v="0"/>
    <d v="2025-02-03T00:00:00"/>
    <x v="271"/>
    <x v="3"/>
    <x v="11"/>
    <x v="1"/>
    <x v="1"/>
    <x v="1"/>
    <x v="1"/>
  </r>
  <r>
    <d v="2025-02-03T00:00:00"/>
    <x v="3"/>
    <x v="0"/>
    <x v="1110"/>
    <x v="18"/>
    <x v="2"/>
    <d v="2025-02-03T00:00:00"/>
    <x v="271"/>
    <x v="3"/>
    <x v="11"/>
    <x v="1"/>
    <x v="1"/>
    <x v="1"/>
    <x v="1"/>
  </r>
  <r>
    <d v="2025-02-03T00:00:00"/>
    <x v="3"/>
    <x v="0"/>
    <x v="1160"/>
    <x v="16"/>
    <x v="4"/>
    <d v="2025-02-03T00:00:00"/>
    <x v="271"/>
    <x v="3"/>
    <x v="11"/>
    <x v="1"/>
    <x v="1"/>
    <x v="1"/>
    <x v="1"/>
  </r>
  <r>
    <d v="2025-02-03T00:00:00"/>
    <x v="3"/>
    <x v="0"/>
    <x v="1162"/>
    <x v="17"/>
    <x v="3"/>
    <d v="2025-02-03T00:00:00"/>
    <x v="271"/>
    <x v="3"/>
    <x v="11"/>
    <x v="1"/>
    <x v="1"/>
    <x v="1"/>
    <x v="1"/>
  </r>
  <r>
    <d v="2025-02-03T00:00:00"/>
    <x v="3"/>
    <x v="0"/>
    <x v="1163"/>
    <x v="17"/>
    <x v="3"/>
    <d v="2025-02-03T00:00:00"/>
    <x v="271"/>
    <x v="3"/>
    <x v="11"/>
    <x v="1"/>
    <x v="1"/>
    <x v="1"/>
    <x v="1"/>
  </r>
  <r>
    <d v="2025-02-03T00:00:00"/>
    <x v="3"/>
    <x v="0"/>
    <x v="1164"/>
    <x v="16"/>
    <x v="1"/>
    <d v="2025-02-03T00:00:00"/>
    <x v="271"/>
    <x v="3"/>
    <x v="11"/>
    <x v="1"/>
    <x v="1"/>
    <x v="1"/>
    <x v="1"/>
  </r>
  <r>
    <d v="2025-02-03T00:00:00"/>
    <x v="3"/>
    <x v="0"/>
    <x v="1164"/>
    <x v="16"/>
    <x v="0"/>
    <d v="2025-02-03T00:00:00"/>
    <x v="271"/>
    <x v="3"/>
    <x v="11"/>
    <x v="1"/>
    <x v="1"/>
    <x v="1"/>
    <x v="1"/>
  </r>
  <r>
    <d v="2025-02-03T00:00:00"/>
    <x v="3"/>
    <x v="0"/>
    <x v="1165"/>
    <x v="16"/>
    <x v="1"/>
    <d v="2025-02-03T00:00:00"/>
    <x v="271"/>
    <x v="3"/>
    <x v="11"/>
    <x v="1"/>
    <x v="1"/>
    <x v="1"/>
    <x v="1"/>
  </r>
  <r>
    <d v="2025-02-03T00:00:00"/>
    <x v="3"/>
    <x v="0"/>
    <x v="1166"/>
    <x v="17"/>
    <x v="3"/>
    <d v="2025-02-03T00:00:00"/>
    <x v="271"/>
    <x v="3"/>
    <x v="11"/>
    <x v="1"/>
    <x v="1"/>
    <x v="1"/>
    <x v="1"/>
  </r>
  <r>
    <d v="2025-02-03T00:00:00"/>
    <x v="3"/>
    <x v="0"/>
    <x v="1167"/>
    <x v="18"/>
    <x v="2"/>
    <d v="2025-02-03T00:00:00"/>
    <x v="271"/>
    <x v="3"/>
    <x v="11"/>
    <x v="1"/>
    <x v="1"/>
    <x v="1"/>
    <x v="1"/>
  </r>
  <r>
    <d v="2025-02-03T00:00:00"/>
    <x v="3"/>
    <x v="0"/>
    <x v="1168"/>
    <x v="16"/>
    <x v="4"/>
    <d v="2025-02-03T00:00:00"/>
    <x v="271"/>
    <x v="3"/>
    <x v="11"/>
    <x v="1"/>
    <x v="1"/>
    <x v="1"/>
    <x v="1"/>
  </r>
  <r>
    <d v="2025-02-04T00:00:00"/>
    <x v="4"/>
    <x v="0"/>
    <x v="1163"/>
    <x v="17"/>
    <x v="3"/>
    <d v="2025-02-04T00:00:00"/>
    <x v="160"/>
    <x v="4"/>
    <x v="11"/>
    <x v="1"/>
    <x v="1"/>
    <x v="1"/>
    <x v="1"/>
  </r>
  <r>
    <d v="2025-02-04T00:00:00"/>
    <x v="4"/>
    <x v="0"/>
    <x v="1110"/>
    <x v="18"/>
    <x v="2"/>
    <d v="2025-02-04T00:00:00"/>
    <x v="160"/>
    <x v="4"/>
    <x v="11"/>
    <x v="1"/>
    <x v="1"/>
    <x v="1"/>
    <x v="1"/>
  </r>
  <r>
    <d v="2025-02-04T00:00:00"/>
    <x v="4"/>
    <x v="0"/>
    <x v="1169"/>
    <x v="17"/>
    <x v="3"/>
    <d v="2025-02-04T00:00:00"/>
    <x v="160"/>
    <x v="4"/>
    <x v="11"/>
    <x v="1"/>
    <x v="1"/>
    <x v="1"/>
    <x v="1"/>
  </r>
  <r>
    <d v="2025-02-04T00:00:00"/>
    <x v="4"/>
    <x v="0"/>
    <x v="1160"/>
    <x v="18"/>
    <x v="5"/>
    <d v="2025-02-04T00:00:00"/>
    <x v="160"/>
    <x v="4"/>
    <x v="11"/>
    <x v="1"/>
    <x v="1"/>
    <x v="1"/>
    <x v="1"/>
  </r>
  <r>
    <d v="2025-02-04T00:00:00"/>
    <x v="4"/>
    <x v="0"/>
    <x v="1170"/>
    <x v="18"/>
    <x v="2"/>
    <d v="2025-02-04T00:00:00"/>
    <x v="160"/>
    <x v="4"/>
    <x v="11"/>
    <x v="1"/>
    <x v="1"/>
    <x v="1"/>
    <x v="1"/>
  </r>
  <r>
    <d v="2025-02-04T00:00:00"/>
    <x v="4"/>
    <x v="0"/>
    <x v="1171"/>
    <x v="18"/>
    <x v="2"/>
    <d v="2025-02-04T00:00:00"/>
    <x v="160"/>
    <x v="4"/>
    <x v="11"/>
    <x v="1"/>
    <x v="1"/>
    <x v="1"/>
    <x v="1"/>
  </r>
  <r>
    <d v="2025-02-04T00:00:00"/>
    <x v="4"/>
    <x v="0"/>
    <x v="1157"/>
    <x v="17"/>
    <x v="3"/>
    <d v="2025-02-04T00:00:00"/>
    <x v="160"/>
    <x v="4"/>
    <x v="11"/>
    <x v="1"/>
    <x v="1"/>
    <x v="1"/>
    <x v="1"/>
  </r>
  <r>
    <d v="2025-02-04T00:00:00"/>
    <x v="4"/>
    <x v="0"/>
    <x v="1172"/>
    <x v="16"/>
    <x v="4"/>
    <d v="2025-02-04T00:00:00"/>
    <x v="160"/>
    <x v="4"/>
    <x v="11"/>
    <x v="1"/>
    <x v="1"/>
    <x v="1"/>
    <x v="1"/>
  </r>
  <r>
    <d v="2025-02-04T00:00:00"/>
    <x v="4"/>
    <x v="0"/>
    <x v="1173"/>
    <x v="16"/>
    <x v="4"/>
    <d v="2025-02-04T00:00:00"/>
    <x v="160"/>
    <x v="4"/>
    <x v="11"/>
    <x v="1"/>
    <x v="1"/>
    <x v="1"/>
    <x v="1"/>
  </r>
  <r>
    <d v="2025-02-04T00:00:00"/>
    <x v="4"/>
    <x v="0"/>
    <x v="1174"/>
    <x v="18"/>
    <x v="5"/>
    <d v="2025-02-04T00:00:00"/>
    <x v="160"/>
    <x v="4"/>
    <x v="11"/>
    <x v="1"/>
    <x v="1"/>
    <x v="1"/>
    <x v="1"/>
  </r>
  <r>
    <d v="2025-02-05T00:00:00"/>
    <x v="5"/>
    <x v="0"/>
    <x v="1156"/>
    <x v="17"/>
    <x v="3"/>
    <d v="2025-02-05T00:00:00"/>
    <x v="272"/>
    <x v="5"/>
    <x v="11"/>
    <x v="1"/>
    <x v="1"/>
    <x v="1"/>
    <x v="1"/>
  </r>
  <r>
    <d v="2025-02-05T00:00:00"/>
    <x v="5"/>
    <x v="0"/>
    <x v="1163"/>
    <x v="17"/>
    <x v="3"/>
    <d v="2025-02-05T00:00:00"/>
    <x v="272"/>
    <x v="5"/>
    <x v="11"/>
    <x v="1"/>
    <x v="1"/>
    <x v="1"/>
    <x v="1"/>
  </r>
  <r>
    <d v="2025-02-05T00:00:00"/>
    <x v="5"/>
    <x v="0"/>
    <x v="1163"/>
    <x v="18"/>
    <x v="2"/>
    <d v="2025-02-05T00:00:00"/>
    <x v="272"/>
    <x v="5"/>
    <x v="11"/>
    <x v="1"/>
    <x v="1"/>
    <x v="1"/>
    <x v="1"/>
  </r>
  <r>
    <d v="2025-02-05T00:00:00"/>
    <x v="5"/>
    <x v="0"/>
    <x v="1175"/>
    <x v="18"/>
    <x v="2"/>
    <d v="2025-02-05T00:00:00"/>
    <x v="272"/>
    <x v="5"/>
    <x v="11"/>
    <x v="1"/>
    <x v="1"/>
    <x v="1"/>
    <x v="1"/>
  </r>
  <r>
    <d v="2025-02-05T00:00:00"/>
    <x v="5"/>
    <x v="0"/>
    <x v="1176"/>
    <x v="18"/>
    <x v="2"/>
    <d v="2025-02-05T00:00:00"/>
    <x v="272"/>
    <x v="5"/>
    <x v="11"/>
    <x v="1"/>
    <x v="1"/>
    <x v="1"/>
    <x v="1"/>
  </r>
  <r>
    <d v="2025-02-05T00:00:00"/>
    <x v="5"/>
    <x v="0"/>
    <x v="1171"/>
    <x v="19"/>
    <x v="6"/>
    <d v="2025-02-05T00:00:00"/>
    <x v="272"/>
    <x v="5"/>
    <x v="11"/>
    <x v="1"/>
    <x v="1"/>
    <x v="1"/>
    <x v="1"/>
  </r>
  <r>
    <d v="2025-02-05T00:00:00"/>
    <x v="5"/>
    <x v="0"/>
    <x v="1161"/>
    <x v="16"/>
    <x v="7"/>
    <d v="2025-02-05T00:00:00"/>
    <x v="272"/>
    <x v="5"/>
    <x v="11"/>
    <x v="1"/>
    <x v="1"/>
    <x v="1"/>
    <x v="1"/>
  </r>
  <r>
    <d v="2025-02-05T00:00:00"/>
    <x v="5"/>
    <x v="0"/>
    <x v="1177"/>
    <x v="16"/>
    <x v="7"/>
    <d v="2025-02-05T00:00:00"/>
    <x v="272"/>
    <x v="5"/>
    <x v="11"/>
    <x v="1"/>
    <x v="1"/>
    <x v="1"/>
    <x v="1"/>
  </r>
  <r>
    <d v="2025-02-05T00:00:00"/>
    <x v="5"/>
    <x v="0"/>
    <x v="1165"/>
    <x v="16"/>
    <x v="1"/>
    <d v="2025-02-05T00:00:00"/>
    <x v="272"/>
    <x v="5"/>
    <x v="11"/>
    <x v="1"/>
    <x v="1"/>
    <x v="1"/>
    <x v="1"/>
  </r>
  <r>
    <d v="2025-02-05T00:00:00"/>
    <x v="5"/>
    <x v="0"/>
    <x v="1164"/>
    <x v="16"/>
    <x v="0"/>
    <d v="2025-02-05T00:00:00"/>
    <x v="272"/>
    <x v="5"/>
    <x v="11"/>
    <x v="1"/>
    <x v="1"/>
    <x v="1"/>
    <x v="1"/>
  </r>
  <r>
    <d v="2025-02-05T00:00:00"/>
    <x v="5"/>
    <x v="0"/>
    <x v="1152"/>
    <x v="16"/>
    <x v="4"/>
    <d v="2025-02-05T00:00:00"/>
    <x v="272"/>
    <x v="5"/>
    <x v="11"/>
    <x v="1"/>
    <x v="1"/>
    <x v="1"/>
    <x v="1"/>
  </r>
  <r>
    <d v="2025-02-05T00:00:00"/>
    <x v="5"/>
    <x v="0"/>
    <x v="1178"/>
    <x v="16"/>
    <x v="7"/>
    <d v="2025-02-05T00:00:00"/>
    <x v="272"/>
    <x v="5"/>
    <x v="11"/>
    <x v="1"/>
    <x v="1"/>
    <x v="1"/>
    <x v="1"/>
  </r>
  <r>
    <d v="2025-02-05T00:00:00"/>
    <x v="5"/>
    <x v="0"/>
    <x v="1179"/>
    <x v="16"/>
    <x v="7"/>
    <d v="2025-02-05T00:00:00"/>
    <x v="272"/>
    <x v="5"/>
    <x v="11"/>
    <x v="1"/>
    <x v="1"/>
    <x v="1"/>
    <x v="1"/>
  </r>
  <r>
    <d v="2025-02-05T00:00:00"/>
    <x v="5"/>
    <x v="0"/>
    <x v="1180"/>
    <x v="16"/>
    <x v="4"/>
    <d v="2025-02-05T00:00:00"/>
    <x v="272"/>
    <x v="5"/>
    <x v="11"/>
    <x v="1"/>
    <x v="1"/>
    <x v="1"/>
    <x v="1"/>
  </r>
  <r>
    <d v="2025-02-05T00:00:00"/>
    <x v="5"/>
    <x v="0"/>
    <x v="1157"/>
    <x v="17"/>
    <x v="3"/>
    <d v="2025-02-05T00:00:00"/>
    <x v="272"/>
    <x v="5"/>
    <x v="11"/>
    <x v="1"/>
    <x v="1"/>
    <x v="1"/>
    <x v="1"/>
  </r>
  <r>
    <d v="2025-02-05T00:00:00"/>
    <x v="5"/>
    <x v="0"/>
    <x v="1181"/>
    <x v="16"/>
    <x v="7"/>
    <d v="2025-02-05T00:00:00"/>
    <x v="272"/>
    <x v="5"/>
    <x v="11"/>
    <x v="1"/>
    <x v="1"/>
    <x v="1"/>
    <x v="1"/>
  </r>
  <r>
    <d v="2025-02-05T00:00:00"/>
    <x v="5"/>
    <x v="0"/>
    <x v="507"/>
    <x v="16"/>
    <x v="1"/>
    <d v="2025-02-05T00:00:00"/>
    <x v="272"/>
    <x v="5"/>
    <x v="11"/>
    <x v="1"/>
    <x v="1"/>
    <x v="1"/>
    <x v="1"/>
  </r>
  <r>
    <d v="2025-02-05T00:00:00"/>
    <x v="5"/>
    <x v="0"/>
    <x v="1182"/>
    <x v="16"/>
    <x v="4"/>
    <d v="2025-02-05T00:00:00"/>
    <x v="272"/>
    <x v="5"/>
    <x v="11"/>
    <x v="1"/>
    <x v="1"/>
    <x v="1"/>
    <x v="1"/>
  </r>
  <r>
    <d v="2025-02-06T00:00:00"/>
    <x v="6"/>
    <x v="0"/>
    <x v="1163"/>
    <x v="17"/>
    <x v="3"/>
    <d v="2025-02-06T00:00:00"/>
    <x v="273"/>
    <x v="6"/>
    <x v="11"/>
    <x v="1"/>
    <x v="1"/>
    <x v="1"/>
    <x v="1"/>
  </r>
  <r>
    <d v="2025-02-06T00:00:00"/>
    <x v="6"/>
    <x v="0"/>
    <x v="1171"/>
    <x v="18"/>
    <x v="2"/>
    <d v="2025-02-06T00:00:00"/>
    <x v="273"/>
    <x v="6"/>
    <x v="11"/>
    <x v="1"/>
    <x v="1"/>
    <x v="1"/>
    <x v="1"/>
  </r>
  <r>
    <d v="2025-02-06T00:00:00"/>
    <x v="6"/>
    <x v="0"/>
    <x v="1162"/>
    <x v="17"/>
    <x v="3"/>
    <d v="2025-02-06T00:00:00"/>
    <x v="273"/>
    <x v="6"/>
    <x v="11"/>
    <x v="1"/>
    <x v="1"/>
    <x v="1"/>
    <x v="1"/>
  </r>
  <r>
    <d v="2025-02-06T00:00:00"/>
    <x v="6"/>
    <x v="0"/>
    <x v="1158"/>
    <x v="16"/>
    <x v="7"/>
    <d v="2025-02-06T00:00:00"/>
    <x v="273"/>
    <x v="6"/>
    <x v="11"/>
    <x v="1"/>
    <x v="1"/>
    <x v="1"/>
    <x v="1"/>
  </r>
  <r>
    <d v="2025-02-06T00:00:00"/>
    <x v="6"/>
    <x v="0"/>
    <x v="1163"/>
    <x v="16"/>
    <x v="4"/>
    <d v="2025-02-06T00:00:00"/>
    <x v="273"/>
    <x v="6"/>
    <x v="11"/>
    <x v="1"/>
    <x v="1"/>
    <x v="1"/>
    <x v="1"/>
  </r>
  <r>
    <d v="2025-02-06T00:00:00"/>
    <x v="6"/>
    <x v="0"/>
    <x v="1170"/>
    <x v="16"/>
    <x v="4"/>
    <d v="2025-02-06T00:00:00"/>
    <x v="273"/>
    <x v="6"/>
    <x v="11"/>
    <x v="1"/>
    <x v="1"/>
    <x v="1"/>
    <x v="1"/>
  </r>
  <r>
    <d v="2025-02-06T00:00:00"/>
    <x v="6"/>
    <x v="0"/>
    <x v="1183"/>
    <x v="16"/>
    <x v="4"/>
    <d v="2025-02-06T00:00:00"/>
    <x v="273"/>
    <x v="6"/>
    <x v="11"/>
    <x v="1"/>
    <x v="1"/>
    <x v="1"/>
    <x v="1"/>
  </r>
  <r>
    <d v="2025-02-06T00:00:00"/>
    <x v="6"/>
    <x v="0"/>
    <x v="1184"/>
    <x v="19"/>
    <x v="6"/>
    <d v="2025-02-06T00:00:00"/>
    <x v="273"/>
    <x v="6"/>
    <x v="11"/>
    <x v="1"/>
    <x v="1"/>
    <x v="1"/>
    <x v="1"/>
  </r>
  <r>
    <d v="2025-02-06T00:00:00"/>
    <x v="6"/>
    <x v="0"/>
    <x v="1185"/>
    <x v="16"/>
    <x v="4"/>
    <d v="2025-02-06T00:00:00"/>
    <x v="273"/>
    <x v="6"/>
    <x v="11"/>
    <x v="1"/>
    <x v="1"/>
    <x v="1"/>
    <x v="1"/>
  </r>
  <r>
    <d v="2025-02-06T00:00:00"/>
    <x v="6"/>
    <x v="0"/>
    <x v="1186"/>
    <x v="16"/>
    <x v="4"/>
    <d v="2025-02-06T00:00:00"/>
    <x v="273"/>
    <x v="6"/>
    <x v="11"/>
    <x v="1"/>
    <x v="1"/>
    <x v="1"/>
    <x v="1"/>
  </r>
  <r>
    <d v="2025-02-06T00:00:00"/>
    <x v="6"/>
    <x v="0"/>
    <x v="1163"/>
    <x v="16"/>
    <x v="0"/>
    <d v="2025-02-06T00:00:00"/>
    <x v="273"/>
    <x v="6"/>
    <x v="11"/>
    <x v="1"/>
    <x v="1"/>
    <x v="1"/>
    <x v="1"/>
  </r>
  <r>
    <d v="2025-02-07T00:00:00"/>
    <x v="0"/>
    <x v="0"/>
    <x v="1152"/>
    <x v="17"/>
    <x v="3"/>
    <d v="2025-02-07T00:00:00"/>
    <x v="274"/>
    <x v="0"/>
    <x v="11"/>
    <x v="1"/>
    <x v="1"/>
    <x v="1"/>
    <x v="1"/>
  </r>
  <r>
    <d v="2025-02-07T00:00:00"/>
    <x v="0"/>
    <x v="0"/>
    <x v="1187"/>
    <x v="17"/>
    <x v="3"/>
    <d v="2025-02-07T00:00:00"/>
    <x v="274"/>
    <x v="0"/>
    <x v="11"/>
    <x v="1"/>
    <x v="1"/>
    <x v="1"/>
    <x v="1"/>
  </r>
  <r>
    <d v="2025-02-07T00:00:00"/>
    <x v="0"/>
    <x v="0"/>
    <x v="1188"/>
    <x v="18"/>
    <x v="2"/>
    <d v="2025-02-07T00:00:00"/>
    <x v="274"/>
    <x v="0"/>
    <x v="11"/>
    <x v="1"/>
    <x v="1"/>
    <x v="1"/>
    <x v="1"/>
  </r>
  <r>
    <d v="2025-02-07T00:00:00"/>
    <x v="0"/>
    <x v="0"/>
    <x v="1189"/>
    <x v="16"/>
    <x v="4"/>
    <d v="2025-02-07T00:00:00"/>
    <x v="274"/>
    <x v="0"/>
    <x v="11"/>
    <x v="1"/>
    <x v="1"/>
    <x v="1"/>
    <x v="1"/>
  </r>
  <r>
    <d v="2025-02-07T00:00:00"/>
    <x v="0"/>
    <x v="0"/>
    <x v="1163"/>
    <x v="17"/>
    <x v="3"/>
    <d v="2025-02-07T00:00:00"/>
    <x v="274"/>
    <x v="0"/>
    <x v="11"/>
    <x v="1"/>
    <x v="1"/>
    <x v="1"/>
    <x v="1"/>
  </r>
  <r>
    <d v="2025-02-07T00:00:00"/>
    <x v="0"/>
    <x v="0"/>
    <x v="1190"/>
    <x v="18"/>
    <x v="2"/>
    <d v="2025-02-07T00:00:00"/>
    <x v="274"/>
    <x v="0"/>
    <x v="11"/>
    <x v="1"/>
    <x v="1"/>
    <x v="1"/>
    <x v="1"/>
  </r>
  <r>
    <d v="2025-02-07T00:00:00"/>
    <x v="0"/>
    <x v="0"/>
    <x v="1170"/>
    <x v="18"/>
    <x v="5"/>
    <d v="2025-02-07T00:00:00"/>
    <x v="274"/>
    <x v="0"/>
    <x v="11"/>
    <x v="1"/>
    <x v="1"/>
    <x v="1"/>
    <x v="1"/>
  </r>
  <r>
    <d v="2025-02-07T00:00:00"/>
    <x v="0"/>
    <x v="0"/>
    <x v="1191"/>
    <x v="16"/>
    <x v="0"/>
    <d v="2025-02-07T00:00:00"/>
    <x v="274"/>
    <x v="0"/>
    <x v="11"/>
    <x v="1"/>
    <x v="1"/>
    <x v="1"/>
    <x v="1"/>
  </r>
  <r>
    <d v="2025-02-07T00:00:00"/>
    <x v="0"/>
    <x v="0"/>
    <x v="1165"/>
    <x v="16"/>
    <x v="1"/>
    <d v="2025-02-07T00:00:00"/>
    <x v="274"/>
    <x v="0"/>
    <x v="11"/>
    <x v="1"/>
    <x v="1"/>
    <x v="1"/>
    <x v="1"/>
  </r>
  <r>
    <d v="2025-02-07T00:00:00"/>
    <x v="0"/>
    <x v="0"/>
    <x v="1165"/>
    <x v="16"/>
    <x v="0"/>
    <d v="2025-02-07T00:00:00"/>
    <x v="274"/>
    <x v="0"/>
    <x v="11"/>
    <x v="1"/>
    <x v="1"/>
    <x v="1"/>
    <x v="1"/>
  </r>
  <r>
    <d v="2025-02-07T00:00:00"/>
    <x v="0"/>
    <x v="0"/>
    <x v="1178"/>
    <x v="16"/>
    <x v="4"/>
    <d v="2025-02-07T00:00:00"/>
    <x v="274"/>
    <x v="0"/>
    <x v="11"/>
    <x v="1"/>
    <x v="1"/>
    <x v="1"/>
    <x v="1"/>
  </r>
  <r>
    <d v="2025-02-07T00:00:00"/>
    <x v="0"/>
    <x v="0"/>
    <x v="1179"/>
    <x v="16"/>
    <x v="4"/>
    <d v="2025-02-07T00:00:00"/>
    <x v="274"/>
    <x v="0"/>
    <x v="11"/>
    <x v="1"/>
    <x v="1"/>
    <x v="1"/>
    <x v="1"/>
  </r>
  <r>
    <d v="2025-02-07T00:00:00"/>
    <x v="0"/>
    <x v="0"/>
    <x v="1192"/>
    <x v="18"/>
    <x v="5"/>
    <d v="2025-02-07T00:00:00"/>
    <x v="274"/>
    <x v="0"/>
    <x v="11"/>
    <x v="1"/>
    <x v="1"/>
    <x v="1"/>
    <x v="1"/>
  </r>
  <r>
    <d v="2025-02-07T00:00:00"/>
    <x v="0"/>
    <x v="0"/>
    <x v="1192"/>
    <x v="16"/>
    <x v="4"/>
    <d v="2025-02-07T00:00:00"/>
    <x v="274"/>
    <x v="0"/>
    <x v="11"/>
    <x v="1"/>
    <x v="1"/>
    <x v="1"/>
    <x v="1"/>
  </r>
  <r>
    <d v="2025-02-07T00:00:00"/>
    <x v="0"/>
    <x v="0"/>
    <x v="1193"/>
    <x v="16"/>
    <x v="4"/>
    <d v="2025-02-07T00:00:00"/>
    <x v="274"/>
    <x v="0"/>
    <x v="11"/>
    <x v="1"/>
    <x v="1"/>
    <x v="1"/>
    <x v="1"/>
  </r>
  <r>
    <d v="2025-02-07T00:00:00"/>
    <x v="0"/>
    <x v="0"/>
    <x v="1161"/>
    <x v="18"/>
    <x v="5"/>
    <d v="2025-02-07T00:00:00"/>
    <x v="274"/>
    <x v="0"/>
    <x v="11"/>
    <x v="1"/>
    <x v="1"/>
    <x v="1"/>
    <x v="1"/>
  </r>
  <r>
    <d v="2025-02-08T00:00:00"/>
    <x v="1"/>
    <x v="0"/>
    <x v="1163"/>
    <x v="18"/>
    <x v="2"/>
    <d v="2025-02-08T00:00:00"/>
    <x v="275"/>
    <x v="1"/>
    <x v="11"/>
    <x v="1"/>
    <x v="1"/>
    <x v="1"/>
    <x v="1"/>
  </r>
  <r>
    <d v="2025-02-08T00:00:00"/>
    <x v="1"/>
    <x v="0"/>
    <x v="1153"/>
    <x v="17"/>
    <x v="3"/>
    <d v="2025-02-08T00:00:00"/>
    <x v="275"/>
    <x v="1"/>
    <x v="11"/>
    <x v="1"/>
    <x v="1"/>
    <x v="1"/>
    <x v="1"/>
  </r>
  <r>
    <d v="2025-02-08T00:00:00"/>
    <x v="1"/>
    <x v="0"/>
    <x v="1194"/>
    <x v="18"/>
    <x v="5"/>
    <d v="2025-02-08T00:00:00"/>
    <x v="275"/>
    <x v="1"/>
    <x v="11"/>
    <x v="1"/>
    <x v="1"/>
    <x v="1"/>
    <x v="1"/>
  </r>
  <r>
    <d v="2025-02-08T00:00:00"/>
    <x v="1"/>
    <x v="0"/>
    <x v="1195"/>
    <x v="18"/>
    <x v="2"/>
    <d v="2025-02-08T00:00:00"/>
    <x v="275"/>
    <x v="1"/>
    <x v="11"/>
    <x v="1"/>
    <x v="1"/>
    <x v="1"/>
    <x v="1"/>
  </r>
  <r>
    <d v="2025-02-08T00:00:00"/>
    <x v="1"/>
    <x v="0"/>
    <x v="1167"/>
    <x v="18"/>
    <x v="2"/>
    <d v="2025-02-08T00:00:00"/>
    <x v="275"/>
    <x v="1"/>
    <x v="11"/>
    <x v="1"/>
    <x v="1"/>
    <x v="1"/>
    <x v="1"/>
  </r>
  <r>
    <d v="2025-02-08T00:00:00"/>
    <x v="1"/>
    <x v="0"/>
    <x v="1170"/>
    <x v="18"/>
    <x v="2"/>
    <d v="2025-02-08T00:00:00"/>
    <x v="275"/>
    <x v="1"/>
    <x v="11"/>
    <x v="1"/>
    <x v="1"/>
    <x v="1"/>
    <x v="1"/>
  </r>
  <r>
    <d v="2025-02-08T00:00:00"/>
    <x v="1"/>
    <x v="0"/>
    <x v="1110"/>
    <x v="18"/>
    <x v="2"/>
    <d v="2025-02-08T00:00:00"/>
    <x v="275"/>
    <x v="1"/>
    <x v="11"/>
    <x v="1"/>
    <x v="1"/>
    <x v="1"/>
    <x v="1"/>
  </r>
  <r>
    <d v="2025-02-09T00:00:00"/>
    <x v="2"/>
    <x v="0"/>
    <x v="1161"/>
    <x v="16"/>
    <x v="4"/>
    <d v="2025-02-09T00:00:00"/>
    <x v="184"/>
    <x v="2"/>
    <x v="11"/>
    <x v="1"/>
    <x v="1"/>
    <x v="1"/>
    <x v="1"/>
  </r>
  <r>
    <d v="2025-02-09T00:00:00"/>
    <x v="2"/>
    <x v="0"/>
    <x v="1157"/>
    <x v="17"/>
    <x v="3"/>
    <d v="2025-02-09T00:00:00"/>
    <x v="184"/>
    <x v="2"/>
    <x v="11"/>
    <x v="1"/>
    <x v="1"/>
    <x v="1"/>
    <x v="1"/>
  </r>
  <r>
    <d v="2025-02-09T00:00:00"/>
    <x v="2"/>
    <x v="0"/>
    <x v="1163"/>
    <x v="18"/>
    <x v="2"/>
    <d v="2025-02-09T00:00:00"/>
    <x v="184"/>
    <x v="2"/>
    <x v="11"/>
    <x v="1"/>
    <x v="1"/>
    <x v="1"/>
    <x v="1"/>
  </r>
  <r>
    <d v="2025-02-09T00:00:00"/>
    <x v="2"/>
    <x v="0"/>
    <x v="1196"/>
    <x v="16"/>
    <x v="0"/>
    <d v="2025-02-09T00:00:00"/>
    <x v="184"/>
    <x v="2"/>
    <x v="11"/>
    <x v="1"/>
    <x v="1"/>
    <x v="1"/>
    <x v="1"/>
  </r>
  <r>
    <d v="2025-02-09T00:00:00"/>
    <x v="2"/>
    <x v="0"/>
    <x v="1189"/>
    <x v="16"/>
    <x v="4"/>
    <d v="2025-02-09T00:00:00"/>
    <x v="184"/>
    <x v="2"/>
    <x v="11"/>
    <x v="1"/>
    <x v="1"/>
    <x v="1"/>
    <x v="1"/>
  </r>
  <r>
    <d v="2025-02-09T00:00:00"/>
    <x v="2"/>
    <x v="0"/>
    <x v="1189"/>
    <x v="16"/>
    <x v="0"/>
    <d v="2025-02-09T00:00:00"/>
    <x v="184"/>
    <x v="2"/>
    <x v="11"/>
    <x v="1"/>
    <x v="1"/>
    <x v="1"/>
    <x v="1"/>
  </r>
  <r>
    <d v="2025-02-09T00:00:00"/>
    <x v="2"/>
    <x v="0"/>
    <x v="1178"/>
    <x v="16"/>
    <x v="1"/>
    <d v="2025-02-09T00:00:00"/>
    <x v="184"/>
    <x v="2"/>
    <x v="11"/>
    <x v="1"/>
    <x v="1"/>
    <x v="1"/>
    <x v="1"/>
  </r>
  <r>
    <d v="2025-02-09T00:00:00"/>
    <x v="2"/>
    <x v="0"/>
    <x v="1179"/>
    <x v="16"/>
    <x v="4"/>
    <d v="2025-02-09T00:00:00"/>
    <x v="184"/>
    <x v="2"/>
    <x v="11"/>
    <x v="1"/>
    <x v="1"/>
    <x v="1"/>
    <x v="1"/>
  </r>
  <r>
    <d v="2025-02-09T00:00:00"/>
    <x v="2"/>
    <x v="0"/>
    <x v="1161"/>
    <x v="18"/>
    <x v="5"/>
    <d v="2025-02-09T00:00:00"/>
    <x v="184"/>
    <x v="2"/>
    <x v="11"/>
    <x v="1"/>
    <x v="1"/>
    <x v="1"/>
    <x v="1"/>
  </r>
  <r>
    <d v="2025-02-10T00:00:00"/>
    <x v="3"/>
    <x v="0"/>
    <x v="1152"/>
    <x v="18"/>
    <x v="2"/>
    <d v="2025-02-10T00:00:00"/>
    <x v="276"/>
    <x v="3"/>
    <x v="11"/>
    <x v="1"/>
    <x v="1"/>
    <x v="1"/>
    <x v="1"/>
  </r>
  <r>
    <d v="2025-02-10T00:00:00"/>
    <x v="3"/>
    <x v="0"/>
    <x v="1110"/>
    <x v="18"/>
    <x v="2"/>
    <d v="2025-02-10T00:00:00"/>
    <x v="276"/>
    <x v="3"/>
    <x v="11"/>
    <x v="1"/>
    <x v="1"/>
    <x v="1"/>
    <x v="1"/>
  </r>
  <r>
    <d v="2025-02-10T00:00:00"/>
    <x v="3"/>
    <x v="0"/>
    <x v="1153"/>
    <x v="17"/>
    <x v="3"/>
    <d v="2025-02-10T00:00:00"/>
    <x v="276"/>
    <x v="3"/>
    <x v="11"/>
    <x v="1"/>
    <x v="1"/>
    <x v="1"/>
    <x v="1"/>
  </r>
  <r>
    <d v="2025-02-10T00:00:00"/>
    <x v="3"/>
    <x v="0"/>
    <x v="1167"/>
    <x v="18"/>
    <x v="2"/>
    <d v="2025-02-10T00:00:00"/>
    <x v="276"/>
    <x v="3"/>
    <x v="11"/>
    <x v="1"/>
    <x v="1"/>
    <x v="1"/>
    <x v="1"/>
  </r>
  <r>
    <d v="2025-02-10T00:00:00"/>
    <x v="3"/>
    <x v="0"/>
    <x v="1168"/>
    <x v="16"/>
    <x v="4"/>
    <d v="2025-02-10T00:00:00"/>
    <x v="276"/>
    <x v="3"/>
    <x v="11"/>
    <x v="1"/>
    <x v="1"/>
    <x v="1"/>
    <x v="1"/>
  </r>
  <r>
    <d v="2025-02-10T00:00:00"/>
    <x v="3"/>
    <x v="0"/>
    <x v="1197"/>
    <x v="17"/>
    <x v="3"/>
    <d v="2025-02-10T00:00:00"/>
    <x v="276"/>
    <x v="3"/>
    <x v="11"/>
    <x v="1"/>
    <x v="1"/>
    <x v="1"/>
    <x v="1"/>
  </r>
  <r>
    <d v="2025-02-10T00:00:00"/>
    <x v="3"/>
    <x v="0"/>
    <x v="1198"/>
    <x v="18"/>
    <x v="2"/>
    <d v="2025-02-10T00:00:00"/>
    <x v="276"/>
    <x v="3"/>
    <x v="11"/>
    <x v="1"/>
    <x v="1"/>
    <x v="1"/>
    <x v="1"/>
  </r>
  <r>
    <d v="2025-02-10T00:00:00"/>
    <x v="3"/>
    <x v="0"/>
    <x v="1199"/>
    <x v="16"/>
    <x v="0"/>
    <d v="2025-02-10T00:00:00"/>
    <x v="276"/>
    <x v="3"/>
    <x v="11"/>
    <x v="1"/>
    <x v="1"/>
    <x v="1"/>
    <x v="1"/>
  </r>
  <r>
    <d v="2025-02-10T00:00:00"/>
    <x v="3"/>
    <x v="0"/>
    <x v="1163"/>
    <x v="18"/>
    <x v="2"/>
    <d v="2025-02-10T00:00:00"/>
    <x v="276"/>
    <x v="3"/>
    <x v="11"/>
    <x v="1"/>
    <x v="1"/>
    <x v="1"/>
    <x v="1"/>
  </r>
  <r>
    <d v="2025-02-10T00:00:00"/>
    <x v="3"/>
    <x v="0"/>
    <x v="1163"/>
    <x v="16"/>
    <x v="4"/>
    <d v="2025-02-10T00:00:00"/>
    <x v="276"/>
    <x v="3"/>
    <x v="11"/>
    <x v="1"/>
    <x v="1"/>
    <x v="1"/>
    <x v="1"/>
  </r>
  <r>
    <d v="2025-02-10T00:00:00"/>
    <x v="3"/>
    <x v="0"/>
    <x v="1200"/>
    <x v="16"/>
    <x v="7"/>
    <d v="2025-02-10T00:00:00"/>
    <x v="276"/>
    <x v="3"/>
    <x v="11"/>
    <x v="1"/>
    <x v="1"/>
    <x v="1"/>
    <x v="1"/>
  </r>
  <r>
    <d v="2025-02-10T00:00:00"/>
    <x v="3"/>
    <x v="0"/>
    <x v="1166"/>
    <x v="17"/>
    <x v="3"/>
    <d v="2025-02-10T00:00:00"/>
    <x v="276"/>
    <x v="3"/>
    <x v="11"/>
    <x v="1"/>
    <x v="1"/>
    <x v="1"/>
    <x v="1"/>
  </r>
  <r>
    <d v="2025-02-10T00:00:00"/>
    <x v="3"/>
    <x v="0"/>
    <x v="1191"/>
    <x v="16"/>
    <x v="0"/>
    <d v="2025-02-10T00:00:00"/>
    <x v="276"/>
    <x v="3"/>
    <x v="11"/>
    <x v="1"/>
    <x v="1"/>
    <x v="1"/>
    <x v="1"/>
  </r>
  <r>
    <d v="2025-02-10T00:00:00"/>
    <x v="3"/>
    <x v="0"/>
    <x v="1165"/>
    <x v="16"/>
    <x v="1"/>
    <d v="2025-02-10T00:00:00"/>
    <x v="276"/>
    <x v="3"/>
    <x v="11"/>
    <x v="1"/>
    <x v="1"/>
    <x v="1"/>
    <x v="1"/>
  </r>
  <r>
    <d v="2025-02-10T00:00:00"/>
    <x v="3"/>
    <x v="0"/>
    <x v="1170"/>
    <x v="16"/>
    <x v="4"/>
    <d v="2025-02-10T00:00:00"/>
    <x v="276"/>
    <x v="3"/>
    <x v="11"/>
    <x v="1"/>
    <x v="1"/>
    <x v="1"/>
    <x v="1"/>
  </r>
  <r>
    <d v="2025-02-10T00:00:00"/>
    <x v="3"/>
    <x v="0"/>
    <x v="878"/>
    <x v="18"/>
    <x v="2"/>
    <d v="2025-02-10T00:00:00"/>
    <x v="276"/>
    <x v="3"/>
    <x v="11"/>
    <x v="1"/>
    <x v="1"/>
    <x v="1"/>
    <x v="1"/>
  </r>
  <r>
    <d v="2025-02-10T00:00:00"/>
    <x v="3"/>
    <x v="0"/>
    <x v="1157"/>
    <x v="17"/>
    <x v="3"/>
    <d v="2025-02-10T00:00:00"/>
    <x v="276"/>
    <x v="3"/>
    <x v="11"/>
    <x v="1"/>
    <x v="1"/>
    <x v="1"/>
    <x v="1"/>
  </r>
  <r>
    <d v="2025-02-10T00:00:00"/>
    <x v="3"/>
    <x v="0"/>
    <x v="1178"/>
    <x v="16"/>
    <x v="0"/>
    <d v="2025-02-10T00:00:00"/>
    <x v="276"/>
    <x v="3"/>
    <x v="11"/>
    <x v="1"/>
    <x v="1"/>
    <x v="1"/>
    <x v="1"/>
  </r>
  <r>
    <d v="2025-02-10T00:00:00"/>
    <x v="3"/>
    <x v="0"/>
    <x v="1201"/>
    <x v="16"/>
    <x v="0"/>
    <d v="2025-02-10T00:00:00"/>
    <x v="276"/>
    <x v="3"/>
    <x v="11"/>
    <x v="1"/>
    <x v="1"/>
    <x v="1"/>
    <x v="1"/>
  </r>
  <r>
    <d v="2025-02-11T00:00:00"/>
    <x v="4"/>
    <x v="0"/>
    <x v="1163"/>
    <x v="18"/>
    <x v="2"/>
    <d v="2025-02-11T00:00:00"/>
    <x v="277"/>
    <x v="4"/>
    <x v="11"/>
    <x v="1"/>
    <x v="1"/>
    <x v="1"/>
    <x v="1"/>
  </r>
  <r>
    <d v="2025-02-11T00:00:00"/>
    <x v="4"/>
    <x v="0"/>
    <x v="1176"/>
    <x v="18"/>
    <x v="2"/>
    <d v="2025-02-11T00:00:00"/>
    <x v="277"/>
    <x v="4"/>
    <x v="11"/>
    <x v="1"/>
    <x v="1"/>
    <x v="1"/>
    <x v="1"/>
  </r>
  <r>
    <d v="2025-02-11T00:00:00"/>
    <x v="4"/>
    <x v="0"/>
    <x v="1166"/>
    <x v="17"/>
    <x v="3"/>
    <d v="2025-02-11T00:00:00"/>
    <x v="277"/>
    <x v="4"/>
    <x v="11"/>
    <x v="1"/>
    <x v="1"/>
    <x v="1"/>
    <x v="1"/>
  </r>
  <r>
    <d v="2025-02-11T00:00:00"/>
    <x v="4"/>
    <x v="0"/>
    <x v="1189"/>
    <x v="16"/>
    <x v="4"/>
    <d v="2025-02-11T00:00:00"/>
    <x v="277"/>
    <x v="4"/>
    <x v="11"/>
    <x v="1"/>
    <x v="1"/>
    <x v="1"/>
    <x v="1"/>
  </r>
  <r>
    <d v="2025-02-11T00:00:00"/>
    <x v="4"/>
    <x v="0"/>
    <x v="1156"/>
    <x v="16"/>
    <x v="1"/>
    <d v="2025-02-11T00:00:00"/>
    <x v="277"/>
    <x v="4"/>
    <x v="11"/>
    <x v="1"/>
    <x v="1"/>
    <x v="1"/>
    <x v="1"/>
  </r>
  <r>
    <d v="2025-02-11T00:00:00"/>
    <x v="4"/>
    <x v="0"/>
    <x v="1194"/>
    <x v="17"/>
    <x v="3"/>
    <d v="2025-02-11T00:00:00"/>
    <x v="277"/>
    <x v="4"/>
    <x v="11"/>
    <x v="1"/>
    <x v="1"/>
    <x v="1"/>
    <x v="1"/>
  </r>
  <r>
    <d v="2025-02-11T00:00:00"/>
    <x v="4"/>
    <x v="0"/>
    <x v="1202"/>
    <x v="19"/>
    <x v="6"/>
    <d v="2025-02-11T00:00:00"/>
    <x v="277"/>
    <x v="4"/>
    <x v="11"/>
    <x v="1"/>
    <x v="1"/>
    <x v="1"/>
    <x v="1"/>
  </r>
  <r>
    <d v="2025-02-11T00:00:00"/>
    <x v="4"/>
    <x v="0"/>
    <x v="1163"/>
    <x v="16"/>
    <x v="0"/>
    <d v="2025-02-11T00:00:00"/>
    <x v="277"/>
    <x v="4"/>
    <x v="11"/>
    <x v="1"/>
    <x v="1"/>
    <x v="1"/>
    <x v="1"/>
  </r>
  <r>
    <d v="2025-02-11T00:00:00"/>
    <x v="4"/>
    <x v="0"/>
    <x v="1163"/>
    <x v="17"/>
    <x v="3"/>
    <d v="2025-02-11T00:00:00"/>
    <x v="277"/>
    <x v="4"/>
    <x v="11"/>
    <x v="1"/>
    <x v="1"/>
    <x v="1"/>
    <x v="1"/>
  </r>
  <r>
    <d v="2025-02-11T00:00:00"/>
    <x v="4"/>
    <x v="0"/>
    <x v="1203"/>
    <x v="17"/>
    <x v="3"/>
    <d v="2025-02-11T00:00:00"/>
    <x v="277"/>
    <x v="4"/>
    <x v="11"/>
    <x v="1"/>
    <x v="1"/>
    <x v="1"/>
    <x v="1"/>
  </r>
  <r>
    <d v="2025-02-11T00:00:00"/>
    <x v="4"/>
    <x v="0"/>
    <x v="1110"/>
    <x v="18"/>
    <x v="2"/>
    <d v="2025-02-11T00:00:00"/>
    <x v="277"/>
    <x v="4"/>
    <x v="11"/>
    <x v="1"/>
    <x v="1"/>
    <x v="1"/>
    <x v="1"/>
  </r>
  <r>
    <d v="2025-02-11T00:00:00"/>
    <x v="4"/>
    <x v="0"/>
    <x v="1204"/>
    <x v="16"/>
    <x v="0"/>
    <d v="2025-02-11T00:00:00"/>
    <x v="277"/>
    <x v="4"/>
    <x v="11"/>
    <x v="1"/>
    <x v="1"/>
    <x v="1"/>
    <x v="1"/>
  </r>
  <r>
    <d v="2025-02-11T00:00:00"/>
    <x v="4"/>
    <x v="0"/>
    <x v="1204"/>
    <x v="16"/>
    <x v="4"/>
    <d v="2025-02-11T00:00:00"/>
    <x v="277"/>
    <x v="4"/>
    <x v="11"/>
    <x v="1"/>
    <x v="1"/>
    <x v="1"/>
    <x v="1"/>
  </r>
  <r>
    <d v="2025-02-12T00:00:00"/>
    <x v="5"/>
    <x v="0"/>
    <x v="1200"/>
    <x v="16"/>
    <x v="7"/>
    <d v="2025-02-12T00:00:00"/>
    <x v="274"/>
    <x v="5"/>
    <x v="11"/>
    <x v="1"/>
    <x v="1"/>
    <x v="1"/>
    <x v="1"/>
  </r>
  <r>
    <d v="2025-02-12T00:00:00"/>
    <x v="5"/>
    <x v="0"/>
    <x v="1163"/>
    <x v="18"/>
    <x v="2"/>
    <d v="2025-02-12T00:00:00"/>
    <x v="274"/>
    <x v="5"/>
    <x v="11"/>
    <x v="1"/>
    <x v="1"/>
    <x v="1"/>
    <x v="1"/>
  </r>
  <r>
    <d v="2025-02-12T00:00:00"/>
    <x v="5"/>
    <x v="0"/>
    <x v="1163"/>
    <x v="16"/>
    <x v="4"/>
    <d v="2025-02-12T00:00:00"/>
    <x v="274"/>
    <x v="5"/>
    <x v="11"/>
    <x v="1"/>
    <x v="1"/>
    <x v="1"/>
    <x v="1"/>
  </r>
  <r>
    <d v="2025-02-12T00:00:00"/>
    <x v="5"/>
    <x v="0"/>
    <x v="1153"/>
    <x v="17"/>
    <x v="3"/>
    <d v="2025-02-12T00:00:00"/>
    <x v="274"/>
    <x v="5"/>
    <x v="11"/>
    <x v="1"/>
    <x v="1"/>
    <x v="1"/>
    <x v="1"/>
  </r>
  <r>
    <d v="2025-02-12T00:00:00"/>
    <x v="5"/>
    <x v="0"/>
    <x v="1188"/>
    <x v="18"/>
    <x v="2"/>
    <d v="2025-02-12T00:00:00"/>
    <x v="274"/>
    <x v="5"/>
    <x v="11"/>
    <x v="1"/>
    <x v="1"/>
    <x v="1"/>
    <x v="1"/>
  </r>
  <r>
    <d v="2025-02-12T00:00:00"/>
    <x v="5"/>
    <x v="0"/>
    <x v="1205"/>
    <x v="18"/>
    <x v="2"/>
    <d v="2025-02-12T00:00:00"/>
    <x v="274"/>
    <x v="5"/>
    <x v="11"/>
    <x v="1"/>
    <x v="1"/>
    <x v="1"/>
    <x v="1"/>
  </r>
  <r>
    <d v="2025-02-12T00:00:00"/>
    <x v="5"/>
    <x v="0"/>
    <x v="1206"/>
    <x v="18"/>
    <x v="2"/>
    <d v="2025-02-12T00:00:00"/>
    <x v="274"/>
    <x v="5"/>
    <x v="11"/>
    <x v="1"/>
    <x v="1"/>
    <x v="1"/>
    <x v="1"/>
  </r>
  <r>
    <d v="2025-02-12T00:00:00"/>
    <x v="5"/>
    <x v="0"/>
    <x v="1160"/>
    <x v="16"/>
    <x v="1"/>
    <d v="2025-02-12T00:00:00"/>
    <x v="274"/>
    <x v="5"/>
    <x v="11"/>
    <x v="1"/>
    <x v="1"/>
    <x v="1"/>
    <x v="1"/>
  </r>
  <r>
    <d v="2025-02-12T00:00:00"/>
    <x v="5"/>
    <x v="0"/>
    <x v="1164"/>
    <x v="16"/>
    <x v="1"/>
    <d v="2025-02-12T00:00:00"/>
    <x v="274"/>
    <x v="5"/>
    <x v="11"/>
    <x v="1"/>
    <x v="1"/>
    <x v="1"/>
    <x v="1"/>
  </r>
  <r>
    <d v="2025-02-12T00:00:00"/>
    <x v="5"/>
    <x v="0"/>
    <x v="1191"/>
    <x v="16"/>
    <x v="0"/>
    <d v="2025-02-12T00:00:00"/>
    <x v="274"/>
    <x v="5"/>
    <x v="11"/>
    <x v="1"/>
    <x v="1"/>
    <x v="1"/>
    <x v="1"/>
  </r>
  <r>
    <d v="2025-02-12T00:00:00"/>
    <x v="5"/>
    <x v="0"/>
    <x v="1165"/>
    <x v="16"/>
    <x v="1"/>
    <d v="2025-02-12T00:00:00"/>
    <x v="274"/>
    <x v="5"/>
    <x v="11"/>
    <x v="1"/>
    <x v="1"/>
    <x v="1"/>
    <x v="1"/>
  </r>
  <r>
    <d v="2025-02-12T00:00:00"/>
    <x v="5"/>
    <x v="0"/>
    <x v="1160"/>
    <x v="18"/>
    <x v="2"/>
    <d v="2025-02-12T00:00:00"/>
    <x v="274"/>
    <x v="5"/>
    <x v="11"/>
    <x v="1"/>
    <x v="1"/>
    <x v="1"/>
    <x v="1"/>
  </r>
  <r>
    <d v="2025-02-12T00:00:00"/>
    <x v="5"/>
    <x v="0"/>
    <x v="1110"/>
    <x v="18"/>
    <x v="2"/>
    <d v="2025-02-12T00:00:00"/>
    <x v="274"/>
    <x v="5"/>
    <x v="11"/>
    <x v="1"/>
    <x v="1"/>
    <x v="1"/>
    <x v="1"/>
  </r>
  <r>
    <d v="2025-02-12T00:00:00"/>
    <x v="5"/>
    <x v="0"/>
    <x v="507"/>
    <x v="16"/>
    <x v="0"/>
    <d v="2025-02-12T00:00:00"/>
    <x v="274"/>
    <x v="5"/>
    <x v="11"/>
    <x v="1"/>
    <x v="1"/>
    <x v="1"/>
    <x v="1"/>
  </r>
  <r>
    <d v="2025-02-12T00:00:00"/>
    <x v="5"/>
    <x v="0"/>
    <x v="1178"/>
    <x v="16"/>
    <x v="4"/>
    <d v="2025-02-12T00:00:00"/>
    <x v="274"/>
    <x v="5"/>
    <x v="11"/>
    <x v="1"/>
    <x v="1"/>
    <x v="1"/>
    <x v="1"/>
  </r>
  <r>
    <d v="2025-02-12T00:00:00"/>
    <x v="5"/>
    <x v="0"/>
    <x v="1158"/>
    <x v="16"/>
    <x v="7"/>
    <d v="2025-02-12T00:00:00"/>
    <x v="274"/>
    <x v="5"/>
    <x v="11"/>
    <x v="1"/>
    <x v="1"/>
    <x v="1"/>
    <x v="1"/>
  </r>
  <r>
    <d v="2025-02-13T00:00:00"/>
    <x v="6"/>
    <x v="0"/>
    <x v="1153"/>
    <x v="17"/>
    <x v="3"/>
    <d v="2025-02-13T00:00:00"/>
    <x v="278"/>
    <x v="6"/>
    <x v="11"/>
    <x v="1"/>
    <x v="1"/>
    <x v="1"/>
    <x v="1"/>
  </r>
  <r>
    <d v="2025-02-13T00:00:00"/>
    <x v="6"/>
    <x v="0"/>
    <x v="1152"/>
    <x v="18"/>
    <x v="2"/>
    <d v="2025-02-13T00:00:00"/>
    <x v="278"/>
    <x v="6"/>
    <x v="11"/>
    <x v="1"/>
    <x v="1"/>
    <x v="1"/>
    <x v="1"/>
  </r>
  <r>
    <d v="2025-02-13T00:00:00"/>
    <x v="6"/>
    <x v="0"/>
    <x v="1207"/>
    <x v="19"/>
    <x v="6"/>
    <d v="2025-02-13T00:00:00"/>
    <x v="278"/>
    <x v="6"/>
    <x v="11"/>
    <x v="1"/>
    <x v="1"/>
    <x v="1"/>
    <x v="1"/>
  </r>
  <r>
    <d v="2025-02-13T00:00:00"/>
    <x v="6"/>
    <x v="0"/>
    <x v="1168"/>
    <x v="16"/>
    <x v="4"/>
    <d v="2025-02-13T00:00:00"/>
    <x v="278"/>
    <x v="6"/>
    <x v="11"/>
    <x v="1"/>
    <x v="1"/>
    <x v="1"/>
    <x v="1"/>
  </r>
  <r>
    <d v="2025-02-13T00:00:00"/>
    <x v="6"/>
    <x v="0"/>
    <x v="1156"/>
    <x v="17"/>
    <x v="3"/>
    <d v="2025-02-13T00:00:00"/>
    <x v="278"/>
    <x v="6"/>
    <x v="11"/>
    <x v="1"/>
    <x v="1"/>
    <x v="1"/>
    <x v="1"/>
  </r>
  <r>
    <d v="2025-02-13T00:00:00"/>
    <x v="6"/>
    <x v="0"/>
    <x v="1157"/>
    <x v="17"/>
    <x v="3"/>
    <d v="2025-02-13T00:00:00"/>
    <x v="278"/>
    <x v="6"/>
    <x v="11"/>
    <x v="1"/>
    <x v="1"/>
    <x v="1"/>
    <x v="1"/>
  </r>
  <r>
    <d v="2025-02-13T00:00:00"/>
    <x v="6"/>
    <x v="0"/>
    <x v="1163"/>
    <x v="18"/>
    <x v="2"/>
    <d v="2025-02-13T00:00:00"/>
    <x v="278"/>
    <x v="6"/>
    <x v="11"/>
    <x v="1"/>
    <x v="1"/>
    <x v="1"/>
    <x v="1"/>
  </r>
  <r>
    <d v="2025-02-13T00:00:00"/>
    <x v="6"/>
    <x v="0"/>
    <x v="1178"/>
    <x v="17"/>
    <x v="3"/>
    <d v="2025-02-13T00:00:00"/>
    <x v="278"/>
    <x v="6"/>
    <x v="11"/>
    <x v="1"/>
    <x v="1"/>
    <x v="1"/>
    <x v="1"/>
  </r>
  <r>
    <d v="2025-02-13T00:00:00"/>
    <x v="6"/>
    <x v="0"/>
    <x v="1179"/>
    <x v="17"/>
    <x v="3"/>
    <d v="2025-02-13T00:00:00"/>
    <x v="278"/>
    <x v="6"/>
    <x v="11"/>
    <x v="1"/>
    <x v="1"/>
    <x v="1"/>
    <x v="1"/>
  </r>
  <r>
    <d v="2025-02-13T00:00:00"/>
    <x v="6"/>
    <x v="0"/>
    <x v="1208"/>
    <x v="16"/>
    <x v="0"/>
    <d v="2025-02-13T00:00:00"/>
    <x v="278"/>
    <x v="6"/>
    <x v="11"/>
    <x v="1"/>
    <x v="1"/>
    <x v="1"/>
    <x v="1"/>
  </r>
  <r>
    <d v="2025-02-13T00:00:00"/>
    <x v="6"/>
    <x v="0"/>
    <x v="46"/>
    <x v="16"/>
    <x v="7"/>
    <d v="2025-02-13T00:00:00"/>
    <x v="278"/>
    <x v="6"/>
    <x v="11"/>
    <x v="1"/>
    <x v="1"/>
    <x v="1"/>
    <x v="1"/>
  </r>
  <r>
    <d v="2025-02-13T00:00:00"/>
    <x v="6"/>
    <x v="0"/>
    <x v="1209"/>
    <x v="16"/>
    <x v="0"/>
    <d v="2025-02-13T00:00:00"/>
    <x v="278"/>
    <x v="6"/>
    <x v="11"/>
    <x v="1"/>
    <x v="1"/>
    <x v="1"/>
    <x v="1"/>
  </r>
  <r>
    <d v="2025-02-14T00:00:00"/>
    <x v="0"/>
    <x v="0"/>
    <x v="1163"/>
    <x v="18"/>
    <x v="2"/>
    <d v="2025-02-14T00:00:00"/>
    <x v="279"/>
    <x v="0"/>
    <x v="11"/>
    <x v="1"/>
    <x v="1"/>
    <x v="1"/>
    <x v="1"/>
  </r>
  <r>
    <d v="2025-02-14T00:00:00"/>
    <x v="0"/>
    <x v="0"/>
    <x v="1210"/>
    <x v="16"/>
    <x v="1"/>
    <d v="2025-02-14T00:00:00"/>
    <x v="279"/>
    <x v="0"/>
    <x v="11"/>
    <x v="1"/>
    <x v="1"/>
    <x v="1"/>
    <x v="1"/>
  </r>
  <r>
    <d v="2025-02-14T00:00:00"/>
    <x v="0"/>
    <x v="0"/>
    <x v="1198"/>
    <x v="18"/>
    <x v="2"/>
    <d v="2025-02-14T00:00:00"/>
    <x v="279"/>
    <x v="0"/>
    <x v="11"/>
    <x v="1"/>
    <x v="1"/>
    <x v="1"/>
    <x v="1"/>
  </r>
  <r>
    <d v="2025-02-14T00:00:00"/>
    <x v="0"/>
    <x v="0"/>
    <x v="1198"/>
    <x v="19"/>
    <x v="6"/>
    <d v="2025-02-14T00:00:00"/>
    <x v="279"/>
    <x v="0"/>
    <x v="11"/>
    <x v="1"/>
    <x v="1"/>
    <x v="1"/>
    <x v="1"/>
  </r>
  <r>
    <d v="2025-02-14T00:00:00"/>
    <x v="0"/>
    <x v="0"/>
    <x v="1211"/>
    <x v="17"/>
    <x v="3"/>
    <d v="2025-02-14T00:00:00"/>
    <x v="279"/>
    <x v="0"/>
    <x v="11"/>
    <x v="1"/>
    <x v="1"/>
    <x v="1"/>
    <x v="1"/>
  </r>
  <r>
    <d v="2025-02-14T00:00:00"/>
    <x v="0"/>
    <x v="0"/>
    <x v="1200"/>
    <x v="16"/>
    <x v="7"/>
    <d v="2025-02-14T00:00:00"/>
    <x v="279"/>
    <x v="0"/>
    <x v="11"/>
    <x v="1"/>
    <x v="1"/>
    <x v="1"/>
    <x v="1"/>
  </r>
  <r>
    <d v="2025-02-14T00:00:00"/>
    <x v="0"/>
    <x v="0"/>
    <x v="507"/>
    <x v="16"/>
    <x v="7"/>
    <d v="2025-02-14T00:00:00"/>
    <x v="279"/>
    <x v="0"/>
    <x v="11"/>
    <x v="1"/>
    <x v="1"/>
    <x v="1"/>
    <x v="1"/>
  </r>
  <r>
    <d v="2025-02-14T00:00:00"/>
    <x v="0"/>
    <x v="0"/>
    <x v="507"/>
    <x v="16"/>
    <x v="0"/>
    <d v="2025-02-14T00:00:00"/>
    <x v="279"/>
    <x v="0"/>
    <x v="11"/>
    <x v="1"/>
    <x v="1"/>
    <x v="1"/>
    <x v="1"/>
  </r>
  <r>
    <d v="2025-02-14T00:00:00"/>
    <x v="0"/>
    <x v="0"/>
    <x v="1212"/>
    <x v="16"/>
    <x v="1"/>
    <d v="2025-02-14T00:00:00"/>
    <x v="279"/>
    <x v="0"/>
    <x v="11"/>
    <x v="1"/>
    <x v="1"/>
    <x v="1"/>
    <x v="1"/>
  </r>
  <r>
    <d v="2025-02-14T00:00:00"/>
    <x v="0"/>
    <x v="0"/>
    <x v="1212"/>
    <x v="16"/>
    <x v="7"/>
    <d v="2025-02-14T00:00:00"/>
    <x v="279"/>
    <x v="0"/>
    <x v="11"/>
    <x v="1"/>
    <x v="1"/>
    <x v="1"/>
    <x v="1"/>
  </r>
  <r>
    <d v="2025-02-14T00:00:00"/>
    <x v="0"/>
    <x v="0"/>
    <x v="1160"/>
    <x v="18"/>
    <x v="2"/>
    <d v="2025-02-14T00:00:00"/>
    <x v="279"/>
    <x v="0"/>
    <x v="11"/>
    <x v="1"/>
    <x v="1"/>
    <x v="1"/>
    <x v="1"/>
  </r>
  <r>
    <d v="2025-02-14T00:00:00"/>
    <x v="0"/>
    <x v="0"/>
    <x v="1160"/>
    <x v="16"/>
    <x v="4"/>
    <d v="2025-02-14T00:00:00"/>
    <x v="279"/>
    <x v="0"/>
    <x v="11"/>
    <x v="1"/>
    <x v="1"/>
    <x v="1"/>
    <x v="1"/>
  </r>
  <r>
    <d v="2025-02-14T00:00:00"/>
    <x v="0"/>
    <x v="0"/>
    <x v="1202"/>
    <x v="19"/>
    <x v="6"/>
    <d v="2025-02-14T00:00:00"/>
    <x v="279"/>
    <x v="0"/>
    <x v="11"/>
    <x v="1"/>
    <x v="1"/>
    <x v="1"/>
    <x v="1"/>
  </r>
  <r>
    <d v="2025-02-14T00:00:00"/>
    <x v="0"/>
    <x v="0"/>
    <x v="1213"/>
    <x v="17"/>
    <x v="3"/>
    <d v="2025-02-14T00:00:00"/>
    <x v="279"/>
    <x v="0"/>
    <x v="11"/>
    <x v="1"/>
    <x v="1"/>
    <x v="1"/>
    <x v="1"/>
  </r>
  <r>
    <d v="2025-02-14T00:00:00"/>
    <x v="0"/>
    <x v="0"/>
    <x v="1214"/>
    <x v="18"/>
    <x v="2"/>
    <d v="2025-02-14T00:00:00"/>
    <x v="279"/>
    <x v="0"/>
    <x v="11"/>
    <x v="1"/>
    <x v="1"/>
    <x v="1"/>
    <x v="1"/>
  </r>
  <r>
    <d v="2025-02-15T00:00:00"/>
    <x v="1"/>
    <x v="0"/>
    <x v="1200"/>
    <x v="16"/>
    <x v="7"/>
    <d v="2025-02-15T00:00:00"/>
    <x v="280"/>
    <x v="1"/>
    <x v="11"/>
    <x v="1"/>
    <x v="1"/>
    <x v="1"/>
    <x v="1"/>
  </r>
  <r>
    <d v="2025-02-15T00:00:00"/>
    <x v="1"/>
    <x v="0"/>
    <x v="1163"/>
    <x v="16"/>
    <x v="7"/>
    <d v="2025-02-15T00:00:00"/>
    <x v="280"/>
    <x v="1"/>
    <x v="11"/>
    <x v="1"/>
    <x v="1"/>
    <x v="1"/>
    <x v="1"/>
  </r>
  <r>
    <d v="2025-02-15T00:00:00"/>
    <x v="1"/>
    <x v="0"/>
    <x v="1163"/>
    <x v="18"/>
    <x v="2"/>
    <d v="2025-02-15T00:00:00"/>
    <x v="280"/>
    <x v="1"/>
    <x v="11"/>
    <x v="1"/>
    <x v="1"/>
    <x v="1"/>
    <x v="1"/>
  </r>
  <r>
    <d v="2025-02-15T00:00:00"/>
    <x v="1"/>
    <x v="0"/>
    <x v="878"/>
    <x v="17"/>
    <x v="3"/>
    <d v="2025-02-15T00:00:00"/>
    <x v="280"/>
    <x v="1"/>
    <x v="11"/>
    <x v="1"/>
    <x v="1"/>
    <x v="1"/>
    <x v="1"/>
  </r>
  <r>
    <d v="2025-02-15T00:00:00"/>
    <x v="1"/>
    <x v="0"/>
    <x v="1200"/>
    <x v="17"/>
    <x v="3"/>
    <d v="2025-02-15T00:00:00"/>
    <x v="280"/>
    <x v="1"/>
    <x v="11"/>
    <x v="1"/>
    <x v="1"/>
    <x v="1"/>
    <x v="1"/>
  </r>
  <r>
    <d v="2025-02-15T00:00:00"/>
    <x v="1"/>
    <x v="0"/>
    <x v="1184"/>
    <x v="16"/>
    <x v="7"/>
    <d v="2025-02-15T00:00:00"/>
    <x v="280"/>
    <x v="1"/>
    <x v="11"/>
    <x v="1"/>
    <x v="1"/>
    <x v="1"/>
    <x v="1"/>
  </r>
  <r>
    <d v="2025-02-15T00:00:00"/>
    <x v="1"/>
    <x v="0"/>
    <x v="1215"/>
    <x v="18"/>
    <x v="2"/>
    <d v="2025-02-15T00:00:00"/>
    <x v="280"/>
    <x v="1"/>
    <x v="11"/>
    <x v="1"/>
    <x v="1"/>
    <x v="1"/>
    <x v="1"/>
  </r>
  <r>
    <d v="2025-02-15T00:00:00"/>
    <x v="1"/>
    <x v="0"/>
    <x v="1201"/>
    <x v="16"/>
    <x v="1"/>
    <d v="2025-02-15T00:00:00"/>
    <x v="280"/>
    <x v="1"/>
    <x v="11"/>
    <x v="1"/>
    <x v="1"/>
    <x v="1"/>
    <x v="1"/>
  </r>
  <r>
    <d v="2025-02-15T00:00:00"/>
    <x v="1"/>
    <x v="0"/>
    <x v="1179"/>
    <x v="16"/>
    <x v="1"/>
    <d v="2025-02-15T00:00:00"/>
    <x v="280"/>
    <x v="1"/>
    <x v="11"/>
    <x v="1"/>
    <x v="1"/>
    <x v="1"/>
    <x v="1"/>
  </r>
  <r>
    <d v="2025-02-16T00:00:00"/>
    <x v="2"/>
    <x v="0"/>
    <x v="1216"/>
    <x v="18"/>
    <x v="2"/>
    <d v="2025-02-16T00:00:00"/>
    <x v="281"/>
    <x v="2"/>
    <x v="11"/>
    <x v="1"/>
    <x v="1"/>
    <x v="1"/>
    <x v="1"/>
  </r>
  <r>
    <d v="2025-02-16T00:00:00"/>
    <x v="2"/>
    <x v="0"/>
    <x v="1169"/>
    <x v="18"/>
    <x v="2"/>
    <d v="2025-02-16T00:00:00"/>
    <x v="281"/>
    <x v="2"/>
    <x v="11"/>
    <x v="1"/>
    <x v="1"/>
    <x v="1"/>
    <x v="1"/>
  </r>
  <r>
    <d v="2025-02-16T00:00:00"/>
    <x v="2"/>
    <x v="0"/>
    <x v="1169"/>
    <x v="17"/>
    <x v="3"/>
    <d v="2025-02-16T00:00:00"/>
    <x v="281"/>
    <x v="2"/>
    <x v="11"/>
    <x v="1"/>
    <x v="1"/>
    <x v="1"/>
    <x v="1"/>
  </r>
  <r>
    <d v="2025-02-16T00:00:00"/>
    <x v="2"/>
    <x v="0"/>
    <x v="1156"/>
    <x v="16"/>
    <x v="1"/>
    <d v="2025-02-16T00:00:00"/>
    <x v="281"/>
    <x v="2"/>
    <x v="11"/>
    <x v="1"/>
    <x v="1"/>
    <x v="1"/>
    <x v="1"/>
  </r>
  <r>
    <d v="2025-02-16T00:00:00"/>
    <x v="2"/>
    <x v="0"/>
    <x v="1160"/>
    <x v="18"/>
    <x v="2"/>
    <d v="2025-02-16T00:00:00"/>
    <x v="281"/>
    <x v="2"/>
    <x v="11"/>
    <x v="1"/>
    <x v="1"/>
    <x v="1"/>
    <x v="1"/>
  </r>
  <r>
    <d v="2025-02-16T00:00:00"/>
    <x v="2"/>
    <x v="0"/>
    <x v="1196"/>
    <x v="16"/>
    <x v="1"/>
    <d v="2025-02-16T00:00:00"/>
    <x v="281"/>
    <x v="2"/>
    <x v="11"/>
    <x v="1"/>
    <x v="1"/>
    <x v="1"/>
    <x v="1"/>
  </r>
  <r>
    <d v="2025-02-16T00:00:00"/>
    <x v="2"/>
    <x v="0"/>
    <x v="1196"/>
    <x v="16"/>
    <x v="0"/>
    <d v="2025-02-16T00:00:00"/>
    <x v="281"/>
    <x v="2"/>
    <x v="11"/>
    <x v="1"/>
    <x v="1"/>
    <x v="1"/>
    <x v="1"/>
  </r>
  <r>
    <d v="2025-02-16T00:00:00"/>
    <x v="2"/>
    <x v="0"/>
    <x v="1163"/>
    <x v="16"/>
    <x v="1"/>
    <d v="2025-02-16T00:00:00"/>
    <x v="281"/>
    <x v="2"/>
    <x v="11"/>
    <x v="1"/>
    <x v="1"/>
    <x v="1"/>
    <x v="1"/>
  </r>
  <r>
    <d v="2025-02-16T00:00:00"/>
    <x v="2"/>
    <x v="0"/>
    <x v="1163"/>
    <x v="17"/>
    <x v="3"/>
    <d v="2025-02-16T00:00:00"/>
    <x v="281"/>
    <x v="2"/>
    <x v="11"/>
    <x v="1"/>
    <x v="1"/>
    <x v="1"/>
    <x v="1"/>
  </r>
  <r>
    <d v="2025-02-16T00:00:00"/>
    <x v="2"/>
    <x v="0"/>
    <x v="1217"/>
    <x v="17"/>
    <x v="3"/>
    <d v="2025-02-16T00:00:00"/>
    <x v="281"/>
    <x v="2"/>
    <x v="11"/>
    <x v="1"/>
    <x v="1"/>
    <x v="1"/>
    <x v="1"/>
  </r>
  <r>
    <d v="2025-02-17T00:00:00"/>
    <x v="3"/>
    <x v="0"/>
    <x v="1200"/>
    <x v="16"/>
    <x v="7"/>
    <d v="2025-02-17T00:00:00"/>
    <x v="282"/>
    <x v="3"/>
    <x v="11"/>
    <x v="1"/>
    <x v="1"/>
    <x v="1"/>
    <x v="1"/>
  </r>
  <r>
    <d v="2025-02-17T00:00:00"/>
    <x v="3"/>
    <x v="0"/>
    <x v="1163"/>
    <x v="18"/>
    <x v="2"/>
    <d v="2025-02-17T00:00:00"/>
    <x v="282"/>
    <x v="3"/>
    <x v="11"/>
    <x v="1"/>
    <x v="1"/>
    <x v="1"/>
    <x v="1"/>
  </r>
  <r>
    <d v="2025-02-17T00:00:00"/>
    <x v="3"/>
    <x v="0"/>
    <x v="1160"/>
    <x v="18"/>
    <x v="2"/>
    <d v="2025-02-17T00:00:00"/>
    <x v="282"/>
    <x v="3"/>
    <x v="11"/>
    <x v="1"/>
    <x v="1"/>
    <x v="1"/>
    <x v="1"/>
  </r>
  <r>
    <d v="2025-02-17T00:00:00"/>
    <x v="3"/>
    <x v="0"/>
    <x v="1218"/>
    <x v="17"/>
    <x v="3"/>
    <d v="2025-02-17T00:00:00"/>
    <x v="282"/>
    <x v="3"/>
    <x v="11"/>
    <x v="1"/>
    <x v="1"/>
    <x v="1"/>
    <x v="1"/>
  </r>
  <r>
    <d v="2025-02-17T00:00:00"/>
    <x v="3"/>
    <x v="0"/>
    <x v="1210"/>
    <x v="16"/>
    <x v="1"/>
    <d v="2025-02-17T00:00:00"/>
    <x v="282"/>
    <x v="3"/>
    <x v="11"/>
    <x v="1"/>
    <x v="1"/>
    <x v="1"/>
    <x v="1"/>
  </r>
  <r>
    <d v="2025-02-17T00:00:00"/>
    <x v="3"/>
    <x v="0"/>
    <x v="1219"/>
    <x v="17"/>
    <x v="3"/>
    <d v="2025-02-17T00:00:00"/>
    <x v="282"/>
    <x v="3"/>
    <x v="11"/>
    <x v="1"/>
    <x v="1"/>
    <x v="1"/>
    <x v="1"/>
  </r>
  <r>
    <d v="2025-02-17T00:00:00"/>
    <x v="3"/>
    <x v="0"/>
    <x v="1203"/>
    <x v="17"/>
    <x v="3"/>
    <d v="2025-02-17T00:00:00"/>
    <x v="282"/>
    <x v="3"/>
    <x v="11"/>
    <x v="1"/>
    <x v="1"/>
    <x v="1"/>
    <x v="1"/>
  </r>
  <r>
    <d v="2025-02-17T00:00:00"/>
    <x v="3"/>
    <x v="0"/>
    <x v="1202"/>
    <x v="19"/>
    <x v="6"/>
    <d v="2025-02-17T00:00:00"/>
    <x v="282"/>
    <x v="3"/>
    <x v="11"/>
    <x v="1"/>
    <x v="1"/>
    <x v="1"/>
    <x v="1"/>
  </r>
  <r>
    <d v="2025-02-17T00:00:00"/>
    <x v="3"/>
    <x v="0"/>
    <x v="1220"/>
    <x v="16"/>
    <x v="7"/>
    <d v="2025-02-17T00:00:00"/>
    <x v="282"/>
    <x v="3"/>
    <x v="11"/>
    <x v="1"/>
    <x v="1"/>
    <x v="1"/>
    <x v="1"/>
  </r>
  <r>
    <d v="2025-02-17T00:00:00"/>
    <x v="3"/>
    <x v="0"/>
    <x v="1221"/>
    <x v="16"/>
    <x v="0"/>
    <d v="2025-02-17T00:00:00"/>
    <x v="282"/>
    <x v="3"/>
    <x v="11"/>
    <x v="1"/>
    <x v="1"/>
    <x v="1"/>
    <x v="1"/>
  </r>
  <r>
    <d v="2025-02-17T00:00:00"/>
    <x v="3"/>
    <x v="0"/>
    <x v="1194"/>
    <x v="17"/>
    <x v="3"/>
    <d v="2025-02-17T00:00:00"/>
    <x v="282"/>
    <x v="3"/>
    <x v="11"/>
    <x v="1"/>
    <x v="1"/>
    <x v="1"/>
    <x v="1"/>
  </r>
  <r>
    <d v="2025-02-17T00:00:00"/>
    <x v="3"/>
    <x v="0"/>
    <x v="1191"/>
    <x v="16"/>
    <x v="0"/>
    <d v="2025-02-17T00:00:00"/>
    <x v="282"/>
    <x v="3"/>
    <x v="11"/>
    <x v="1"/>
    <x v="1"/>
    <x v="1"/>
    <x v="1"/>
  </r>
  <r>
    <d v="2025-02-17T00:00:00"/>
    <x v="3"/>
    <x v="0"/>
    <x v="1218"/>
    <x v="19"/>
    <x v="6"/>
    <d v="2025-02-17T00:00:00"/>
    <x v="282"/>
    <x v="3"/>
    <x v="11"/>
    <x v="1"/>
    <x v="1"/>
    <x v="1"/>
    <x v="1"/>
  </r>
  <r>
    <d v="2025-02-17T00:00:00"/>
    <x v="3"/>
    <x v="0"/>
    <x v="1170"/>
    <x v="18"/>
    <x v="2"/>
    <d v="2025-02-17T00:00:00"/>
    <x v="282"/>
    <x v="3"/>
    <x v="11"/>
    <x v="1"/>
    <x v="1"/>
    <x v="1"/>
    <x v="1"/>
  </r>
  <r>
    <d v="2025-02-17T00:00:00"/>
    <x v="3"/>
    <x v="0"/>
    <x v="1222"/>
    <x v="17"/>
    <x v="3"/>
    <d v="2025-02-17T00:00:00"/>
    <x v="282"/>
    <x v="3"/>
    <x v="11"/>
    <x v="1"/>
    <x v="1"/>
    <x v="1"/>
    <x v="1"/>
  </r>
  <r>
    <d v="2025-02-17T00:00:00"/>
    <x v="3"/>
    <x v="0"/>
    <x v="1206"/>
    <x v="18"/>
    <x v="2"/>
    <d v="2025-02-17T00:00:00"/>
    <x v="282"/>
    <x v="3"/>
    <x v="11"/>
    <x v="1"/>
    <x v="1"/>
    <x v="1"/>
    <x v="1"/>
  </r>
  <r>
    <d v="2025-02-17T00:00:00"/>
    <x v="3"/>
    <x v="0"/>
    <x v="1223"/>
    <x v="18"/>
    <x v="2"/>
    <d v="2025-02-17T00:00:00"/>
    <x v="282"/>
    <x v="3"/>
    <x v="11"/>
    <x v="1"/>
    <x v="1"/>
    <x v="1"/>
    <x v="1"/>
  </r>
  <r>
    <d v="2025-02-17T00:00:00"/>
    <x v="3"/>
    <x v="0"/>
    <x v="1192"/>
    <x v="16"/>
    <x v="0"/>
    <d v="2025-02-17T00:00:00"/>
    <x v="282"/>
    <x v="3"/>
    <x v="11"/>
    <x v="1"/>
    <x v="1"/>
    <x v="1"/>
    <x v="1"/>
  </r>
  <r>
    <d v="2025-02-18T00:00:00"/>
    <x v="4"/>
    <x v="0"/>
    <x v="1163"/>
    <x v="18"/>
    <x v="2"/>
    <d v="2025-02-18T00:00:00"/>
    <x v="283"/>
    <x v="4"/>
    <x v="11"/>
    <x v="1"/>
    <x v="1"/>
    <x v="1"/>
    <x v="1"/>
  </r>
  <r>
    <d v="2025-02-18T00:00:00"/>
    <x v="4"/>
    <x v="0"/>
    <x v="1110"/>
    <x v="18"/>
    <x v="2"/>
    <d v="2025-02-18T00:00:00"/>
    <x v="283"/>
    <x v="4"/>
    <x v="11"/>
    <x v="1"/>
    <x v="1"/>
    <x v="1"/>
    <x v="1"/>
  </r>
  <r>
    <d v="2025-02-18T00:00:00"/>
    <x v="4"/>
    <x v="0"/>
    <x v="1198"/>
    <x v="18"/>
    <x v="2"/>
    <d v="2025-02-18T00:00:00"/>
    <x v="283"/>
    <x v="4"/>
    <x v="11"/>
    <x v="1"/>
    <x v="1"/>
    <x v="1"/>
    <x v="1"/>
  </r>
  <r>
    <d v="2025-02-18T00:00:00"/>
    <x v="4"/>
    <x v="0"/>
    <x v="1203"/>
    <x v="17"/>
    <x v="3"/>
    <d v="2025-02-18T00:00:00"/>
    <x v="283"/>
    <x v="4"/>
    <x v="11"/>
    <x v="1"/>
    <x v="1"/>
    <x v="1"/>
    <x v="1"/>
  </r>
  <r>
    <d v="2025-02-18T00:00:00"/>
    <x v="4"/>
    <x v="0"/>
    <x v="1218"/>
    <x v="17"/>
    <x v="3"/>
    <d v="2025-02-18T00:00:00"/>
    <x v="283"/>
    <x v="4"/>
    <x v="11"/>
    <x v="1"/>
    <x v="1"/>
    <x v="1"/>
    <x v="1"/>
  </r>
  <r>
    <d v="2025-02-18T00:00:00"/>
    <x v="4"/>
    <x v="0"/>
    <x v="1224"/>
    <x v="16"/>
    <x v="4"/>
    <d v="2025-02-18T00:00:00"/>
    <x v="283"/>
    <x v="4"/>
    <x v="11"/>
    <x v="1"/>
    <x v="1"/>
    <x v="1"/>
    <x v="1"/>
  </r>
  <r>
    <d v="2025-02-18T00:00:00"/>
    <x v="4"/>
    <x v="0"/>
    <x v="1215"/>
    <x v="18"/>
    <x v="2"/>
    <d v="2025-02-18T00:00:00"/>
    <x v="283"/>
    <x v="4"/>
    <x v="11"/>
    <x v="1"/>
    <x v="1"/>
    <x v="1"/>
    <x v="1"/>
  </r>
  <r>
    <d v="2025-02-18T00:00:00"/>
    <x v="4"/>
    <x v="0"/>
    <x v="1222"/>
    <x v="17"/>
    <x v="3"/>
    <d v="2025-02-18T00:00:00"/>
    <x v="283"/>
    <x v="4"/>
    <x v="11"/>
    <x v="1"/>
    <x v="1"/>
    <x v="1"/>
    <x v="1"/>
  </r>
  <r>
    <d v="2025-02-18T00:00:00"/>
    <x v="4"/>
    <x v="0"/>
    <x v="1210"/>
    <x v="16"/>
    <x v="1"/>
    <d v="2025-02-18T00:00:00"/>
    <x v="283"/>
    <x v="4"/>
    <x v="11"/>
    <x v="1"/>
    <x v="1"/>
    <x v="1"/>
    <x v="1"/>
  </r>
  <r>
    <d v="2025-02-18T00:00:00"/>
    <x v="4"/>
    <x v="0"/>
    <x v="1225"/>
    <x v="17"/>
    <x v="3"/>
    <d v="2025-02-18T00:00:00"/>
    <x v="283"/>
    <x v="4"/>
    <x v="11"/>
    <x v="1"/>
    <x v="1"/>
    <x v="1"/>
    <x v="1"/>
  </r>
  <r>
    <d v="2025-02-18T00:00:00"/>
    <x v="4"/>
    <x v="0"/>
    <x v="1225"/>
    <x v="19"/>
    <x v="6"/>
    <d v="2025-02-18T00:00:00"/>
    <x v="283"/>
    <x v="4"/>
    <x v="11"/>
    <x v="1"/>
    <x v="1"/>
    <x v="1"/>
    <x v="1"/>
  </r>
  <r>
    <d v="2025-02-18T00:00:00"/>
    <x v="4"/>
    <x v="0"/>
    <x v="1225"/>
    <x v="16"/>
    <x v="4"/>
    <d v="2025-02-18T00:00:00"/>
    <x v="283"/>
    <x v="4"/>
    <x v="11"/>
    <x v="1"/>
    <x v="1"/>
    <x v="1"/>
    <x v="1"/>
  </r>
  <r>
    <d v="2025-02-18T00:00:00"/>
    <x v="4"/>
    <x v="0"/>
    <x v="1226"/>
    <x v="16"/>
    <x v="4"/>
    <d v="2025-02-18T00:00:00"/>
    <x v="283"/>
    <x v="4"/>
    <x v="11"/>
    <x v="1"/>
    <x v="1"/>
    <x v="1"/>
    <x v="1"/>
  </r>
  <r>
    <d v="2025-02-18T00:00:00"/>
    <x v="4"/>
    <x v="0"/>
    <x v="1185"/>
    <x v="16"/>
    <x v="4"/>
    <d v="2025-02-18T00:00:00"/>
    <x v="283"/>
    <x v="4"/>
    <x v="11"/>
    <x v="1"/>
    <x v="1"/>
    <x v="1"/>
    <x v="1"/>
  </r>
  <r>
    <d v="2025-02-18T00:00:00"/>
    <x v="4"/>
    <x v="0"/>
    <x v="1212"/>
    <x v="16"/>
    <x v="1"/>
    <d v="2025-02-18T00:00:00"/>
    <x v="283"/>
    <x v="4"/>
    <x v="11"/>
    <x v="1"/>
    <x v="1"/>
    <x v="1"/>
    <x v="1"/>
  </r>
  <r>
    <d v="2025-02-19T00:00:00"/>
    <x v="5"/>
    <x v="0"/>
    <x v="1161"/>
    <x v="16"/>
    <x v="7"/>
    <d v="2025-02-19T00:00:00"/>
    <x v="284"/>
    <x v="5"/>
    <x v="11"/>
    <x v="1"/>
    <x v="1"/>
    <x v="1"/>
    <x v="1"/>
  </r>
  <r>
    <d v="2025-02-19T00:00:00"/>
    <x v="5"/>
    <x v="0"/>
    <x v="1152"/>
    <x v="18"/>
    <x v="2"/>
    <d v="2025-02-19T00:00:00"/>
    <x v="284"/>
    <x v="5"/>
    <x v="11"/>
    <x v="1"/>
    <x v="1"/>
    <x v="1"/>
    <x v="1"/>
  </r>
  <r>
    <d v="2025-02-19T00:00:00"/>
    <x v="5"/>
    <x v="0"/>
    <x v="1170"/>
    <x v="18"/>
    <x v="2"/>
    <d v="2025-02-19T00:00:00"/>
    <x v="284"/>
    <x v="5"/>
    <x v="11"/>
    <x v="1"/>
    <x v="1"/>
    <x v="1"/>
    <x v="1"/>
  </r>
  <r>
    <d v="2025-02-19T00:00:00"/>
    <x v="5"/>
    <x v="0"/>
    <x v="1220"/>
    <x v="16"/>
    <x v="7"/>
    <d v="2025-02-19T00:00:00"/>
    <x v="284"/>
    <x v="5"/>
    <x v="11"/>
    <x v="1"/>
    <x v="1"/>
    <x v="1"/>
    <x v="1"/>
  </r>
  <r>
    <d v="2025-02-19T00:00:00"/>
    <x v="5"/>
    <x v="0"/>
    <x v="1167"/>
    <x v="18"/>
    <x v="2"/>
    <d v="2025-02-19T00:00:00"/>
    <x v="284"/>
    <x v="5"/>
    <x v="11"/>
    <x v="1"/>
    <x v="1"/>
    <x v="1"/>
    <x v="1"/>
  </r>
  <r>
    <d v="2025-02-19T00:00:00"/>
    <x v="5"/>
    <x v="0"/>
    <x v="1227"/>
    <x v="16"/>
    <x v="1"/>
    <d v="2025-02-19T00:00:00"/>
    <x v="284"/>
    <x v="5"/>
    <x v="11"/>
    <x v="1"/>
    <x v="1"/>
    <x v="1"/>
    <x v="1"/>
  </r>
  <r>
    <d v="2025-02-19T00:00:00"/>
    <x v="5"/>
    <x v="0"/>
    <x v="1207"/>
    <x v="17"/>
    <x v="3"/>
    <d v="2025-02-19T00:00:00"/>
    <x v="284"/>
    <x v="5"/>
    <x v="11"/>
    <x v="1"/>
    <x v="1"/>
    <x v="1"/>
    <x v="1"/>
  </r>
  <r>
    <d v="2025-02-19T00:00:00"/>
    <x v="5"/>
    <x v="0"/>
    <x v="1198"/>
    <x v="18"/>
    <x v="2"/>
    <d v="2025-02-19T00:00:00"/>
    <x v="284"/>
    <x v="5"/>
    <x v="11"/>
    <x v="1"/>
    <x v="1"/>
    <x v="1"/>
    <x v="1"/>
  </r>
  <r>
    <d v="2025-02-19T00:00:00"/>
    <x v="5"/>
    <x v="0"/>
    <x v="1168"/>
    <x v="16"/>
    <x v="4"/>
    <d v="2025-02-19T00:00:00"/>
    <x v="284"/>
    <x v="5"/>
    <x v="11"/>
    <x v="1"/>
    <x v="1"/>
    <x v="1"/>
    <x v="1"/>
  </r>
  <r>
    <d v="2025-02-19T00:00:00"/>
    <x v="5"/>
    <x v="0"/>
    <x v="1171"/>
    <x v="18"/>
    <x v="2"/>
    <d v="2025-02-19T00:00:00"/>
    <x v="284"/>
    <x v="5"/>
    <x v="11"/>
    <x v="1"/>
    <x v="1"/>
    <x v="1"/>
    <x v="1"/>
  </r>
  <r>
    <d v="2025-02-19T00:00:00"/>
    <x v="5"/>
    <x v="0"/>
    <x v="1158"/>
    <x v="16"/>
    <x v="7"/>
    <d v="2025-02-19T00:00:00"/>
    <x v="284"/>
    <x v="5"/>
    <x v="11"/>
    <x v="1"/>
    <x v="1"/>
    <x v="1"/>
    <x v="1"/>
  </r>
  <r>
    <d v="2025-02-19T00:00:00"/>
    <x v="5"/>
    <x v="0"/>
    <x v="1110"/>
    <x v="18"/>
    <x v="2"/>
    <d v="2025-02-19T00:00:00"/>
    <x v="284"/>
    <x v="5"/>
    <x v="11"/>
    <x v="1"/>
    <x v="1"/>
    <x v="1"/>
    <x v="1"/>
  </r>
  <r>
    <d v="2025-02-19T00:00:00"/>
    <x v="5"/>
    <x v="0"/>
    <x v="1217"/>
    <x v="17"/>
    <x v="3"/>
    <d v="2025-02-19T00:00:00"/>
    <x v="284"/>
    <x v="5"/>
    <x v="11"/>
    <x v="1"/>
    <x v="1"/>
    <x v="1"/>
    <x v="1"/>
  </r>
  <r>
    <d v="2025-02-19T00:00:00"/>
    <x v="5"/>
    <x v="0"/>
    <x v="1228"/>
    <x v="16"/>
    <x v="7"/>
    <d v="2025-02-19T00:00:00"/>
    <x v="284"/>
    <x v="5"/>
    <x v="11"/>
    <x v="1"/>
    <x v="1"/>
    <x v="1"/>
    <x v="1"/>
  </r>
  <r>
    <d v="2025-02-19T00:00:00"/>
    <x v="5"/>
    <x v="0"/>
    <x v="1229"/>
    <x v="16"/>
    <x v="0"/>
    <d v="2025-02-19T00:00:00"/>
    <x v="284"/>
    <x v="5"/>
    <x v="11"/>
    <x v="1"/>
    <x v="1"/>
    <x v="1"/>
    <x v="1"/>
  </r>
  <r>
    <d v="2025-02-19T00:00:00"/>
    <x v="5"/>
    <x v="0"/>
    <x v="1179"/>
    <x v="16"/>
    <x v="4"/>
    <d v="2025-02-19T00:00:00"/>
    <x v="284"/>
    <x v="5"/>
    <x v="11"/>
    <x v="1"/>
    <x v="1"/>
    <x v="1"/>
    <x v="1"/>
  </r>
  <r>
    <d v="2025-02-19T00:00:00"/>
    <x v="5"/>
    <x v="0"/>
    <x v="1179"/>
    <x v="16"/>
    <x v="1"/>
    <d v="2025-02-19T00:00:00"/>
    <x v="284"/>
    <x v="5"/>
    <x v="11"/>
    <x v="1"/>
    <x v="1"/>
    <x v="1"/>
    <x v="1"/>
  </r>
  <r>
    <d v="2025-02-19T00:00:00"/>
    <x v="5"/>
    <x v="0"/>
    <x v="1191"/>
    <x v="16"/>
    <x v="0"/>
    <d v="2025-02-19T00:00:00"/>
    <x v="284"/>
    <x v="5"/>
    <x v="11"/>
    <x v="1"/>
    <x v="1"/>
    <x v="1"/>
    <x v="1"/>
  </r>
  <r>
    <d v="2025-02-19T00:00:00"/>
    <x v="5"/>
    <x v="0"/>
    <x v="1182"/>
    <x v="16"/>
    <x v="4"/>
    <d v="2025-02-19T00:00:00"/>
    <x v="284"/>
    <x v="5"/>
    <x v="11"/>
    <x v="1"/>
    <x v="1"/>
    <x v="1"/>
    <x v="1"/>
  </r>
  <r>
    <d v="2025-02-20T00:00:00"/>
    <x v="6"/>
    <x v="0"/>
    <x v="1161"/>
    <x v="16"/>
    <x v="7"/>
    <d v="2025-02-20T00:00:00"/>
    <x v="285"/>
    <x v="6"/>
    <x v="11"/>
    <x v="1"/>
    <x v="1"/>
    <x v="1"/>
    <x v="1"/>
  </r>
  <r>
    <d v="2025-02-20T00:00:00"/>
    <x v="6"/>
    <x v="0"/>
    <x v="1167"/>
    <x v="18"/>
    <x v="2"/>
    <d v="2025-02-20T00:00:00"/>
    <x v="285"/>
    <x v="6"/>
    <x v="11"/>
    <x v="1"/>
    <x v="1"/>
    <x v="1"/>
    <x v="1"/>
  </r>
  <r>
    <d v="2025-02-20T00:00:00"/>
    <x v="6"/>
    <x v="0"/>
    <x v="1163"/>
    <x v="16"/>
    <x v="7"/>
    <d v="2025-02-20T00:00:00"/>
    <x v="285"/>
    <x v="6"/>
    <x v="11"/>
    <x v="1"/>
    <x v="1"/>
    <x v="1"/>
    <x v="1"/>
  </r>
  <r>
    <d v="2025-02-20T00:00:00"/>
    <x v="6"/>
    <x v="0"/>
    <x v="1163"/>
    <x v="18"/>
    <x v="2"/>
    <d v="2025-02-20T00:00:00"/>
    <x v="285"/>
    <x v="6"/>
    <x v="11"/>
    <x v="1"/>
    <x v="1"/>
    <x v="1"/>
    <x v="1"/>
  </r>
  <r>
    <d v="2025-02-20T00:00:00"/>
    <x v="6"/>
    <x v="0"/>
    <x v="1198"/>
    <x v="18"/>
    <x v="2"/>
    <d v="2025-02-20T00:00:00"/>
    <x v="285"/>
    <x v="6"/>
    <x v="11"/>
    <x v="1"/>
    <x v="1"/>
    <x v="1"/>
    <x v="1"/>
  </r>
  <r>
    <d v="2025-02-20T00:00:00"/>
    <x v="6"/>
    <x v="0"/>
    <x v="1203"/>
    <x v="17"/>
    <x v="3"/>
    <d v="2025-02-20T00:00:00"/>
    <x v="285"/>
    <x v="6"/>
    <x v="11"/>
    <x v="1"/>
    <x v="1"/>
    <x v="1"/>
    <x v="1"/>
  </r>
  <r>
    <d v="2025-02-20T00:00:00"/>
    <x v="6"/>
    <x v="0"/>
    <x v="1196"/>
    <x v="16"/>
    <x v="0"/>
    <d v="2025-02-20T00:00:00"/>
    <x v="285"/>
    <x v="6"/>
    <x v="11"/>
    <x v="1"/>
    <x v="1"/>
    <x v="1"/>
    <x v="1"/>
  </r>
  <r>
    <d v="2025-02-20T00:00:00"/>
    <x v="6"/>
    <x v="0"/>
    <x v="1230"/>
    <x v="19"/>
    <x v="6"/>
    <d v="2025-02-20T00:00:00"/>
    <x v="285"/>
    <x v="6"/>
    <x v="11"/>
    <x v="1"/>
    <x v="1"/>
    <x v="1"/>
    <x v="1"/>
  </r>
  <r>
    <d v="2025-02-20T00:00:00"/>
    <x v="6"/>
    <x v="0"/>
    <x v="1156"/>
    <x v="16"/>
    <x v="7"/>
    <d v="2025-02-20T00:00:00"/>
    <x v="285"/>
    <x v="6"/>
    <x v="11"/>
    <x v="1"/>
    <x v="1"/>
    <x v="1"/>
    <x v="1"/>
  </r>
  <r>
    <d v="2025-02-20T00:00:00"/>
    <x v="6"/>
    <x v="0"/>
    <x v="1231"/>
    <x v="16"/>
    <x v="7"/>
    <d v="2025-02-20T00:00:00"/>
    <x v="285"/>
    <x v="6"/>
    <x v="11"/>
    <x v="1"/>
    <x v="1"/>
    <x v="1"/>
    <x v="1"/>
  </r>
  <r>
    <d v="2025-02-20T00:00:00"/>
    <x v="6"/>
    <x v="0"/>
    <x v="1231"/>
    <x v="16"/>
    <x v="1"/>
    <d v="2025-02-20T00:00:00"/>
    <x v="285"/>
    <x v="6"/>
    <x v="11"/>
    <x v="1"/>
    <x v="1"/>
    <x v="1"/>
    <x v="1"/>
  </r>
  <r>
    <d v="2025-02-20T00:00:00"/>
    <x v="6"/>
    <x v="0"/>
    <x v="1232"/>
    <x v="18"/>
    <x v="2"/>
    <d v="2025-02-20T00:00:00"/>
    <x v="285"/>
    <x v="6"/>
    <x v="11"/>
    <x v="1"/>
    <x v="1"/>
    <x v="1"/>
    <x v="1"/>
  </r>
  <r>
    <d v="2025-02-20T00:00:00"/>
    <x v="6"/>
    <x v="0"/>
    <x v="1233"/>
    <x v="16"/>
    <x v="1"/>
    <d v="2025-02-20T00:00:00"/>
    <x v="285"/>
    <x v="6"/>
    <x v="11"/>
    <x v="1"/>
    <x v="1"/>
    <x v="1"/>
    <x v="1"/>
  </r>
  <r>
    <d v="2025-02-20T00:00:00"/>
    <x v="6"/>
    <x v="0"/>
    <x v="1234"/>
    <x v="16"/>
    <x v="4"/>
    <d v="2025-02-20T00:00:00"/>
    <x v="285"/>
    <x v="6"/>
    <x v="11"/>
    <x v="1"/>
    <x v="1"/>
    <x v="1"/>
    <x v="1"/>
  </r>
  <r>
    <d v="2025-02-20T00:00:00"/>
    <x v="6"/>
    <x v="0"/>
    <x v="1169"/>
    <x v="16"/>
    <x v="0"/>
    <d v="2025-02-20T00:00:00"/>
    <x v="285"/>
    <x v="6"/>
    <x v="11"/>
    <x v="1"/>
    <x v="1"/>
    <x v="1"/>
    <x v="1"/>
  </r>
  <r>
    <d v="2025-02-21T00:00:00"/>
    <x v="0"/>
    <x v="0"/>
    <x v="1163"/>
    <x v="18"/>
    <x v="2"/>
    <d v="2025-02-21T00:00:00"/>
    <x v="286"/>
    <x v="0"/>
    <x v="11"/>
    <x v="1"/>
    <x v="1"/>
    <x v="1"/>
    <x v="1"/>
  </r>
  <r>
    <d v="2025-02-21T00:00:00"/>
    <x v="0"/>
    <x v="0"/>
    <x v="1235"/>
    <x v="16"/>
    <x v="0"/>
    <d v="2025-02-21T00:00:00"/>
    <x v="286"/>
    <x v="0"/>
    <x v="11"/>
    <x v="1"/>
    <x v="1"/>
    <x v="1"/>
    <x v="1"/>
  </r>
  <r>
    <d v="2025-02-21T00:00:00"/>
    <x v="0"/>
    <x v="0"/>
    <x v="1236"/>
    <x v="16"/>
    <x v="7"/>
    <d v="2025-02-21T00:00:00"/>
    <x v="286"/>
    <x v="0"/>
    <x v="11"/>
    <x v="1"/>
    <x v="1"/>
    <x v="1"/>
    <x v="1"/>
  </r>
  <r>
    <d v="2025-02-21T00:00:00"/>
    <x v="0"/>
    <x v="0"/>
    <x v="1237"/>
    <x v="19"/>
    <x v="6"/>
    <d v="2025-02-21T00:00:00"/>
    <x v="286"/>
    <x v="0"/>
    <x v="11"/>
    <x v="1"/>
    <x v="1"/>
    <x v="1"/>
    <x v="1"/>
  </r>
  <r>
    <d v="2025-02-21T00:00:00"/>
    <x v="0"/>
    <x v="0"/>
    <x v="1232"/>
    <x v="18"/>
    <x v="2"/>
    <d v="2025-02-21T00:00:00"/>
    <x v="286"/>
    <x v="0"/>
    <x v="11"/>
    <x v="1"/>
    <x v="1"/>
    <x v="1"/>
    <x v="1"/>
  </r>
  <r>
    <d v="2025-02-21T00:00:00"/>
    <x v="0"/>
    <x v="0"/>
    <x v="1163"/>
    <x v="17"/>
    <x v="3"/>
    <d v="2025-02-21T00:00:00"/>
    <x v="286"/>
    <x v="0"/>
    <x v="11"/>
    <x v="1"/>
    <x v="1"/>
    <x v="1"/>
    <x v="1"/>
  </r>
  <r>
    <d v="2025-02-21T00:00:00"/>
    <x v="0"/>
    <x v="0"/>
    <x v="1110"/>
    <x v="18"/>
    <x v="2"/>
    <d v="2025-02-21T00:00:00"/>
    <x v="286"/>
    <x v="0"/>
    <x v="11"/>
    <x v="1"/>
    <x v="1"/>
    <x v="1"/>
    <x v="1"/>
  </r>
  <r>
    <d v="2025-02-21T00:00:00"/>
    <x v="0"/>
    <x v="0"/>
    <x v="1238"/>
    <x v="18"/>
    <x v="2"/>
    <d v="2025-02-21T00:00:00"/>
    <x v="286"/>
    <x v="0"/>
    <x v="11"/>
    <x v="1"/>
    <x v="1"/>
    <x v="1"/>
    <x v="1"/>
  </r>
  <r>
    <d v="2025-02-21T00:00:00"/>
    <x v="0"/>
    <x v="0"/>
    <x v="1198"/>
    <x v="18"/>
    <x v="2"/>
    <d v="2025-02-21T00:00:00"/>
    <x v="286"/>
    <x v="0"/>
    <x v="11"/>
    <x v="1"/>
    <x v="1"/>
    <x v="1"/>
    <x v="1"/>
  </r>
  <r>
    <d v="2025-02-21T00:00:00"/>
    <x v="0"/>
    <x v="0"/>
    <x v="1167"/>
    <x v="18"/>
    <x v="2"/>
    <d v="2025-02-21T00:00:00"/>
    <x v="286"/>
    <x v="0"/>
    <x v="11"/>
    <x v="1"/>
    <x v="1"/>
    <x v="1"/>
    <x v="1"/>
  </r>
  <r>
    <d v="2025-02-21T00:00:00"/>
    <x v="0"/>
    <x v="0"/>
    <x v="1203"/>
    <x v="18"/>
    <x v="2"/>
    <d v="2025-02-21T00:00:00"/>
    <x v="286"/>
    <x v="0"/>
    <x v="11"/>
    <x v="1"/>
    <x v="1"/>
    <x v="1"/>
    <x v="1"/>
  </r>
  <r>
    <d v="2025-02-21T00:00:00"/>
    <x v="0"/>
    <x v="0"/>
    <x v="1161"/>
    <x v="16"/>
    <x v="7"/>
    <d v="2025-02-21T00:00:00"/>
    <x v="286"/>
    <x v="0"/>
    <x v="11"/>
    <x v="1"/>
    <x v="1"/>
    <x v="1"/>
    <x v="1"/>
  </r>
  <r>
    <d v="2025-02-21T00:00:00"/>
    <x v="0"/>
    <x v="0"/>
    <x v="1239"/>
    <x v="16"/>
    <x v="4"/>
    <d v="2025-02-21T00:00:00"/>
    <x v="286"/>
    <x v="0"/>
    <x v="11"/>
    <x v="1"/>
    <x v="1"/>
    <x v="1"/>
    <x v="1"/>
  </r>
  <r>
    <d v="2025-02-21T00:00:00"/>
    <x v="0"/>
    <x v="0"/>
    <x v="1191"/>
    <x v="16"/>
    <x v="0"/>
    <d v="2025-02-21T00:00:00"/>
    <x v="286"/>
    <x v="0"/>
    <x v="11"/>
    <x v="1"/>
    <x v="1"/>
    <x v="1"/>
    <x v="1"/>
  </r>
  <r>
    <d v="2025-02-21T00:00:00"/>
    <x v="0"/>
    <x v="0"/>
    <x v="1165"/>
    <x v="16"/>
    <x v="1"/>
    <d v="2025-02-21T00:00:00"/>
    <x v="286"/>
    <x v="0"/>
    <x v="11"/>
    <x v="1"/>
    <x v="1"/>
    <x v="1"/>
    <x v="1"/>
  </r>
  <r>
    <d v="2025-02-21T00:00:00"/>
    <x v="0"/>
    <x v="0"/>
    <x v="1165"/>
    <x v="16"/>
    <x v="0"/>
    <d v="2025-02-21T00:00:00"/>
    <x v="286"/>
    <x v="0"/>
    <x v="11"/>
    <x v="1"/>
    <x v="1"/>
    <x v="1"/>
    <x v="1"/>
  </r>
  <r>
    <d v="2025-02-21T00:00:00"/>
    <x v="0"/>
    <x v="0"/>
    <x v="1178"/>
    <x v="16"/>
    <x v="4"/>
    <d v="2025-02-21T00:00:00"/>
    <x v="286"/>
    <x v="0"/>
    <x v="11"/>
    <x v="1"/>
    <x v="1"/>
    <x v="1"/>
    <x v="1"/>
  </r>
  <r>
    <d v="2025-02-21T00:00:00"/>
    <x v="0"/>
    <x v="0"/>
    <x v="1184"/>
    <x v="16"/>
    <x v="7"/>
    <d v="2025-02-21T00:00:00"/>
    <x v="286"/>
    <x v="0"/>
    <x v="11"/>
    <x v="1"/>
    <x v="1"/>
    <x v="1"/>
    <x v="1"/>
  </r>
  <r>
    <d v="2025-02-22T00:00:00"/>
    <x v="1"/>
    <x v="0"/>
    <x v="1240"/>
    <x v="16"/>
    <x v="1"/>
    <d v="2025-02-22T00:00:00"/>
    <x v="287"/>
    <x v="1"/>
    <x v="11"/>
    <x v="1"/>
    <x v="1"/>
    <x v="1"/>
    <x v="1"/>
  </r>
  <r>
    <d v="2025-02-22T00:00:00"/>
    <x v="1"/>
    <x v="0"/>
    <x v="1241"/>
    <x v="18"/>
    <x v="2"/>
    <d v="2025-02-22T00:00:00"/>
    <x v="287"/>
    <x v="1"/>
    <x v="11"/>
    <x v="1"/>
    <x v="1"/>
    <x v="1"/>
    <x v="1"/>
  </r>
  <r>
    <d v="2025-02-22T00:00:00"/>
    <x v="1"/>
    <x v="0"/>
    <x v="1190"/>
    <x v="18"/>
    <x v="2"/>
    <d v="2025-02-22T00:00:00"/>
    <x v="287"/>
    <x v="1"/>
    <x v="11"/>
    <x v="1"/>
    <x v="1"/>
    <x v="1"/>
    <x v="1"/>
  </r>
  <r>
    <d v="2025-02-22T00:00:00"/>
    <x v="1"/>
    <x v="0"/>
    <x v="95"/>
    <x v="19"/>
    <x v="6"/>
    <d v="2025-02-22T00:00:00"/>
    <x v="287"/>
    <x v="1"/>
    <x v="11"/>
    <x v="1"/>
    <x v="1"/>
    <x v="1"/>
    <x v="1"/>
  </r>
  <r>
    <d v="2025-02-22T00:00:00"/>
    <x v="1"/>
    <x v="0"/>
    <x v="1162"/>
    <x v="17"/>
    <x v="3"/>
    <d v="2025-02-22T00:00:00"/>
    <x v="287"/>
    <x v="1"/>
    <x v="11"/>
    <x v="1"/>
    <x v="1"/>
    <x v="1"/>
    <x v="1"/>
  </r>
  <r>
    <d v="2025-02-23T00:00:00"/>
    <x v="2"/>
    <x v="0"/>
    <x v="1156"/>
    <x v="17"/>
    <x v="3"/>
    <d v="2025-02-23T00:00:00"/>
    <x v="108"/>
    <x v="2"/>
    <x v="11"/>
    <x v="1"/>
    <x v="1"/>
    <x v="1"/>
    <x v="1"/>
  </r>
  <r>
    <d v="2025-02-23T00:00:00"/>
    <x v="2"/>
    <x v="0"/>
    <x v="1163"/>
    <x v="17"/>
    <x v="3"/>
    <d v="2025-02-23T00:00:00"/>
    <x v="108"/>
    <x v="2"/>
    <x v="11"/>
    <x v="1"/>
    <x v="1"/>
    <x v="1"/>
    <x v="1"/>
  </r>
  <r>
    <d v="2025-02-23T00:00:00"/>
    <x v="2"/>
    <x v="0"/>
    <x v="1242"/>
    <x v="16"/>
    <x v="7"/>
    <d v="2025-02-23T00:00:00"/>
    <x v="108"/>
    <x v="2"/>
    <x v="11"/>
    <x v="1"/>
    <x v="1"/>
    <x v="1"/>
    <x v="1"/>
  </r>
  <r>
    <d v="2025-02-23T00:00:00"/>
    <x v="2"/>
    <x v="0"/>
    <x v="1156"/>
    <x v="16"/>
    <x v="4"/>
    <d v="2025-02-23T00:00:00"/>
    <x v="108"/>
    <x v="2"/>
    <x v="11"/>
    <x v="1"/>
    <x v="1"/>
    <x v="1"/>
    <x v="1"/>
  </r>
  <r>
    <d v="2025-02-23T00:00:00"/>
    <x v="2"/>
    <x v="0"/>
    <x v="1243"/>
    <x v="18"/>
    <x v="2"/>
    <d v="2025-02-23T00:00:00"/>
    <x v="108"/>
    <x v="2"/>
    <x v="11"/>
    <x v="1"/>
    <x v="1"/>
    <x v="1"/>
    <x v="1"/>
  </r>
  <r>
    <d v="2025-02-24T00:00:00"/>
    <x v="3"/>
    <x v="0"/>
    <x v="1220"/>
    <x v="17"/>
    <x v="3"/>
    <d v="2025-02-24T00:00:00"/>
    <x v="288"/>
    <x v="3"/>
    <x v="11"/>
    <x v="1"/>
    <x v="1"/>
    <x v="1"/>
    <x v="1"/>
  </r>
  <r>
    <d v="2025-02-24T00:00:00"/>
    <x v="3"/>
    <x v="0"/>
    <x v="1244"/>
    <x v="16"/>
    <x v="0"/>
    <d v="2025-02-24T00:00:00"/>
    <x v="288"/>
    <x v="3"/>
    <x v="11"/>
    <x v="1"/>
    <x v="1"/>
    <x v="1"/>
    <x v="1"/>
  </r>
  <r>
    <d v="2025-02-24T00:00:00"/>
    <x v="3"/>
    <x v="0"/>
    <x v="1163"/>
    <x v="18"/>
    <x v="2"/>
    <d v="2025-02-24T00:00:00"/>
    <x v="288"/>
    <x v="3"/>
    <x v="11"/>
    <x v="1"/>
    <x v="1"/>
    <x v="1"/>
    <x v="1"/>
  </r>
  <r>
    <d v="2025-02-24T00:00:00"/>
    <x v="3"/>
    <x v="0"/>
    <x v="1245"/>
    <x v="17"/>
    <x v="3"/>
    <d v="2025-02-24T00:00:00"/>
    <x v="288"/>
    <x v="3"/>
    <x v="11"/>
    <x v="1"/>
    <x v="1"/>
    <x v="1"/>
    <x v="1"/>
  </r>
  <r>
    <d v="2025-02-24T00:00:00"/>
    <x v="3"/>
    <x v="0"/>
    <x v="1244"/>
    <x v="16"/>
    <x v="4"/>
    <d v="2025-02-24T00:00:00"/>
    <x v="288"/>
    <x v="3"/>
    <x v="11"/>
    <x v="1"/>
    <x v="1"/>
    <x v="1"/>
    <x v="1"/>
  </r>
  <r>
    <d v="2025-02-24T00:00:00"/>
    <x v="3"/>
    <x v="0"/>
    <x v="1191"/>
    <x v="16"/>
    <x v="0"/>
    <d v="2025-02-24T00:00:00"/>
    <x v="288"/>
    <x v="3"/>
    <x v="11"/>
    <x v="1"/>
    <x v="1"/>
    <x v="1"/>
    <x v="1"/>
  </r>
  <r>
    <d v="2025-02-24T00:00:00"/>
    <x v="3"/>
    <x v="0"/>
    <x v="1191"/>
    <x v="16"/>
    <x v="4"/>
    <d v="2025-02-24T00:00:00"/>
    <x v="288"/>
    <x v="3"/>
    <x v="11"/>
    <x v="1"/>
    <x v="1"/>
    <x v="1"/>
    <x v="1"/>
  </r>
  <r>
    <d v="2025-02-24T00:00:00"/>
    <x v="3"/>
    <x v="0"/>
    <x v="1163"/>
    <x v="17"/>
    <x v="3"/>
    <d v="2025-02-24T00:00:00"/>
    <x v="288"/>
    <x v="3"/>
    <x v="11"/>
    <x v="1"/>
    <x v="1"/>
    <x v="1"/>
    <x v="1"/>
  </r>
  <r>
    <d v="2025-02-24T00:00:00"/>
    <x v="3"/>
    <x v="0"/>
    <x v="1246"/>
    <x v="16"/>
    <x v="4"/>
    <d v="2025-02-24T00:00:00"/>
    <x v="288"/>
    <x v="3"/>
    <x v="11"/>
    <x v="1"/>
    <x v="1"/>
    <x v="1"/>
    <x v="1"/>
  </r>
  <r>
    <d v="2025-02-24T00:00:00"/>
    <x v="3"/>
    <x v="0"/>
    <x v="1184"/>
    <x v="16"/>
    <x v="7"/>
    <d v="2025-02-24T00:00:00"/>
    <x v="288"/>
    <x v="3"/>
    <x v="11"/>
    <x v="1"/>
    <x v="1"/>
    <x v="1"/>
    <x v="1"/>
  </r>
  <r>
    <d v="2025-02-24T00:00:00"/>
    <x v="3"/>
    <x v="0"/>
    <x v="1177"/>
    <x v="16"/>
    <x v="0"/>
    <d v="2025-02-24T00:00:00"/>
    <x v="288"/>
    <x v="3"/>
    <x v="11"/>
    <x v="1"/>
    <x v="1"/>
    <x v="1"/>
    <x v="1"/>
  </r>
  <r>
    <d v="2025-02-24T00:00:00"/>
    <x v="3"/>
    <x v="0"/>
    <x v="1170"/>
    <x v="18"/>
    <x v="2"/>
    <d v="2025-02-24T00:00:00"/>
    <x v="288"/>
    <x v="3"/>
    <x v="11"/>
    <x v="1"/>
    <x v="1"/>
    <x v="1"/>
    <x v="1"/>
  </r>
  <r>
    <d v="2025-02-24T00:00:00"/>
    <x v="3"/>
    <x v="0"/>
    <x v="1222"/>
    <x v="17"/>
    <x v="3"/>
    <d v="2025-02-24T00:00:00"/>
    <x v="288"/>
    <x v="3"/>
    <x v="11"/>
    <x v="1"/>
    <x v="1"/>
    <x v="1"/>
    <x v="1"/>
  </r>
  <r>
    <d v="2025-02-24T00:00:00"/>
    <x v="3"/>
    <x v="0"/>
    <x v="1162"/>
    <x v="17"/>
    <x v="3"/>
    <d v="2025-02-24T00:00:00"/>
    <x v="288"/>
    <x v="3"/>
    <x v="11"/>
    <x v="1"/>
    <x v="1"/>
    <x v="1"/>
    <x v="1"/>
  </r>
  <r>
    <d v="2025-02-24T00:00:00"/>
    <x v="3"/>
    <x v="0"/>
    <x v="878"/>
    <x v="17"/>
    <x v="3"/>
    <d v="2025-02-24T00:00:00"/>
    <x v="288"/>
    <x v="3"/>
    <x v="11"/>
    <x v="1"/>
    <x v="1"/>
    <x v="1"/>
    <x v="1"/>
  </r>
  <r>
    <d v="2025-02-24T00:00:00"/>
    <x v="3"/>
    <x v="0"/>
    <x v="1179"/>
    <x v="16"/>
    <x v="1"/>
    <d v="2025-02-24T00:00:00"/>
    <x v="288"/>
    <x v="3"/>
    <x v="11"/>
    <x v="1"/>
    <x v="1"/>
    <x v="1"/>
    <x v="1"/>
  </r>
  <r>
    <d v="2025-02-24T00:00:00"/>
    <x v="3"/>
    <x v="0"/>
    <x v="1247"/>
    <x v="16"/>
    <x v="0"/>
    <d v="2025-02-24T00:00:00"/>
    <x v="288"/>
    <x v="3"/>
    <x v="11"/>
    <x v="1"/>
    <x v="1"/>
    <x v="1"/>
    <x v="1"/>
  </r>
  <r>
    <d v="2025-02-24T00:00:00"/>
    <x v="3"/>
    <x v="0"/>
    <x v="1179"/>
    <x v="16"/>
    <x v="4"/>
    <d v="2025-02-24T00:00:00"/>
    <x v="288"/>
    <x v="3"/>
    <x v="11"/>
    <x v="1"/>
    <x v="1"/>
    <x v="1"/>
    <x v="1"/>
  </r>
  <r>
    <d v="2025-02-24T00:00:00"/>
    <x v="3"/>
    <x v="0"/>
    <x v="1156"/>
    <x v="16"/>
    <x v="4"/>
    <d v="2025-02-24T00:00:00"/>
    <x v="288"/>
    <x v="3"/>
    <x v="11"/>
    <x v="1"/>
    <x v="1"/>
    <x v="1"/>
    <x v="1"/>
  </r>
  <r>
    <d v="2025-02-25T00:00:00"/>
    <x v="4"/>
    <x v="0"/>
    <x v="1153"/>
    <x v="17"/>
    <x v="3"/>
    <d v="2025-02-25T00:00:00"/>
    <x v="173"/>
    <x v="4"/>
    <x v="11"/>
    <x v="1"/>
    <x v="1"/>
    <x v="1"/>
    <x v="1"/>
  </r>
  <r>
    <d v="2025-02-25T00:00:00"/>
    <x v="4"/>
    <x v="0"/>
    <x v="1152"/>
    <x v="18"/>
    <x v="2"/>
    <d v="2025-02-25T00:00:00"/>
    <x v="173"/>
    <x v="4"/>
    <x v="11"/>
    <x v="1"/>
    <x v="1"/>
    <x v="1"/>
    <x v="1"/>
  </r>
  <r>
    <d v="2025-02-25T00:00:00"/>
    <x v="4"/>
    <x v="0"/>
    <x v="1152"/>
    <x v="17"/>
    <x v="3"/>
    <d v="2025-02-25T00:00:00"/>
    <x v="173"/>
    <x v="4"/>
    <x v="11"/>
    <x v="1"/>
    <x v="1"/>
    <x v="1"/>
    <x v="1"/>
  </r>
  <r>
    <d v="2025-02-25T00:00:00"/>
    <x v="4"/>
    <x v="0"/>
    <x v="1237"/>
    <x v="19"/>
    <x v="6"/>
    <d v="2025-02-25T00:00:00"/>
    <x v="173"/>
    <x v="4"/>
    <x v="11"/>
    <x v="1"/>
    <x v="1"/>
    <x v="1"/>
    <x v="1"/>
  </r>
  <r>
    <d v="2025-02-25T00:00:00"/>
    <x v="4"/>
    <x v="0"/>
    <x v="1170"/>
    <x v="18"/>
    <x v="2"/>
    <d v="2025-02-25T00:00:00"/>
    <x v="173"/>
    <x v="4"/>
    <x v="11"/>
    <x v="1"/>
    <x v="1"/>
    <x v="1"/>
    <x v="1"/>
  </r>
  <r>
    <d v="2025-02-25T00:00:00"/>
    <x v="4"/>
    <x v="0"/>
    <x v="1184"/>
    <x v="16"/>
    <x v="7"/>
    <d v="2025-02-25T00:00:00"/>
    <x v="173"/>
    <x v="4"/>
    <x v="11"/>
    <x v="1"/>
    <x v="1"/>
    <x v="1"/>
    <x v="1"/>
  </r>
  <r>
    <d v="2025-02-25T00:00:00"/>
    <x v="4"/>
    <x v="0"/>
    <x v="1161"/>
    <x v="16"/>
    <x v="7"/>
    <d v="2025-02-25T00:00:00"/>
    <x v="173"/>
    <x v="4"/>
    <x v="11"/>
    <x v="1"/>
    <x v="1"/>
    <x v="1"/>
    <x v="1"/>
  </r>
  <r>
    <d v="2025-02-25T00:00:00"/>
    <x v="4"/>
    <x v="0"/>
    <x v="19"/>
    <x v="18"/>
    <x v="2"/>
    <d v="2025-02-25T00:00:00"/>
    <x v="173"/>
    <x v="4"/>
    <x v="11"/>
    <x v="1"/>
    <x v="1"/>
    <x v="1"/>
    <x v="1"/>
  </r>
  <r>
    <d v="2025-02-25T00:00:00"/>
    <x v="4"/>
    <x v="0"/>
    <x v="1234"/>
    <x v="16"/>
    <x v="4"/>
    <d v="2025-02-25T00:00:00"/>
    <x v="173"/>
    <x v="4"/>
    <x v="11"/>
    <x v="1"/>
    <x v="1"/>
    <x v="1"/>
    <x v="1"/>
  </r>
  <r>
    <d v="2025-02-25T00:00:00"/>
    <x v="4"/>
    <x v="0"/>
    <x v="1152"/>
    <x v="16"/>
    <x v="7"/>
    <d v="2025-02-25T00:00:00"/>
    <x v="173"/>
    <x v="4"/>
    <x v="11"/>
    <x v="1"/>
    <x v="1"/>
    <x v="1"/>
    <x v="1"/>
  </r>
  <r>
    <d v="2025-02-26T00:00:00"/>
    <x v="5"/>
    <x v="0"/>
    <x v="1170"/>
    <x v="18"/>
    <x v="2"/>
    <d v="2025-02-26T00:00:00"/>
    <x v="289"/>
    <x v="5"/>
    <x v="11"/>
    <x v="1"/>
    <x v="1"/>
    <x v="1"/>
    <x v="1"/>
  </r>
  <r>
    <d v="2025-02-26T00:00:00"/>
    <x v="5"/>
    <x v="0"/>
    <x v="1248"/>
    <x v="17"/>
    <x v="3"/>
    <d v="2025-02-26T00:00:00"/>
    <x v="289"/>
    <x v="5"/>
    <x v="11"/>
    <x v="1"/>
    <x v="1"/>
    <x v="1"/>
    <x v="1"/>
  </r>
  <r>
    <d v="2025-02-26T00:00:00"/>
    <x v="5"/>
    <x v="0"/>
    <x v="1155"/>
    <x v="16"/>
    <x v="1"/>
    <d v="2025-02-26T00:00:00"/>
    <x v="289"/>
    <x v="5"/>
    <x v="11"/>
    <x v="1"/>
    <x v="1"/>
    <x v="1"/>
    <x v="1"/>
  </r>
  <r>
    <d v="2025-02-26T00:00:00"/>
    <x v="5"/>
    <x v="0"/>
    <x v="1168"/>
    <x v="16"/>
    <x v="4"/>
    <d v="2025-02-26T00:00:00"/>
    <x v="289"/>
    <x v="5"/>
    <x v="11"/>
    <x v="1"/>
    <x v="1"/>
    <x v="1"/>
    <x v="1"/>
  </r>
  <r>
    <d v="2025-02-26T00:00:00"/>
    <x v="5"/>
    <x v="0"/>
    <x v="1191"/>
    <x v="16"/>
    <x v="0"/>
    <d v="2025-02-26T00:00:00"/>
    <x v="289"/>
    <x v="5"/>
    <x v="11"/>
    <x v="1"/>
    <x v="1"/>
    <x v="1"/>
    <x v="1"/>
  </r>
  <r>
    <d v="2025-02-26T00:00:00"/>
    <x v="5"/>
    <x v="0"/>
    <x v="1110"/>
    <x v="18"/>
    <x v="2"/>
    <d v="2025-02-26T00:00:00"/>
    <x v="289"/>
    <x v="5"/>
    <x v="11"/>
    <x v="1"/>
    <x v="1"/>
    <x v="1"/>
    <x v="1"/>
  </r>
  <r>
    <d v="2025-02-26T00:00:00"/>
    <x v="5"/>
    <x v="0"/>
    <x v="1249"/>
    <x v="18"/>
    <x v="2"/>
    <d v="2025-02-26T00:00:00"/>
    <x v="289"/>
    <x v="5"/>
    <x v="11"/>
    <x v="1"/>
    <x v="1"/>
    <x v="1"/>
    <x v="1"/>
  </r>
  <r>
    <d v="2025-02-26T00:00:00"/>
    <x v="5"/>
    <x v="0"/>
    <x v="1247"/>
    <x v="18"/>
    <x v="5"/>
    <d v="2025-02-26T00:00:00"/>
    <x v="289"/>
    <x v="5"/>
    <x v="11"/>
    <x v="1"/>
    <x v="1"/>
    <x v="1"/>
    <x v="1"/>
  </r>
  <r>
    <d v="2025-02-26T00:00:00"/>
    <x v="5"/>
    <x v="0"/>
    <x v="1250"/>
    <x v="16"/>
    <x v="1"/>
    <d v="2025-02-26T00:00:00"/>
    <x v="289"/>
    <x v="5"/>
    <x v="11"/>
    <x v="1"/>
    <x v="1"/>
    <x v="1"/>
    <x v="1"/>
  </r>
  <r>
    <d v="2025-02-26T00:00:00"/>
    <x v="5"/>
    <x v="0"/>
    <x v="1250"/>
    <x v="18"/>
    <x v="2"/>
    <d v="2025-02-26T00:00:00"/>
    <x v="289"/>
    <x v="5"/>
    <x v="11"/>
    <x v="1"/>
    <x v="1"/>
    <x v="1"/>
    <x v="1"/>
  </r>
  <r>
    <d v="2025-02-26T00:00:00"/>
    <x v="5"/>
    <x v="0"/>
    <x v="1190"/>
    <x v="18"/>
    <x v="2"/>
    <d v="2025-02-26T00:00:00"/>
    <x v="289"/>
    <x v="5"/>
    <x v="11"/>
    <x v="1"/>
    <x v="1"/>
    <x v="1"/>
    <x v="1"/>
  </r>
  <r>
    <d v="2025-02-26T00:00:00"/>
    <x v="5"/>
    <x v="0"/>
    <x v="1164"/>
    <x v="16"/>
    <x v="0"/>
    <d v="2025-02-26T00:00:00"/>
    <x v="289"/>
    <x v="5"/>
    <x v="11"/>
    <x v="1"/>
    <x v="1"/>
    <x v="1"/>
    <x v="1"/>
  </r>
  <r>
    <d v="2025-02-26T00:00:00"/>
    <x v="5"/>
    <x v="0"/>
    <x v="1165"/>
    <x v="16"/>
    <x v="1"/>
    <d v="2025-02-26T00:00:00"/>
    <x v="289"/>
    <x v="5"/>
    <x v="11"/>
    <x v="1"/>
    <x v="1"/>
    <x v="1"/>
    <x v="1"/>
  </r>
  <r>
    <d v="2025-02-26T00:00:00"/>
    <x v="5"/>
    <x v="0"/>
    <x v="1166"/>
    <x v="17"/>
    <x v="3"/>
    <d v="2025-02-26T00:00:00"/>
    <x v="289"/>
    <x v="5"/>
    <x v="11"/>
    <x v="1"/>
    <x v="1"/>
    <x v="1"/>
    <x v="1"/>
  </r>
  <r>
    <d v="2025-02-26T00:00:00"/>
    <x v="5"/>
    <x v="0"/>
    <x v="1163"/>
    <x v="16"/>
    <x v="0"/>
    <d v="2025-02-26T00:00:00"/>
    <x v="289"/>
    <x v="5"/>
    <x v="11"/>
    <x v="1"/>
    <x v="1"/>
    <x v="1"/>
    <x v="1"/>
  </r>
  <r>
    <d v="2025-02-26T00:00:00"/>
    <x v="5"/>
    <x v="0"/>
    <x v="1163"/>
    <x v="16"/>
    <x v="7"/>
    <d v="2025-02-26T00:00:00"/>
    <x v="289"/>
    <x v="5"/>
    <x v="11"/>
    <x v="1"/>
    <x v="1"/>
    <x v="1"/>
    <x v="1"/>
  </r>
  <r>
    <d v="2025-02-27T00:00:00"/>
    <x v="6"/>
    <x v="0"/>
    <x v="1163"/>
    <x v="16"/>
    <x v="7"/>
    <d v="2025-02-27T00:00:00"/>
    <x v="290"/>
    <x v="6"/>
    <x v="11"/>
    <x v="1"/>
    <x v="1"/>
    <x v="1"/>
    <x v="1"/>
  </r>
  <r>
    <d v="2025-02-27T00:00:00"/>
    <x v="6"/>
    <x v="0"/>
    <x v="1161"/>
    <x v="16"/>
    <x v="7"/>
    <d v="2025-02-27T00:00:00"/>
    <x v="290"/>
    <x v="6"/>
    <x v="11"/>
    <x v="1"/>
    <x v="1"/>
    <x v="1"/>
    <x v="1"/>
  </r>
  <r>
    <d v="2025-02-27T00:00:00"/>
    <x v="6"/>
    <x v="0"/>
    <x v="1237"/>
    <x v="19"/>
    <x v="6"/>
    <d v="2025-02-27T00:00:00"/>
    <x v="290"/>
    <x v="6"/>
    <x v="11"/>
    <x v="1"/>
    <x v="1"/>
    <x v="1"/>
    <x v="1"/>
  </r>
  <r>
    <d v="2025-02-27T00:00:00"/>
    <x v="6"/>
    <x v="0"/>
    <x v="1168"/>
    <x v="16"/>
    <x v="4"/>
    <d v="2025-02-27T00:00:00"/>
    <x v="290"/>
    <x v="6"/>
    <x v="11"/>
    <x v="1"/>
    <x v="1"/>
    <x v="1"/>
    <x v="1"/>
  </r>
  <r>
    <d v="2025-02-27T00:00:00"/>
    <x v="6"/>
    <x v="0"/>
    <x v="1251"/>
    <x v="16"/>
    <x v="4"/>
    <d v="2025-02-27T00:00:00"/>
    <x v="290"/>
    <x v="6"/>
    <x v="11"/>
    <x v="1"/>
    <x v="1"/>
    <x v="1"/>
    <x v="1"/>
  </r>
  <r>
    <d v="2025-02-27T00:00:00"/>
    <x v="6"/>
    <x v="0"/>
    <x v="1252"/>
    <x v="17"/>
    <x v="3"/>
    <d v="2025-02-27T00:00:00"/>
    <x v="290"/>
    <x v="6"/>
    <x v="11"/>
    <x v="1"/>
    <x v="1"/>
    <x v="1"/>
    <x v="1"/>
  </r>
  <r>
    <d v="2025-02-27T00:00:00"/>
    <x v="6"/>
    <x v="0"/>
    <x v="1163"/>
    <x v="18"/>
    <x v="2"/>
    <d v="2025-02-27T00:00:00"/>
    <x v="290"/>
    <x v="6"/>
    <x v="11"/>
    <x v="1"/>
    <x v="1"/>
    <x v="1"/>
    <x v="1"/>
  </r>
  <r>
    <d v="2025-02-27T00:00:00"/>
    <x v="6"/>
    <x v="0"/>
    <x v="1253"/>
    <x v="16"/>
    <x v="0"/>
    <d v="2025-02-27T00:00:00"/>
    <x v="290"/>
    <x v="6"/>
    <x v="11"/>
    <x v="1"/>
    <x v="1"/>
    <x v="1"/>
    <x v="1"/>
  </r>
  <r>
    <d v="2025-02-27T00:00:00"/>
    <x v="6"/>
    <x v="0"/>
    <x v="1170"/>
    <x v="18"/>
    <x v="2"/>
    <d v="2025-02-27T00:00:00"/>
    <x v="290"/>
    <x v="6"/>
    <x v="11"/>
    <x v="1"/>
    <x v="1"/>
    <x v="1"/>
    <x v="1"/>
  </r>
  <r>
    <d v="2025-02-27T00:00:00"/>
    <x v="6"/>
    <x v="0"/>
    <x v="1190"/>
    <x v="18"/>
    <x v="2"/>
    <d v="2025-02-27T00:00:00"/>
    <x v="290"/>
    <x v="6"/>
    <x v="11"/>
    <x v="1"/>
    <x v="1"/>
    <x v="1"/>
    <x v="1"/>
  </r>
  <r>
    <d v="2025-02-27T00:00:00"/>
    <x v="6"/>
    <x v="0"/>
    <x v="1254"/>
    <x v="16"/>
    <x v="0"/>
    <d v="2025-02-27T00:00:00"/>
    <x v="290"/>
    <x v="6"/>
    <x v="11"/>
    <x v="1"/>
    <x v="1"/>
    <x v="1"/>
    <x v="1"/>
  </r>
  <r>
    <d v="2025-02-27T00:00:00"/>
    <x v="6"/>
    <x v="0"/>
    <x v="1208"/>
    <x v="16"/>
    <x v="0"/>
    <d v="2025-02-27T00:00:00"/>
    <x v="290"/>
    <x v="6"/>
    <x v="11"/>
    <x v="1"/>
    <x v="1"/>
    <x v="1"/>
    <x v="1"/>
  </r>
  <r>
    <d v="2025-02-27T00:00:00"/>
    <x v="6"/>
    <x v="0"/>
    <x v="1184"/>
    <x v="16"/>
    <x v="7"/>
    <d v="2025-02-27T00:00:00"/>
    <x v="290"/>
    <x v="6"/>
    <x v="11"/>
    <x v="1"/>
    <x v="1"/>
    <x v="1"/>
    <x v="1"/>
  </r>
  <r>
    <d v="2025-02-27T00:00:00"/>
    <x v="6"/>
    <x v="0"/>
    <x v="1179"/>
    <x v="16"/>
    <x v="4"/>
    <d v="2025-02-27T00:00:00"/>
    <x v="290"/>
    <x v="6"/>
    <x v="11"/>
    <x v="1"/>
    <x v="1"/>
    <x v="1"/>
    <x v="1"/>
  </r>
  <r>
    <d v="2025-02-27T00:00:00"/>
    <x v="6"/>
    <x v="0"/>
    <x v="1215"/>
    <x v="16"/>
    <x v="0"/>
    <d v="2025-02-27T00:00:00"/>
    <x v="290"/>
    <x v="6"/>
    <x v="11"/>
    <x v="1"/>
    <x v="1"/>
    <x v="1"/>
    <x v="1"/>
  </r>
  <r>
    <d v="2025-02-27T00:00:00"/>
    <x v="6"/>
    <x v="0"/>
    <x v="46"/>
    <x v="16"/>
    <x v="7"/>
    <d v="2025-02-27T00:00:00"/>
    <x v="290"/>
    <x v="6"/>
    <x v="11"/>
    <x v="1"/>
    <x v="1"/>
    <x v="1"/>
    <x v="1"/>
  </r>
  <r>
    <d v="2025-02-28T00:00:00"/>
    <x v="0"/>
    <x v="0"/>
    <x v="1163"/>
    <x v="17"/>
    <x v="3"/>
    <d v="2025-02-28T00:00:00"/>
    <x v="291"/>
    <x v="0"/>
    <x v="11"/>
    <x v="1"/>
    <x v="1"/>
    <x v="1"/>
    <x v="1"/>
  </r>
  <r>
    <d v="2025-02-28T00:00:00"/>
    <x v="0"/>
    <x v="0"/>
    <x v="1161"/>
    <x v="16"/>
    <x v="7"/>
    <d v="2025-02-28T00:00:00"/>
    <x v="291"/>
    <x v="0"/>
    <x v="11"/>
    <x v="1"/>
    <x v="1"/>
    <x v="1"/>
    <x v="1"/>
  </r>
  <r>
    <d v="2025-02-28T00:00:00"/>
    <x v="0"/>
    <x v="0"/>
    <x v="1255"/>
    <x v="19"/>
    <x v="6"/>
    <d v="2025-02-28T00:00:00"/>
    <x v="291"/>
    <x v="0"/>
    <x v="11"/>
    <x v="1"/>
    <x v="1"/>
    <x v="1"/>
    <x v="1"/>
  </r>
  <r>
    <d v="2025-02-28T00:00:00"/>
    <x v="0"/>
    <x v="0"/>
    <x v="1162"/>
    <x v="17"/>
    <x v="3"/>
    <d v="2025-02-28T00:00:00"/>
    <x v="291"/>
    <x v="0"/>
    <x v="11"/>
    <x v="1"/>
    <x v="1"/>
    <x v="1"/>
    <x v="1"/>
  </r>
  <r>
    <d v="2025-02-28T00:00:00"/>
    <x v="0"/>
    <x v="0"/>
    <x v="1110"/>
    <x v="18"/>
    <x v="2"/>
    <d v="2025-02-28T00:00:00"/>
    <x v="291"/>
    <x v="0"/>
    <x v="11"/>
    <x v="1"/>
    <x v="1"/>
    <x v="1"/>
    <x v="1"/>
  </r>
  <r>
    <d v="2025-02-28T00:00:00"/>
    <x v="0"/>
    <x v="0"/>
    <x v="1163"/>
    <x v="18"/>
    <x v="2"/>
    <d v="2025-02-28T00:00:00"/>
    <x v="291"/>
    <x v="0"/>
    <x v="11"/>
    <x v="1"/>
    <x v="1"/>
    <x v="1"/>
    <x v="1"/>
  </r>
  <r>
    <d v="2025-02-28T00:00:00"/>
    <x v="0"/>
    <x v="0"/>
    <x v="1191"/>
    <x v="16"/>
    <x v="0"/>
    <d v="2025-02-28T00:00:00"/>
    <x v="291"/>
    <x v="0"/>
    <x v="11"/>
    <x v="1"/>
    <x v="1"/>
    <x v="1"/>
    <x v="1"/>
  </r>
  <r>
    <d v="2025-02-28T00:00:00"/>
    <x v="0"/>
    <x v="0"/>
    <x v="1156"/>
    <x v="16"/>
    <x v="4"/>
    <d v="2025-02-28T00:00:00"/>
    <x v="291"/>
    <x v="0"/>
    <x v="11"/>
    <x v="1"/>
    <x v="1"/>
    <x v="1"/>
    <x v="1"/>
  </r>
  <r>
    <d v="2025-02-28T00:00:00"/>
    <x v="0"/>
    <x v="0"/>
    <x v="1170"/>
    <x v="18"/>
    <x v="2"/>
    <d v="2025-02-28T00:00:00"/>
    <x v="291"/>
    <x v="0"/>
    <x v="11"/>
    <x v="1"/>
    <x v="1"/>
    <x v="1"/>
    <x v="1"/>
  </r>
  <r>
    <d v="2025-02-28T00:00:00"/>
    <x v="0"/>
    <x v="0"/>
    <x v="1256"/>
    <x v="17"/>
    <x v="3"/>
    <d v="2025-02-28T00:00:00"/>
    <x v="291"/>
    <x v="0"/>
    <x v="11"/>
    <x v="1"/>
    <x v="1"/>
    <x v="1"/>
    <x v="1"/>
  </r>
  <r>
    <d v="2025-02-28T00:00:00"/>
    <x v="0"/>
    <x v="0"/>
    <x v="1190"/>
    <x v="18"/>
    <x v="2"/>
    <d v="2025-02-28T00:00:00"/>
    <x v="291"/>
    <x v="0"/>
    <x v="11"/>
    <x v="1"/>
    <x v="1"/>
    <x v="1"/>
    <x v="1"/>
  </r>
  <r>
    <d v="2025-02-28T00:00:00"/>
    <x v="0"/>
    <x v="0"/>
    <x v="1257"/>
    <x v="16"/>
    <x v="0"/>
    <d v="2025-02-28T00:00:00"/>
    <x v="291"/>
    <x v="0"/>
    <x v="11"/>
    <x v="1"/>
    <x v="1"/>
    <x v="1"/>
    <x v="1"/>
  </r>
  <r>
    <d v="2025-03-01T00:00:00"/>
    <x v="1"/>
    <x v="0"/>
    <x v="1184"/>
    <x v="16"/>
    <x v="7"/>
    <d v="2025-03-01T00:00:00"/>
    <x v="292"/>
    <x v="1"/>
    <x v="0"/>
    <x v="1"/>
    <x v="1"/>
    <x v="1"/>
    <x v="1"/>
  </r>
  <r>
    <d v="2025-03-01T00:00:00"/>
    <x v="1"/>
    <x v="0"/>
    <x v="1190"/>
    <x v="18"/>
    <x v="2"/>
    <d v="2025-03-01T00:00:00"/>
    <x v="292"/>
    <x v="1"/>
    <x v="0"/>
    <x v="1"/>
    <x v="1"/>
    <x v="1"/>
    <x v="1"/>
  </r>
  <r>
    <d v="2025-03-01T00:00:00"/>
    <x v="1"/>
    <x v="0"/>
    <x v="1198"/>
    <x v="18"/>
    <x v="2"/>
    <d v="2025-03-01T00:00:00"/>
    <x v="292"/>
    <x v="1"/>
    <x v="0"/>
    <x v="1"/>
    <x v="1"/>
    <x v="1"/>
    <x v="1"/>
  </r>
  <r>
    <d v="2025-03-01T00:00:00"/>
    <x v="1"/>
    <x v="0"/>
    <x v="1254"/>
    <x v="16"/>
    <x v="0"/>
    <d v="2025-03-01T00:00:00"/>
    <x v="292"/>
    <x v="1"/>
    <x v="0"/>
    <x v="1"/>
    <x v="1"/>
    <x v="1"/>
    <x v="1"/>
  </r>
  <r>
    <d v="2025-03-01T00:00:00"/>
    <x v="1"/>
    <x v="0"/>
    <x v="1152"/>
    <x v="18"/>
    <x v="2"/>
    <d v="2025-03-01T00:00:00"/>
    <x v="292"/>
    <x v="1"/>
    <x v="0"/>
    <x v="1"/>
    <x v="1"/>
    <x v="1"/>
    <x v="1"/>
  </r>
  <r>
    <d v="2025-03-01T00:00:00"/>
    <x v="1"/>
    <x v="0"/>
    <x v="1157"/>
    <x v="17"/>
    <x v="3"/>
    <d v="2025-03-01T00:00:00"/>
    <x v="292"/>
    <x v="1"/>
    <x v="0"/>
    <x v="1"/>
    <x v="1"/>
    <x v="1"/>
    <x v="1"/>
  </r>
  <r>
    <d v="2025-03-01T00:00:00"/>
    <x v="1"/>
    <x v="0"/>
    <x v="1258"/>
    <x v="18"/>
    <x v="2"/>
    <d v="2025-03-01T00:00:00"/>
    <x v="292"/>
    <x v="1"/>
    <x v="0"/>
    <x v="1"/>
    <x v="1"/>
    <x v="1"/>
    <x v="1"/>
  </r>
  <r>
    <d v="2025-03-02T00:00:00"/>
    <x v="2"/>
    <x v="0"/>
    <x v="1163"/>
    <x v="16"/>
    <x v="4"/>
    <d v="2025-03-02T00:00:00"/>
    <x v="293"/>
    <x v="2"/>
    <x v="0"/>
    <x v="1"/>
    <x v="1"/>
    <x v="1"/>
    <x v="1"/>
  </r>
  <r>
    <d v="2025-03-02T00:00:00"/>
    <x v="2"/>
    <x v="0"/>
    <x v="1189"/>
    <x v="16"/>
    <x v="0"/>
    <d v="2025-03-02T00:00:00"/>
    <x v="293"/>
    <x v="2"/>
    <x v="0"/>
    <x v="1"/>
    <x v="1"/>
    <x v="1"/>
    <x v="1"/>
  </r>
  <r>
    <d v="2025-03-02T00:00:00"/>
    <x v="2"/>
    <x v="0"/>
    <x v="1217"/>
    <x v="17"/>
    <x v="3"/>
    <d v="2025-03-02T00:00:00"/>
    <x v="293"/>
    <x v="2"/>
    <x v="0"/>
    <x v="1"/>
    <x v="1"/>
    <x v="1"/>
    <x v="1"/>
  </r>
  <r>
    <d v="2025-03-02T00:00:00"/>
    <x v="2"/>
    <x v="0"/>
    <x v="1152"/>
    <x v="17"/>
    <x v="3"/>
    <d v="2025-03-02T00:00:00"/>
    <x v="293"/>
    <x v="2"/>
    <x v="0"/>
    <x v="1"/>
    <x v="1"/>
    <x v="1"/>
    <x v="1"/>
  </r>
  <r>
    <d v="2025-03-02T00:00:00"/>
    <x v="2"/>
    <x v="0"/>
    <x v="1152"/>
    <x v="18"/>
    <x v="2"/>
    <d v="2025-03-02T00:00:00"/>
    <x v="293"/>
    <x v="2"/>
    <x v="0"/>
    <x v="1"/>
    <x v="1"/>
    <x v="1"/>
    <x v="1"/>
  </r>
  <r>
    <d v="2025-03-02T00:00:00"/>
    <x v="2"/>
    <x v="0"/>
    <x v="1190"/>
    <x v="18"/>
    <x v="2"/>
    <d v="2025-03-02T00:00:00"/>
    <x v="293"/>
    <x v="2"/>
    <x v="0"/>
    <x v="1"/>
    <x v="1"/>
    <x v="1"/>
    <x v="1"/>
  </r>
  <r>
    <d v="2025-03-03T00:00:00"/>
    <x v="3"/>
    <x v="0"/>
    <x v="1161"/>
    <x v="16"/>
    <x v="7"/>
    <d v="2025-03-03T00:00:00"/>
    <x v="294"/>
    <x v="3"/>
    <x v="0"/>
    <x v="1"/>
    <x v="1"/>
    <x v="1"/>
    <x v="1"/>
  </r>
  <r>
    <d v="2025-03-03T00:00:00"/>
    <x v="3"/>
    <x v="0"/>
    <x v="1244"/>
    <x v="16"/>
    <x v="4"/>
    <d v="2025-03-03T00:00:00"/>
    <x v="294"/>
    <x v="3"/>
    <x v="0"/>
    <x v="1"/>
    <x v="1"/>
    <x v="1"/>
    <x v="1"/>
  </r>
  <r>
    <d v="2025-03-03T00:00:00"/>
    <x v="3"/>
    <x v="0"/>
    <x v="1244"/>
    <x v="16"/>
    <x v="0"/>
    <d v="2025-03-03T00:00:00"/>
    <x v="294"/>
    <x v="3"/>
    <x v="0"/>
    <x v="1"/>
    <x v="1"/>
    <x v="1"/>
    <x v="1"/>
  </r>
  <r>
    <d v="2025-03-03T00:00:00"/>
    <x v="3"/>
    <x v="0"/>
    <x v="1227"/>
    <x v="16"/>
    <x v="1"/>
    <d v="2025-03-03T00:00:00"/>
    <x v="294"/>
    <x v="3"/>
    <x v="0"/>
    <x v="1"/>
    <x v="1"/>
    <x v="1"/>
    <x v="1"/>
  </r>
  <r>
    <d v="2025-03-03T00:00:00"/>
    <x v="3"/>
    <x v="0"/>
    <x v="1259"/>
    <x v="16"/>
    <x v="1"/>
    <d v="2025-03-03T00:00:00"/>
    <x v="294"/>
    <x v="3"/>
    <x v="0"/>
    <x v="1"/>
    <x v="1"/>
    <x v="1"/>
    <x v="1"/>
  </r>
  <r>
    <d v="2025-03-03T00:00:00"/>
    <x v="3"/>
    <x v="0"/>
    <x v="1184"/>
    <x v="16"/>
    <x v="7"/>
    <d v="2025-03-03T00:00:00"/>
    <x v="294"/>
    <x v="3"/>
    <x v="0"/>
    <x v="1"/>
    <x v="1"/>
    <x v="1"/>
    <x v="1"/>
  </r>
  <r>
    <d v="2025-03-03T00:00:00"/>
    <x v="3"/>
    <x v="0"/>
    <x v="1191"/>
    <x v="16"/>
    <x v="0"/>
    <d v="2025-03-03T00:00:00"/>
    <x v="294"/>
    <x v="3"/>
    <x v="0"/>
    <x v="1"/>
    <x v="1"/>
    <x v="1"/>
    <x v="1"/>
  </r>
  <r>
    <d v="2025-03-03T00:00:00"/>
    <x v="3"/>
    <x v="0"/>
    <x v="1167"/>
    <x v="18"/>
    <x v="2"/>
    <d v="2025-03-03T00:00:00"/>
    <x v="294"/>
    <x v="3"/>
    <x v="0"/>
    <x v="1"/>
    <x v="1"/>
    <x v="1"/>
    <x v="1"/>
  </r>
  <r>
    <d v="2025-03-03T00:00:00"/>
    <x v="3"/>
    <x v="0"/>
    <x v="1196"/>
    <x v="16"/>
    <x v="4"/>
    <d v="2025-03-03T00:00:00"/>
    <x v="294"/>
    <x v="3"/>
    <x v="0"/>
    <x v="1"/>
    <x v="1"/>
    <x v="1"/>
    <x v="1"/>
  </r>
  <r>
    <d v="2025-03-03T00:00:00"/>
    <x v="3"/>
    <x v="0"/>
    <x v="1164"/>
    <x v="16"/>
    <x v="0"/>
    <d v="2025-03-03T00:00:00"/>
    <x v="294"/>
    <x v="3"/>
    <x v="0"/>
    <x v="1"/>
    <x v="1"/>
    <x v="1"/>
    <x v="1"/>
  </r>
  <r>
    <d v="2025-03-03T00:00:00"/>
    <x v="3"/>
    <x v="0"/>
    <x v="1158"/>
    <x v="16"/>
    <x v="7"/>
    <d v="2025-03-03T00:00:00"/>
    <x v="294"/>
    <x v="3"/>
    <x v="0"/>
    <x v="1"/>
    <x v="1"/>
    <x v="1"/>
    <x v="1"/>
  </r>
  <r>
    <d v="2025-03-03T00:00:00"/>
    <x v="3"/>
    <x v="0"/>
    <x v="1170"/>
    <x v="18"/>
    <x v="2"/>
    <d v="2025-03-03T00:00:00"/>
    <x v="294"/>
    <x v="3"/>
    <x v="0"/>
    <x v="1"/>
    <x v="1"/>
    <x v="1"/>
    <x v="1"/>
  </r>
  <r>
    <d v="2025-03-03T00:00:00"/>
    <x v="3"/>
    <x v="0"/>
    <x v="1256"/>
    <x v="17"/>
    <x v="3"/>
    <d v="2025-03-03T00:00:00"/>
    <x v="294"/>
    <x v="3"/>
    <x v="0"/>
    <x v="1"/>
    <x v="1"/>
    <x v="1"/>
    <x v="1"/>
  </r>
  <r>
    <d v="2025-03-03T00:00:00"/>
    <x v="3"/>
    <x v="0"/>
    <x v="1198"/>
    <x v="18"/>
    <x v="2"/>
    <d v="2025-03-03T00:00:00"/>
    <x v="294"/>
    <x v="3"/>
    <x v="0"/>
    <x v="1"/>
    <x v="1"/>
    <x v="1"/>
    <x v="1"/>
  </r>
  <r>
    <d v="2025-03-03T00:00:00"/>
    <x v="3"/>
    <x v="0"/>
    <x v="1198"/>
    <x v="16"/>
    <x v="1"/>
    <d v="2025-03-03T00:00:00"/>
    <x v="294"/>
    <x v="3"/>
    <x v="0"/>
    <x v="1"/>
    <x v="1"/>
    <x v="1"/>
    <x v="1"/>
  </r>
  <r>
    <d v="2025-03-03T00:00:00"/>
    <x v="3"/>
    <x v="0"/>
    <x v="1179"/>
    <x v="16"/>
    <x v="1"/>
    <d v="2025-03-03T00:00:00"/>
    <x v="294"/>
    <x v="3"/>
    <x v="0"/>
    <x v="1"/>
    <x v="1"/>
    <x v="1"/>
    <x v="1"/>
  </r>
  <r>
    <d v="2025-03-03T00:00:00"/>
    <x v="3"/>
    <x v="0"/>
    <x v="1178"/>
    <x v="16"/>
    <x v="1"/>
    <d v="2025-03-03T00:00:00"/>
    <x v="294"/>
    <x v="3"/>
    <x v="0"/>
    <x v="1"/>
    <x v="1"/>
    <x v="1"/>
    <x v="1"/>
  </r>
  <r>
    <d v="2025-03-03T00:00:00"/>
    <x v="3"/>
    <x v="0"/>
    <x v="1162"/>
    <x v="17"/>
    <x v="3"/>
    <d v="2025-03-03T00:00:00"/>
    <x v="294"/>
    <x v="3"/>
    <x v="0"/>
    <x v="1"/>
    <x v="1"/>
    <x v="1"/>
    <x v="1"/>
  </r>
  <r>
    <d v="2025-03-03T00:00:00"/>
    <x v="3"/>
    <x v="0"/>
    <x v="1257"/>
    <x v="16"/>
    <x v="0"/>
    <d v="2025-03-03T00:00:00"/>
    <x v="294"/>
    <x v="3"/>
    <x v="0"/>
    <x v="1"/>
    <x v="1"/>
    <x v="1"/>
    <x v="1"/>
  </r>
  <r>
    <d v="2025-03-04T00:00:00"/>
    <x v="4"/>
    <x v="0"/>
    <x v="1161"/>
    <x v="16"/>
    <x v="7"/>
    <d v="2025-03-04T00:00:00"/>
    <x v="278"/>
    <x v="4"/>
    <x v="0"/>
    <x v="1"/>
    <x v="1"/>
    <x v="1"/>
    <x v="1"/>
  </r>
  <r>
    <d v="2025-03-04T00:00:00"/>
    <x v="4"/>
    <x v="0"/>
    <x v="1163"/>
    <x v="18"/>
    <x v="2"/>
    <d v="2025-03-04T00:00:00"/>
    <x v="278"/>
    <x v="4"/>
    <x v="0"/>
    <x v="1"/>
    <x v="1"/>
    <x v="1"/>
    <x v="1"/>
  </r>
  <r>
    <d v="2025-03-04T00:00:00"/>
    <x v="4"/>
    <x v="0"/>
    <x v="1187"/>
    <x v="17"/>
    <x v="3"/>
    <d v="2025-03-04T00:00:00"/>
    <x v="278"/>
    <x v="4"/>
    <x v="0"/>
    <x v="1"/>
    <x v="1"/>
    <x v="1"/>
    <x v="1"/>
  </r>
  <r>
    <d v="2025-03-04T00:00:00"/>
    <x v="4"/>
    <x v="0"/>
    <x v="1260"/>
    <x v="18"/>
    <x v="2"/>
    <d v="2025-03-04T00:00:00"/>
    <x v="278"/>
    <x v="4"/>
    <x v="0"/>
    <x v="1"/>
    <x v="1"/>
    <x v="1"/>
    <x v="1"/>
  </r>
  <r>
    <d v="2025-03-04T00:00:00"/>
    <x v="4"/>
    <x v="0"/>
    <x v="1222"/>
    <x v="17"/>
    <x v="3"/>
    <d v="2025-03-04T00:00:00"/>
    <x v="278"/>
    <x v="4"/>
    <x v="0"/>
    <x v="1"/>
    <x v="1"/>
    <x v="1"/>
    <x v="1"/>
  </r>
  <r>
    <d v="2025-03-04T00:00:00"/>
    <x v="4"/>
    <x v="0"/>
    <x v="1176"/>
    <x v="18"/>
    <x v="2"/>
    <d v="2025-03-04T00:00:00"/>
    <x v="278"/>
    <x v="4"/>
    <x v="0"/>
    <x v="1"/>
    <x v="1"/>
    <x v="1"/>
    <x v="1"/>
  </r>
  <r>
    <d v="2025-03-04T00:00:00"/>
    <x v="4"/>
    <x v="0"/>
    <x v="1167"/>
    <x v="18"/>
    <x v="2"/>
    <d v="2025-03-04T00:00:00"/>
    <x v="278"/>
    <x v="4"/>
    <x v="0"/>
    <x v="1"/>
    <x v="1"/>
    <x v="1"/>
    <x v="1"/>
  </r>
  <r>
    <d v="2025-03-04T00:00:00"/>
    <x v="4"/>
    <x v="0"/>
    <x v="1110"/>
    <x v="18"/>
    <x v="2"/>
    <d v="2025-03-04T00:00:00"/>
    <x v="278"/>
    <x v="4"/>
    <x v="0"/>
    <x v="1"/>
    <x v="1"/>
    <x v="1"/>
    <x v="1"/>
  </r>
  <r>
    <d v="2025-03-04T00:00:00"/>
    <x v="4"/>
    <x v="0"/>
    <x v="1189"/>
    <x v="16"/>
    <x v="4"/>
    <d v="2025-03-04T00:00:00"/>
    <x v="278"/>
    <x v="4"/>
    <x v="0"/>
    <x v="1"/>
    <x v="1"/>
    <x v="1"/>
    <x v="1"/>
  </r>
  <r>
    <d v="2025-03-04T00:00:00"/>
    <x v="4"/>
    <x v="0"/>
    <x v="1234"/>
    <x v="16"/>
    <x v="4"/>
    <d v="2025-03-04T00:00:00"/>
    <x v="278"/>
    <x v="4"/>
    <x v="0"/>
    <x v="1"/>
    <x v="1"/>
    <x v="1"/>
    <x v="1"/>
  </r>
  <r>
    <d v="2025-03-04T00:00:00"/>
    <x v="4"/>
    <x v="0"/>
    <x v="1174"/>
    <x v="16"/>
    <x v="0"/>
    <d v="2025-03-04T00:00:00"/>
    <x v="278"/>
    <x v="4"/>
    <x v="0"/>
    <x v="1"/>
    <x v="1"/>
    <x v="1"/>
    <x v="1"/>
  </r>
  <r>
    <d v="2025-03-04T00:00:00"/>
    <x v="4"/>
    <x v="0"/>
    <x v="1246"/>
    <x v="16"/>
    <x v="0"/>
    <d v="2025-03-04T00:00:00"/>
    <x v="278"/>
    <x v="4"/>
    <x v="0"/>
    <x v="1"/>
    <x v="1"/>
    <x v="1"/>
    <x v="1"/>
  </r>
  <r>
    <d v="2025-03-05T00:00:00"/>
    <x v="5"/>
    <x v="0"/>
    <x v="1163"/>
    <x v="17"/>
    <x v="3"/>
    <d v="2025-03-05T00:00:00"/>
    <x v="253"/>
    <x v="5"/>
    <x v="0"/>
    <x v="1"/>
    <x v="1"/>
    <x v="1"/>
    <x v="1"/>
  </r>
  <r>
    <d v="2025-03-05T00:00:00"/>
    <x v="5"/>
    <x v="0"/>
    <x v="1167"/>
    <x v="18"/>
    <x v="2"/>
    <d v="2025-03-05T00:00:00"/>
    <x v="253"/>
    <x v="5"/>
    <x v="0"/>
    <x v="1"/>
    <x v="1"/>
    <x v="1"/>
    <x v="1"/>
  </r>
  <r>
    <d v="2025-03-05T00:00:00"/>
    <x v="5"/>
    <x v="0"/>
    <x v="1198"/>
    <x v="18"/>
    <x v="2"/>
    <d v="2025-03-05T00:00:00"/>
    <x v="253"/>
    <x v="5"/>
    <x v="0"/>
    <x v="1"/>
    <x v="1"/>
    <x v="1"/>
    <x v="1"/>
  </r>
  <r>
    <d v="2025-03-05T00:00:00"/>
    <x v="5"/>
    <x v="0"/>
    <x v="1261"/>
    <x v="16"/>
    <x v="7"/>
    <d v="2025-03-05T00:00:00"/>
    <x v="253"/>
    <x v="5"/>
    <x v="0"/>
    <x v="1"/>
    <x v="1"/>
    <x v="1"/>
    <x v="1"/>
  </r>
  <r>
    <d v="2025-03-05T00:00:00"/>
    <x v="5"/>
    <x v="0"/>
    <x v="1248"/>
    <x v="17"/>
    <x v="3"/>
    <d v="2025-03-05T00:00:00"/>
    <x v="253"/>
    <x v="5"/>
    <x v="0"/>
    <x v="1"/>
    <x v="1"/>
    <x v="1"/>
    <x v="1"/>
  </r>
  <r>
    <d v="2025-03-05T00:00:00"/>
    <x v="5"/>
    <x v="0"/>
    <x v="1184"/>
    <x v="16"/>
    <x v="7"/>
    <d v="2025-03-05T00:00:00"/>
    <x v="253"/>
    <x v="5"/>
    <x v="0"/>
    <x v="1"/>
    <x v="1"/>
    <x v="1"/>
    <x v="1"/>
  </r>
  <r>
    <d v="2025-03-05T00:00:00"/>
    <x v="5"/>
    <x v="0"/>
    <x v="1262"/>
    <x v="16"/>
    <x v="4"/>
    <d v="2025-03-05T00:00:00"/>
    <x v="253"/>
    <x v="5"/>
    <x v="0"/>
    <x v="1"/>
    <x v="1"/>
    <x v="1"/>
    <x v="1"/>
  </r>
  <r>
    <d v="2025-03-05T00:00:00"/>
    <x v="5"/>
    <x v="0"/>
    <x v="1110"/>
    <x v="18"/>
    <x v="2"/>
    <d v="2025-03-05T00:00:00"/>
    <x v="253"/>
    <x v="5"/>
    <x v="0"/>
    <x v="1"/>
    <x v="1"/>
    <x v="1"/>
    <x v="1"/>
  </r>
  <r>
    <d v="2025-03-05T00:00:00"/>
    <x v="5"/>
    <x v="0"/>
    <x v="1191"/>
    <x v="16"/>
    <x v="0"/>
    <d v="2025-03-05T00:00:00"/>
    <x v="253"/>
    <x v="5"/>
    <x v="0"/>
    <x v="1"/>
    <x v="1"/>
    <x v="1"/>
    <x v="1"/>
  </r>
  <r>
    <d v="2025-03-05T00:00:00"/>
    <x v="5"/>
    <x v="0"/>
    <x v="1164"/>
    <x v="16"/>
    <x v="0"/>
    <d v="2025-03-05T00:00:00"/>
    <x v="253"/>
    <x v="5"/>
    <x v="0"/>
    <x v="1"/>
    <x v="1"/>
    <x v="1"/>
    <x v="1"/>
  </r>
  <r>
    <d v="2025-03-05T00:00:00"/>
    <x v="5"/>
    <x v="0"/>
    <x v="1165"/>
    <x v="16"/>
    <x v="1"/>
    <d v="2025-03-05T00:00:00"/>
    <x v="253"/>
    <x v="5"/>
    <x v="0"/>
    <x v="1"/>
    <x v="1"/>
    <x v="1"/>
    <x v="1"/>
  </r>
  <r>
    <d v="2025-03-05T00:00:00"/>
    <x v="5"/>
    <x v="0"/>
    <x v="1222"/>
    <x v="17"/>
    <x v="3"/>
    <d v="2025-03-05T00:00:00"/>
    <x v="253"/>
    <x v="5"/>
    <x v="0"/>
    <x v="1"/>
    <x v="1"/>
    <x v="1"/>
    <x v="1"/>
  </r>
  <r>
    <d v="2025-03-05T00:00:00"/>
    <x v="5"/>
    <x v="0"/>
    <x v="1263"/>
    <x v="19"/>
    <x v="6"/>
    <d v="2025-03-05T00:00:00"/>
    <x v="253"/>
    <x v="5"/>
    <x v="0"/>
    <x v="1"/>
    <x v="1"/>
    <x v="1"/>
    <x v="1"/>
  </r>
  <r>
    <d v="2025-03-05T00:00:00"/>
    <x v="5"/>
    <x v="0"/>
    <x v="1158"/>
    <x v="16"/>
    <x v="7"/>
    <d v="2025-03-05T00:00:00"/>
    <x v="253"/>
    <x v="5"/>
    <x v="0"/>
    <x v="1"/>
    <x v="1"/>
    <x v="1"/>
    <x v="1"/>
  </r>
  <r>
    <d v="2025-03-05T00:00:00"/>
    <x v="5"/>
    <x v="0"/>
    <x v="1264"/>
    <x v="16"/>
    <x v="4"/>
    <d v="2025-03-05T00:00:00"/>
    <x v="253"/>
    <x v="5"/>
    <x v="0"/>
    <x v="1"/>
    <x v="1"/>
    <x v="1"/>
    <x v="1"/>
  </r>
  <r>
    <d v="2025-03-06T00:00:00"/>
    <x v="6"/>
    <x v="0"/>
    <x v="1210"/>
    <x v="16"/>
    <x v="1"/>
    <d v="2025-03-06T00:00:00"/>
    <x v="295"/>
    <x v="6"/>
    <x v="0"/>
    <x v="1"/>
    <x v="1"/>
    <x v="1"/>
    <x v="1"/>
  </r>
  <r>
    <d v="2025-03-06T00:00:00"/>
    <x v="6"/>
    <x v="0"/>
    <x v="1207"/>
    <x v="19"/>
    <x v="6"/>
    <d v="2025-03-06T00:00:00"/>
    <x v="295"/>
    <x v="6"/>
    <x v="0"/>
    <x v="1"/>
    <x v="1"/>
    <x v="1"/>
    <x v="1"/>
  </r>
  <r>
    <d v="2025-03-06T00:00:00"/>
    <x v="6"/>
    <x v="0"/>
    <x v="1207"/>
    <x v="17"/>
    <x v="3"/>
    <d v="2025-03-06T00:00:00"/>
    <x v="295"/>
    <x v="6"/>
    <x v="0"/>
    <x v="1"/>
    <x v="1"/>
    <x v="1"/>
    <x v="1"/>
  </r>
  <r>
    <d v="2025-03-06T00:00:00"/>
    <x v="6"/>
    <x v="0"/>
    <x v="1163"/>
    <x v="18"/>
    <x v="2"/>
    <d v="2025-03-06T00:00:00"/>
    <x v="295"/>
    <x v="6"/>
    <x v="0"/>
    <x v="1"/>
    <x v="1"/>
    <x v="1"/>
    <x v="1"/>
  </r>
  <r>
    <d v="2025-03-06T00:00:00"/>
    <x v="6"/>
    <x v="0"/>
    <x v="1198"/>
    <x v="18"/>
    <x v="2"/>
    <d v="2025-03-06T00:00:00"/>
    <x v="295"/>
    <x v="6"/>
    <x v="0"/>
    <x v="1"/>
    <x v="1"/>
    <x v="1"/>
    <x v="1"/>
  </r>
  <r>
    <d v="2025-03-06T00:00:00"/>
    <x v="6"/>
    <x v="0"/>
    <x v="1265"/>
    <x v="16"/>
    <x v="7"/>
    <d v="2025-03-06T00:00:00"/>
    <x v="295"/>
    <x v="6"/>
    <x v="0"/>
    <x v="1"/>
    <x v="1"/>
    <x v="1"/>
    <x v="1"/>
  </r>
  <r>
    <d v="2025-03-06T00:00:00"/>
    <x v="6"/>
    <x v="0"/>
    <x v="1215"/>
    <x v="16"/>
    <x v="0"/>
    <d v="2025-03-06T00:00:00"/>
    <x v="295"/>
    <x v="6"/>
    <x v="0"/>
    <x v="1"/>
    <x v="1"/>
    <x v="1"/>
    <x v="1"/>
  </r>
  <r>
    <d v="2025-03-06T00:00:00"/>
    <x v="6"/>
    <x v="0"/>
    <x v="1216"/>
    <x v="17"/>
    <x v="3"/>
    <d v="2025-03-06T00:00:00"/>
    <x v="295"/>
    <x v="6"/>
    <x v="0"/>
    <x v="1"/>
    <x v="1"/>
    <x v="1"/>
    <x v="1"/>
  </r>
  <r>
    <d v="2025-03-06T00:00:00"/>
    <x v="6"/>
    <x v="0"/>
    <x v="1163"/>
    <x v="16"/>
    <x v="4"/>
    <d v="2025-03-06T00:00:00"/>
    <x v="295"/>
    <x v="6"/>
    <x v="0"/>
    <x v="1"/>
    <x v="1"/>
    <x v="1"/>
    <x v="1"/>
  </r>
  <r>
    <d v="2025-03-06T00:00:00"/>
    <x v="6"/>
    <x v="0"/>
    <x v="1158"/>
    <x v="16"/>
    <x v="7"/>
    <d v="2025-03-06T00:00:00"/>
    <x v="295"/>
    <x v="6"/>
    <x v="0"/>
    <x v="1"/>
    <x v="1"/>
    <x v="1"/>
    <x v="1"/>
  </r>
  <r>
    <d v="2025-03-06T00:00:00"/>
    <x v="6"/>
    <x v="0"/>
    <x v="1153"/>
    <x v="17"/>
    <x v="3"/>
    <d v="2025-03-06T00:00:00"/>
    <x v="295"/>
    <x v="6"/>
    <x v="0"/>
    <x v="1"/>
    <x v="1"/>
    <x v="1"/>
    <x v="1"/>
  </r>
  <r>
    <d v="2025-03-07T00:00:00"/>
    <x v="0"/>
    <x v="0"/>
    <x v="1161"/>
    <x v="16"/>
    <x v="7"/>
    <d v="2025-03-07T00:00:00"/>
    <x v="296"/>
    <x v="0"/>
    <x v="0"/>
    <x v="1"/>
    <x v="1"/>
    <x v="1"/>
    <x v="1"/>
  </r>
  <r>
    <d v="2025-03-07T00:00:00"/>
    <x v="0"/>
    <x v="0"/>
    <x v="1110"/>
    <x v="18"/>
    <x v="2"/>
    <d v="2025-03-07T00:00:00"/>
    <x v="296"/>
    <x v="0"/>
    <x v="0"/>
    <x v="1"/>
    <x v="1"/>
    <x v="1"/>
    <x v="1"/>
  </r>
  <r>
    <d v="2025-03-07T00:00:00"/>
    <x v="0"/>
    <x v="0"/>
    <x v="1163"/>
    <x v="18"/>
    <x v="2"/>
    <d v="2025-03-07T00:00:00"/>
    <x v="296"/>
    <x v="0"/>
    <x v="0"/>
    <x v="1"/>
    <x v="1"/>
    <x v="1"/>
    <x v="1"/>
  </r>
  <r>
    <d v="2025-03-07T00:00:00"/>
    <x v="0"/>
    <x v="0"/>
    <x v="1155"/>
    <x v="16"/>
    <x v="1"/>
    <d v="2025-03-07T00:00:00"/>
    <x v="296"/>
    <x v="0"/>
    <x v="0"/>
    <x v="1"/>
    <x v="1"/>
    <x v="1"/>
    <x v="1"/>
  </r>
  <r>
    <d v="2025-03-07T00:00:00"/>
    <x v="0"/>
    <x v="0"/>
    <x v="1266"/>
    <x v="17"/>
    <x v="3"/>
    <d v="2025-03-07T00:00:00"/>
    <x v="296"/>
    <x v="0"/>
    <x v="0"/>
    <x v="1"/>
    <x v="1"/>
    <x v="1"/>
    <x v="1"/>
  </r>
  <r>
    <d v="2025-03-07T00:00:00"/>
    <x v="0"/>
    <x v="0"/>
    <x v="1262"/>
    <x v="16"/>
    <x v="4"/>
    <d v="2025-03-07T00:00:00"/>
    <x v="296"/>
    <x v="0"/>
    <x v="0"/>
    <x v="1"/>
    <x v="1"/>
    <x v="1"/>
    <x v="1"/>
  </r>
  <r>
    <d v="2025-03-07T00:00:00"/>
    <x v="0"/>
    <x v="0"/>
    <x v="1189"/>
    <x v="16"/>
    <x v="4"/>
    <d v="2025-03-07T00:00:00"/>
    <x v="296"/>
    <x v="0"/>
    <x v="0"/>
    <x v="1"/>
    <x v="1"/>
    <x v="1"/>
    <x v="1"/>
  </r>
  <r>
    <d v="2025-03-07T00:00:00"/>
    <x v="0"/>
    <x v="0"/>
    <x v="1157"/>
    <x v="17"/>
    <x v="3"/>
    <d v="2025-03-07T00:00:00"/>
    <x v="296"/>
    <x v="0"/>
    <x v="0"/>
    <x v="1"/>
    <x v="1"/>
    <x v="1"/>
    <x v="1"/>
  </r>
  <r>
    <d v="2025-03-07T00:00:00"/>
    <x v="0"/>
    <x v="0"/>
    <x v="1210"/>
    <x v="16"/>
    <x v="1"/>
    <d v="2025-03-07T00:00:00"/>
    <x v="296"/>
    <x v="0"/>
    <x v="0"/>
    <x v="1"/>
    <x v="1"/>
    <x v="1"/>
    <x v="1"/>
  </r>
  <r>
    <d v="2025-03-07T00:00:00"/>
    <x v="0"/>
    <x v="0"/>
    <x v="1260"/>
    <x v="18"/>
    <x v="2"/>
    <d v="2025-03-07T00:00:00"/>
    <x v="296"/>
    <x v="0"/>
    <x v="0"/>
    <x v="1"/>
    <x v="1"/>
    <x v="1"/>
    <x v="1"/>
  </r>
  <r>
    <d v="2025-03-07T00:00:00"/>
    <x v="0"/>
    <x v="0"/>
    <x v="1184"/>
    <x v="16"/>
    <x v="7"/>
    <d v="2025-03-07T00:00:00"/>
    <x v="296"/>
    <x v="0"/>
    <x v="0"/>
    <x v="1"/>
    <x v="1"/>
    <x v="1"/>
    <x v="1"/>
  </r>
  <r>
    <d v="2025-03-07T00:00:00"/>
    <x v="0"/>
    <x v="0"/>
    <x v="1191"/>
    <x v="16"/>
    <x v="0"/>
    <d v="2025-03-07T00:00:00"/>
    <x v="296"/>
    <x v="0"/>
    <x v="0"/>
    <x v="1"/>
    <x v="1"/>
    <x v="1"/>
    <x v="1"/>
  </r>
  <r>
    <d v="2025-03-07T00:00:00"/>
    <x v="0"/>
    <x v="0"/>
    <x v="1164"/>
    <x v="16"/>
    <x v="0"/>
    <d v="2025-03-07T00:00:00"/>
    <x v="296"/>
    <x v="0"/>
    <x v="0"/>
    <x v="1"/>
    <x v="1"/>
    <x v="1"/>
    <x v="1"/>
  </r>
  <r>
    <d v="2025-03-07T00:00:00"/>
    <x v="0"/>
    <x v="0"/>
    <x v="1165"/>
    <x v="16"/>
    <x v="1"/>
    <d v="2025-03-07T00:00:00"/>
    <x v="296"/>
    <x v="0"/>
    <x v="0"/>
    <x v="1"/>
    <x v="1"/>
    <x v="1"/>
    <x v="1"/>
  </r>
  <r>
    <d v="2025-03-08T00:00:00"/>
    <x v="1"/>
    <x v="0"/>
    <x v="1207"/>
    <x v="17"/>
    <x v="3"/>
    <d v="2025-03-08T00:00:00"/>
    <x v="292"/>
    <x v="1"/>
    <x v="0"/>
    <x v="1"/>
    <x v="1"/>
    <x v="1"/>
    <x v="1"/>
  </r>
  <r>
    <d v="2025-03-08T00:00:00"/>
    <x v="1"/>
    <x v="0"/>
    <x v="1162"/>
    <x v="17"/>
    <x v="3"/>
    <d v="2025-03-08T00:00:00"/>
    <x v="292"/>
    <x v="1"/>
    <x v="0"/>
    <x v="1"/>
    <x v="1"/>
    <x v="1"/>
    <x v="1"/>
  </r>
  <r>
    <d v="2025-03-08T00:00:00"/>
    <x v="1"/>
    <x v="0"/>
    <x v="1163"/>
    <x v="18"/>
    <x v="2"/>
    <d v="2025-03-08T00:00:00"/>
    <x v="292"/>
    <x v="1"/>
    <x v="0"/>
    <x v="1"/>
    <x v="1"/>
    <x v="1"/>
    <x v="1"/>
  </r>
  <r>
    <d v="2025-03-08T00:00:00"/>
    <x v="1"/>
    <x v="0"/>
    <x v="1190"/>
    <x v="18"/>
    <x v="2"/>
    <d v="2025-03-08T00:00:00"/>
    <x v="292"/>
    <x v="1"/>
    <x v="0"/>
    <x v="1"/>
    <x v="1"/>
    <x v="1"/>
    <x v="1"/>
  </r>
  <r>
    <d v="2025-03-08T00:00:00"/>
    <x v="1"/>
    <x v="0"/>
    <x v="1267"/>
    <x v="17"/>
    <x v="3"/>
    <d v="2025-03-08T00:00:00"/>
    <x v="292"/>
    <x v="1"/>
    <x v="0"/>
    <x v="1"/>
    <x v="1"/>
    <x v="1"/>
    <x v="1"/>
  </r>
  <r>
    <d v="2025-03-08T00:00:00"/>
    <x v="1"/>
    <x v="0"/>
    <x v="1110"/>
    <x v="18"/>
    <x v="2"/>
    <d v="2025-03-08T00:00:00"/>
    <x v="292"/>
    <x v="1"/>
    <x v="0"/>
    <x v="1"/>
    <x v="1"/>
    <x v="1"/>
    <x v="1"/>
  </r>
  <r>
    <d v="2025-03-08T00:00:00"/>
    <x v="1"/>
    <x v="0"/>
    <x v="1162"/>
    <x v="16"/>
    <x v="7"/>
    <d v="2025-03-08T00:00:00"/>
    <x v="292"/>
    <x v="1"/>
    <x v="0"/>
    <x v="1"/>
    <x v="1"/>
    <x v="1"/>
    <x v="1"/>
  </r>
  <r>
    <d v="2025-03-09T00:00:00"/>
    <x v="2"/>
    <x v="0"/>
    <x v="1268"/>
    <x v="19"/>
    <x v="6"/>
    <d v="2025-03-09T00:00:00"/>
    <x v="297"/>
    <x v="2"/>
    <x v="0"/>
    <x v="1"/>
    <x v="1"/>
    <x v="1"/>
    <x v="1"/>
  </r>
  <r>
    <d v="2025-03-09T00:00:00"/>
    <x v="2"/>
    <x v="0"/>
    <x v="1269"/>
    <x v="17"/>
    <x v="3"/>
    <d v="2025-03-09T00:00:00"/>
    <x v="297"/>
    <x v="2"/>
    <x v="0"/>
    <x v="1"/>
    <x v="1"/>
    <x v="1"/>
    <x v="1"/>
  </r>
  <r>
    <d v="2025-03-09T00:00:00"/>
    <x v="2"/>
    <x v="0"/>
    <x v="1184"/>
    <x v="16"/>
    <x v="7"/>
    <d v="2025-03-09T00:00:00"/>
    <x v="297"/>
    <x v="2"/>
    <x v="0"/>
    <x v="1"/>
    <x v="1"/>
    <x v="1"/>
    <x v="1"/>
  </r>
  <r>
    <d v="2025-03-09T00:00:00"/>
    <x v="2"/>
    <x v="0"/>
    <x v="1163"/>
    <x v="18"/>
    <x v="2"/>
    <d v="2025-03-09T00:00:00"/>
    <x v="297"/>
    <x v="2"/>
    <x v="0"/>
    <x v="1"/>
    <x v="1"/>
    <x v="1"/>
    <x v="1"/>
  </r>
  <r>
    <d v="2025-03-09T00:00:00"/>
    <x v="2"/>
    <x v="0"/>
    <x v="1153"/>
    <x v="16"/>
    <x v="7"/>
    <d v="2025-03-09T00:00:00"/>
    <x v="297"/>
    <x v="2"/>
    <x v="0"/>
    <x v="1"/>
    <x v="1"/>
    <x v="1"/>
    <x v="1"/>
  </r>
  <r>
    <d v="2025-03-09T00:00:00"/>
    <x v="2"/>
    <x v="0"/>
    <x v="1110"/>
    <x v="18"/>
    <x v="2"/>
    <d v="2025-03-09T00:00:00"/>
    <x v="297"/>
    <x v="2"/>
    <x v="0"/>
    <x v="1"/>
    <x v="1"/>
    <x v="1"/>
    <x v="1"/>
  </r>
  <r>
    <d v="2025-03-09T00:00:00"/>
    <x v="2"/>
    <x v="0"/>
    <x v="1217"/>
    <x v="17"/>
    <x v="3"/>
    <d v="2025-03-09T00:00:00"/>
    <x v="297"/>
    <x v="2"/>
    <x v="0"/>
    <x v="1"/>
    <x v="1"/>
    <x v="1"/>
    <x v="1"/>
  </r>
  <r>
    <d v="2025-03-09T00:00:00"/>
    <x v="2"/>
    <x v="0"/>
    <x v="1270"/>
    <x v="16"/>
    <x v="4"/>
    <d v="2025-03-09T00:00:00"/>
    <x v="297"/>
    <x v="2"/>
    <x v="0"/>
    <x v="1"/>
    <x v="1"/>
    <x v="1"/>
    <x v="1"/>
  </r>
  <r>
    <d v="2025-03-10T00:00:00"/>
    <x v="3"/>
    <x v="0"/>
    <x v="1271"/>
    <x v="18"/>
    <x v="2"/>
    <d v="2025-03-10T00:00:00"/>
    <x v="298"/>
    <x v="3"/>
    <x v="0"/>
    <x v="1"/>
    <x v="1"/>
    <x v="1"/>
    <x v="1"/>
  </r>
  <r>
    <d v="2025-03-10T00:00:00"/>
    <x v="3"/>
    <x v="0"/>
    <x v="1271"/>
    <x v="16"/>
    <x v="0"/>
    <d v="2025-03-10T00:00:00"/>
    <x v="298"/>
    <x v="3"/>
    <x v="0"/>
    <x v="1"/>
    <x v="1"/>
    <x v="1"/>
    <x v="1"/>
  </r>
  <r>
    <d v="2025-03-10T00:00:00"/>
    <x v="3"/>
    <x v="0"/>
    <x v="1153"/>
    <x v="17"/>
    <x v="3"/>
    <d v="2025-03-10T00:00:00"/>
    <x v="298"/>
    <x v="3"/>
    <x v="0"/>
    <x v="1"/>
    <x v="1"/>
    <x v="1"/>
    <x v="1"/>
  </r>
  <r>
    <d v="2025-03-10T00:00:00"/>
    <x v="3"/>
    <x v="0"/>
    <x v="1210"/>
    <x v="16"/>
    <x v="1"/>
    <d v="2025-03-10T00:00:00"/>
    <x v="298"/>
    <x v="3"/>
    <x v="0"/>
    <x v="1"/>
    <x v="1"/>
    <x v="1"/>
    <x v="1"/>
  </r>
  <r>
    <d v="2025-03-10T00:00:00"/>
    <x v="3"/>
    <x v="0"/>
    <x v="1272"/>
    <x v="16"/>
    <x v="4"/>
    <d v="2025-03-10T00:00:00"/>
    <x v="298"/>
    <x v="3"/>
    <x v="0"/>
    <x v="1"/>
    <x v="1"/>
    <x v="1"/>
    <x v="1"/>
  </r>
  <r>
    <d v="2025-03-10T00:00:00"/>
    <x v="3"/>
    <x v="0"/>
    <x v="1273"/>
    <x v="16"/>
    <x v="1"/>
    <d v="2025-03-10T00:00:00"/>
    <x v="298"/>
    <x v="3"/>
    <x v="0"/>
    <x v="1"/>
    <x v="1"/>
    <x v="1"/>
    <x v="1"/>
  </r>
  <r>
    <d v="2025-03-10T00:00:00"/>
    <x v="3"/>
    <x v="0"/>
    <x v="1171"/>
    <x v="18"/>
    <x v="2"/>
    <d v="2025-03-10T00:00:00"/>
    <x v="298"/>
    <x v="3"/>
    <x v="0"/>
    <x v="1"/>
    <x v="1"/>
    <x v="1"/>
    <x v="1"/>
  </r>
  <r>
    <d v="2025-03-10T00:00:00"/>
    <x v="3"/>
    <x v="0"/>
    <x v="1170"/>
    <x v="18"/>
    <x v="2"/>
    <d v="2025-03-10T00:00:00"/>
    <x v="298"/>
    <x v="3"/>
    <x v="0"/>
    <x v="1"/>
    <x v="1"/>
    <x v="1"/>
    <x v="1"/>
  </r>
  <r>
    <d v="2025-03-10T00:00:00"/>
    <x v="3"/>
    <x v="0"/>
    <x v="1212"/>
    <x v="16"/>
    <x v="1"/>
    <d v="2025-03-10T00:00:00"/>
    <x v="298"/>
    <x v="3"/>
    <x v="0"/>
    <x v="1"/>
    <x v="1"/>
    <x v="1"/>
    <x v="1"/>
  </r>
  <r>
    <d v="2025-03-10T00:00:00"/>
    <x v="3"/>
    <x v="0"/>
    <x v="1191"/>
    <x v="16"/>
    <x v="0"/>
    <d v="2025-03-10T00:00:00"/>
    <x v="298"/>
    <x v="3"/>
    <x v="0"/>
    <x v="1"/>
    <x v="1"/>
    <x v="1"/>
    <x v="1"/>
  </r>
  <r>
    <d v="2025-03-10T00:00:00"/>
    <x v="3"/>
    <x v="0"/>
    <x v="1165"/>
    <x v="16"/>
    <x v="0"/>
    <d v="2025-03-10T00:00:00"/>
    <x v="298"/>
    <x v="3"/>
    <x v="0"/>
    <x v="1"/>
    <x v="1"/>
    <x v="1"/>
    <x v="1"/>
  </r>
  <r>
    <d v="2025-03-10T00:00:00"/>
    <x v="3"/>
    <x v="0"/>
    <x v="1274"/>
    <x v="16"/>
    <x v="7"/>
    <d v="2025-03-10T00:00:00"/>
    <x v="298"/>
    <x v="3"/>
    <x v="0"/>
    <x v="1"/>
    <x v="1"/>
    <x v="1"/>
    <x v="1"/>
  </r>
  <r>
    <d v="2025-03-10T00:00:00"/>
    <x v="3"/>
    <x v="0"/>
    <x v="1274"/>
    <x v="17"/>
    <x v="3"/>
    <d v="2025-03-10T00:00:00"/>
    <x v="298"/>
    <x v="3"/>
    <x v="0"/>
    <x v="1"/>
    <x v="1"/>
    <x v="1"/>
    <x v="1"/>
  </r>
  <r>
    <d v="2025-03-10T00:00:00"/>
    <x v="3"/>
    <x v="0"/>
    <x v="1257"/>
    <x v="16"/>
    <x v="0"/>
    <d v="2025-03-10T00:00:00"/>
    <x v="298"/>
    <x v="3"/>
    <x v="0"/>
    <x v="1"/>
    <x v="1"/>
    <x v="1"/>
    <x v="1"/>
  </r>
  <r>
    <d v="2025-03-10T00:00:00"/>
    <x v="3"/>
    <x v="0"/>
    <x v="1157"/>
    <x v="17"/>
    <x v="3"/>
    <d v="2025-03-10T00:00:00"/>
    <x v="298"/>
    <x v="3"/>
    <x v="0"/>
    <x v="1"/>
    <x v="1"/>
    <x v="1"/>
    <x v="1"/>
  </r>
  <r>
    <d v="2025-03-11T00:00:00"/>
    <x v="4"/>
    <x v="0"/>
    <x v="1170"/>
    <x v="18"/>
    <x v="2"/>
    <d v="2025-03-11T00:00:00"/>
    <x v="299"/>
    <x v="4"/>
    <x v="0"/>
    <x v="1"/>
    <x v="1"/>
    <x v="1"/>
    <x v="1"/>
  </r>
  <r>
    <d v="2025-03-11T00:00:00"/>
    <x v="4"/>
    <x v="0"/>
    <x v="1163"/>
    <x v="16"/>
    <x v="7"/>
    <d v="2025-03-11T00:00:00"/>
    <x v="299"/>
    <x v="4"/>
    <x v="0"/>
    <x v="1"/>
    <x v="1"/>
    <x v="1"/>
    <x v="1"/>
  </r>
  <r>
    <d v="2025-03-11T00:00:00"/>
    <x v="4"/>
    <x v="0"/>
    <x v="1275"/>
    <x v="16"/>
    <x v="0"/>
    <d v="2025-03-11T00:00:00"/>
    <x v="299"/>
    <x v="4"/>
    <x v="0"/>
    <x v="1"/>
    <x v="1"/>
    <x v="1"/>
    <x v="1"/>
  </r>
  <r>
    <d v="2025-03-11T00:00:00"/>
    <x v="4"/>
    <x v="0"/>
    <x v="1171"/>
    <x v="18"/>
    <x v="2"/>
    <d v="2025-03-11T00:00:00"/>
    <x v="299"/>
    <x v="4"/>
    <x v="0"/>
    <x v="1"/>
    <x v="1"/>
    <x v="1"/>
    <x v="1"/>
  </r>
  <r>
    <d v="2025-03-11T00:00:00"/>
    <x v="4"/>
    <x v="0"/>
    <x v="1276"/>
    <x v="16"/>
    <x v="1"/>
    <d v="2025-03-11T00:00:00"/>
    <x v="299"/>
    <x v="4"/>
    <x v="0"/>
    <x v="1"/>
    <x v="1"/>
    <x v="1"/>
    <x v="1"/>
  </r>
  <r>
    <d v="2025-03-11T00:00:00"/>
    <x v="4"/>
    <x v="0"/>
    <x v="1276"/>
    <x v="16"/>
    <x v="4"/>
    <d v="2025-03-11T00:00:00"/>
    <x v="299"/>
    <x v="4"/>
    <x v="0"/>
    <x v="1"/>
    <x v="1"/>
    <x v="1"/>
    <x v="1"/>
  </r>
  <r>
    <d v="2025-03-11T00:00:00"/>
    <x v="4"/>
    <x v="0"/>
    <x v="1210"/>
    <x v="16"/>
    <x v="1"/>
    <d v="2025-03-11T00:00:00"/>
    <x v="299"/>
    <x v="4"/>
    <x v="0"/>
    <x v="1"/>
    <x v="1"/>
    <x v="1"/>
    <x v="1"/>
  </r>
  <r>
    <d v="2025-03-11T00:00:00"/>
    <x v="4"/>
    <x v="0"/>
    <x v="1184"/>
    <x v="16"/>
    <x v="7"/>
    <d v="2025-03-11T00:00:00"/>
    <x v="299"/>
    <x v="4"/>
    <x v="0"/>
    <x v="1"/>
    <x v="1"/>
    <x v="1"/>
    <x v="1"/>
  </r>
  <r>
    <d v="2025-03-11T00:00:00"/>
    <x v="4"/>
    <x v="0"/>
    <x v="1157"/>
    <x v="17"/>
    <x v="3"/>
    <d v="2025-03-11T00:00:00"/>
    <x v="299"/>
    <x v="4"/>
    <x v="0"/>
    <x v="1"/>
    <x v="1"/>
    <x v="1"/>
    <x v="1"/>
  </r>
  <r>
    <d v="2025-03-11T00:00:00"/>
    <x v="4"/>
    <x v="0"/>
    <x v="1209"/>
    <x v="16"/>
    <x v="0"/>
    <d v="2025-03-11T00:00:00"/>
    <x v="299"/>
    <x v="4"/>
    <x v="0"/>
    <x v="1"/>
    <x v="1"/>
    <x v="1"/>
    <x v="1"/>
  </r>
  <r>
    <d v="2025-03-11T00:00:00"/>
    <x v="4"/>
    <x v="0"/>
    <x v="1185"/>
    <x v="16"/>
    <x v="4"/>
    <d v="2025-03-11T00:00:00"/>
    <x v="299"/>
    <x v="4"/>
    <x v="0"/>
    <x v="1"/>
    <x v="1"/>
    <x v="1"/>
    <x v="1"/>
  </r>
  <r>
    <d v="2025-03-12T00:00:00"/>
    <x v="5"/>
    <x v="0"/>
    <x v="1277"/>
    <x v="16"/>
    <x v="4"/>
    <d v="2025-03-12T00:00:00"/>
    <x v="300"/>
    <x v="5"/>
    <x v="0"/>
    <x v="1"/>
    <x v="1"/>
    <x v="1"/>
    <x v="1"/>
  </r>
  <r>
    <d v="2025-03-12T00:00:00"/>
    <x v="5"/>
    <x v="0"/>
    <x v="1161"/>
    <x v="17"/>
    <x v="3"/>
    <d v="2025-03-12T00:00:00"/>
    <x v="300"/>
    <x v="5"/>
    <x v="0"/>
    <x v="1"/>
    <x v="1"/>
    <x v="1"/>
    <x v="1"/>
  </r>
  <r>
    <d v="2025-03-12T00:00:00"/>
    <x v="5"/>
    <x v="0"/>
    <x v="1161"/>
    <x v="16"/>
    <x v="7"/>
    <d v="2025-03-12T00:00:00"/>
    <x v="300"/>
    <x v="5"/>
    <x v="0"/>
    <x v="1"/>
    <x v="1"/>
    <x v="1"/>
    <x v="1"/>
  </r>
  <r>
    <d v="2025-03-12T00:00:00"/>
    <x v="5"/>
    <x v="0"/>
    <x v="1163"/>
    <x v="18"/>
    <x v="2"/>
    <d v="2025-03-12T00:00:00"/>
    <x v="300"/>
    <x v="5"/>
    <x v="0"/>
    <x v="1"/>
    <x v="1"/>
    <x v="1"/>
    <x v="1"/>
  </r>
  <r>
    <d v="2025-03-12T00:00:00"/>
    <x v="5"/>
    <x v="0"/>
    <x v="1278"/>
    <x v="18"/>
    <x v="2"/>
    <d v="2025-03-12T00:00:00"/>
    <x v="300"/>
    <x v="5"/>
    <x v="0"/>
    <x v="1"/>
    <x v="1"/>
    <x v="1"/>
    <x v="1"/>
  </r>
  <r>
    <d v="2025-03-12T00:00:00"/>
    <x v="5"/>
    <x v="0"/>
    <x v="1279"/>
    <x v="16"/>
    <x v="1"/>
    <d v="2025-03-12T00:00:00"/>
    <x v="300"/>
    <x v="5"/>
    <x v="0"/>
    <x v="1"/>
    <x v="1"/>
    <x v="1"/>
    <x v="1"/>
  </r>
  <r>
    <d v="2025-03-12T00:00:00"/>
    <x v="5"/>
    <x v="0"/>
    <x v="1280"/>
    <x v="16"/>
    <x v="0"/>
    <d v="2025-03-12T00:00:00"/>
    <x v="300"/>
    <x v="5"/>
    <x v="0"/>
    <x v="1"/>
    <x v="1"/>
    <x v="1"/>
    <x v="1"/>
  </r>
  <r>
    <d v="2025-03-12T00:00:00"/>
    <x v="5"/>
    <x v="0"/>
    <x v="1199"/>
    <x v="16"/>
    <x v="0"/>
    <d v="2025-03-12T00:00:00"/>
    <x v="300"/>
    <x v="5"/>
    <x v="0"/>
    <x v="1"/>
    <x v="1"/>
    <x v="1"/>
    <x v="1"/>
  </r>
  <r>
    <d v="2025-03-12T00:00:00"/>
    <x v="5"/>
    <x v="0"/>
    <x v="1281"/>
    <x v="16"/>
    <x v="7"/>
    <d v="2025-03-12T00:00:00"/>
    <x v="300"/>
    <x v="5"/>
    <x v="0"/>
    <x v="1"/>
    <x v="1"/>
    <x v="1"/>
    <x v="1"/>
  </r>
  <r>
    <d v="2025-03-12T00:00:00"/>
    <x v="5"/>
    <x v="0"/>
    <x v="1191"/>
    <x v="16"/>
    <x v="0"/>
    <d v="2025-03-12T00:00:00"/>
    <x v="300"/>
    <x v="5"/>
    <x v="0"/>
    <x v="1"/>
    <x v="1"/>
    <x v="1"/>
    <x v="1"/>
  </r>
  <r>
    <d v="2025-03-12T00:00:00"/>
    <x v="5"/>
    <x v="0"/>
    <x v="1165"/>
    <x v="16"/>
    <x v="0"/>
    <d v="2025-03-12T00:00:00"/>
    <x v="300"/>
    <x v="5"/>
    <x v="0"/>
    <x v="1"/>
    <x v="1"/>
    <x v="1"/>
    <x v="1"/>
  </r>
  <r>
    <d v="2025-03-12T00:00:00"/>
    <x v="5"/>
    <x v="0"/>
    <x v="1170"/>
    <x v="18"/>
    <x v="2"/>
    <d v="2025-03-12T00:00:00"/>
    <x v="300"/>
    <x v="5"/>
    <x v="0"/>
    <x v="1"/>
    <x v="1"/>
    <x v="1"/>
    <x v="1"/>
  </r>
  <r>
    <d v="2025-03-12T00:00:00"/>
    <x v="5"/>
    <x v="0"/>
    <x v="1264"/>
    <x v="16"/>
    <x v="4"/>
    <d v="2025-03-12T00:00:00"/>
    <x v="300"/>
    <x v="5"/>
    <x v="0"/>
    <x v="1"/>
    <x v="1"/>
    <x v="1"/>
    <x v="1"/>
  </r>
  <r>
    <d v="2025-03-12T00:00:00"/>
    <x v="5"/>
    <x v="0"/>
    <x v="1282"/>
    <x v="18"/>
    <x v="2"/>
    <d v="2025-03-12T00:00:00"/>
    <x v="300"/>
    <x v="5"/>
    <x v="0"/>
    <x v="1"/>
    <x v="1"/>
    <x v="1"/>
    <x v="1"/>
  </r>
  <r>
    <d v="2025-03-12T00:00:00"/>
    <x v="5"/>
    <x v="0"/>
    <x v="1158"/>
    <x v="16"/>
    <x v="7"/>
    <d v="2025-03-12T00:00:00"/>
    <x v="300"/>
    <x v="5"/>
    <x v="0"/>
    <x v="1"/>
    <x v="1"/>
    <x v="1"/>
    <x v="1"/>
  </r>
  <r>
    <d v="2025-03-13T00:00:00"/>
    <x v="6"/>
    <x v="0"/>
    <x v="1161"/>
    <x v="16"/>
    <x v="7"/>
    <d v="2025-03-13T00:00:00"/>
    <x v="301"/>
    <x v="6"/>
    <x v="0"/>
    <x v="1"/>
    <x v="1"/>
    <x v="1"/>
    <x v="1"/>
  </r>
  <r>
    <d v="2025-03-13T00:00:00"/>
    <x v="6"/>
    <x v="0"/>
    <x v="1153"/>
    <x v="17"/>
    <x v="3"/>
    <d v="2025-03-13T00:00:00"/>
    <x v="301"/>
    <x v="6"/>
    <x v="0"/>
    <x v="1"/>
    <x v="1"/>
    <x v="1"/>
    <x v="1"/>
  </r>
  <r>
    <d v="2025-03-13T00:00:00"/>
    <x v="6"/>
    <x v="0"/>
    <x v="1163"/>
    <x v="17"/>
    <x v="3"/>
    <d v="2025-03-13T00:00:00"/>
    <x v="301"/>
    <x v="6"/>
    <x v="0"/>
    <x v="1"/>
    <x v="1"/>
    <x v="1"/>
    <x v="1"/>
  </r>
  <r>
    <d v="2025-03-13T00:00:00"/>
    <x v="6"/>
    <x v="0"/>
    <x v="1168"/>
    <x v="16"/>
    <x v="0"/>
    <d v="2025-03-13T00:00:00"/>
    <x v="301"/>
    <x v="6"/>
    <x v="0"/>
    <x v="1"/>
    <x v="1"/>
    <x v="1"/>
    <x v="1"/>
  </r>
  <r>
    <d v="2025-03-13T00:00:00"/>
    <x v="6"/>
    <x v="0"/>
    <x v="1207"/>
    <x v="19"/>
    <x v="6"/>
    <d v="2025-03-13T00:00:00"/>
    <x v="301"/>
    <x v="6"/>
    <x v="0"/>
    <x v="1"/>
    <x v="1"/>
    <x v="1"/>
    <x v="1"/>
  </r>
  <r>
    <d v="2025-03-13T00:00:00"/>
    <x v="6"/>
    <x v="0"/>
    <x v="1283"/>
    <x v="18"/>
    <x v="2"/>
    <d v="2025-03-13T00:00:00"/>
    <x v="301"/>
    <x v="6"/>
    <x v="0"/>
    <x v="1"/>
    <x v="1"/>
    <x v="1"/>
    <x v="1"/>
  </r>
  <r>
    <d v="2025-03-13T00:00:00"/>
    <x v="6"/>
    <x v="0"/>
    <x v="1284"/>
    <x v="17"/>
    <x v="3"/>
    <d v="2025-03-13T00:00:00"/>
    <x v="301"/>
    <x v="6"/>
    <x v="0"/>
    <x v="1"/>
    <x v="1"/>
    <x v="1"/>
    <x v="1"/>
  </r>
  <r>
    <d v="2025-03-13T00:00:00"/>
    <x v="6"/>
    <x v="0"/>
    <x v="1167"/>
    <x v="18"/>
    <x v="2"/>
    <d v="2025-03-13T00:00:00"/>
    <x v="301"/>
    <x v="6"/>
    <x v="0"/>
    <x v="1"/>
    <x v="1"/>
    <x v="1"/>
    <x v="1"/>
  </r>
  <r>
    <d v="2025-03-13T00:00:00"/>
    <x v="6"/>
    <x v="0"/>
    <x v="1191"/>
    <x v="16"/>
    <x v="0"/>
    <d v="2025-03-13T00:00:00"/>
    <x v="301"/>
    <x v="6"/>
    <x v="0"/>
    <x v="1"/>
    <x v="1"/>
    <x v="1"/>
    <x v="1"/>
  </r>
  <r>
    <d v="2025-03-13T00:00:00"/>
    <x v="6"/>
    <x v="0"/>
    <x v="1285"/>
    <x v="17"/>
    <x v="3"/>
    <d v="2025-03-13T00:00:00"/>
    <x v="301"/>
    <x v="6"/>
    <x v="0"/>
    <x v="1"/>
    <x v="1"/>
    <x v="1"/>
    <x v="1"/>
  </r>
  <r>
    <d v="2025-03-13T00:00:00"/>
    <x v="6"/>
    <x v="0"/>
    <x v="1194"/>
    <x v="18"/>
    <x v="2"/>
    <d v="2025-03-13T00:00:00"/>
    <x v="301"/>
    <x v="6"/>
    <x v="0"/>
    <x v="1"/>
    <x v="1"/>
    <x v="1"/>
    <x v="1"/>
  </r>
  <r>
    <d v="2025-03-13T00:00:00"/>
    <x v="6"/>
    <x v="0"/>
    <x v="1158"/>
    <x v="16"/>
    <x v="7"/>
    <d v="2025-03-13T00:00:00"/>
    <x v="301"/>
    <x v="6"/>
    <x v="0"/>
    <x v="1"/>
    <x v="1"/>
    <x v="1"/>
    <x v="1"/>
  </r>
  <r>
    <d v="2025-03-14T00:00:00"/>
    <x v="0"/>
    <x v="0"/>
    <x v="1170"/>
    <x v="18"/>
    <x v="2"/>
    <d v="2025-03-14T00:00:00"/>
    <x v="302"/>
    <x v="0"/>
    <x v="0"/>
    <x v="1"/>
    <x v="1"/>
    <x v="1"/>
    <x v="1"/>
  </r>
  <r>
    <d v="2025-03-14T00:00:00"/>
    <x v="0"/>
    <x v="0"/>
    <x v="1286"/>
    <x v="17"/>
    <x v="3"/>
    <d v="2025-03-14T00:00:00"/>
    <x v="302"/>
    <x v="0"/>
    <x v="0"/>
    <x v="1"/>
    <x v="1"/>
    <x v="1"/>
    <x v="1"/>
  </r>
  <r>
    <d v="2025-03-14T00:00:00"/>
    <x v="0"/>
    <x v="0"/>
    <x v="1271"/>
    <x v="18"/>
    <x v="2"/>
    <d v="2025-03-14T00:00:00"/>
    <x v="302"/>
    <x v="0"/>
    <x v="0"/>
    <x v="1"/>
    <x v="1"/>
    <x v="1"/>
    <x v="1"/>
  </r>
  <r>
    <d v="2025-03-14T00:00:00"/>
    <x v="0"/>
    <x v="0"/>
    <x v="1287"/>
    <x v="16"/>
    <x v="0"/>
    <d v="2025-03-14T00:00:00"/>
    <x v="302"/>
    <x v="0"/>
    <x v="0"/>
    <x v="1"/>
    <x v="1"/>
    <x v="1"/>
    <x v="1"/>
  </r>
  <r>
    <d v="2025-03-14T00:00:00"/>
    <x v="0"/>
    <x v="0"/>
    <x v="1207"/>
    <x v="19"/>
    <x v="6"/>
    <d v="2025-03-14T00:00:00"/>
    <x v="302"/>
    <x v="0"/>
    <x v="0"/>
    <x v="1"/>
    <x v="1"/>
    <x v="1"/>
    <x v="1"/>
  </r>
  <r>
    <d v="2025-03-14T00:00:00"/>
    <x v="0"/>
    <x v="0"/>
    <x v="1110"/>
    <x v="18"/>
    <x v="2"/>
    <d v="2025-03-14T00:00:00"/>
    <x v="302"/>
    <x v="0"/>
    <x v="0"/>
    <x v="1"/>
    <x v="1"/>
    <x v="1"/>
    <x v="1"/>
  </r>
  <r>
    <d v="2025-03-14T00:00:00"/>
    <x v="0"/>
    <x v="0"/>
    <x v="1288"/>
    <x v="16"/>
    <x v="0"/>
    <d v="2025-03-14T00:00:00"/>
    <x v="302"/>
    <x v="0"/>
    <x v="0"/>
    <x v="1"/>
    <x v="1"/>
    <x v="1"/>
    <x v="1"/>
  </r>
  <r>
    <d v="2025-03-14T00:00:00"/>
    <x v="0"/>
    <x v="0"/>
    <x v="1288"/>
    <x v="16"/>
    <x v="7"/>
    <d v="2025-03-14T00:00:00"/>
    <x v="302"/>
    <x v="0"/>
    <x v="0"/>
    <x v="1"/>
    <x v="1"/>
    <x v="1"/>
    <x v="1"/>
  </r>
  <r>
    <d v="2025-03-14T00:00:00"/>
    <x v="0"/>
    <x v="0"/>
    <x v="1165"/>
    <x v="16"/>
    <x v="0"/>
    <d v="2025-03-14T00:00:00"/>
    <x v="302"/>
    <x v="0"/>
    <x v="0"/>
    <x v="1"/>
    <x v="1"/>
    <x v="1"/>
    <x v="1"/>
  </r>
  <r>
    <d v="2025-03-14T00:00:00"/>
    <x v="0"/>
    <x v="0"/>
    <x v="1191"/>
    <x v="16"/>
    <x v="0"/>
    <d v="2025-03-14T00:00:00"/>
    <x v="302"/>
    <x v="0"/>
    <x v="0"/>
    <x v="1"/>
    <x v="1"/>
    <x v="1"/>
    <x v="1"/>
  </r>
  <r>
    <d v="2025-03-14T00:00:00"/>
    <x v="0"/>
    <x v="0"/>
    <x v="1276"/>
    <x v="16"/>
    <x v="4"/>
    <d v="2025-03-14T00:00:00"/>
    <x v="302"/>
    <x v="0"/>
    <x v="0"/>
    <x v="1"/>
    <x v="1"/>
    <x v="1"/>
    <x v="1"/>
  </r>
  <r>
    <d v="2025-03-14T00:00:00"/>
    <x v="0"/>
    <x v="0"/>
    <x v="1289"/>
    <x v="16"/>
    <x v="4"/>
    <d v="2025-03-14T00:00:00"/>
    <x v="302"/>
    <x v="0"/>
    <x v="0"/>
    <x v="1"/>
    <x v="1"/>
    <x v="1"/>
    <x v="1"/>
  </r>
  <r>
    <d v="2025-03-14T00:00:00"/>
    <x v="0"/>
    <x v="0"/>
    <x v="1290"/>
    <x v="18"/>
    <x v="2"/>
    <d v="2025-03-14T00:00:00"/>
    <x v="302"/>
    <x v="0"/>
    <x v="0"/>
    <x v="1"/>
    <x v="1"/>
    <x v="1"/>
    <x v="1"/>
  </r>
  <r>
    <d v="2025-03-14T00:00:00"/>
    <x v="0"/>
    <x v="0"/>
    <x v="1167"/>
    <x v="18"/>
    <x v="2"/>
    <d v="2025-03-14T00:00:00"/>
    <x v="302"/>
    <x v="0"/>
    <x v="0"/>
    <x v="1"/>
    <x v="1"/>
    <x v="1"/>
    <x v="1"/>
  </r>
  <r>
    <d v="2025-03-14T00:00:00"/>
    <x v="0"/>
    <x v="0"/>
    <x v="1291"/>
    <x v="18"/>
    <x v="2"/>
    <d v="2025-03-14T00:00:00"/>
    <x v="302"/>
    <x v="0"/>
    <x v="0"/>
    <x v="1"/>
    <x v="1"/>
    <x v="1"/>
    <x v="1"/>
  </r>
  <r>
    <d v="2025-03-14T00:00:00"/>
    <x v="0"/>
    <x v="0"/>
    <x v="1214"/>
    <x v="18"/>
    <x v="2"/>
    <d v="2025-03-14T00:00:00"/>
    <x v="302"/>
    <x v="0"/>
    <x v="0"/>
    <x v="1"/>
    <x v="1"/>
    <x v="1"/>
    <x v="1"/>
  </r>
  <r>
    <d v="2025-03-15T00:00:00"/>
    <x v="1"/>
    <x v="0"/>
    <x v="1163"/>
    <x v="17"/>
    <x v="3"/>
    <d v="2025-03-15T00:00:00"/>
    <x v="227"/>
    <x v="1"/>
    <x v="0"/>
    <x v="1"/>
    <x v="1"/>
    <x v="1"/>
    <x v="1"/>
  </r>
  <r>
    <d v="2025-03-15T00:00:00"/>
    <x v="1"/>
    <x v="0"/>
    <x v="1158"/>
    <x v="16"/>
    <x v="7"/>
    <d v="2025-03-15T00:00:00"/>
    <x v="227"/>
    <x v="1"/>
    <x v="0"/>
    <x v="1"/>
    <x v="1"/>
    <x v="1"/>
    <x v="1"/>
  </r>
  <r>
    <d v="2025-03-15T00:00:00"/>
    <x v="1"/>
    <x v="0"/>
    <x v="1167"/>
    <x v="18"/>
    <x v="2"/>
    <d v="2025-03-15T00:00:00"/>
    <x v="227"/>
    <x v="1"/>
    <x v="0"/>
    <x v="1"/>
    <x v="1"/>
    <x v="1"/>
    <x v="1"/>
  </r>
  <r>
    <d v="2025-03-15T00:00:00"/>
    <x v="1"/>
    <x v="0"/>
    <x v="46"/>
    <x v="16"/>
    <x v="7"/>
    <d v="2025-03-15T00:00:00"/>
    <x v="227"/>
    <x v="1"/>
    <x v="0"/>
    <x v="1"/>
    <x v="1"/>
    <x v="1"/>
    <x v="1"/>
  </r>
  <r>
    <d v="2025-03-15T00:00:00"/>
    <x v="1"/>
    <x v="0"/>
    <x v="1152"/>
    <x v="17"/>
    <x v="3"/>
    <d v="2025-03-15T00:00:00"/>
    <x v="227"/>
    <x v="1"/>
    <x v="0"/>
    <x v="1"/>
    <x v="1"/>
    <x v="1"/>
    <x v="1"/>
  </r>
  <r>
    <d v="2025-03-15T00:00:00"/>
    <x v="1"/>
    <x v="0"/>
    <x v="1217"/>
    <x v="17"/>
    <x v="3"/>
    <d v="2025-03-15T00:00:00"/>
    <x v="227"/>
    <x v="1"/>
    <x v="0"/>
    <x v="1"/>
    <x v="1"/>
    <x v="1"/>
    <x v="1"/>
  </r>
  <r>
    <d v="2025-03-15T00:00:00"/>
    <x v="1"/>
    <x v="0"/>
    <x v="1292"/>
    <x v="16"/>
    <x v="7"/>
    <d v="2025-03-15T00:00:00"/>
    <x v="227"/>
    <x v="1"/>
    <x v="0"/>
    <x v="1"/>
    <x v="1"/>
    <x v="1"/>
    <x v="1"/>
  </r>
  <r>
    <d v="2025-03-16T00:00:00"/>
    <x v="2"/>
    <x v="0"/>
    <x v="1161"/>
    <x v="16"/>
    <x v="7"/>
    <d v="2025-03-16T00:00:00"/>
    <x v="101"/>
    <x v="2"/>
    <x v="0"/>
    <x v="1"/>
    <x v="1"/>
    <x v="1"/>
    <x v="1"/>
  </r>
  <r>
    <d v="2025-03-16T00:00:00"/>
    <x v="2"/>
    <x v="0"/>
    <x v="1293"/>
    <x v="17"/>
    <x v="3"/>
    <d v="2025-03-16T00:00:00"/>
    <x v="101"/>
    <x v="2"/>
    <x v="0"/>
    <x v="1"/>
    <x v="1"/>
    <x v="1"/>
    <x v="1"/>
  </r>
  <r>
    <d v="2025-03-16T00:00:00"/>
    <x v="2"/>
    <x v="0"/>
    <x v="1294"/>
    <x v="16"/>
    <x v="0"/>
    <d v="2025-03-16T00:00:00"/>
    <x v="101"/>
    <x v="2"/>
    <x v="0"/>
    <x v="1"/>
    <x v="1"/>
    <x v="1"/>
    <x v="1"/>
  </r>
  <r>
    <d v="2025-03-16T00:00:00"/>
    <x v="2"/>
    <x v="0"/>
    <x v="1294"/>
    <x v="16"/>
    <x v="1"/>
    <d v="2025-03-16T00:00:00"/>
    <x v="101"/>
    <x v="2"/>
    <x v="0"/>
    <x v="1"/>
    <x v="1"/>
    <x v="1"/>
    <x v="1"/>
  </r>
  <r>
    <d v="2025-03-16T00:00:00"/>
    <x v="2"/>
    <x v="0"/>
    <x v="1170"/>
    <x v="18"/>
    <x v="2"/>
    <d v="2025-03-16T00:00:00"/>
    <x v="101"/>
    <x v="2"/>
    <x v="0"/>
    <x v="1"/>
    <x v="1"/>
    <x v="1"/>
    <x v="1"/>
  </r>
  <r>
    <d v="2025-03-17T00:00:00"/>
    <x v="3"/>
    <x v="0"/>
    <x v="1163"/>
    <x v="18"/>
    <x v="2"/>
    <d v="2025-03-17T00:00:00"/>
    <x v="215"/>
    <x v="3"/>
    <x v="0"/>
    <x v="1"/>
    <x v="1"/>
    <x v="1"/>
    <x v="1"/>
  </r>
  <r>
    <d v="2025-03-17T00:00:00"/>
    <x v="3"/>
    <x v="0"/>
    <x v="1110"/>
    <x v="18"/>
    <x v="2"/>
    <d v="2025-03-17T00:00:00"/>
    <x v="215"/>
    <x v="3"/>
    <x v="0"/>
    <x v="1"/>
    <x v="1"/>
    <x v="1"/>
    <x v="1"/>
  </r>
  <r>
    <d v="2025-03-17T00:00:00"/>
    <x v="3"/>
    <x v="0"/>
    <x v="1153"/>
    <x v="17"/>
    <x v="3"/>
    <d v="2025-03-17T00:00:00"/>
    <x v="215"/>
    <x v="3"/>
    <x v="0"/>
    <x v="1"/>
    <x v="1"/>
    <x v="1"/>
    <x v="1"/>
  </r>
  <r>
    <d v="2025-03-17T00:00:00"/>
    <x v="3"/>
    <x v="0"/>
    <x v="1203"/>
    <x v="18"/>
    <x v="2"/>
    <d v="2025-03-17T00:00:00"/>
    <x v="215"/>
    <x v="3"/>
    <x v="0"/>
    <x v="1"/>
    <x v="1"/>
    <x v="1"/>
    <x v="1"/>
  </r>
  <r>
    <d v="2025-03-17T00:00:00"/>
    <x v="3"/>
    <x v="0"/>
    <x v="1276"/>
    <x v="16"/>
    <x v="4"/>
    <d v="2025-03-17T00:00:00"/>
    <x v="215"/>
    <x v="3"/>
    <x v="0"/>
    <x v="1"/>
    <x v="1"/>
    <x v="1"/>
    <x v="1"/>
  </r>
  <r>
    <d v="2025-03-17T00:00:00"/>
    <x v="3"/>
    <x v="0"/>
    <x v="1295"/>
    <x v="16"/>
    <x v="0"/>
    <d v="2025-03-17T00:00:00"/>
    <x v="215"/>
    <x v="3"/>
    <x v="0"/>
    <x v="1"/>
    <x v="1"/>
    <x v="1"/>
    <x v="1"/>
  </r>
  <r>
    <d v="2025-03-17T00:00:00"/>
    <x v="3"/>
    <x v="0"/>
    <x v="1158"/>
    <x v="16"/>
    <x v="7"/>
    <d v="2025-03-17T00:00:00"/>
    <x v="215"/>
    <x v="3"/>
    <x v="0"/>
    <x v="1"/>
    <x v="1"/>
    <x v="1"/>
    <x v="1"/>
  </r>
  <r>
    <d v="2025-03-17T00:00:00"/>
    <x v="3"/>
    <x v="0"/>
    <x v="1165"/>
    <x v="16"/>
    <x v="0"/>
    <d v="2025-03-17T00:00:00"/>
    <x v="215"/>
    <x v="3"/>
    <x v="0"/>
    <x v="1"/>
    <x v="1"/>
    <x v="1"/>
    <x v="1"/>
  </r>
  <r>
    <d v="2025-03-17T00:00:00"/>
    <x v="3"/>
    <x v="0"/>
    <x v="1191"/>
    <x v="16"/>
    <x v="0"/>
    <d v="2025-03-17T00:00:00"/>
    <x v="215"/>
    <x v="3"/>
    <x v="0"/>
    <x v="1"/>
    <x v="1"/>
    <x v="1"/>
    <x v="1"/>
  </r>
  <r>
    <d v="2025-03-17T00:00:00"/>
    <x v="3"/>
    <x v="0"/>
    <x v="1167"/>
    <x v="18"/>
    <x v="2"/>
    <d v="2025-03-17T00:00:00"/>
    <x v="215"/>
    <x v="3"/>
    <x v="0"/>
    <x v="1"/>
    <x v="1"/>
    <x v="1"/>
    <x v="1"/>
  </r>
  <r>
    <d v="2025-03-18T00:00:00"/>
    <x v="4"/>
    <x v="0"/>
    <x v="1296"/>
    <x v="17"/>
    <x v="3"/>
    <d v="2025-03-18T00:00:00"/>
    <x v="303"/>
    <x v="4"/>
    <x v="0"/>
    <x v="1"/>
    <x v="1"/>
    <x v="1"/>
    <x v="1"/>
  </r>
  <r>
    <d v="2025-03-18T00:00:00"/>
    <x v="4"/>
    <x v="0"/>
    <x v="1168"/>
    <x v="16"/>
    <x v="0"/>
    <d v="2025-03-18T00:00:00"/>
    <x v="303"/>
    <x v="4"/>
    <x v="0"/>
    <x v="1"/>
    <x v="1"/>
    <x v="1"/>
    <x v="1"/>
  </r>
  <r>
    <d v="2025-03-18T00:00:00"/>
    <x v="4"/>
    <x v="0"/>
    <x v="1215"/>
    <x v="16"/>
    <x v="0"/>
    <d v="2025-03-18T00:00:00"/>
    <x v="303"/>
    <x v="4"/>
    <x v="0"/>
    <x v="1"/>
    <x v="1"/>
    <x v="1"/>
    <x v="1"/>
  </r>
  <r>
    <d v="2025-03-18T00:00:00"/>
    <x v="4"/>
    <x v="0"/>
    <x v="1215"/>
    <x v="18"/>
    <x v="2"/>
    <d v="2025-03-18T00:00:00"/>
    <x v="303"/>
    <x v="4"/>
    <x v="0"/>
    <x v="1"/>
    <x v="1"/>
    <x v="1"/>
    <x v="1"/>
  </r>
  <r>
    <d v="2025-03-18T00:00:00"/>
    <x v="4"/>
    <x v="0"/>
    <x v="1297"/>
    <x v="16"/>
    <x v="1"/>
    <d v="2025-03-18T00:00:00"/>
    <x v="303"/>
    <x v="4"/>
    <x v="0"/>
    <x v="1"/>
    <x v="1"/>
    <x v="1"/>
    <x v="1"/>
  </r>
  <r>
    <d v="2025-03-18T00:00:00"/>
    <x v="4"/>
    <x v="0"/>
    <x v="1293"/>
    <x v="17"/>
    <x v="3"/>
    <d v="2025-03-18T00:00:00"/>
    <x v="303"/>
    <x v="4"/>
    <x v="0"/>
    <x v="1"/>
    <x v="1"/>
    <x v="1"/>
    <x v="1"/>
  </r>
  <r>
    <d v="2025-03-18T00:00:00"/>
    <x v="4"/>
    <x v="0"/>
    <x v="1110"/>
    <x v="18"/>
    <x v="2"/>
    <d v="2025-03-18T00:00:00"/>
    <x v="303"/>
    <x v="4"/>
    <x v="0"/>
    <x v="1"/>
    <x v="1"/>
    <x v="1"/>
    <x v="1"/>
  </r>
  <r>
    <d v="2025-03-18T00:00:00"/>
    <x v="4"/>
    <x v="0"/>
    <x v="1166"/>
    <x v="17"/>
    <x v="3"/>
    <d v="2025-03-18T00:00:00"/>
    <x v="303"/>
    <x v="4"/>
    <x v="0"/>
    <x v="1"/>
    <x v="1"/>
    <x v="1"/>
    <x v="1"/>
  </r>
  <r>
    <d v="2025-03-18T00:00:00"/>
    <x v="4"/>
    <x v="0"/>
    <x v="1203"/>
    <x v="18"/>
    <x v="2"/>
    <d v="2025-03-18T00:00:00"/>
    <x v="303"/>
    <x v="4"/>
    <x v="0"/>
    <x v="1"/>
    <x v="1"/>
    <x v="1"/>
    <x v="1"/>
  </r>
  <r>
    <d v="2025-03-18T00:00:00"/>
    <x v="4"/>
    <x v="0"/>
    <x v="1165"/>
    <x v="16"/>
    <x v="0"/>
    <d v="2025-03-18T00:00:00"/>
    <x v="303"/>
    <x v="4"/>
    <x v="0"/>
    <x v="1"/>
    <x v="1"/>
    <x v="1"/>
    <x v="1"/>
  </r>
  <r>
    <d v="2025-03-18T00:00:00"/>
    <x v="4"/>
    <x v="0"/>
    <x v="1203"/>
    <x v="19"/>
    <x v="6"/>
    <d v="2025-03-18T00:00:00"/>
    <x v="303"/>
    <x v="4"/>
    <x v="0"/>
    <x v="1"/>
    <x v="1"/>
    <x v="1"/>
    <x v="1"/>
  </r>
  <r>
    <d v="2025-03-18T00:00:00"/>
    <x v="4"/>
    <x v="0"/>
    <x v="1163"/>
    <x v="16"/>
    <x v="4"/>
    <d v="2025-03-18T00:00:00"/>
    <x v="303"/>
    <x v="4"/>
    <x v="0"/>
    <x v="1"/>
    <x v="1"/>
    <x v="1"/>
    <x v="1"/>
  </r>
  <r>
    <d v="2025-03-18T00:00:00"/>
    <x v="4"/>
    <x v="0"/>
    <x v="1276"/>
    <x v="16"/>
    <x v="4"/>
    <d v="2025-03-18T00:00:00"/>
    <x v="303"/>
    <x v="4"/>
    <x v="0"/>
    <x v="1"/>
    <x v="1"/>
    <x v="1"/>
    <x v="1"/>
  </r>
  <r>
    <d v="2025-03-18T00:00:00"/>
    <x v="4"/>
    <x v="0"/>
    <x v="1298"/>
    <x v="16"/>
    <x v="0"/>
    <d v="2025-03-18T00:00:00"/>
    <x v="303"/>
    <x v="4"/>
    <x v="0"/>
    <x v="1"/>
    <x v="1"/>
    <x v="1"/>
    <x v="1"/>
  </r>
  <r>
    <d v="2025-03-19T00:00:00"/>
    <x v="5"/>
    <x v="0"/>
    <x v="1152"/>
    <x v="18"/>
    <x v="2"/>
    <d v="2025-03-19T00:00:00"/>
    <x v="304"/>
    <x v="5"/>
    <x v="0"/>
    <x v="1"/>
    <x v="1"/>
    <x v="1"/>
    <x v="1"/>
  </r>
  <r>
    <d v="2025-03-19T00:00:00"/>
    <x v="5"/>
    <x v="0"/>
    <x v="261"/>
    <x v="18"/>
    <x v="2"/>
    <d v="2025-03-19T00:00:00"/>
    <x v="304"/>
    <x v="5"/>
    <x v="0"/>
    <x v="1"/>
    <x v="1"/>
    <x v="1"/>
    <x v="1"/>
  </r>
  <r>
    <d v="2025-03-19T00:00:00"/>
    <x v="5"/>
    <x v="0"/>
    <x v="1161"/>
    <x v="16"/>
    <x v="7"/>
    <d v="2025-03-19T00:00:00"/>
    <x v="304"/>
    <x v="5"/>
    <x v="0"/>
    <x v="1"/>
    <x v="1"/>
    <x v="1"/>
    <x v="1"/>
  </r>
  <r>
    <d v="2025-03-19T00:00:00"/>
    <x v="5"/>
    <x v="0"/>
    <x v="19"/>
    <x v="18"/>
    <x v="2"/>
    <d v="2025-03-19T00:00:00"/>
    <x v="304"/>
    <x v="5"/>
    <x v="0"/>
    <x v="1"/>
    <x v="1"/>
    <x v="1"/>
    <x v="1"/>
  </r>
  <r>
    <d v="2025-03-19T00:00:00"/>
    <x v="5"/>
    <x v="0"/>
    <x v="1227"/>
    <x v="16"/>
    <x v="1"/>
    <d v="2025-03-19T00:00:00"/>
    <x v="304"/>
    <x v="5"/>
    <x v="0"/>
    <x v="1"/>
    <x v="1"/>
    <x v="1"/>
    <x v="1"/>
  </r>
  <r>
    <d v="2025-03-19T00:00:00"/>
    <x v="5"/>
    <x v="0"/>
    <x v="1110"/>
    <x v="18"/>
    <x v="2"/>
    <d v="2025-03-19T00:00:00"/>
    <x v="304"/>
    <x v="5"/>
    <x v="0"/>
    <x v="1"/>
    <x v="1"/>
    <x v="1"/>
    <x v="1"/>
  </r>
  <r>
    <d v="2025-03-19T00:00:00"/>
    <x v="5"/>
    <x v="0"/>
    <x v="1299"/>
    <x v="18"/>
    <x v="2"/>
    <d v="2025-03-19T00:00:00"/>
    <x v="304"/>
    <x v="5"/>
    <x v="0"/>
    <x v="1"/>
    <x v="1"/>
    <x v="1"/>
    <x v="1"/>
  </r>
  <r>
    <d v="2025-03-19T00:00:00"/>
    <x v="5"/>
    <x v="0"/>
    <x v="1295"/>
    <x v="16"/>
    <x v="0"/>
    <d v="2025-03-19T00:00:00"/>
    <x v="304"/>
    <x v="5"/>
    <x v="0"/>
    <x v="1"/>
    <x v="1"/>
    <x v="1"/>
    <x v="1"/>
  </r>
  <r>
    <d v="2025-03-19T00:00:00"/>
    <x v="5"/>
    <x v="0"/>
    <x v="1300"/>
    <x v="16"/>
    <x v="0"/>
    <d v="2025-03-19T00:00:00"/>
    <x v="304"/>
    <x v="5"/>
    <x v="0"/>
    <x v="1"/>
    <x v="1"/>
    <x v="1"/>
    <x v="1"/>
  </r>
  <r>
    <d v="2025-03-19T00:00:00"/>
    <x v="5"/>
    <x v="0"/>
    <x v="1191"/>
    <x v="16"/>
    <x v="0"/>
    <d v="2025-03-19T00:00:00"/>
    <x v="304"/>
    <x v="5"/>
    <x v="0"/>
    <x v="1"/>
    <x v="1"/>
    <x v="1"/>
    <x v="1"/>
  </r>
  <r>
    <d v="2025-03-19T00:00:00"/>
    <x v="5"/>
    <x v="0"/>
    <x v="1167"/>
    <x v="18"/>
    <x v="2"/>
    <d v="2025-03-19T00:00:00"/>
    <x v="304"/>
    <x v="5"/>
    <x v="0"/>
    <x v="1"/>
    <x v="1"/>
    <x v="1"/>
    <x v="1"/>
  </r>
  <r>
    <d v="2025-03-19T00:00:00"/>
    <x v="5"/>
    <x v="0"/>
    <x v="1158"/>
    <x v="16"/>
    <x v="7"/>
    <d v="2025-03-19T00:00:00"/>
    <x v="304"/>
    <x v="5"/>
    <x v="0"/>
    <x v="1"/>
    <x v="1"/>
    <x v="1"/>
    <x v="1"/>
  </r>
  <r>
    <d v="2025-03-19T00:00:00"/>
    <x v="5"/>
    <x v="0"/>
    <x v="1275"/>
    <x v="16"/>
    <x v="4"/>
    <d v="2025-03-19T00:00:00"/>
    <x v="304"/>
    <x v="5"/>
    <x v="0"/>
    <x v="1"/>
    <x v="1"/>
    <x v="1"/>
    <x v="1"/>
  </r>
  <r>
    <d v="2025-03-19T00:00:00"/>
    <x v="5"/>
    <x v="0"/>
    <x v="1219"/>
    <x v="17"/>
    <x v="3"/>
    <d v="2025-03-19T00:00:00"/>
    <x v="304"/>
    <x v="5"/>
    <x v="0"/>
    <x v="1"/>
    <x v="1"/>
    <x v="1"/>
    <x v="1"/>
  </r>
  <r>
    <d v="2025-03-19T00:00:00"/>
    <x v="5"/>
    <x v="0"/>
    <x v="1222"/>
    <x v="17"/>
    <x v="3"/>
    <d v="2025-03-19T00:00:00"/>
    <x v="304"/>
    <x v="5"/>
    <x v="0"/>
    <x v="1"/>
    <x v="1"/>
    <x v="1"/>
    <x v="1"/>
  </r>
  <r>
    <d v="2025-03-19T00:00:00"/>
    <x v="5"/>
    <x v="0"/>
    <x v="1301"/>
    <x v="18"/>
    <x v="5"/>
    <d v="2025-03-19T00:00:00"/>
    <x v="304"/>
    <x v="5"/>
    <x v="0"/>
    <x v="1"/>
    <x v="1"/>
    <x v="1"/>
    <x v="1"/>
  </r>
  <r>
    <d v="2025-03-19T00:00:00"/>
    <x v="5"/>
    <x v="0"/>
    <x v="1302"/>
    <x v="19"/>
    <x v="6"/>
    <d v="2025-03-19T00:00:00"/>
    <x v="304"/>
    <x v="5"/>
    <x v="0"/>
    <x v="1"/>
    <x v="1"/>
    <x v="1"/>
    <x v="1"/>
  </r>
  <r>
    <d v="2025-03-19T00:00:00"/>
    <x v="5"/>
    <x v="0"/>
    <x v="1303"/>
    <x v="19"/>
    <x v="6"/>
    <d v="2025-03-19T00:00:00"/>
    <x v="304"/>
    <x v="5"/>
    <x v="0"/>
    <x v="1"/>
    <x v="1"/>
    <x v="1"/>
    <x v="1"/>
  </r>
  <r>
    <d v="2025-03-20T00:00:00"/>
    <x v="6"/>
    <x v="0"/>
    <x v="1304"/>
    <x v="17"/>
    <x v="3"/>
    <d v="2025-03-20T00:00:00"/>
    <x v="305"/>
    <x v="6"/>
    <x v="0"/>
    <x v="1"/>
    <x v="1"/>
    <x v="1"/>
    <x v="1"/>
  </r>
  <r>
    <d v="2025-03-20T00:00:00"/>
    <x v="6"/>
    <x v="0"/>
    <x v="1152"/>
    <x v="17"/>
    <x v="3"/>
    <d v="2025-03-20T00:00:00"/>
    <x v="305"/>
    <x v="6"/>
    <x v="0"/>
    <x v="1"/>
    <x v="1"/>
    <x v="1"/>
    <x v="1"/>
  </r>
  <r>
    <d v="2025-03-20T00:00:00"/>
    <x v="6"/>
    <x v="0"/>
    <x v="1293"/>
    <x v="17"/>
    <x v="3"/>
    <d v="2025-03-20T00:00:00"/>
    <x v="305"/>
    <x v="6"/>
    <x v="0"/>
    <x v="1"/>
    <x v="1"/>
    <x v="1"/>
    <x v="1"/>
  </r>
  <r>
    <d v="2025-03-20T00:00:00"/>
    <x v="6"/>
    <x v="0"/>
    <x v="1305"/>
    <x v="18"/>
    <x v="2"/>
    <d v="2025-03-20T00:00:00"/>
    <x v="305"/>
    <x v="6"/>
    <x v="0"/>
    <x v="1"/>
    <x v="1"/>
    <x v="1"/>
    <x v="1"/>
  </r>
  <r>
    <d v="2025-03-20T00:00:00"/>
    <x v="6"/>
    <x v="0"/>
    <x v="1110"/>
    <x v="18"/>
    <x v="2"/>
    <d v="2025-03-20T00:00:00"/>
    <x v="305"/>
    <x v="6"/>
    <x v="0"/>
    <x v="1"/>
    <x v="1"/>
    <x v="1"/>
    <x v="1"/>
  </r>
  <r>
    <d v="2025-03-20T00:00:00"/>
    <x v="6"/>
    <x v="0"/>
    <x v="1306"/>
    <x v="18"/>
    <x v="2"/>
    <d v="2025-03-20T00:00:00"/>
    <x v="305"/>
    <x v="6"/>
    <x v="0"/>
    <x v="1"/>
    <x v="1"/>
    <x v="1"/>
    <x v="1"/>
  </r>
  <r>
    <d v="2025-03-20T00:00:00"/>
    <x v="6"/>
    <x v="0"/>
    <x v="1152"/>
    <x v="18"/>
    <x v="2"/>
    <d v="2025-03-20T00:00:00"/>
    <x v="305"/>
    <x v="6"/>
    <x v="0"/>
    <x v="1"/>
    <x v="1"/>
    <x v="1"/>
    <x v="1"/>
  </r>
  <r>
    <d v="2025-03-20T00:00:00"/>
    <x v="6"/>
    <x v="0"/>
    <x v="1290"/>
    <x v="18"/>
    <x v="2"/>
    <d v="2025-03-20T00:00:00"/>
    <x v="305"/>
    <x v="6"/>
    <x v="0"/>
    <x v="1"/>
    <x v="1"/>
    <x v="1"/>
    <x v="1"/>
  </r>
  <r>
    <d v="2025-03-20T00:00:00"/>
    <x v="6"/>
    <x v="0"/>
    <x v="1290"/>
    <x v="19"/>
    <x v="6"/>
    <d v="2025-03-20T00:00:00"/>
    <x v="305"/>
    <x v="6"/>
    <x v="0"/>
    <x v="1"/>
    <x v="1"/>
    <x v="1"/>
    <x v="1"/>
  </r>
  <r>
    <d v="2025-03-20T00:00:00"/>
    <x v="6"/>
    <x v="0"/>
    <x v="1307"/>
    <x v="18"/>
    <x v="5"/>
    <d v="2025-03-20T00:00:00"/>
    <x v="305"/>
    <x v="6"/>
    <x v="0"/>
    <x v="1"/>
    <x v="1"/>
    <x v="1"/>
    <x v="1"/>
  </r>
  <r>
    <d v="2025-03-20T00:00:00"/>
    <x v="6"/>
    <x v="0"/>
    <x v="1308"/>
    <x v="16"/>
    <x v="7"/>
    <d v="2025-03-20T00:00:00"/>
    <x v="305"/>
    <x v="6"/>
    <x v="0"/>
    <x v="1"/>
    <x v="1"/>
    <x v="1"/>
    <x v="1"/>
  </r>
  <r>
    <d v="2025-03-20T00:00:00"/>
    <x v="6"/>
    <x v="0"/>
    <x v="1161"/>
    <x v="16"/>
    <x v="7"/>
    <d v="2025-03-20T00:00:00"/>
    <x v="305"/>
    <x v="6"/>
    <x v="0"/>
    <x v="1"/>
    <x v="1"/>
    <x v="1"/>
    <x v="1"/>
  </r>
  <r>
    <d v="2025-03-20T00:00:00"/>
    <x v="6"/>
    <x v="0"/>
    <x v="1170"/>
    <x v="18"/>
    <x v="2"/>
    <d v="2025-03-20T00:00:00"/>
    <x v="305"/>
    <x v="6"/>
    <x v="0"/>
    <x v="1"/>
    <x v="1"/>
    <x v="1"/>
    <x v="1"/>
  </r>
  <r>
    <d v="2025-03-20T00:00:00"/>
    <x v="6"/>
    <x v="0"/>
    <x v="1276"/>
    <x v="18"/>
    <x v="2"/>
    <d v="2025-03-20T00:00:00"/>
    <x v="305"/>
    <x v="6"/>
    <x v="0"/>
    <x v="1"/>
    <x v="1"/>
    <x v="1"/>
    <x v="1"/>
  </r>
  <r>
    <d v="2025-03-20T00:00:00"/>
    <x v="6"/>
    <x v="0"/>
    <x v="1158"/>
    <x v="16"/>
    <x v="7"/>
    <d v="2025-03-20T00:00:00"/>
    <x v="305"/>
    <x v="6"/>
    <x v="0"/>
    <x v="1"/>
    <x v="1"/>
    <x v="1"/>
    <x v="1"/>
  </r>
  <r>
    <d v="2025-03-20T00:00:00"/>
    <x v="6"/>
    <x v="0"/>
    <x v="1309"/>
    <x v="18"/>
    <x v="2"/>
    <d v="2025-03-20T00:00:00"/>
    <x v="305"/>
    <x v="6"/>
    <x v="0"/>
    <x v="1"/>
    <x v="1"/>
    <x v="1"/>
    <x v="1"/>
  </r>
  <r>
    <d v="2025-03-20T00:00:00"/>
    <x v="6"/>
    <x v="0"/>
    <x v="1233"/>
    <x v="16"/>
    <x v="1"/>
    <d v="2025-03-20T00:00:00"/>
    <x v="305"/>
    <x v="6"/>
    <x v="0"/>
    <x v="1"/>
    <x v="1"/>
    <x v="1"/>
    <x v="1"/>
  </r>
  <r>
    <d v="2025-03-20T00:00:00"/>
    <x v="6"/>
    <x v="0"/>
    <x v="1310"/>
    <x v="16"/>
    <x v="4"/>
    <d v="2025-03-20T00:00:00"/>
    <x v="305"/>
    <x v="6"/>
    <x v="0"/>
    <x v="1"/>
    <x v="1"/>
    <x v="1"/>
    <x v="1"/>
  </r>
  <r>
    <d v="2025-03-20T00:00:00"/>
    <x v="6"/>
    <x v="0"/>
    <x v="1298"/>
    <x v="16"/>
    <x v="0"/>
    <d v="2025-03-20T00:00:00"/>
    <x v="305"/>
    <x v="6"/>
    <x v="0"/>
    <x v="1"/>
    <x v="1"/>
    <x v="1"/>
    <x v="1"/>
  </r>
  <r>
    <d v="2025-03-21T00:00:00"/>
    <x v="0"/>
    <x v="0"/>
    <x v="1163"/>
    <x v="17"/>
    <x v="3"/>
    <d v="2025-03-21T00:00:00"/>
    <x v="306"/>
    <x v="0"/>
    <x v="0"/>
    <x v="1"/>
    <x v="1"/>
    <x v="1"/>
    <x v="1"/>
  </r>
  <r>
    <d v="2025-03-21T00:00:00"/>
    <x v="0"/>
    <x v="0"/>
    <x v="1306"/>
    <x v="18"/>
    <x v="2"/>
    <d v="2025-03-21T00:00:00"/>
    <x v="306"/>
    <x v="0"/>
    <x v="0"/>
    <x v="1"/>
    <x v="1"/>
    <x v="1"/>
    <x v="1"/>
  </r>
  <r>
    <d v="2025-03-21T00:00:00"/>
    <x v="0"/>
    <x v="0"/>
    <x v="1110"/>
    <x v="18"/>
    <x v="2"/>
    <d v="2025-03-21T00:00:00"/>
    <x v="306"/>
    <x v="0"/>
    <x v="0"/>
    <x v="1"/>
    <x v="1"/>
    <x v="1"/>
    <x v="1"/>
  </r>
  <r>
    <d v="2025-03-21T00:00:00"/>
    <x v="0"/>
    <x v="0"/>
    <x v="1311"/>
    <x v="16"/>
    <x v="7"/>
    <d v="2025-03-21T00:00:00"/>
    <x v="306"/>
    <x v="0"/>
    <x v="0"/>
    <x v="1"/>
    <x v="1"/>
    <x v="1"/>
    <x v="1"/>
  </r>
  <r>
    <d v="2025-03-21T00:00:00"/>
    <x v="0"/>
    <x v="0"/>
    <x v="1163"/>
    <x v="18"/>
    <x v="2"/>
    <d v="2025-03-21T00:00:00"/>
    <x v="306"/>
    <x v="0"/>
    <x v="0"/>
    <x v="1"/>
    <x v="1"/>
    <x v="1"/>
    <x v="1"/>
  </r>
  <r>
    <d v="2025-03-21T00:00:00"/>
    <x v="0"/>
    <x v="0"/>
    <x v="19"/>
    <x v="16"/>
    <x v="0"/>
    <d v="2025-03-21T00:00:00"/>
    <x v="306"/>
    <x v="0"/>
    <x v="0"/>
    <x v="1"/>
    <x v="1"/>
    <x v="1"/>
    <x v="1"/>
  </r>
  <r>
    <d v="2025-03-21T00:00:00"/>
    <x v="0"/>
    <x v="0"/>
    <x v="1275"/>
    <x v="16"/>
    <x v="0"/>
    <d v="2025-03-21T00:00:00"/>
    <x v="306"/>
    <x v="0"/>
    <x v="0"/>
    <x v="1"/>
    <x v="1"/>
    <x v="1"/>
    <x v="1"/>
  </r>
  <r>
    <d v="2025-03-21T00:00:00"/>
    <x v="0"/>
    <x v="0"/>
    <x v="1158"/>
    <x v="16"/>
    <x v="7"/>
    <d v="2025-03-21T00:00:00"/>
    <x v="306"/>
    <x v="0"/>
    <x v="0"/>
    <x v="1"/>
    <x v="1"/>
    <x v="1"/>
    <x v="1"/>
  </r>
  <r>
    <d v="2025-03-21T00:00:00"/>
    <x v="0"/>
    <x v="0"/>
    <x v="1312"/>
    <x v="16"/>
    <x v="7"/>
    <d v="2025-03-21T00:00:00"/>
    <x v="306"/>
    <x v="0"/>
    <x v="0"/>
    <x v="1"/>
    <x v="1"/>
    <x v="1"/>
    <x v="1"/>
  </r>
  <r>
    <d v="2025-03-21T00:00:00"/>
    <x v="0"/>
    <x v="0"/>
    <x v="1170"/>
    <x v="18"/>
    <x v="2"/>
    <d v="2025-03-21T00:00:00"/>
    <x v="306"/>
    <x v="0"/>
    <x v="0"/>
    <x v="1"/>
    <x v="1"/>
    <x v="1"/>
    <x v="1"/>
  </r>
  <r>
    <d v="2025-03-21T00:00:00"/>
    <x v="0"/>
    <x v="0"/>
    <x v="1110"/>
    <x v="16"/>
    <x v="0"/>
    <d v="2025-03-21T00:00:00"/>
    <x v="306"/>
    <x v="0"/>
    <x v="0"/>
    <x v="1"/>
    <x v="1"/>
    <x v="1"/>
    <x v="1"/>
  </r>
  <r>
    <d v="2025-03-21T00:00:00"/>
    <x v="0"/>
    <x v="0"/>
    <x v="1163"/>
    <x v="16"/>
    <x v="7"/>
    <d v="2025-03-21T00:00:00"/>
    <x v="306"/>
    <x v="0"/>
    <x v="0"/>
    <x v="1"/>
    <x v="1"/>
    <x v="1"/>
    <x v="1"/>
  </r>
  <r>
    <d v="2025-03-21T00:00:00"/>
    <x v="0"/>
    <x v="0"/>
    <x v="1259"/>
    <x v="16"/>
    <x v="1"/>
    <d v="2025-03-21T00:00:00"/>
    <x v="306"/>
    <x v="0"/>
    <x v="0"/>
    <x v="1"/>
    <x v="1"/>
    <x v="1"/>
    <x v="1"/>
  </r>
  <r>
    <d v="2025-03-21T00:00:00"/>
    <x v="0"/>
    <x v="0"/>
    <x v="1165"/>
    <x v="16"/>
    <x v="0"/>
    <d v="2025-03-21T00:00:00"/>
    <x v="306"/>
    <x v="0"/>
    <x v="0"/>
    <x v="1"/>
    <x v="1"/>
    <x v="1"/>
    <x v="1"/>
  </r>
  <r>
    <d v="2025-03-21T00:00:00"/>
    <x v="0"/>
    <x v="0"/>
    <x v="1191"/>
    <x v="16"/>
    <x v="0"/>
    <d v="2025-03-21T00:00:00"/>
    <x v="306"/>
    <x v="0"/>
    <x v="0"/>
    <x v="1"/>
    <x v="1"/>
    <x v="1"/>
    <x v="1"/>
  </r>
  <r>
    <d v="2025-03-21T00:00:00"/>
    <x v="0"/>
    <x v="0"/>
    <x v="507"/>
    <x v="16"/>
    <x v="0"/>
    <d v="2025-03-21T00:00:00"/>
    <x v="306"/>
    <x v="0"/>
    <x v="0"/>
    <x v="1"/>
    <x v="1"/>
    <x v="1"/>
    <x v="1"/>
  </r>
  <r>
    <d v="2025-03-22T00:00:00"/>
    <x v="1"/>
    <x v="0"/>
    <x v="1274"/>
    <x v="17"/>
    <x v="3"/>
    <d v="2025-03-22T00:00:00"/>
    <x v="307"/>
    <x v="1"/>
    <x v="0"/>
    <x v="1"/>
    <x v="1"/>
    <x v="1"/>
    <x v="1"/>
  </r>
  <r>
    <d v="2025-03-22T00:00:00"/>
    <x v="1"/>
    <x v="0"/>
    <x v="1152"/>
    <x v="17"/>
    <x v="3"/>
    <d v="2025-03-22T00:00:00"/>
    <x v="307"/>
    <x v="1"/>
    <x v="0"/>
    <x v="1"/>
    <x v="1"/>
    <x v="1"/>
    <x v="1"/>
  </r>
  <r>
    <d v="2025-03-22T00:00:00"/>
    <x v="1"/>
    <x v="0"/>
    <x v="1259"/>
    <x v="16"/>
    <x v="1"/>
    <d v="2025-03-22T00:00:00"/>
    <x v="307"/>
    <x v="1"/>
    <x v="0"/>
    <x v="1"/>
    <x v="1"/>
    <x v="1"/>
    <x v="1"/>
  </r>
  <r>
    <d v="2025-03-22T00:00:00"/>
    <x v="1"/>
    <x v="0"/>
    <x v="1279"/>
    <x v="16"/>
    <x v="4"/>
    <d v="2025-03-22T00:00:00"/>
    <x v="307"/>
    <x v="1"/>
    <x v="0"/>
    <x v="1"/>
    <x v="1"/>
    <x v="1"/>
    <x v="1"/>
  </r>
  <r>
    <d v="2025-03-22T00:00:00"/>
    <x v="1"/>
    <x v="0"/>
    <x v="1313"/>
    <x v="17"/>
    <x v="3"/>
    <d v="2025-03-22T00:00:00"/>
    <x v="307"/>
    <x v="1"/>
    <x v="0"/>
    <x v="1"/>
    <x v="1"/>
    <x v="1"/>
    <x v="1"/>
  </r>
  <r>
    <d v="2025-03-22T00:00:00"/>
    <x v="1"/>
    <x v="0"/>
    <x v="1306"/>
    <x v="18"/>
    <x v="2"/>
    <d v="2025-03-22T00:00:00"/>
    <x v="307"/>
    <x v="1"/>
    <x v="0"/>
    <x v="1"/>
    <x v="1"/>
    <x v="1"/>
    <x v="1"/>
  </r>
  <r>
    <d v="2025-03-22T00:00:00"/>
    <x v="1"/>
    <x v="0"/>
    <x v="1309"/>
    <x v="18"/>
    <x v="2"/>
    <d v="2025-03-22T00:00:00"/>
    <x v="307"/>
    <x v="1"/>
    <x v="0"/>
    <x v="1"/>
    <x v="1"/>
    <x v="1"/>
    <x v="1"/>
  </r>
  <r>
    <d v="2025-03-22T00:00:00"/>
    <x v="1"/>
    <x v="0"/>
    <x v="1267"/>
    <x v="17"/>
    <x v="3"/>
    <d v="2025-03-22T00:00:00"/>
    <x v="307"/>
    <x v="1"/>
    <x v="0"/>
    <x v="1"/>
    <x v="1"/>
    <x v="1"/>
    <x v="1"/>
  </r>
  <r>
    <d v="2025-03-22T00:00:00"/>
    <x v="1"/>
    <x v="0"/>
    <x v="1302"/>
    <x v="19"/>
    <x v="6"/>
    <d v="2025-03-22T00:00:00"/>
    <x v="307"/>
    <x v="1"/>
    <x v="0"/>
    <x v="1"/>
    <x v="1"/>
    <x v="1"/>
    <x v="1"/>
  </r>
  <r>
    <d v="2025-03-22T00:00:00"/>
    <x v="1"/>
    <x v="0"/>
    <x v="1274"/>
    <x v="16"/>
    <x v="0"/>
    <d v="2025-03-22T00:00:00"/>
    <x v="307"/>
    <x v="1"/>
    <x v="0"/>
    <x v="1"/>
    <x v="1"/>
    <x v="1"/>
    <x v="1"/>
  </r>
  <r>
    <d v="2025-03-22T00:00:00"/>
    <x v="1"/>
    <x v="0"/>
    <x v="1314"/>
    <x v="17"/>
    <x v="3"/>
    <d v="2025-03-22T00:00:00"/>
    <x v="307"/>
    <x v="1"/>
    <x v="0"/>
    <x v="1"/>
    <x v="1"/>
    <x v="1"/>
    <x v="1"/>
  </r>
  <r>
    <d v="2025-03-23T00:00:00"/>
    <x v="2"/>
    <x v="0"/>
    <x v="1196"/>
    <x v="16"/>
    <x v="0"/>
    <d v="2025-03-23T00:00:00"/>
    <x v="41"/>
    <x v="2"/>
    <x v="0"/>
    <x v="1"/>
    <x v="1"/>
    <x v="1"/>
    <x v="1"/>
  </r>
  <r>
    <d v="2025-03-23T00:00:00"/>
    <x v="2"/>
    <x v="0"/>
    <x v="1158"/>
    <x v="16"/>
    <x v="7"/>
    <d v="2025-03-23T00:00:00"/>
    <x v="41"/>
    <x v="2"/>
    <x v="0"/>
    <x v="1"/>
    <x v="1"/>
    <x v="1"/>
    <x v="1"/>
  </r>
  <r>
    <d v="2025-03-23T00:00:00"/>
    <x v="2"/>
    <x v="0"/>
    <x v="1315"/>
    <x v="16"/>
    <x v="4"/>
    <d v="2025-03-23T00:00:00"/>
    <x v="41"/>
    <x v="2"/>
    <x v="0"/>
    <x v="1"/>
    <x v="1"/>
    <x v="1"/>
    <x v="1"/>
  </r>
  <r>
    <d v="2025-03-23T00:00:00"/>
    <x v="2"/>
    <x v="0"/>
    <x v="1316"/>
    <x v="18"/>
    <x v="2"/>
    <d v="2025-03-23T00:00:00"/>
    <x v="41"/>
    <x v="2"/>
    <x v="0"/>
    <x v="1"/>
    <x v="1"/>
    <x v="1"/>
    <x v="1"/>
  </r>
  <r>
    <d v="2025-03-23T00:00:00"/>
    <x v="2"/>
    <x v="0"/>
    <x v="1275"/>
    <x v="16"/>
    <x v="0"/>
    <d v="2025-03-23T00:00:00"/>
    <x v="41"/>
    <x v="2"/>
    <x v="0"/>
    <x v="1"/>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6"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D1:E9" firstHeaderRow="1" firstDataRow="1" firstDataCol="1"/>
  <pivotFields count="14">
    <pivotField numFmtId="14" showAll="0"/>
    <pivotField axis="axisRow" showAll="0">
      <items count="8">
        <item x="2"/>
        <item x="3"/>
        <item x="4"/>
        <item x="5"/>
        <item x="6"/>
        <item x="0"/>
        <item x="1"/>
        <item t="default"/>
      </items>
    </pivotField>
    <pivotField dataField="1" showAll="0">
      <items count="3">
        <item x="0"/>
        <item x="1"/>
        <item t="default"/>
      </items>
    </pivotField>
    <pivotField showAll="0"/>
    <pivotField numFmtId="4" showAll="0"/>
    <pivotField showAll="0">
      <items count="9">
        <item x="2"/>
        <item x="3"/>
        <item x="7"/>
        <item x="4"/>
        <item x="5"/>
        <item x="6"/>
        <item x="1"/>
        <item x="0"/>
        <item t="default"/>
      </items>
    </pivotField>
    <pivotField numFmtId="14" showAll="0"/>
    <pivotField numFmtId="4" showAll="0"/>
    <pivotField showAll="0"/>
    <pivotField showAll="0">
      <items count="13">
        <item x="10"/>
        <item x="11"/>
        <item x="0"/>
        <item x="1"/>
        <item x="2"/>
        <item x="3"/>
        <item x="4"/>
        <item x="5"/>
        <item x="6"/>
        <item x="7"/>
        <item x="8"/>
        <item x="9"/>
        <item t="default"/>
      </items>
    </pivotField>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Count of Cash_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1"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16:E19" firstHeaderRow="1" firstDataRow="1" firstDataCol="1"/>
  <pivotFields count="14">
    <pivotField numFmtId="14" showAll="0"/>
    <pivotField showAll="0">
      <items count="8">
        <item x="2"/>
        <item x="3"/>
        <item x="4"/>
        <item x="5"/>
        <item x="6"/>
        <item x="0"/>
        <item x="1"/>
        <item t="default"/>
      </items>
    </pivotField>
    <pivotField showAll="0">
      <items count="3">
        <item x="0"/>
        <item x="1"/>
        <item t="default"/>
      </items>
    </pivotField>
    <pivotField showAll="0"/>
    <pivotField dataField="1" numFmtId="4" showAll="0"/>
    <pivotField showAll="0">
      <items count="9">
        <item x="2"/>
        <item x="3"/>
        <item x="7"/>
        <item x="4"/>
        <item x="5"/>
        <item x="6"/>
        <item x="1"/>
        <item x="0"/>
        <item t="default"/>
      </items>
    </pivotField>
    <pivotField numFmtId="14" showAll="0"/>
    <pivotField numFmtId="4" showAll="0"/>
    <pivotField showAll="0"/>
    <pivotField showAll="0">
      <items count="13">
        <item x="10"/>
        <item x="11"/>
        <item x="0"/>
        <item x="1"/>
        <item x="2"/>
        <item x="3"/>
        <item x="4"/>
        <item x="5"/>
        <item x="6"/>
        <item x="7"/>
        <item x="8"/>
        <item x="9"/>
        <item t="default"/>
      </items>
    </pivotField>
    <pivotField axis="axisRow" showAll="0">
      <items count="3">
        <item x="0"/>
        <item x="1"/>
        <item t="default"/>
      </items>
    </pivotField>
    <pivotField showAll="0"/>
    <pivotField showAll="0"/>
    <pivotField showAll="0"/>
  </pivotFields>
  <rowFields count="1">
    <field x="10"/>
  </rowFields>
  <rowItems count="3">
    <i>
      <x/>
    </i>
    <i>
      <x v="1"/>
    </i>
    <i t="grand">
      <x/>
    </i>
  </rowItems>
  <colItems count="1">
    <i/>
  </colItems>
  <dataFields count="1">
    <dataField name="Sum of money" fld="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8"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1:K10" firstHeaderRow="1" firstDataRow="1" firstDataCol="1"/>
  <pivotFields count="14">
    <pivotField numFmtId="14" showAll="0"/>
    <pivotField showAll="0">
      <items count="8">
        <item x="2"/>
        <item x="3"/>
        <item x="4"/>
        <item x="5"/>
        <item x="6"/>
        <item x="0"/>
        <item x="1"/>
        <item t="default"/>
      </items>
    </pivotField>
    <pivotField showAll="0">
      <items count="3">
        <item x="0"/>
        <item x="1"/>
        <item t="default"/>
      </items>
    </pivotField>
    <pivotField showAll="0"/>
    <pivotField dataField="1" numFmtId="4"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numFmtId="14" showAll="0"/>
    <pivotField numFmtId="4" showAll="0"/>
    <pivotField showAll="0"/>
    <pivotField showAll="0">
      <items count="13">
        <item x="10"/>
        <item x="11"/>
        <item x="0"/>
        <item x="1"/>
        <item x="2"/>
        <item x="3"/>
        <item x="4"/>
        <item x="5"/>
        <item x="6"/>
        <item x="7"/>
        <item x="8"/>
        <item x="9"/>
        <item t="default"/>
      </items>
    </pivotField>
    <pivotField showAll="0"/>
    <pivotField showAll="0"/>
    <pivotField showAll="0"/>
    <pivotField showAll="0"/>
  </pivotFields>
  <rowFields count="1">
    <field x="5"/>
  </rowFields>
  <rowItems count="9">
    <i>
      <x v="7"/>
    </i>
    <i>
      <x v="1"/>
    </i>
    <i>
      <x v="2"/>
    </i>
    <i>
      <x/>
    </i>
    <i>
      <x v="6"/>
    </i>
    <i>
      <x v="3"/>
    </i>
    <i>
      <x v="4"/>
    </i>
    <i>
      <x v="5"/>
    </i>
    <i t="grand">
      <x/>
    </i>
  </rowItems>
  <colItems count="1">
    <i/>
  </colItems>
  <dataFields count="1">
    <dataField name="Sum of money" fld="4" baseField="0" baseItem="0" numFmtId="169"/>
  </dataFields>
  <formats count="2">
    <format dxfId="67">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9"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2">
  <location ref="A11:B75" firstHeaderRow="1" firstDataRow="1" firstDataCol="1"/>
  <pivotFields count="14">
    <pivotField numFmtId="14" showAll="0"/>
    <pivotField axis="axisRow" showAll="0" sortType="descending">
      <items count="8">
        <item x="2"/>
        <item x="3"/>
        <item x="4"/>
        <item x="5"/>
        <item x="6"/>
        <item x="0"/>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dataField="1" numFmtId="4" showAll="0"/>
    <pivotField axis="axisRow" showAll="0">
      <items count="9">
        <item x="2"/>
        <item x="3"/>
        <item x="7"/>
        <item x="4"/>
        <item x="5"/>
        <item x="6"/>
        <item x="1"/>
        <item x="0"/>
        <item t="default"/>
      </items>
    </pivotField>
    <pivotField numFmtId="14" showAll="0"/>
    <pivotField numFmtId="4" showAll="0"/>
    <pivotField showAll="0"/>
    <pivotField showAll="0">
      <items count="13">
        <item x="10"/>
        <item x="11"/>
        <item x="0"/>
        <item x="1"/>
        <item x="2"/>
        <item x="3"/>
        <item x="4"/>
        <item x="5"/>
        <item x="6"/>
        <item x="7"/>
        <item x="8"/>
        <item x="9"/>
        <item t="default"/>
      </items>
    </pivotField>
    <pivotField showAll="0"/>
    <pivotField showAll="0"/>
    <pivotField showAll="0"/>
    <pivotField showAll="0"/>
  </pivotFields>
  <rowFields count="2">
    <field x="1"/>
    <field x="5"/>
  </rowFields>
  <rowItems count="64">
    <i>
      <x v="2"/>
    </i>
    <i r="1">
      <x/>
    </i>
    <i r="1">
      <x v="1"/>
    </i>
    <i r="1">
      <x v="2"/>
    </i>
    <i r="1">
      <x v="3"/>
    </i>
    <i r="1">
      <x v="4"/>
    </i>
    <i r="1">
      <x v="5"/>
    </i>
    <i r="1">
      <x v="6"/>
    </i>
    <i r="1">
      <x v="7"/>
    </i>
    <i>
      <x v="1"/>
    </i>
    <i r="1">
      <x/>
    </i>
    <i r="1">
      <x v="1"/>
    </i>
    <i r="1">
      <x v="2"/>
    </i>
    <i r="1">
      <x v="3"/>
    </i>
    <i r="1">
      <x v="4"/>
    </i>
    <i r="1">
      <x v="5"/>
    </i>
    <i r="1">
      <x v="6"/>
    </i>
    <i r="1">
      <x v="7"/>
    </i>
    <i>
      <x v="5"/>
    </i>
    <i r="1">
      <x/>
    </i>
    <i r="1">
      <x v="1"/>
    </i>
    <i r="1">
      <x v="2"/>
    </i>
    <i r="1">
      <x v="3"/>
    </i>
    <i r="1">
      <x v="4"/>
    </i>
    <i r="1">
      <x v="5"/>
    </i>
    <i r="1">
      <x v="6"/>
    </i>
    <i r="1">
      <x v="7"/>
    </i>
    <i>
      <x v="4"/>
    </i>
    <i r="1">
      <x/>
    </i>
    <i r="1">
      <x v="1"/>
    </i>
    <i r="1">
      <x v="2"/>
    </i>
    <i r="1">
      <x v="3"/>
    </i>
    <i r="1">
      <x v="4"/>
    </i>
    <i r="1">
      <x v="5"/>
    </i>
    <i r="1">
      <x v="6"/>
    </i>
    <i r="1">
      <x v="7"/>
    </i>
    <i>
      <x v="3"/>
    </i>
    <i r="1">
      <x/>
    </i>
    <i r="1">
      <x v="1"/>
    </i>
    <i r="1">
      <x v="2"/>
    </i>
    <i r="1">
      <x v="3"/>
    </i>
    <i r="1">
      <x v="4"/>
    </i>
    <i r="1">
      <x v="5"/>
    </i>
    <i r="1">
      <x v="6"/>
    </i>
    <i r="1">
      <x v="7"/>
    </i>
    <i>
      <x v="6"/>
    </i>
    <i r="1">
      <x/>
    </i>
    <i r="1">
      <x v="1"/>
    </i>
    <i r="1">
      <x v="2"/>
    </i>
    <i r="1">
      <x v="3"/>
    </i>
    <i r="1">
      <x v="4"/>
    </i>
    <i r="1">
      <x v="5"/>
    </i>
    <i r="1">
      <x v="6"/>
    </i>
    <i r="1">
      <x v="7"/>
    </i>
    <i>
      <x/>
    </i>
    <i r="1">
      <x/>
    </i>
    <i r="1">
      <x v="1"/>
    </i>
    <i r="1">
      <x v="2"/>
    </i>
    <i r="1">
      <x v="3"/>
    </i>
    <i r="1">
      <x v="4"/>
    </i>
    <i r="1">
      <x v="5"/>
    </i>
    <i r="1">
      <x v="6"/>
    </i>
    <i r="1">
      <x v="7"/>
    </i>
    <i t="grand">
      <x/>
    </i>
  </rowItems>
  <colItems count="1">
    <i/>
  </colItems>
  <dataFields count="1">
    <dataField name="Sum of money" fld="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7"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G1:H14" firstHeaderRow="1" firstDataRow="1" firstDataCol="1"/>
  <pivotFields count="14">
    <pivotField numFmtId="14" showAll="0"/>
    <pivotField showAll="0">
      <items count="8">
        <item x="2"/>
        <item x="3"/>
        <item x="4"/>
        <item x="5"/>
        <item x="6"/>
        <item x="0"/>
        <item x="1"/>
        <item t="default"/>
      </items>
    </pivotField>
    <pivotField showAll="0">
      <items count="3">
        <item x="0"/>
        <item x="1"/>
        <item t="default"/>
      </items>
    </pivotField>
    <pivotField showAll="0"/>
    <pivotField dataField="1" numFmtId="4" showAll="0"/>
    <pivotField showAll="0">
      <items count="9">
        <item x="2"/>
        <item x="3"/>
        <item x="7"/>
        <item x="4"/>
        <item x="5"/>
        <item x="6"/>
        <item x="1"/>
        <item x="0"/>
        <item t="default"/>
      </items>
    </pivotField>
    <pivotField numFmtId="14" showAll="0"/>
    <pivotField numFmtId="4" showAll="0"/>
    <pivotField showAll="0"/>
    <pivotField axis="axisRow" showAll="0" sortType="ascending">
      <items count="13">
        <item x="10"/>
        <item x="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9"/>
  </rowFields>
  <rowItems count="13">
    <i>
      <x/>
    </i>
    <i>
      <x v="6"/>
    </i>
    <i>
      <x v="5"/>
    </i>
    <i>
      <x v="3"/>
    </i>
    <i>
      <x v="7"/>
    </i>
    <i>
      <x v="10"/>
    </i>
    <i>
      <x v="11"/>
    </i>
    <i>
      <x v="4"/>
    </i>
    <i>
      <x v="8"/>
    </i>
    <i>
      <x v="1"/>
    </i>
    <i>
      <x v="9"/>
    </i>
    <i>
      <x v="2"/>
    </i>
    <i t="grand">
      <x/>
    </i>
  </rowItems>
  <colItems count="1">
    <i/>
  </colItems>
  <dataFields count="1">
    <dataField name="Sum of money" fld="4" baseField="0" baseItem="0" numFmtId="170"/>
  </dataFields>
  <formats count="2">
    <format dxfId="69">
      <pivotArea outline="0" collapsedLevelsAreSubtotals="1" fieldPosition="0"/>
    </format>
    <format dxfId="68">
      <pivotArea dataOnly="0" labelOnly="1" outline="0" axis="axisValues" fieldPosition="0"/>
    </format>
  </formats>
  <chartFormats count="8">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9" count="1" selected="0">
            <x v="8"/>
          </reference>
        </references>
      </pivotArea>
    </chartFormat>
    <chartFormat chart="18" format="4">
      <pivotArea type="data" outline="0" fieldPosition="0">
        <references count="2">
          <reference field="4294967294" count="1" selected="0">
            <x v="0"/>
          </reference>
          <reference field="9" count="1" selected="0">
            <x v="1"/>
          </reference>
        </references>
      </pivotArea>
    </chartFormat>
    <chartFormat chart="18" format="5">
      <pivotArea type="data" outline="0" fieldPosition="0">
        <references count="2">
          <reference field="4294967294" count="1" selected="0">
            <x v="0"/>
          </reference>
          <reference field="9" count="1" selected="0">
            <x v="2"/>
          </reference>
        </references>
      </pivotArea>
    </chartFormat>
    <chartFormat chart="18" format="6">
      <pivotArea type="data" outline="0" fieldPosition="0">
        <references count="2">
          <reference field="4294967294" count="1" selected="0">
            <x v="0"/>
          </reference>
          <reference field="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1:B9" firstHeaderRow="1" firstDataRow="1" firstDataCol="1"/>
  <pivotFields count="14">
    <pivotField numFmtId="14" showAll="0"/>
    <pivotField axis="axisRow" showAll="0" sortType="descending">
      <items count="8">
        <item x="2"/>
        <item x="3"/>
        <item x="4"/>
        <item x="5"/>
        <item x="6"/>
        <item x="0"/>
        <item x="1"/>
        <item t="default"/>
      </items>
      <autoSortScope>
        <pivotArea dataOnly="0" outline="0" fieldPosition="0">
          <references count="1">
            <reference field="4294967294" count="1" selected="0">
              <x v="0"/>
            </reference>
          </references>
        </pivotArea>
      </autoSortScope>
    </pivotField>
    <pivotField showAll="0"/>
    <pivotField showAll="0"/>
    <pivotField dataField="1" numFmtId="4" showAll="0"/>
    <pivotField showAll="0">
      <items count="9">
        <item x="2"/>
        <item x="3"/>
        <item x="7"/>
        <item x="4"/>
        <item x="5"/>
        <item x="6"/>
        <item x="1"/>
        <item x="0"/>
        <item t="default"/>
      </items>
    </pivotField>
    <pivotField numFmtId="14" showAll="0"/>
    <pivotField numFmtId="4" showAll="0"/>
    <pivotField showAll="0"/>
    <pivotField showAll="0">
      <items count="13">
        <item x="10"/>
        <item x="11"/>
        <item x="0"/>
        <item x="1"/>
        <item x="2"/>
        <item x="3"/>
        <item x="4"/>
        <item x="5"/>
        <item x="6"/>
        <item x="7"/>
        <item x="8"/>
        <item x="9"/>
        <item t="default"/>
      </items>
    </pivotField>
    <pivotField showAll="0"/>
    <pivotField showAll="0"/>
    <pivotField showAll="0"/>
    <pivotField showAll="0"/>
  </pivotFields>
  <rowFields count="1">
    <field x="1"/>
  </rowFields>
  <rowItems count="8">
    <i>
      <x v="2"/>
    </i>
    <i>
      <x v="1"/>
    </i>
    <i>
      <x v="5"/>
    </i>
    <i>
      <x v="4"/>
    </i>
    <i>
      <x v="3"/>
    </i>
    <i>
      <x v="6"/>
    </i>
    <i>
      <x/>
    </i>
    <i t="grand">
      <x/>
    </i>
  </rowItems>
  <colItems count="1">
    <i/>
  </colItems>
  <dataFields count="1">
    <dataField name="Sum of money" fld="4" baseField="0" baseItem="0" numFmtId="166"/>
  </dataFields>
  <formats count="2">
    <format dxfId="71">
      <pivotArea collapsedLevelsAreSubtotals="1" fieldPosition="0">
        <references count="1">
          <reference field="1" count="1">
            <x v="2"/>
          </reference>
        </references>
      </pivotArea>
    </format>
    <format dxfId="70">
      <pivotArea outline="0" fieldPosition="0">
        <references count="1">
          <reference field="4294967294" count="1">
            <x v="0"/>
          </reference>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2"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21:E1338" firstHeaderRow="1" firstDataRow="1" firstDataCol="1"/>
  <pivotFields count="14">
    <pivotField numFmtId="14" showAll="0"/>
    <pivotField showAll="0">
      <items count="8">
        <item x="2"/>
        <item x="3"/>
        <item x="4"/>
        <item x="5"/>
        <item x="6"/>
        <item x="0"/>
        <item x="1"/>
        <item t="default"/>
      </items>
    </pivotField>
    <pivotField showAll="0">
      <items count="3">
        <item x="0"/>
        <item x="1"/>
        <item t="default"/>
      </items>
    </pivotField>
    <pivotField axis="axisRow" showAll="0" sortType="descending">
      <items count="1318">
        <item x="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h="1" x="10"/>
        <item t="default"/>
      </items>
      <autoSortScope>
        <pivotArea dataOnly="0" outline="0" fieldPosition="0">
          <references count="1">
            <reference field="4294967294" count="1" selected="0">
              <x v="0"/>
            </reference>
          </references>
        </pivotArea>
      </autoSortScope>
    </pivotField>
    <pivotField dataField="1" numFmtId="4" showAll="0"/>
    <pivotField showAll="0">
      <items count="9">
        <item x="2"/>
        <item x="3"/>
        <item x="7"/>
        <item x="4"/>
        <item x="5"/>
        <item x="6"/>
        <item x="1"/>
        <item x="0"/>
        <item t="default"/>
      </items>
    </pivotField>
    <pivotField numFmtId="14" showAll="0"/>
    <pivotField numFmtId="4" showAll="0"/>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items count="3">
        <item x="0"/>
        <item x="1"/>
        <item t="default"/>
      </items>
    </pivotField>
    <pivotField showAll="0"/>
    <pivotField showAll="0"/>
    <pivotField showAll="0"/>
  </pivotFields>
  <rowFields count="1">
    <field x="3"/>
  </rowFields>
  <rowItems count="1317">
    <i>
      <x v="11"/>
    </i>
    <i>
      <x v="8"/>
    </i>
    <i>
      <x v="140"/>
    </i>
    <i>
      <x v="275"/>
    </i>
    <i>
      <x v="1162"/>
    </i>
    <i>
      <x v="506"/>
    </i>
    <i>
      <x v="96"/>
    </i>
    <i>
      <x v="39"/>
    </i>
    <i>
      <x v="569"/>
    </i>
    <i>
      <x v="205"/>
    </i>
    <i>
      <x v="1190"/>
    </i>
    <i>
      <x v="2"/>
    </i>
    <i>
      <x v="1160"/>
    </i>
    <i>
      <x v="695"/>
    </i>
    <i>
      <x v="1109"/>
    </i>
    <i>
      <x/>
    </i>
    <i>
      <x v="18"/>
    </i>
    <i>
      <x v="1164"/>
    </i>
    <i>
      <x v="1151"/>
    </i>
    <i>
      <x v="1169"/>
    </i>
    <i>
      <x v="1157"/>
    </i>
    <i>
      <x v="374"/>
    </i>
    <i>
      <x v="384"/>
    </i>
    <i>
      <x v="636"/>
    </i>
    <i>
      <x v="493"/>
    </i>
    <i>
      <x v="332"/>
    </i>
    <i>
      <x v="23"/>
    </i>
    <i>
      <x v="1183"/>
    </i>
    <i>
      <x v="1178"/>
    </i>
    <i>
      <x v="3"/>
    </i>
    <i>
      <x v="1166"/>
    </i>
    <i>
      <x v="905"/>
    </i>
    <i>
      <x v="1152"/>
    </i>
    <i>
      <x v="682"/>
    </i>
    <i>
      <x v="1155"/>
    </i>
    <i>
      <x v="133"/>
    </i>
    <i>
      <x v="1197"/>
    </i>
    <i>
      <x v="1156"/>
    </i>
    <i>
      <x v="509"/>
    </i>
    <i>
      <x v="1033"/>
    </i>
    <i>
      <x v="179"/>
    </i>
    <i>
      <x v="1163"/>
    </i>
    <i>
      <x v="1167"/>
    </i>
    <i>
      <x v="689"/>
    </i>
    <i>
      <x v="1028"/>
    </i>
    <i>
      <x v="1177"/>
    </i>
    <i>
      <x v="818"/>
    </i>
    <i>
      <x v="191"/>
    </i>
    <i>
      <x v="1159"/>
    </i>
    <i>
      <x v="152"/>
    </i>
    <i>
      <x v="1161"/>
    </i>
    <i>
      <x v="1209"/>
    </i>
    <i>
      <x v="1188"/>
    </i>
    <i>
      <x v="876"/>
    </i>
    <i>
      <x v="730"/>
    </i>
    <i>
      <x v="49"/>
    </i>
    <i>
      <x v="163"/>
    </i>
    <i>
      <x v="16"/>
    </i>
    <i>
      <x v="303"/>
    </i>
    <i>
      <x v="224"/>
    </i>
    <i>
      <x v="223"/>
    </i>
    <i>
      <x v="1202"/>
    </i>
    <i>
      <x v="58"/>
    </i>
    <i>
      <x v="153"/>
    </i>
    <i>
      <x v="1195"/>
    </i>
    <i>
      <x v="1199"/>
    </i>
    <i>
      <x v="76"/>
    </i>
    <i>
      <x v="1189"/>
    </i>
    <i>
      <x v="542"/>
    </i>
    <i>
      <x v="346"/>
    </i>
    <i>
      <x v="1275"/>
    </i>
    <i>
      <x v="310"/>
    </i>
    <i>
      <x v="474"/>
    </i>
    <i>
      <x v="68"/>
    </i>
    <i>
      <x v="1221"/>
    </i>
    <i>
      <x v="1214"/>
    </i>
    <i>
      <x v="841"/>
    </i>
    <i>
      <x v="649"/>
    </i>
    <i>
      <x v="256"/>
    </i>
    <i>
      <x v="885"/>
    </i>
    <i>
      <x v="702"/>
    </i>
    <i>
      <x v="1206"/>
    </i>
    <i>
      <x v="45"/>
    </i>
    <i>
      <x v="725"/>
    </i>
    <i>
      <x v="282"/>
    </i>
    <i>
      <x v="193"/>
    </i>
    <i>
      <x v="1002"/>
    </i>
    <i>
      <x v="424"/>
    </i>
    <i>
      <x v="383"/>
    </i>
    <i>
      <x v="664"/>
    </i>
    <i>
      <x v="257"/>
    </i>
    <i>
      <x v="117"/>
    </i>
    <i>
      <x v="194"/>
    </i>
    <i>
      <x v="54"/>
    </i>
    <i>
      <x v="1165"/>
    </i>
    <i>
      <x v="1216"/>
    </i>
    <i>
      <x v="327"/>
    </i>
    <i>
      <x v="530"/>
    </i>
    <i>
      <x v="24"/>
    </i>
    <i>
      <x v="202"/>
    </i>
    <i>
      <x v="1170"/>
    </i>
    <i>
      <x v="32"/>
    </i>
    <i>
      <x v="418"/>
    </i>
    <i>
      <x v="48"/>
    </i>
    <i>
      <x v="1274"/>
    </i>
    <i>
      <x v="1243"/>
    </i>
    <i>
      <x v="1211"/>
    </i>
    <i>
      <x v="1044"/>
    </i>
    <i>
      <x v="937"/>
    </i>
    <i>
      <x v="713"/>
    </i>
    <i>
      <x v="701"/>
    </i>
    <i>
      <x v="684"/>
    </i>
    <i>
      <x v="219"/>
    </i>
    <i>
      <x v="635"/>
    </i>
    <i>
      <x v="1096"/>
    </i>
    <i>
      <x v="328"/>
    </i>
    <i>
      <x v="171"/>
    </i>
    <i>
      <x v="141"/>
    </i>
    <i>
      <x v="98"/>
    </i>
    <i>
      <x v="407"/>
    </i>
    <i>
      <x v="1273"/>
    </i>
    <i>
      <x v="466"/>
    </i>
    <i>
      <x v="582"/>
    </i>
    <i>
      <x v="366"/>
    </i>
    <i>
      <x v="299"/>
    </i>
    <i>
      <x v="633"/>
    </i>
    <i>
      <x v="439"/>
    </i>
    <i>
      <x v="462"/>
    </i>
    <i>
      <x v="1168"/>
    </i>
    <i>
      <x v="1050"/>
    </i>
    <i>
      <x v="619"/>
    </i>
    <i>
      <x v="570"/>
    </i>
    <i>
      <x v="241"/>
    </i>
    <i>
      <x v="553"/>
    </i>
    <i>
      <x v="479"/>
    </i>
    <i>
      <x v="142"/>
    </i>
    <i>
      <x v="286"/>
    </i>
    <i>
      <x v="1068"/>
    </i>
    <i>
      <x v="454"/>
    </i>
    <i>
      <x v="90"/>
    </i>
    <i>
      <x v="119"/>
    </i>
    <i>
      <x v="1193"/>
    </i>
    <i>
      <x v="877"/>
    </i>
    <i>
      <x v="401"/>
    </i>
    <i>
      <x v="312"/>
    </i>
    <i>
      <x v="302"/>
    </i>
    <i>
      <x v="231"/>
    </i>
    <i>
      <x v="249"/>
    </i>
    <i>
      <x v="190"/>
    </i>
    <i>
      <x v="1256"/>
    </i>
    <i>
      <x v="1154"/>
    </i>
    <i>
      <x v="1258"/>
    </i>
    <i>
      <x v="1226"/>
    </i>
    <i>
      <x v="1233"/>
    </i>
    <i>
      <x v="1113"/>
    </i>
    <i>
      <x v="1184"/>
    </i>
    <i>
      <x v="803"/>
    </i>
    <i>
      <x v="902"/>
    </i>
    <i>
      <x v="870"/>
    </i>
    <i>
      <x v="827"/>
    </i>
    <i>
      <x v="891"/>
    </i>
    <i>
      <x v="786"/>
    </i>
    <i>
      <x v="19"/>
    </i>
    <i>
      <x v="196"/>
    </i>
    <i>
      <x v="611"/>
    </i>
    <i>
      <x v="663"/>
    </i>
    <i>
      <x v="524"/>
    </i>
    <i>
      <x v="298"/>
    </i>
    <i>
      <x v="267"/>
    </i>
    <i>
      <x v="178"/>
    </i>
    <i>
      <x v="1219"/>
    </i>
    <i>
      <x v="1015"/>
    </i>
    <i>
      <x v="919"/>
    </i>
    <i>
      <x v="1019"/>
    </i>
    <i>
      <x v="712"/>
    </i>
    <i>
      <x v="747"/>
    </i>
    <i>
      <x v="717"/>
    </i>
    <i>
      <x v="41"/>
    </i>
    <i>
      <x v="601"/>
    </i>
    <i>
      <x v="630"/>
    </i>
    <i>
      <x v="354"/>
    </i>
    <i>
      <x v="621"/>
    </i>
    <i>
      <x v="681"/>
    </i>
    <i>
      <x v="581"/>
    </i>
    <i>
      <x v="564"/>
    </i>
    <i>
      <x v="441"/>
    </i>
    <i>
      <x v="465"/>
    </i>
    <i>
      <x v="269"/>
    </i>
    <i>
      <x v="398"/>
    </i>
    <i>
      <x v="1191"/>
    </i>
    <i>
      <x v="875"/>
    </i>
    <i>
      <x v="922"/>
    </i>
    <i>
      <x v="583"/>
    </i>
    <i>
      <x v="578"/>
    </i>
    <i>
      <x v="657"/>
    </i>
    <i>
      <x v="471"/>
    </i>
    <i>
      <x v="147"/>
    </i>
    <i>
      <x v="185"/>
    </i>
    <i>
      <x v="1292"/>
    </i>
    <i>
      <x v="1081"/>
    </i>
    <i>
      <x v="768"/>
    </i>
    <i>
      <x v="694"/>
    </i>
    <i>
      <x v="735"/>
    </i>
    <i>
      <x v="273"/>
    </i>
    <i>
      <x v="378"/>
    </i>
    <i>
      <x v="400"/>
    </i>
    <i>
      <x v="1270"/>
    </i>
    <i>
      <x v="1224"/>
    </i>
    <i>
      <x v="63"/>
    </i>
    <i>
      <x v="94"/>
    </i>
    <i>
      <x v="422"/>
    </i>
    <i>
      <x v="180"/>
    </i>
    <i>
      <x v="372"/>
    </i>
    <i>
      <x v="512"/>
    </i>
    <i>
      <x v="1217"/>
    </i>
    <i>
      <x v="1175"/>
    </i>
    <i>
      <x v="1305"/>
    </i>
    <i>
      <x v="699"/>
    </i>
    <i>
      <x v="28"/>
    </i>
    <i>
      <x v="123"/>
    </i>
    <i>
      <x v="122"/>
    </i>
    <i>
      <x v="1"/>
    </i>
    <i>
      <x v="64"/>
    </i>
    <i>
      <x v="105"/>
    </i>
    <i>
      <x v="87"/>
    </i>
    <i>
      <x v="73"/>
    </i>
    <i>
      <x v="110"/>
    </i>
    <i>
      <x v="80"/>
    </i>
    <i>
      <x v="57"/>
    </i>
    <i>
      <x v="114"/>
    </i>
    <i>
      <x v="25"/>
    </i>
    <i>
      <x v="319"/>
    </i>
    <i>
      <x v="334"/>
    </i>
    <i>
      <x v="255"/>
    </i>
    <i>
      <x v="144"/>
    </i>
    <i>
      <x v="206"/>
    </i>
    <i>
      <x v="174"/>
    </i>
    <i>
      <x v="253"/>
    </i>
    <i>
      <x v="164"/>
    </i>
    <i>
      <x v="139"/>
    </i>
    <i>
      <x v="240"/>
    </i>
    <i>
      <x v="126"/>
    </i>
    <i>
      <x v="449"/>
    </i>
    <i>
      <x v="333"/>
    </i>
    <i>
      <x v="136"/>
    </i>
    <i>
      <x v="227"/>
    </i>
    <i>
      <x v="254"/>
    </i>
    <i>
      <x v="158"/>
    </i>
    <i>
      <x v="1289"/>
    </i>
    <i>
      <x v="100"/>
    </i>
    <i>
      <x v="7"/>
    </i>
    <i>
      <x v="75"/>
    </i>
    <i>
      <x v="1263"/>
    </i>
    <i>
      <x v="1123"/>
    </i>
    <i>
      <x v="1294"/>
    </i>
    <i>
      <x v="1097"/>
    </i>
    <i>
      <x v="1253"/>
    </i>
    <i>
      <x v="1181"/>
    </i>
    <i>
      <x v="1058"/>
    </i>
    <i>
      <x v="1278"/>
    </i>
    <i>
      <x v="1198"/>
    </i>
    <i>
      <x v="1232"/>
    </i>
    <i>
      <x v="1108"/>
    </i>
    <i>
      <x v="1245"/>
    </i>
    <i>
      <x v="1200"/>
    </i>
    <i>
      <x v="1261"/>
    </i>
    <i>
      <x v="1203"/>
    </i>
    <i>
      <x v="1065"/>
    </i>
    <i>
      <x v="1207"/>
    </i>
    <i>
      <x v="1287"/>
    </i>
    <i>
      <x v="1208"/>
    </i>
    <i>
      <x v="1293"/>
    </i>
    <i>
      <x v="1297"/>
    </i>
    <i>
      <x v="1176"/>
    </i>
    <i>
      <x v="1230"/>
    </i>
    <i>
      <x v="930"/>
    </i>
    <i>
      <x v="1020"/>
    </i>
    <i>
      <x v="999"/>
    </i>
    <i>
      <x v="798"/>
    </i>
    <i>
      <x v="906"/>
    </i>
    <i>
      <x v="866"/>
    </i>
    <i>
      <x v="797"/>
    </i>
    <i>
      <x v="890"/>
    </i>
    <i>
      <x v="1009"/>
    </i>
    <i>
      <x v="809"/>
    </i>
    <i>
      <x v="1024"/>
    </i>
    <i>
      <x v="899"/>
    </i>
    <i>
      <x v="921"/>
    </i>
    <i>
      <x v="739"/>
    </i>
    <i>
      <x v="757"/>
    </i>
    <i>
      <x v="782"/>
    </i>
    <i>
      <x v="714"/>
    </i>
    <i>
      <x v="778"/>
    </i>
    <i>
      <x v="685"/>
    </i>
    <i>
      <x v="745"/>
    </i>
    <i>
      <x v="721"/>
    </i>
    <i>
      <x v="750"/>
    </i>
    <i>
      <x v="724"/>
    </i>
    <i>
      <x v="788"/>
    </i>
    <i>
      <x v="728"/>
    </i>
    <i>
      <x v="780"/>
    </i>
    <i>
      <x v="700"/>
    </i>
    <i>
      <x v="787"/>
    </i>
    <i>
      <x v="706"/>
    </i>
    <i>
      <x v="790"/>
    </i>
    <i>
      <x v="350"/>
    </i>
    <i>
      <x v="338"/>
    </i>
    <i>
      <x v="177"/>
    </i>
    <i>
      <x v="167"/>
    </i>
    <i>
      <x v="204"/>
    </i>
    <i>
      <x v="165"/>
    </i>
    <i>
      <x v="148"/>
    </i>
    <i>
      <x v="597"/>
    </i>
    <i>
      <x v="405"/>
    </i>
    <i>
      <x v="444"/>
    </i>
    <i>
      <x v="408"/>
    </i>
    <i>
      <x v="27"/>
    </i>
    <i>
      <x v="42"/>
    </i>
    <i>
      <x v="124"/>
    </i>
    <i>
      <x v="47"/>
    </i>
    <i>
      <x v="34"/>
    </i>
    <i>
      <x v="46"/>
    </i>
    <i>
      <x v="97"/>
    </i>
    <i>
      <x v="84"/>
    </i>
    <i>
      <x v="1090"/>
    </i>
    <i>
      <x v="848"/>
    </i>
    <i>
      <x v="895"/>
    </i>
    <i>
      <x v="770"/>
    </i>
    <i>
      <x v="653"/>
    </i>
    <i>
      <x v="620"/>
    </i>
    <i>
      <x v="643"/>
    </i>
    <i>
      <x v="508"/>
    </i>
    <i>
      <x v="490"/>
    </i>
    <i>
      <x v="455"/>
    </i>
    <i>
      <x v="382"/>
    </i>
    <i>
      <x v="498"/>
    </i>
    <i>
      <x v="413"/>
    </i>
    <i>
      <x v="321"/>
    </i>
    <i>
      <x v="237"/>
    </i>
    <i>
      <x v="155"/>
    </i>
    <i>
      <x v="132"/>
    </i>
    <i>
      <x v="230"/>
    </i>
    <i>
      <x v="217"/>
    </i>
    <i>
      <x v="220"/>
    </i>
    <i>
      <x v="129"/>
    </i>
    <i>
      <x v="83"/>
    </i>
    <i>
      <x v="584"/>
    </i>
    <i>
      <x v="549"/>
    </i>
    <i>
      <x v="260"/>
    </i>
    <i>
      <x v="1201"/>
    </i>
    <i>
      <x v="1236"/>
    </i>
    <i>
      <x v="121"/>
    </i>
    <i>
      <x v="60"/>
    </i>
    <i>
      <x v="1246"/>
    </i>
    <i>
      <x v="1133"/>
    </i>
    <i>
      <x v="1266"/>
    </i>
    <i>
      <x v="1247"/>
    </i>
    <i>
      <x v="1218"/>
    </i>
    <i>
      <x v="1249"/>
    </i>
    <i>
      <x v="1131"/>
    </i>
    <i>
      <x v="1173"/>
    </i>
    <i>
      <x v="1132"/>
    </i>
    <i>
      <x v="1255"/>
    </i>
    <i>
      <x v="1186"/>
    </i>
    <i>
      <x v="850"/>
    </i>
    <i>
      <x v="1013"/>
    </i>
    <i>
      <x v="861"/>
    </i>
    <i>
      <x v="955"/>
    </i>
    <i>
      <x v="1036"/>
    </i>
    <i>
      <x v="975"/>
    </i>
    <i>
      <x v="1007"/>
    </i>
    <i>
      <x v="709"/>
    </i>
    <i>
      <x v="726"/>
    </i>
    <i>
      <x v="716"/>
    </i>
    <i>
      <x v="686"/>
    </i>
    <i>
      <x v="744"/>
    </i>
    <i>
      <x v="690"/>
    </i>
    <i>
      <x v="766"/>
    </i>
    <i>
      <x v="651"/>
    </i>
    <i>
      <x v="548"/>
    </i>
    <i>
      <x v="625"/>
    </i>
    <i>
      <x v="598"/>
    </i>
    <i>
      <x v="550"/>
    </i>
    <i>
      <x v="648"/>
    </i>
    <i>
      <x v="385"/>
    </i>
    <i>
      <x v="483"/>
    </i>
    <i>
      <x v="419"/>
    </i>
    <i>
      <x v="511"/>
    </i>
    <i>
      <x v="461"/>
    </i>
    <i>
      <x v="176"/>
    </i>
    <i>
      <x v="318"/>
    </i>
    <i>
      <x v="294"/>
    </i>
    <i>
      <x v="53"/>
    </i>
    <i>
      <x v="632"/>
    </i>
    <i>
      <x v="532"/>
    </i>
    <i>
      <x v="264"/>
    </i>
    <i>
      <x v="426"/>
    </i>
    <i>
      <x v="517"/>
    </i>
    <i>
      <x v="31"/>
    </i>
    <i>
      <x v="50"/>
    </i>
    <i>
      <x v="109"/>
    </i>
    <i>
      <x v="1215"/>
    </i>
    <i>
      <x v="801"/>
    </i>
    <i>
      <x v="1029"/>
    </i>
    <i>
      <x v="949"/>
    </i>
    <i>
      <x v="1041"/>
    </i>
    <i>
      <x v="733"/>
    </i>
    <i>
      <x v="693"/>
    </i>
    <i>
      <x v="763"/>
    </i>
    <i>
      <x v="698"/>
    </i>
    <i>
      <x v="814"/>
    </i>
    <i>
      <x v="1038"/>
    </i>
    <i>
      <x v="551"/>
    </i>
    <i>
      <x v="675"/>
    </i>
    <i>
      <x v="629"/>
    </i>
    <i>
      <x v="617"/>
    </i>
    <i>
      <x v="538"/>
    </i>
    <i>
      <x v="572"/>
    </i>
    <i>
      <x v="587"/>
    </i>
    <i>
      <x v="665"/>
    </i>
    <i>
      <x v="603"/>
    </i>
    <i>
      <x v="672"/>
    </i>
    <i>
      <x v="640"/>
    </i>
    <i>
      <x v="452"/>
    </i>
    <i>
      <x v="442"/>
    </i>
    <i>
      <x v="489"/>
    </i>
    <i>
      <x v="387"/>
    </i>
    <i>
      <x v="447"/>
    </i>
    <i>
      <x v="364"/>
    </i>
    <i>
      <x v="386"/>
    </i>
    <i>
      <x v="435"/>
    </i>
    <i>
      <x v="428"/>
    </i>
    <i>
      <x v="301"/>
    </i>
    <i>
      <x v="423"/>
    </i>
    <i>
      <x v="99"/>
    </i>
    <i>
      <x v="1205"/>
    </i>
    <i>
      <x v="1308"/>
    </i>
    <i>
      <x v="1231"/>
    </i>
    <i>
      <x v="1187"/>
    </i>
    <i>
      <x v="1110"/>
    </i>
    <i>
      <x v="1259"/>
    </i>
    <i>
      <x v="1138"/>
    </i>
    <i>
      <x v="1213"/>
    </i>
    <i>
      <x v="741"/>
    </i>
    <i>
      <x v="646"/>
    </i>
    <i>
      <x v="589"/>
    </i>
    <i>
      <x v="522"/>
    </i>
    <i>
      <x v="432"/>
    </i>
    <i>
      <x v="276"/>
    </i>
    <i>
      <x v="52"/>
    </i>
    <i>
      <x v="1126"/>
    </i>
    <i>
      <x v="1054"/>
    </i>
    <i>
      <x v="764"/>
    </i>
    <i>
      <x v="627"/>
    </i>
    <i>
      <x v="491"/>
    </i>
    <i>
      <x v="626"/>
    </i>
    <i>
      <x v="485"/>
    </i>
    <i>
      <x v="370"/>
    </i>
    <i>
      <x v="394"/>
    </i>
    <i>
      <x v="347"/>
    </i>
    <i>
      <x v="1301"/>
    </i>
    <i>
      <x v="543"/>
    </i>
    <i>
      <x v="525"/>
    </i>
    <i>
      <x v="425"/>
    </i>
    <i>
      <x v="403"/>
    </i>
    <i>
      <x v="14"/>
    </i>
    <i>
      <x v="89"/>
    </i>
    <i>
      <x v="35"/>
    </i>
    <i>
      <x v="103"/>
    </i>
    <i>
      <x v="36"/>
    </i>
    <i>
      <x v="91"/>
    </i>
    <i>
      <x v="20"/>
    </i>
    <i>
      <x v="17"/>
    </i>
    <i>
      <x v="77"/>
    </i>
    <i>
      <x v="106"/>
    </i>
    <i>
      <x v="78"/>
    </i>
    <i>
      <x v="29"/>
    </i>
    <i>
      <x v="79"/>
    </i>
    <i>
      <x v="43"/>
    </i>
    <i>
      <x v="40"/>
    </i>
    <i>
      <x v="92"/>
    </i>
    <i>
      <x v="59"/>
    </i>
    <i>
      <x v="71"/>
    </i>
    <i>
      <x v="26"/>
    </i>
    <i>
      <x v="82"/>
    </i>
    <i>
      <x v="102"/>
    </i>
    <i>
      <x v="33"/>
    </i>
    <i>
      <x v="66"/>
    </i>
    <i>
      <x v="108"/>
    </i>
    <i>
      <x v="67"/>
    </i>
    <i>
      <x v="111"/>
    </i>
    <i>
      <x v="116"/>
    </i>
    <i>
      <x v="112"/>
    </i>
    <i>
      <x v="30"/>
    </i>
    <i>
      <x v="5"/>
    </i>
    <i>
      <x v="86"/>
    </i>
    <i>
      <x v="85"/>
    </i>
    <i>
      <x v="22"/>
    </i>
    <i>
      <x v="88"/>
    </i>
    <i>
      <x v="284"/>
    </i>
    <i>
      <x v="305"/>
    </i>
    <i>
      <x v="272"/>
    </i>
    <i>
      <x v="322"/>
    </i>
    <i>
      <x v="351"/>
    </i>
    <i>
      <x v="265"/>
    </i>
    <i>
      <x v="287"/>
    </i>
    <i>
      <x v="335"/>
    </i>
    <i>
      <x v="266"/>
    </i>
    <i>
      <x v="337"/>
    </i>
    <i>
      <x v="317"/>
    </i>
    <i>
      <x v="304"/>
    </i>
    <i>
      <x v="288"/>
    </i>
    <i>
      <x v="313"/>
    </i>
    <i>
      <x v="274"/>
    </i>
    <i>
      <x v="289"/>
    </i>
    <i>
      <x v="341"/>
    </i>
    <i>
      <x v="271"/>
    </i>
    <i>
      <x v="285"/>
    </i>
    <i>
      <x v="280"/>
    </i>
    <i>
      <x v="342"/>
    </i>
    <i>
      <x v="295"/>
    </i>
    <i>
      <x v="320"/>
    </i>
    <i>
      <x v="330"/>
    </i>
    <i>
      <x v="345"/>
    </i>
    <i>
      <x v="331"/>
    </i>
    <i>
      <x v="277"/>
    </i>
    <i>
      <x v="281"/>
    </i>
    <i>
      <x v="135"/>
    </i>
    <i>
      <x v="159"/>
    </i>
    <i>
      <x v="166"/>
    </i>
    <i>
      <x v="175"/>
    </i>
    <i>
      <x v="232"/>
    </i>
    <i>
      <x v="143"/>
    </i>
    <i>
      <x v="243"/>
    </i>
    <i>
      <x v="145"/>
    </i>
    <i>
      <x v="173"/>
    </i>
    <i>
      <x v="182"/>
    </i>
    <i>
      <x v="228"/>
    </i>
    <i>
      <x v="146"/>
    </i>
    <i>
      <x v="235"/>
    </i>
    <i>
      <x v="186"/>
    </i>
    <i>
      <x v="239"/>
    </i>
    <i>
      <x v="187"/>
    </i>
    <i>
      <x v="246"/>
    </i>
    <i>
      <x v="188"/>
    </i>
    <i>
      <x v="252"/>
    </i>
    <i>
      <x v="192"/>
    </i>
    <i>
      <x v="222"/>
    </i>
    <i>
      <x v="263"/>
    </i>
    <i>
      <x v="226"/>
    </i>
    <i>
      <x v="150"/>
    </i>
    <i>
      <x v="229"/>
    </i>
    <i>
      <x v="195"/>
    </i>
    <i>
      <x v="234"/>
    </i>
    <i>
      <x v="197"/>
    </i>
    <i>
      <x v="236"/>
    </i>
    <i>
      <x v="198"/>
    </i>
    <i>
      <x v="238"/>
    </i>
    <i>
      <x v="199"/>
    </i>
    <i>
      <x v="127"/>
    </i>
    <i>
      <x v="200"/>
    </i>
    <i>
      <x v="245"/>
    </i>
    <i>
      <x v="154"/>
    </i>
    <i>
      <x v="247"/>
    </i>
    <i>
      <x v="210"/>
    </i>
    <i>
      <x v="251"/>
    </i>
    <i>
      <x v="216"/>
    </i>
    <i>
      <x v="170"/>
    </i>
    <i>
      <x v="157"/>
    </i>
    <i>
      <x v="221"/>
    </i>
    <i>
      <x v="218"/>
    </i>
    <i>
      <x v="1103"/>
    </i>
    <i>
      <x v="1264"/>
    </i>
    <i>
      <x v="1252"/>
    </i>
    <i>
      <x v="1060"/>
    </i>
    <i>
      <x v="1129"/>
    </i>
    <i>
      <x v="1080"/>
    </i>
    <i>
      <x v="1307"/>
    </i>
    <i>
      <x v="1135"/>
    </i>
    <i>
      <x v="1182"/>
    </i>
    <i>
      <x v="1082"/>
    </i>
    <i>
      <x v="1271"/>
    </i>
    <i>
      <x v="1084"/>
    </i>
    <i>
      <x v="1280"/>
    </i>
    <i>
      <x v="1085"/>
    </i>
    <i>
      <x v="1104"/>
    </i>
    <i>
      <x v="1112"/>
    </i>
    <i>
      <x v="1179"/>
    </i>
    <i>
      <x v="1062"/>
    </i>
    <i>
      <x v="1150"/>
    </i>
    <i>
      <x v="1310"/>
    </i>
    <i>
      <x v="1098"/>
    </i>
    <i>
      <x v="1311"/>
    </i>
    <i>
      <x v="1269"/>
    </i>
    <i>
      <x v="1086"/>
    </i>
    <i>
      <x v="1127"/>
    </i>
    <i>
      <x v="1116"/>
    </i>
    <i>
      <x v="1099"/>
    </i>
    <i>
      <x v="1088"/>
    </i>
    <i>
      <x v="1102"/>
    </i>
    <i>
      <x v="1139"/>
    </i>
    <i>
      <x v="1066"/>
    </i>
    <i>
      <x v="1091"/>
    </i>
    <i>
      <x v="1079"/>
    </i>
    <i>
      <x v="1105"/>
    </i>
    <i>
      <x v="1220"/>
    </i>
    <i>
      <x v="1309"/>
    </i>
    <i>
      <x v="1118"/>
    </i>
    <i>
      <x v="1250"/>
    </i>
    <i>
      <x v="1223"/>
    </i>
    <i>
      <x v="1180"/>
    </i>
    <i>
      <x v="1093"/>
    </i>
    <i>
      <x v="1076"/>
    </i>
    <i>
      <x v="1124"/>
    </i>
    <i>
      <x v="1225"/>
    </i>
    <i>
      <x v="1260"/>
    </i>
    <i>
      <x v="1119"/>
    </i>
    <i>
      <x v="1314"/>
    </i>
    <i>
      <x v="1227"/>
    </i>
    <i>
      <x v="1064"/>
    </i>
    <i>
      <x v="1228"/>
    </i>
    <i>
      <x v="1136"/>
    </i>
    <i>
      <x v="1095"/>
    </i>
    <i>
      <x v="1272"/>
    </i>
    <i>
      <x v="1171"/>
    </i>
    <i>
      <x v="1128"/>
    </i>
    <i>
      <x v="1172"/>
    </i>
    <i>
      <x v="1276"/>
    </i>
    <i>
      <x v="1121"/>
    </i>
    <i>
      <x v="1279"/>
    </i>
    <i>
      <x v="1234"/>
    </i>
    <i>
      <x v="1286"/>
    </i>
    <i>
      <x v="1235"/>
    </i>
    <i>
      <x v="1288"/>
    </i>
    <i>
      <x v="1142"/>
    </i>
    <i>
      <x v="1291"/>
    </i>
    <i>
      <x v="1238"/>
    </i>
    <i>
      <x v="1192"/>
    </i>
    <i>
      <x v="1239"/>
    </i>
    <i>
      <x v="1296"/>
    </i>
    <i>
      <x v="1241"/>
    </i>
    <i>
      <x v="1299"/>
    </i>
    <i>
      <x v="1144"/>
    </i>
    <i>
      <x v="1107"/>
    </i>
    <i>
      <x v="1145"/>
    </i>
    <i>
      <x v="1057"/>
    </i>
    <i>
      <x v="1148"/>
    </i>
    <i>
      <x v="1073"/>
    </i>
    <i>
      <x v="1149"/>
    </i>
    <i>
      <x v="1130"/>
    </i>
    <i>
      <x v="1114"/>
    </i>
    <i>
      <x v="1185"/>
    </i>
    <i>
      <x v="974"/>
    </i>
    <i>
      <x v="1034"/>
    </i>
    <i>
      <x v="796"/>
    </i>
    <i>
      <x v="882"/>
    </i>
    <i>
      <x v="959"/>
    </i>
    <i>
      <x v="883"/>
    </i>
    <i>
      <x v="817"/>
    </i>
    <i>
      <x v="884"/>
    </i>
    <i>
      <x v="1026"/>
    </i>
    <i>
      <x v="808"/>
    </i>
    <i>
      <x v="953"/>
    </i>
    <i>
      <x v="886"/>
    </i>
    <i>
      <x v="963"/>
    </i>
    <i>
      <x v="887"/>
    </i>
    <i>
      <x v="995"/>
    </i>
    <i>
      <x v="888"/>
    </i>
    <i>
      <x v="867"/>
    </i>
    <i>
      <x v="889"/>
    </i>
    <i>
      <x v="871"/>
    </i>
    <i>
      <x v="846"/>
    </i>
    <i>
      <x v="1030"/>
    </i>
    <i>
      <x v="836"/>
    </i>
    <i>
      <x v="805"/>
    </i>
    <i>
      <x v="892"/>
    </i>
    <i>
      <x v="840"/>
    </i>
    <i>
      <x v="837"/>
    </i>
    <i>
      <x v="961"/>
    </i>
    <i>
      <x v="898"/>
    </i>
    <i>
      <x v="969"/>
    </i>
    <i>
      <x v="854"/>
    </i>
    <i>
      <x v="881"/>
    </i>
    <i>
      <x v="900"/>
    </i>
    <i>
      <x v="998"/>
    </i>
    <i>
      <x v="812"/>
    </i>
    <i>
      <x v="1006"/>
    </i>
    <i>
      <x v="903"/>
    </i>
    <i>
      <x v="842"/>
    </i>
    <i>
      <x v="813"/>
    </i>
    <i>
      <x v="1018"/>
    </i>
    <i>
      <x v="855"/>
    </i>
    <i>
      <x v="1023"/>
    </i>
    <i>
      <x v="908"/>
    </i>
    <i>
      <x v="823"/>
    </i>
    <i>
      <x v="909"/>
    </i>
    <i>
      <x v="1032"/>
    </i>
    <i>
      <x v="910"/>
    </i>
    <i>
      <x v="880"/>
    </i>
    <i>
      <x v="912"/>
    </i>
    <i>
      <x v="951"/>
    </i>
    <i>
      <x v="913"/>
    </i>
    <i>
      <x v="954"/>
    </i>
    <i>
      <x v="806"/>
    </i>
    <i>
      <x v="958"/>
    </i>
    <i>
      <x v="920"/>
    </i>
    <i>
      <x v="960"/>
    </i>
    <i>
      <x v="856"/>
    </i>
    <i>
      <x v="962"/>
    </i>
    <i>
      <x v="1051"/>
    </i>
    <i>
      <x v="967"/>
    </i>
    <i>
      <x v="1052"/>
    </i>
    <i>
      <x v="971"/>
    </i>
    <i>
      <x v="976"/>
    </i>
    <i>
      <x v="862"/>
    </i>
    <i>
      <x v="977"/>
    </i>
    <i>
      <x v="984"/>
    </i>
    <i>
      <x v="981"/>
    </i>
    <i>
      <x v="926"/>
    </i>
    <i>
      <x v="993"/>
    </i>
    <i>
      <x v="927"/>
    </i>
    <i>
      <x v="996"/>
    </i>
    <i>
      <x v="928"/>
    </i>
    <i>
      <x v="863"/>
    </i>
    <i>
      <x v="857"/>
    </i>
    <i>
      <x v="1004"/>
    </i>
    <i>
      <x v="931"/>
    </i>
    <i>
      <x v="833"/>
    </i>
    <i>
      <x v="1040"/>
    </i>
    <i>
      <x v="1012"/>
    </i>
    <i>
      <x v="858"/>
    </i>
    <i>
      <x v="1014"/>
    </i>
    <i>
      <x v="1046"/>
    </i>
    <i>
      <x v="1016"/>
    </i>
    <i>
      <x v="831"/>
    </i>
    <i>
      <x v="821"/>
    </i>
    <i>
      <x v="939"/>
    </i>
    <i>
      <x v="1021"/>
    </i>
    <i>
      <x v="940"/>
    </i>
    <i>
      <x v="872"/>
    </i>
    <i>
      <x v="941"/>
    </i>
    <i>
      <x v="1027"/>
    </i>
    <i>
      <x v="942"/>
    </i>
    <i>
      <x v="873"/>
    </i>
    <i>
      <x v="944"/>
    </i>
    <i>
      <x v="1031"/>
    </i>
    <i>
      <x v="946"/>
    </i>
    <i>
      <x v="825"/>
    </i>
    <i>
      <x v="947"/>
    </i>
    <i>
      <x v="793"/>
    </i>
    <i>
      <x v="948"/>
    </i>
    <i>
      <x v="1039"/>
    </i>
    <i>
      <x v="860"/>
    </i>
    <i>
      <x v="950"/>
    </i>
    <i>
      <x v="934"/>
    </i>
    <i>
      <x v="1045"/>
    </i>
    <i>
      <x v="935"/>
    </i>
    <i>
      <x v="1049"/>
    </i>
    <i>
      <x v="936"/>
    </i>
    <i>
      <x v="832"/>
    </i>
    <i>
      <x v="816"/>
    </i>
    <i>
      <x v="1053"/>
    </i>
    <i>
      <x v="792"/>
    </i>
    <i>
      <x v="924"/>
    </i>
    <i>
      <x v="923"/>
    </i>
    <i>
      <x v="740"/>
    </i>
    <i>
      <x v="755"/>
    </i>
    <i>
      <x v="748"/>
    </i>
    <i>
      <x v="707"/>
    </i>
    <i>
      <x v="705"/>
    </i>
    <i>
      <x v="710"/>
    </i>
    <i>
      <x v="742"/>
    </i>
    <i>
      <x v="711"/>
    </i>
    <i>
      <x v="753"/>
    </i>
    <i>
      <x v="688"/>
    </i>
    <i>
      <x v="759"/>
    </i>
    <i>
      <x v="785"/>
    </i>
    <i>
      <x v="781"/>
    </i>
    <i>
      <x v="715"/>
    </i>
    <i>
      <x v="791"/>
    </i>
    <i>
      <x v="691"/>
    </i>
    <i>
      <x v="746"/>
    </i>
    <i>
      <x v="722"/>
    </i>
    <i>
      <x v="752"/>
    </i>
    <i>
      <x v="723"/>
    </i>
    <i>
      <x v="754"/>
    </i>
    <i>
      <x v="704"/>
    </i>
    <i>
      <x v="758"/>
    </i>
    <i>
      <x v="762"/>
    </i>
    <i>
      <x v="761"/>
    </i>
    <i>
      <x v="687"/>
    </i>
    <i>
      <x v="776"/>
    </i>
    <i>
      <x v="765"/>
    </i>
    <i>
      <x v="771"/>
    </i>
    <i>
      <x v="769"/>
    </i>
    <i>
      <x v="731"/>
    </i>
    <i>
      <x v="774"/>
    </i>
    <i>
      <x v="736"/>
    </i>
    <i>
      <x v="779"/>
    </i>
    <i>
      <x v="737"/>
    </i>
    <i>
      <x v="738"/>
    </i>
    <i>
      <x v="718"/>
    </i>
    <i>
      <x v="101"/>
    </i>
    <i>
      <x v="61"/>
    </i>
    <i>
      <x v="4"/>
    </i>
    <i>
      <x v="6"/>
    </i>
    <i>
      <x v="72"/>
    </i>
    <i>
      <x v="70"/>
    </i>
    <i>
      <x v="10"/>
    </i>
    <i>
      <x v="55"/>
    </i>
    <i>
      <x v="81"/>
    </i>
    <i>
      <x v="13"/>
    </i>
    <i>
      <x v="65"/>
    </i>
    <i>
      <x v="74"/>
    </i>
    <i>
      <x v="115"/>
    </i>
    <i>
      <x v="69"/>
    </i>
    <i>
      <x v="51"/>
    </i>
    <i>
      <x v="607"/>
    </i>
    <i>
      <x v="604"/>
    </i>
    <i>
      <x v="671"/>
    </i>
    <i>
      <x v="573"/>
    </i>
    <i>
      <x v="539"/>
    </i>
    <i>
      <x v="586"/>
    </i>
    <i>
      <x v="544"/>
    </i>
    <i>
      <x v="613"/>
    </i>
    <i>
      <x v="638"/>
    </i>
    <i>
      <x v="641"/>
    </i>
    <i>
      <x v="606"/>
    </i>
    <i>
      <x v="561"/>
    </i>
    <i>
      <x v="623"/>
    </i>
    <i>
      <x v="574"/>
    </i>
    <i>
      <x v="535"/>
    </i>
    <i>
      <x v="546"/>
    </i>
    <i>
      <x v="670"/>
    </i>
    <i>
      <x v="557"/>
    </i>
    <i>
      <x v="618"/>
    </i>
    <i>
      <x v="628"/>
    </i>
    <i>
      <x v="673"/>
    </i>
    <i>
      <x v="590"/>
    </i>
    <i>
      <x v="605"/>
    </i>
    <i>
      <x v="559"/>
    </i>
    <i>
      <x v="622"/>
    </i>
    <i>
      <x v="547"/>
    </i>
    <i>
      <x v="579"/>
    </i>
    <i>
      <x v="652"/>
    </i>
    <i>
      <x v="560"/>
    </i>
    <i>
      <x v="591"/>
    </i>
    <i>
      <x v="529"/>
    </i>
    <i>
      <x v="562"/>
    </i>
    <i>
      <x v="624"/>
    </i>
    <i>
      <x v="616"/>
    </i>
    <i>
      <x v="669"/>
    </i>
    <i>
      <x v="660"/>
    </i>
    <i>
      <x v="568"/>
    </i>
    <i>
      <x v="595"/>
    </i>
    <i>
      <x v="637"/>
    </i>
    <i>
      <x v="545"/>
    </i>
    <i>
      <x v="536"/>
    </i>
    <i>
      <x v="610"/>
    </i>
    <i>
      <x v="645"/>
    </i>
    <i>
      <x v="533"/>
    </i>
    <i>
      <x v="674"/>
    </i>
    <i>
      <x v="571"/>
    </i>
    <i>
      <x v="662"/>
    </i>
    <i>
      <x v="596"/>
    </i>
    <i>
      <x v="585"/>
    </i>
    <i>
      <x v="644"/>
    </i>
    <i>
      <x v="677"/>
    </i>
    <i>
      <x v="612"/>
    </i>
    <i>
      <x v="531"/>
    </i>
    <i>
      <x v="608"/>
    </i>
    <i>
      <x v="566"/>
    </i>
    <i>
      <x v="678"/>
    </i>
    <i>
      <x v="679"/>
    </i>
    <i>
      <x v="659"/>
    </i>
    <i>
      <x v="519"/>
    </i>
    <i>
      <x v="420"/>
    </i>
    <i>
      <x v="482"/>
    </i>
    <i>
      <x v="402"/>
    </i>
    <i>
      <x v="371"/>
    </i>
    <i>
      <x v="381"/>
    </i>
    <i>
      <x v="478"/>
    </i>
    <i>
      <x v="430"/>
    </i>
    <i>
      <x v="487"/>
    </i>
    <i>
      <x v="404"/>
    </i>
    <i>
      <x v="499"/>
    </i>
    <i>
      <x v="434"/>
    </i>
    <i>
      <x v="513"/>
    </i>
    <i>
      <x v="391"/>
    </i>
    <i>
      <x v="473"/>
    </i>
    <i>
      <x v="393"/>
    </i>
    <i>
      <x v="480"/>
    </i>
    <i>
      <x v="376"/>
    </i>
    <i>
      <x v="417"/>
    </i>
    <i>
      <x v="353"/>
    </i>
    <i>
      <x v="368"/>
    </i>
    <i>
      <x v="443"/>
    </i>
    <i>
      <x v="497"/>
    </i>
    <i>
      <x v="325"/>
    </i>
    <i>
      <x v="297"/>
    </i>
    <i>
      <x v="520"/>
    </i>
    <i>
      <x v="316"/>
    </i>
    <i>
      <x v="300"/>
    </i>
    <i>
      <x v="373"/>
    </i>
    <i>
      <x v="448"/>
    </i>
    <i>
      <x v="472"/>
    </i>
    <i>
      <x v="410"/>
    </i>
    <i>
      <x v="293"/>
    </i>
    <i>
      <x v="451"/>
    </i>
    <i>
      <x v="359"/>
    </i>
    <i>
      <x v="355"/>
    </i>
    <i>
      <x v="481"/>
    </i>
    <i>
      <x v="343"/>
    </i>
    <i>
      <x v="416"/>
    </i>
    <i>
      <x v="356"/>
    </i>
    <i>
      <x v="486"/>
    </i>
    <i>
      <x v="456"/>
    </i>
    <i>
      <x v="340"/>
    </i>
    <i>
      <x v="457"/>
    </i>
    <i>
      <x v="397"/>
    </i>
    <i>
      <x v="459"/>
    </i>
    <i>
      <x v="495"/>
    </i>
    <i>
      <x v="460"/>
    </i>
    <i>
      <x v="421"/>
    </i>
    <i>
      <x v="357"/>
    </i>
    <i>
      <x v="502"/>
    </i>
    <i>
      <x v="290"/>
    </i>
    <i>
      <x v="507"/>
    </i>
    <i>
      <x v="464"/>
    </i>
    <i>
      <x v="278"/>
    </i>
    <i>
      <x v="414"/>
    </i>
    <i>
      <x v="375"/>
    </i>
    <i>
      <x v="292"/>
    </i>
    <i>
      <x v="515"/>
    </i>
    <i>
      <x v="467"/>
    </i>
    <i>
      <x v="518"/>
    </i>
    <i>
      <x v="470"/>
    </i>
    <i>
      <x v="283"/>
    </i>
    <i>
      <x v="329"/>
    </i>
    <i>
      <x v="445"/>
    </i>
    <i>
      <x v="388"/>
    </i>
    <i>
      <x v="390"/>
    </i>
    <i>
      <x v="395"/>
    </i>
    <i>
      <x v="128"/>
    </i>
    <i>
      <x v="207"/>
    </i>
    <i>
      <x v="212"/>
    </i>
    <i>
      <x v="183"/>
    </i>
    <i>
      <x v="162"/>
    </i>
    <i>
      <x v="161"/>
    </i>
    <i>
      <x v="258"/>
    </i>
    <i>
      <x v="244"/>
    </i>
    <i>
      <x v="262"/>
    </i>
    <i>
      <x v="215"/>
    </i>
    <i>
      <x v="209"/>
    </i>
    <i>
      <x v="189"/>
    </i>
    <i>
      <x v="211"/>
    </i>
    <i>
      <x v="184"/>
    </i>
    <i>
      <x v="172"/>
    </i>
    <i>
      <x v="248"/>
    </i>
    <i>
      <x v="259"/>
    </i>
    <i>
      <x v="125"/>
    </i>
    <i>
      <x v="250"/>
    </i>
    <i>
      <x v="213"/>
    </i>
    <i>
      <x v="130"/>
    </i>
    <i>
      <x v="131"/>
    </i>
    <i>
      <x v="1283"/>
    </i>
    <i>
      <x v="1303"/>
    </i>
    <i>
      <x v="1146"/>
    </i>
    <i>
      <x v="1244"/>
    </i>
    <i>
      <x v="1313"/>
    </i>
    <i>
      <x v="1100"/>
    </i>
    <i>
      <x v="1285"/>
    </i>
    <i>
      <x v="1251"/>
    </i>
    <i>
      <x v="1295"/>
    </i>
    <i>
      <x v="1210"/>
    </i>
    <i>
      <x v="1069"/>
    </i>
    <i>
      <x v="1265"/>
    </i>
    <i>
      <x v="1196"/>
    </i>
    <i>
      <x v="1212"/>
    </i>
    <i>
      <x v="1284"/>
    </i>
    <i>
      <x v="1268"/>
    </i>
    <i>
      <x v="1077"/>
    </i>
    <i>
      <x v="1089"/>
    </i>
    <i>
      <x v="1094"/>
    </i>
    <i>
      <x v="1075"/>
    </i>
    <i>
      <x v="1120"/>
    </i>
    <i>
      <x v="1111"/>
    </i>
    <i>
      <x v="1061"/>
    </i>
    <i>
      <x v="1141"/>
    </i>
    <i>
      <x v="1312"/>
    </i>
    <i>
      <x v="1063"/>
    </i>
    <i>
      <x v="932"/>
    </i>
    <i>
      <x v="868"/>
    </i>
    <i>
      <x v="1042"/>
    </i>
    <i>
      <x v="957"/>
    </i>
    <i>
      <x v="1010"/>
    </i>
    <i>
      <x v="826"/>
    </i>
    <i>
      <x v="802"/>
    </i>
    <i>
      <x v="794"/>
    </i>
    <i>
      <x v="952"/>
    </i>
    <i>
      <x v="828"/>
    </i>
    <i>
      <x v="1008"/>
    </i>
    <i>
      <x v="901"/>
    </i>
    <i>
      <x v="929"/>
    </i>
    <i>
      <x v="964"/>
    </i>
    <i>
      <x v="843"/>
    </i>
    <i>
      <x v="965"/>
    </i>
    <i>
      <x v="1037"/>
    </i>
    <i>
      <x v="973"/>
    </i>
    <i>
      <x v="824"/>
    </i>
    <i>
      <x v="979"/>
    </i>
    <i>
      <x v="956"/>
    </i>
    <i>
      <x v="980"/>
    </i>
    <i>
      <x v="869"/>
    </i>
    <i>
      <x v="911"/>
    </i>
    <i>
      <x v="835"/>
    </i>
    <i>
      <x v="985"/>
    </i>
    <i>
      <x v="839"/>
    </i>
    <i>
      <x v="987"/>
    </i>
    <i>
      <x v="819"/>
    </i>
    <i>
      <x v="990"/>
    </i>
    <i>
      <x v="820"/>
    </i>
    <i>
      <x v="992"/>
    </i>
    <i>
      <x v="845"/>
    </i>
    <i>
      <x v="834"/>
    </i>
    <i>
      <x v="1035"/>
    </i>
    <i>
      <x v="914"/>
    </i>
    <i>
      <x v="943"/>
    </i>
    <i>
      <x v="915"/>
    </i>
    <i>
      <x v="853"/>
    </i>
    <i>
      <x v="916"/>
    </i>
    <i>
      <x v="893"/>
    </i>
    <i>
      <x v="1000"/>
    </i>
    <i>
      <x v="894"/>
    </i>
    <i>
      <x v="918"/>
    </i>
    <i>
      <x v="1005"/>
    </i>
    <i>
      <x v="784"/>
    </i>
    <i>
      <x v="772"/>
    </i>
    <i>
      <x v="703"/>
    </i>
    <i>
      <x v="729"/>
    </i>
    <i>
      <x v="777"/>
    </i>
    <i>
      <x v="734"/>
    </i>
    <i>
      <x v="697"/>
    </i>
    <i>
      <x v="683"/>
    </i>
    <i>
      <x v="708"/>
    </i>
    <i>
      <x v="743"/>
    </i>
    <i>
      <x v="773"/>
    </i>
    <i>
      <x v="692"/>
    </i>
    <i>
      <x v="783"/>
    </i>
    <i>
      <x v="749"/>
    </i>
    <i>
      <x v="720"/>
    </i>
    <i>
      <x v="751"/>
    </i>
    <i>
      <x v="696"/>
    </i>
    <i>
      <x v="12"/>
    </i>
    <i>
      <x v="120"/>
    </i>
    <i>
      <x v="38"/>
    </i>
    <i>
      <x v="62"/>
    </i>
    <i>
      <x v="93"/>
    </i>
    <i>
      <x v="15"/>
    </i>
    <i>
      <x v="95"/>
    </i>
    <i>
      <x v="9"/>
    </i>
    <i>
      <x v="113"/>
    </i>
    <i>
      <x v="104"/>
    </i>
    <i>
      <x v="599"/>
    </i>
    <i>
      <x v="680"/>
    </i>
    <i>
      <x v="534"/>
    </i>
    <i>
      <x v="676"/>
    </i>
    <i>
      <x v="558"/>
    </i>
    <i>
      <x v="614"/>
    </i>
    <i>
      <x v="554"/>
    </i>
    <i>
      <x v="556"/>
    </i>
    <i>
      <x v="565"/>
    </i>
    <i>
      <x v="650"/>
    </i>
    <i>
      <x v="577"/>
    </i>
    <i>
      <x v="631"/>
    </i>
    <i>
      <x v="563"/>
    </i>
    <i>
      <x v="609"/>
    </i>
    <i>
      <x v="600"/>
    </i>
    <i>
      <x v="654"/>
    </i>
    <i>
      <x v="666"/>
    </i>
    <i>
      <x v="634"/>
    </i>
    <i>
      <x v="580"/>
    </i>
    <i>
      <x v="656"/>
    </i>
    <i>
      <x v="576"/>
    </i>
    <i>
      <x v="437"/>
    </i>
    <i>
      <x v="307"/>
    </i>
    <i>
      <x v="363"/>
    </i>
    <i>
      <x v="453"/>
    </i>
    <i>
      <x v="308"/>
    </i>
    <i>
      <x v="339"/>
    </i>
    <i>
      <x v="516"/>
    </i>
    <i>
      <x v="367"/>
    </i>
    <i>
      <x v="296"/>
    </i>
    <i>
      <x v="324"/>
    </i>
    <i>
      <x v="431"/>
    </i>
    <i>
      <x v="311"/>
    </i>
    <i>
      <x v="436"/>
    </i>
    <i>
      <x v="463"/>
    </i>
    <i>
      <x v="510"/>
    </i>
    <i>
      <x v="326"/>
    </i>
    <i>
      <x v="446"/>
    </i>
    <i>
      <x v="411"/>
    </i>
    <i>
      <x v="399"/>
    </i>
    <i>
      <x v="412"/>
    </i>
    <i>
      <x v="429"/>
    </i>
    <i>
      <x v="279"/>
    </i>
    <i>
      <x v="492"/>
    </i>
    <i>
      <x v="415"/>
    </i>
    <i>
      <x v="494"/>
    </i>
    <i>
      <x v="314"/>
    </i>
    <i>
      <x v="496"/>
    </i>
    <i>
      <x v="377"/>
    </i>
    <i>
      <x v="505"/>
    </i>
    <i>
      <x v="379"/>
    </i>
    <i>
      <x v="358"/>
    </i>
    <i>
      <x v="349"/>
    </i>
    <i>
      <x v="309"/>
    </i>
    <i>
      <x v="270"/>
    </i>
    <i>
      <x v="396"/>
    </i>
    <i>
      <x v="352"/>
    </i>
    <i>
      <x v="362"/>
    </i>
    <i>
      <x v="291"/>
    </i>
    <i>
      <x v="521"/>
    </i>
    <i>
      <x v="427"/>
    </i>
    <i>
      <x v="523"/>
    </i>
    <i>
      <x v="488"/>
    </i>
    <i>
      <x v="365"/>
    </i>
    <i>
      <x v="306"/>
    </i>
    <i>
      <x v="160"/>
    </i>
    <i>
      <x v="233"/>
    </i>
    <i>
      <x v="208"/>
    </i>
    <i>
      <x v="134"/>
    </i>
    <i>
      <x v="225"/>
    </i>
    <i>
      <x v="181"/>
    </i>
    <i>
      <x v="138"/>
    </i>
    <i>
      <x v="156"/>
    </i>
    <i>
      <x v="151"/>
    </i>
    <i>
      <x v="149"/>
    </i>
    <i>
      <x v="168"/>
    </i>
    <i>
      <x v="214"/>
    </i>
    <i>
      <x v="261"/>
    </i>
    <i>
      <x v="137"/>
    </i>
    <i>
      <x v="203"/>
    </i>
    <i>
      <x v="1237"/>
    </i>
    <i>
      <x v="1298"/>
    </i>
    <i>
      <x v="1248"/>
    </i>
    <i>
      <x v="1071"/>
    </i>
    <i>
      <x v="1070"/>
    </i>
    <i>
      <x v="1140"/>
    </i>
    <i>
      <x v="1083"/>
    </i>
    <i>
      <x v="1204"/>
    </i>
    <i>
      <x v="1078"/>
    </i>
    <i>
      <x v="1072"/>
    </i>
    <i>
      <x v="1300"/>
    </i>
    <i>
      <x v="1257"/>
    </i>
    <i>
      <x v="1137"/>
    </i>
    <i>
      <x v="1315"/>
    </i>
    <i>
      <x v="1194"/>
    </i>
    <i>
      <x v="1059"/>
    </i>
    <i>
      <x v="1290"/>
    </i>
    <i>
      <x v="1092"/>
    </i>
    <i>
      <x v="1158"/>
    </i>
    <i>
      <x v="1281"/>
    </i>
    <i>
      <x v="1067"/>
    </i>
    <i>
      <x v="1282"/>
    </i>
    <i>
      <x v="1153"/>
    </i>
    <i>
      <x v="1106"/>
    </i>
    <i>
      <x v="1101"/>
    </i>
    <i>
      <x v="1087"/>
    </i>
    <i>
      <x v="1304"/>
    </i>
    <i>
      <x v="1134"/>
    </i>
    <i>
      <x v="1306"/>
    </i>
    <i>
      <x v="1125"/>
    </i>
    <i>
      <x v="1122"/>
    </i>
    <i>
      <x v="1074"/>
    </i>
    <i>
      <x v="1240"/>
    </i>
    <i>
      <x v="1147"/>
    </i>
    <i>
      <x v="1174"/>
    </i>
    <i>
      <x v="1115"/>
    </i>
    <i>
      <x v="1242"/>
    </i>
    <i>
      <x v="1277"/>
    </i>
    <i>
      <x v="1143"/>
    </i>
    <i>
      <x v="1222"/>
    </i>
    <i>
      <x v="994"/>
    </i>
    <i>
      <x v="989"/>
    </i>
    <i>
      <x v="1048"/>
    </i>
    <i>
      <x v="917"/>
    </i>
    <i>
      <x v="847"/>
    </i>
    <i>
      <x v="1003"/>
    </i>
    <i>
      <x v="972"/>
    </i>
    <i>
      <x v="864"/>
    </i>
    <i>
      <x v="896"/>
    </i>
    <i>
      <x v="978"/>
    </i>
    <i>
      <x v="938"/>
    </i>
    <i>
      <x v="966"/>
    </i>
    <i>
      <x v="822"/>
    </i>
    <i>
      <x v="865"/>
    </i>
    <i>
      <x v="945"/>
    </i>
    <i>
      <x v="982"/>
    </i>
    <i>
      <x v="851"/>
    </i>
    <i>
      <x v="983"/>
    </i>
    <i>
      <x v="799"/>
    </i>
    <i>
      <x v="1011"/>
    </i>
    <i>
      <x v="1001"/>
    </i>
    <i>
      <x v="800"/>
    </i>
    <i>
      <x v="844"/>
    </i>
    <i>
      <x v="807"/>
    </i>
    <i>
      <x v="970"/>
    </i>
    <i>
      <x v="838"/>
    </i>
    <i>
      <x v="830"/>
    </i>
    <i>
      <x v="874"/>
    </i>
    <i>
      <x v="815"/>
    </i>
    <i>
      <x v="795"/>
    </i>
    <i>
      <x v="849"/>
    </i>
    <i>
      <x v="986"/>
    </i>
    <i>
      <x v="810"/>
    </i>
    <i>
      <x v="1022"/>
    </i>
    <i>
      <x v="1043"/>
    </i>
    <i>
      <x v="878"/>
    </i>
    <i>
      <x v="852"/>
    </i>
    <i>
      <x v="904"/>
    </i>
    <i>
      <x v="907"/>
    </i>
    <i>
      <x v="1025"/>
    </i>
    <i>
      <x v="811"/>
    </i>
    <i>
      <x v="933"/>
    </i>
    <i>
      <x v="1055"/>
    </i>
    <i>
      <x v="879"/>
    </i>
    <i>
      <x v="988"/>
    </i>
    <i>
      <x v="789"/>
    </i>
    <i>
      <x v="756"/>
    </i>
    <i>
      <x v="727"/>
    </i>
    <i>
      <x v="767"/>
    </i>
    <i>
      <x v="775"/>
    </i>
    <i>
      <x v="118"/>
    </i>
    <i>
      <x v="107"/>
    </i>
    <i>
      <x v="44"/>
    </i>
    <i>
      <x v="37"/>
    </i>
    <i>
      <x v="56"/>
    </i>
    <i>
      <x v="21"/>
    </i>
    <i>
      <x v="661"/>
    </i>
    <i>
      <x v="541"/>
    </i>
    <i>
      <x v="540"/>
    </i>
    <i>
      <x v="567"/>
    </i>
    <i>
      <x v="642"/>
    </i>
    <i>
      <x v="639"/>
    </i>
    <i>
      <x v="655"/>
    </i>
    <i>
      <x v="528"/>
    </i>
    <i>
      <x v="667"/>
    </i>
    <i>
      <x v="552"/>
    </i>
    <i>
      <x v="588"/>
    </i>
    <i>
      <x v="537"/>
    </i>
    <i>
      <x v="592"/>
    </i>
    <i>
      <x v="647"/>
    </i>
    <i>
      <x v="615"/>
    </i>
    <i>
      <x v="575"/>
    </i>
    <i>
      <x v="658"/>
    </i>
    <i>
      <x v="593"/>
    </i>
    <i>
      <x v="361"/>
    </i>
    <i>
      <x v="348"/>
    </i>
    <i>
      <x v="323"/>
    </i>
    <i>
      <x v="389"/>
    </i>
    <i>
      <x v="527"/>
    </i>
    <i>
      <x v="336"/>
    </i>
    <i>
      <x v="268"/>
    </i>
    <i>
      <x v="500"/>
    </i>
    <i>
      <x v="476"/>
    </i>
    <i>
      <x v="501"/>
    </i>
    <i>
      <x v="369"/>
    </i>
    <i>
      <x v="344"/>
    </i>
    <i>
      <x v="514"/>
    </i>
    <i>
      <x v="503"/>
    </i>
    <i>
      <x v="458"/>
    </i>
    <i>
      <x v="504"/>
    </i>
    <i>
      <x v="406"/>
    </i>
    <i>
      <x v="315"/>
    </i>
    <i>
      <x v="475"/>
    </i>
    <i>
      <x v="438"/>
    </i>
    <i>
      <x v="477"/>
    </i>
    <i>
      <x v="440"/>
    </i>
    <i>
      <x v="450"/>
    </i>
    <i>
      <x v="469"/>
    </i>
    <i>
      <x v="526"/>
    </i>
    <i>
      <x v="409"/>
    </i>
    <i>
      <x v="360"/>
    </i>
    <i>
      <x v="392"/>
    </i>
    <i>
      <x v="242"/>
    </i>
    <i>
      <x v="201"/>
    </i>
    <i>
      <x v="169"/>
    </i>
    <i>
      <x v="1302"/>
    </i>
    <i>
      <x v="1117"/>
    </i>
    <i>
      <x v="1267"/>
    </i>
    <i>
      <x v="1262"/>
    </i>
    <i>
      <x v="1254"/>
    </i>
    <i>
      <x v="1056"/>
    </i>
    <i>
      <x v="1229"/>
    </i>
    <i>
      <x v="859"/>
    </i>
    <i>
      <x v="925"/>
    </i>
    <i>
      <x v="991"/>
    </i>
    <i>
      <x v="1047"/>
    </i>
    <i>
      <x v="968"/>
    </i>
    <i>
      <x v="829"/>
    </i>
    <i>
      <x v="1017"/>
    </i>
    <i>
      <x v="997"/>
    </i>
    <i>
      <x v="897"/>
    </i>
    <i>
      <x v="804"/>
    </i>
    <i>
      <x v="719"/>
    </i>
    <i>
      <x v="732"/>
    </i>
    <i>
      <x v="760"/>
    </i>
    <i>
      <x v="602"/>
    </i>
    <i>
      <x v="594"/>
    </i>
    <i>
      <x v="668"/>
    </i>
    <i>
      <x v="555"/>
    </i>
    <i>
      <x v="380"/>
    </i>
    <i>
      <x v="433"/>
    </i>
    <i>
      <x v="484"/>
    </i>
    <i>
      <x v="468"/>
    </i>
    <i t="grand">
      <x/>
    </i>
  </rowItems>
  <colItems count="1">
    <i/>
  </colItems>
  <dataFields count="1">
    <dataField name="Sum of money"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0"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D11:E14" firstHeaderRow="1" firstDataRow="1" firstDataCol="1"/>
  <pivotFields count="14">
    <pivotField numFmtId="14" showAll="0"/>
    <pivotField showAll="0">
      <items count="8">
        <item x="2"/>
        <item x="3"/>
        <item x="4"/>
        <item x="5"/>
        <item x="6"/>
        <item x="0"/>
        <item x="1"/>
        <item t="default"/>
      </items>
    </pivotField>
    <pivotField axis="axisRow" dataField="1" showAll="0">
      <items count="3">
        <item x="0"/>
        <item x="1"/>
        <item t="default"/>
      </items>
    </pivotField>
    <pivotField showAll="0"/>
    <pivotField numFmtId="4" showAll="0"/>
    <pivotField showAll="0">
      <items count="9">
        <item x="2"/>
        <item x="3"/>
        <item x="7"/>
        <item x="4"/>
        <item x="5"/>
        <item x="6"/>
        <item x="1"/>
        <item x="0"/>
        <item t="default"/>
      </items>
    </pivotField>
    <pivotField numFmtId="14" showAll="0"/>
    <pivotField numFmtId="4" showAll="0"/>
    <pivotField showAll="0"/>
    <pivotField showAll="0">
      <items count="13">
        <item x="10"/>
        <item x="11"/>
        <item x="0"/>
        <item x="1"/>
        <item x="2"/>
        <item x="3"/>
        <item x="4"/>
        <item x="5"/>
        <item x="6"/>
        <item x="7"/>
        <item x="8"/>
        <item x="9"/>
        <item t="default"/>
      </items>
    </pivotField>
    <pivotField showAll="0"/>
    <pivotField showAll="0"/>
    <pivotField showAll="0"/>
    <pivotField showAll="0"/>
  </pivotFields>
  <rowFields count="1">
    <field x="2"/>
  </rowFields>
  <rowItems count="3">
    <i>
      <x/>
    </i>
    <i>
      <x v="1"/>
    </i>
    <i t="grand">
      <x/>
    </i>
  </rowItems>
  <colItems count="1">
    <i/>
  </colItems>
  <dataFields count="1">
    <dataField name="Count of Cash_type" fld="2" subtotal="count" baseField="0" baseItem="0" numFmtId="3"/>
  </dataFields>
  <chartFormats count="3">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D000000}" name="PivotTable1"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4">
  <location ref="G3:H12" firstHeaderRow="1" firstDataRow="1" firstDataCol="1" rowPageCount="1" colPageCount="1"/>
  <pivotFields count="7">
    <pivotField numFmtId="14" showAll="0"/>
    <pivotField axis="axisPage" showAll="0">
      <items count="8">
        <item x="2"/>
        <item x="3"/>
        <item x="4"/>
        <item x="5"/>
        <item x="6"/>
        <item x="0"/>
        <item x="1"/>
        <item t="default"/>
      </items>
    </pivotField>
    <pivotField numFmtId="47"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items count="3">
        <item x="0"/>
        <item x="1"/>
        <item t="default"/>
      </items>
    </pivotField>
    <pivotField showAll="0"/>
    <pivotField dataField="1" numFmtId="4" showAll="0"/>
    <pivotField axis="axisRow" showAll="0">
      <items count="9">
        <item x="2"/>
        <item x="3"/>
        <item x="7"/>
        <item x="4"/>
        <item x="5"/>
        <item x="6"/>
        <item x="1"/>
        <item x="0"/>
        <item t="default"/>
      </items>
    </pivotField>
  </pivotFields>
  <rowFields count="1">
    <field x="6"/>
  </rowFields>
  <rowItems count="9">
    <i>
      <x/>
    </i>
    <i>
      <x v="1"/>
    </i>
    <i>
      <x v="2"/>
    </i>
    <i>
      <x v="3"/>
    </i>
    <i>
      <x v="4"/>
    </i>
    <i>
      <x v="5"/>
    </i>
    <i>
      <x v="6"/>
    </i>
    <i>
      <x v="7"/>
    </i>
    <i t="grand">
      <x/>
    </i>
  </rowItems>
  <colItems count="1">
    <i/>
  </colItems>
  <pageFields count="1">
    <pageField fld="1" hier="-1"/>
  </pageFields>
  <dataFields count="1">
    <dataField name="Sum of money" fld="5" baseField="0" baseItem="0"/>
  </dataFields>
  <formats count="2">
    <format dxfId="57">
      <pivotArea outline="0" collapsedLevelsAreSubtotals="1" fieldPosition="0"/>
    </format>
    <format dxfId="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0C000000}" name="PivotTable4"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J1:K4" firstHeaderRow="1" firstDataRow="1" firstDataCol="1"/>
  <pivotFields count="7">
    <pivotField numFmtId="14" showAll="0"/>
    <pivotField showAll="0">
      <items count="8">
        <item x="2"/>
        <item x="3"/>
        <item x="4"/>
        <item x="5"/>
        <item x="6"/>
        <item x="0"/>
        <item x="1"/>
        <item t="default"/>
      </items>
    </pivotField>
    <pivotField numFmtId="47" showAll="0"/>
    <pivotField axis="axisRow" showAll="0">
      <items count="3">
        <item x="0"/>
        <item x="1"/>
        <item t="default"/>
      </items>
    </pivotField>
    <pivotField showAll="0">
      <items count="1318">
        <item x="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0"/>
        <item t="default"/>
      </items>
    </pivotField>
    <pivotField dataField="1" numFmtId="4" showAll="0"/>
    <pivotField showAll="0">
      <items count="9">
        <item x="2"/>
        <item x="3"/>
        <item x="7"/>
        <item x="4"/>
        <item x="5"/>
        <item x="6"/>
        <item x="1"/>
        <item x="0"/>
        <item t="default"/>
      </items>
    </pivotField>
  </pivotFields>
  <rowFields count="1">
    <field x="3"/>
  </rowFields>
  <rowItems count="3">
    <i>
      <x/>
    </i>
    <i>
      <x v="1"/>
    </i>
    <i t="grand">
      <x/>
    </i>
  </rowItems>
  <colItems count="1">
    <i/>
  </colItems>
  <dataFields count="1">
    <dataField name="Sum of money" fld="5" baseField="0" baseItem="0"/>
  </dataFields>
  <formats count="2">
    <format dxfId="59">
      <pivotArea outline="0" collapsedLevelsAreSubtotals="1" fieldPosition="0"/>
    </format>
    <format dxfId="58">
      <pivotArea dataOnly="0" labelOnly="1" outline="0" axis="axisValues" fieldPosition="0"/>
    </format>
  </format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3" count="1" selected="0">
            <x v="0"/>
          </reference>
        </references>
      </pivotArea>
    </chartFormat>
    <chartFormat chart="7" format="9">
      <pivotArea type="data" outline="0" fieldPosition="0">
        <references count="2">
          <reference field="4294967294" count="1" selected="0">
            <x v="0"/>
          </reference>
          <reference field="3"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3" count="1" selected="0">
            <x v="0"/>
          </reference>
        </references>
      </pivotArea>
    </chartFormat>
    <chartFormat chart="9"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400-00000B000000}" name="PivotTable2"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B10" firstHeaderRow="1" firstDataRow="1" firstDataCol="1"/>
  <pivotFields count="7">
    <pivotField numFmtId="14" showAll="0"/>
    <pivotField showAll="0"/>
    <pivotField numFmtId="47" showAll="0"/>
    <pivotField showAll="0"/>
    <pivotField showAll="0"/>
    <pivotField dataField="1" numFmtId="4"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s>
  <rowFields count="1">
    <field x="6"/>
  </rowFields>
  <rowItems count="9">
    <i>
      <x v="7"/>
    </i>
    <i>
      <x v="1"/>
    </i>
    <i>
      <x v="2"/>
    </i>
    <i>
      <x/>
    </i>
    <i>
      <x v="6"/>
    </i>
    <i>
      <x v="3"/>
    </i>
    <i>
      <x v="4"/>
    </i>
    <i>
      <x v="5"/>
    </i>
    <i t="grand">
      <x/>
    </i>
  </rowItems>
  <colItems count="1">
    <i/>
  </colItems>
  <dataFields count="1">
    <dataField name="Sum of money" fld="5" baseField="0" baseItem="0" numFmtId="166"/>
  </dataFields>
  <formats count="2">
    <format dxfId="61">
      <pivotArea outline="0" collapsedLevelsAreSubtotals="1" fieldPosition="0"/>
    </format>
    <format dxfId="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400-00000A000000}" name="PivotTable3"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2">
  <location ref="D1:E9" firstHeaderRow="1" firstDataRow="1" firstDataCol="1"/>
  <pivotFields count="7">
    <pivotField numFmtId="14" showAll="0"/>
    <pivotField axis="axisRow" showAll="0" sortType="descending">
      <items count="8">
        <item x="2"/>
        <item x="3"/>
        <item x="4"/>
        <item x="5"/>
        <item x="6"/>
        <item x="0"/>
        <item x="1"/>
        <item t="default"/>
      </items>
      <autoSortScope>
        <pivotArea dataOnly="0" outline="0" fieldPosition="0">
          <references count="1">
            <reference field="4294967294" count="1" selected="0">
              <x v="0"/>
            </reference>
          </references>
        </pivotArea>
      </autoSortScope>
    </pivotField>
    <pivotField numFmtId="47" showAll="0"/>
    <pivotField showAll="0"/>
    <pivotField showAll="0"/>
    <pivotField dataField="1" numFmtId="4" showAll="0"/>
    <pivotField showAll="0">
      <items count="9">
        <item x="2"/>
        <item x="3"/>
        <item x="7"/>
        <item x="4"/>
        <item x="5"/>
        <item x="6"/>
        <item x="1"/>
        <item x="0"/>
        <item t="default"/>
      </items>
    </pivotField>
  </pivotFields>
  <rowFields count="1">
    <field x="1"/>
  </rowFields>
  <rowItems count="8">
    <i>
      <x v="2"/>
    </i>
    <i>
      <x v="1"/>
    </i>
    <i>
      <x v="5"/>
    </i>
    <i>
      <x v="4"/>
    </i>
    <i>
      <x v="3"/>
    </i>
    <i>
      <x v="6"/>
    </i>
    <i>
      <x/>
    </i>
    <i t="grand">
      <x/>
    </i>
  </rowItems>
  <colItems count="1">
    <i/>
  </colItems>
  <dataFields count="1">
    <dataField name="Sum of money" fld="5" baseField="0" baseItem="0" numFmtId="166"/>
  </dataFields>
  <formats count="2">
    <format dxfId="63">
      <pivotArea outline="0" collapsedLevelsAreSubtotals="1" fieldPosition="0"/>
    </format>
    <format dxfId="62">
      <pivotArea dataOnly="0" labelOnly="1" outline="0" axis="axisValues" fieldPosition="0"/>
    </format>
  </formats>
  <chartFormats count="1">
    <chartFormat chart="4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400-000009000000}" name="PivotTable7"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location ref="D12:E15" firstHeaderRow="1" firstDataRow="1" firstDataCol="1"/>
  <pivotFields count="5">
    <pivotField numFmtId="14" showAll="0">
      <items count="3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t="default"/>
      </items>
    </pivotField>
    <pivotField dataField="1" numFmtId="4" showAll="0"/>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axis="axisRow" showAll="0">
      <items count="3">
        <item x="0"/>
        <item x="1"/>
        <item t="default"/>
      </items>
    </pivotField>
  </pivotFields>
  <rowFields count="1">
    <field x="4"/>
  </rowFields>
  <rowItems count="3">
    <i>
      <x/>
    </i>
    <i>
      <x v="1"/>
    </i>
    <i t="grand">
      <x/>
    </i>
  </rowItems>
  <colItems count="1">
    <i/>
  </colItems>
  <dataFields count="1">
    <dataField name="Sum of Total sales per Day"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ivotTable6"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A12:B25" firstHeaderRow="1" firstDataRow="1" firstDataCol="1"/>
  <pivotFields count="5">
    <pivotField numFmtId="14" showAll="0"/>
    <pivotField dataField="1" numFmtId="4" showAll="0"/>
    <pivotField showAll="0"/>
    <pivotField axis="axisRow" showAll="0" sortType="ascending">
      <items count="13">
        <item x="10"/>
        <item x="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s>
  <rowFields count="1">
    <field x="3"/>
  </rowFields>
  <rowItems count="13">
    <i>
      <x/>
    </i>
    <i>
      <x v="3"/>
    </i>
    <i>
      <x v="6"/>
    </i>
    <i>
      <x v="7"/>
    </i>
    <i>
      <x v="5"/>
    </i>
    <i>
      <x v="11"/>
    </i>
    <i>
      <x v="10"/>
    </i>
    <i>
      <x v="4"/>
    </i>
    <i>
      <x v="8"/>
    </i>
    <i>
      <x v="1"/>
    </i>
    <i>
      <x v="9"/>
    </i>
    <i>
      <x v="2"/>
    </i>
    <i t="grand">
      <x/>
    </i>
  </rowItems>
  <colItems count="1">
    <i/>
  </colItems>
  <dataFields count="1">
    <dataField name="Sum of Total sales per Day" fld="1" baseField="0" baseItem="0" numFmtId="166"/>
  </dataFields>
  <formats count="2">
    <format dxfId="65">
      <pivotArea outline="0" collapsedLevelsAreSubtotals="1" fieldPosition="0"/>
    </format>
    <format dxfId="64">
      <pivotArea dataOnly="0" labelOnly="1" outline="0" axis="axisValues"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500-000014000000}" name="PivotTable4"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G3:H12" firstHeaderRow="1" firstDataRow="1" firstDataCol="1"/>
  <pivotFields count="2">
    <pivotField axis="axisRow" showAll="0" sortType="ascending">
      <items count="9">
        <item x="2"/>
        <item x="4"/>
        <item x="7"/>
        <item x="3"/>
        <item x="5"/>
        <item x="6"/>
        <item x="1"/>
        <item x="0"/>
        <item t="default"/>
      </items>
      <autoSortScope>
        <pivotArea dataOnly="0" outline="0" fieldPosition="0">
          <references count="1">
            <reference field="4294967294" count="1" selected="0">
              <x v="0"/>
            </reference>
          </references>
        </pivotArea>
      </autoSortScope>
    </pivotField>
    <pivotField dataField="1" numFmtId="4" showAll="0"/>
  </pivotFields>
  <rowFields count="1">
    <field x="0"/>
  </rowFields>
  <rowItems count="9">
    <i>
      <x v="5"/>
    </i>
    <i>
      <x v="4"/>
    </i>
    <i>
      <x v="3"/>
    </i>
    <i>
      <x v="6"/>
    </i>
    <i>
      <x/>
    </i>
    <i>
      <x v="2"/>
    </i>
    <i>
      <x v="1"/>
    </i>
    <i>
      <x v="7"/>
    </i>
    <i t="grand">
      <x/>
    </i>
  </rowItems>
  <colItems count="1">
    <i/>
  </colItems>
  <dataFields count="1">
    <dataField name="Sum of Sales " fld="1" baseField="0" baseItem="0" numFmtId="166"/>
  </dataFields>
  <formats count="6">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outline="0" axis="axisValues" fieldPosition="0"/>
    </format>
    <format dxfId="12">
      <pivotArea dataOnly="0" labelOnly="1" fieldPosition="0">
        <references count="1">
          <reference field="0" count="0"/>
        </references>
      </pivotArea>
    </format>
    <format dxfId="11">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 chart="6" format="4">
      <pivotArea type="data" outline="0" fieldPosition="0">
        <references count="2">
          <reference field="4294967294" count="1" selected="0">
            <x v="0"/>
          </reference>
          <reference field="0" count="1" selected="0">
            <x v="7"/>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500-000013000000}" name="PivotTable2"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17:B22" firstHeaderRow="1" firstDataRow="1" firstDataCol="1"/>
  <pivotFields count="2">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dataField="1" numFmtId="4" showAll="0"/>
  </pivotFields>
  <rowFields count="1">
    <field x="0"/>
  </rowFields>
  <rowItems count="5">
    <i>
      <x v="3"/>
    </i>
    <i>
      <x/>
    </i>
    <i>
      <x v="2"/>
    </i>
    <i>
      <x v="1"/>
    </i>
    <i t="grand">
      <x/>
    </i>
  </rowItems>
  <colItems count="1">
    <i/>
  </colItems>
  <dataFields count="1">
    <dataField name="Sum of SALES" fld="1" baseField="0" baseItem="0" numFmtId="166"/>
  </dataFields>
  <formats count="6">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outline="0" axis="axisValues" fieldPosition="0"/>
    </format>
    <format dxfId="18">
      <pivotArea dataOnly="0" labelOnly="1" fieldPosition="0">
        <references count="1">
          <reference field="0" count="0"/>
        </references>
      </pivotArea>
    </format>
    <format dxfId="17">
      <pivotArea dataOnly="0" labelOnly="1" grandRow="1" outline="0" fieldPosition="0"/>
    </format>
  </formats>
  <chartFormats count="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3"/>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500-000012000000}" name="PivotTable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2">
  <location ref="A3:B11" firstHeaderRow="1" firstDataRow="1" firstDataCol="1"/>
  <pivotFields count="2">
    <pivotField axis="axisRow" showAll="0" sortType="descending">
      <items count="8">
        <item x="2"/>
        <item x="3"/>
        <item x="4"/>
        <item x="5"/>
        <item x="6"/>
        <item x="0"/>
        <item x="1"/>
        <item t="default"/>
      </items>
      <autoSortScope>
        <pivotArea dataOnly="0" outline="0" fieldPosition="0">
          <references count="1">
            <reference field="4294967294" count="1" selected="0">
              <x v="0"/>
            </reference>
          </references>
        </pivotArea>
      </autoSortScope>
    </pivotField>
    <pivotField dataField="1" numFmtId="4" showAll="0"/>
  </pivotFields>
  <rowFields count="1">
    <field x="0"/>
  </rowFields>
  <rowItems count="8">
    <i>
      <x v="2"/>
    </i>
    <i>
      <x v="1"/>
    </i>
    <i>
      <x v="5"/>
    </i>
    <i>
      <x v="4"/>
    </i>
    <i>
      <x v="3"/>
    </i>
    <i>
      <x v="6"/>
    </i>
    <i>
      <x/>
    </i>
    <i t="grand">
      <x/>
    </i>
  </rowItems>
  <colItems count="1">
    <i/>
  </colItems>
  <dataFields count="1">
    <dataField name="Sum of Sales " fld="1" baseField="0" baseItem="0" numFmtId="166"/>
  </dataFields>
  <formats count="6">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outline="0" axis="axisValues" fieldPosition="0"/>
    </format>
    <format dxfId="24">
      <pivotArea dataOnly="0" labelOnly="1" fieldPosition="0">
        <references count="1">
          <reference field="0" count="0"/>
        </references>
      </pivotArea>
    </format>
    <format dxfId="23">
      <pivotArea dataOnly="0" labelOnly="1" grandRow="1" outline="0" fieldPosition="0"/>
    </format>
  </formats>
  <chartFormats count="3">
    <chartFormat chart="26"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2" format="3">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500-000011000000}" name="PivotTable3"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D3:E16" firstHeaderRow="1" firstDataRow="1" firstDataCol="1"/>
  <pivotFields count="2">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dataField="1" numFmtId="4" showAll="0"/>
  </pivotFields>
  <rowFields count="1">
    <field x="0"/>
  </rowFields>
  <rowItems count="13">
    <i>
      <x v="2"/>
    </i>
    <i>
      <x v="9"/>
    </i>
    <i>
      <x v="1"/>
    </i>
    <i>
      <x v="8"/>
    </i>
    <i>
      <x v="4"/>
    </i>
    <i>
      <x v="10"/>
    </i>
    <i>
      <x v="11"/>
    </i>
    <i>
      <x v="5"/>
    </i>
    <i>
      <x v="7"/>
    </i>
    <i>
      <x v="6"/>
    </i>
    <i>
      <x v="3"/>
    </i>
    <i>
      <x/>
    </i>
    <i t="grand">
      <x/>
    </i>
  </rowItems>
  <colItems count="1">
    <i/>
  </colItems>
  <dataFields count="1">
    <dataField name="Sum of Sales" fld="1" baseField="0" baseItem="0" numFmtId="166"/>
  </dataFields>
  <formats count="6">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outline="0" axis="axisValues" fieldPosition="0"/>
    </format>
    <format dxfId="30">
      <pivotArea dataOnly="0" labelOnly="1" fieldPosition="0">
        <references count="1">
          <reference field="0" count="0"/>
        </references>
      </pivotArea>
    </format>
    <format dxfId="29">
      <pivotArea dataOnly="0" labelOnly="1" grandRow="1" outline="0" fieldPosition="0"/>
    </format>
  </format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500-000010000000}" name="PivotTable5"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2">
  <location ref="J3:L12" firstHeaderRow="0" firstDataRow="1" firstDataCol="1"/>
  <pivotFields count="3">
    <pivotField axis="axisRow" showAll="0" sortType="descending">
      <items count="9">
        <item x="0"/>
        <item x="1"/>
        <item x="6"/>
        <item x="5"/>
        <item x="3"/>
        <item x="7"/>
        <item x="4"/>
        <item x="2"/>
        <item t="default"/>
      </items>
      <autoSortScope>
        <pivotArea dataOnly="0" outline="0" fieldPosition="0">
          <references count="1">
            <reference field="4294967294" count="1" selected="0">
              <x v="1"/>
            </reference>
          </references>
        </pivotArea>
      </autoSortScope>
    </pivotField>
    <pivotField dataField="1" showAll="0">
      <items count="5">
        <item x="3"/>
        <item x="1"/>
        <item x="2"/>
        <item x="0"/>
        <item t="default"/>
      </items>
    </pivotField>
    <pivotField dataField="1" numFmtId="164" showAll="0">
      <items count="9">
        <item x="6"/>
        <item x="5"/>
        <item x="3"/>
        <item x="1"/>
        <item x="2"/>
        <item x="7"/>
        <item x="4"/>
        <item x="0"/>
        <item t="default"/>
      </items>
    </pivotField>
  </pivotFields>
  <rowFields count="1">
    <field x="0"/>
  </rowFields>
  <rowItems count="9">
    <i>
      <x/>
    </i>
    <i>
      <x v="6"/>
    </i>
    <i>
      <x v="5"/>
    </i>
    <i>
      <x v="7"/>
    </i>
    <i>
      <x v="1"/>
    </i>
    <i>
      <x v="4"/>
    </i>
    <i>
      <x v="3"/>
    </i>
    <i>
      <x v="2"/>
    </i>
    <i t="grand">
      <x/>
    </i>
  </rowItems>
  <colFields count="1">
    <field x="-2"/>
  </colFields>
  <colItems count="2">
    <i>
      <x/>
    </i>
    <i i="1">
      <x v="1"/>
    </i>
  </colItems>
  <dataFields count="2">
    <dataField name="Sum of Price " fld="1" baseField="0" baseItem="0"/>
    <dataField name="Sum of Sales percentage" fld="2" baseField="0" baseItem="0" numFmtId="164"/>
  </dataFields>
  <formats count="7">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grandRow="1" outline="0" fieldPosition="0"/>
    </format>
    <format dxfId="36">
      <pivotArea dataOnly="0" labelOnly="1" outline="0" fieldPosition="0">
        <references count="1">
          <reference field="4294967294" count="2">
            <x v="0"/>
            <x v="1"/>
          </reference>
        </references>
      </pivotArea>
    </format>
    <format dxfId="35">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0"/>
          </reference>
          <reference field="0" count="1" selected="0">
            <x v="2"/>
          </reference>
        </references>
      </pivotArea>
    </chartFormat>
    <chartFormat chart="7" format="7">
      <pivotArea type="data" outline="0" fieldPosition="0">
        <references count="2">
          <reference field="4294967294" count="1" selected="0">
            <x v="1"/>
          </reference>
          <reference field="0" count="1" selected="0">
            <x v="2"/>
          </reference>
        </references>
      </pivotArea>
    </chartFormat>
    <chartFormat chart="21" format="12"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500-00000F000000}" name="PivotTable6"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17:F26" firstHeaderRow="0" firstDataRow="1" firstDataCol="1"/>
  <pivotFields count="3">
    <pivotField axis="axisRow" showAll="0" sortType="descending">
      <items count="9">
        <item x="2"/>
        <item x="4"/>
        <item x="7"/>
        <item x="3"/>
        <item x="5"/>
        <item x="6"/>
        <item x="1"/>
        <item x="0"/>
        <item t="default"/>
      </items>
      <autoSortScope>
        <pivotArea dataOnly="0" outline="0" fieldPosition="0">
          <references count="1">
            <reference field="4294967294" count="1" selected="0">
              <x v="0"/>
            </reference>
          </references>
        </pivotArea>
      </autoSortScope>
    </pivotField>
    <pivotField dataField="1" numFmtId="3" showAll="0"/>
    <pivotField dataField="1" numFmtId="164" showAll="0"/>
  </pivotFields>
  <rowFields count="1">
    <field x="0"/>
  </rowFields>
  <rowItems count="9">
    <i>
      <x v="1"/>
    </i>
    <i>
      <x v="7"/>
    </i>
    <i>
      <x/>
    </i>
    <i>
      <x v="2"/>
    </i>
    <i>
      <x v="4"/>
    </i>
    <i>
      <x v="6"/>
    </i>
    <i>
      <x v="3"/>
    </i>
    <i>
      <x v="5"/>
    </i>
    <i t="grand">
      <x/>
    </i>
  </rowItems>
  <colFields count="1">
    <field x="-2"/>
  </colFields>
  <colItems count="2">
    <i>
      <x/>
    </i>
    <i i="1">
      <x v="1"/>
    </i>
  </colItems>
  <dataFields count="2">
    <dataField name="Sum of Footfall" fld="1" baseField="0" baseItem="0" numFmtId="3"/>
    <dataField name="Sum of Percentage " fld="2" baseField="0" baseItem="0" numFmtId="164"/>
  </dataFields>
  <formats count="8">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fieldPosition="0">
        <references count="1">
          <reference field="0" count="0"/>
        </references>
      </pivotArea>
    </format>
    <format dxfId="45">
      <pivotArea dataOnly="0" labelOnly="1" grandRow="1" outline="0" fieldPosition="0"/>
    </format>
    <format dxfId="44">
      <pivotArea dataOnly="0" labelOnly="1" outline="0" fieldPosition="0">
        <references count="1">
          <reference field="4294967294" count="2">
            <x v="0"/>
            <x v="1"/>
          </reference>
        </references>
      </pivotArea>
    </format>
    <format dxfId="43">
      <pivotArea outline="0" fieldPosition="0">
        <references count="1">
          <reference field="4294967294" count="1">
            <x v="1"/>
          </reference>
        </references>
      </pivotArea>
    </format>
    <format dxfId="4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500-00000E000000}" name="PivotTable7"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K16:L19" firstHeaderRow="1" firstDataRow="1" firstDataCol="1"/>
  <pivotFields count="2">
    <pivotField axis="axisRow" showAll="0">
      <items count="3">
        <item x="0"/>
        <item x="1"/>
        <item t="default"/>
      </items>
    </pivotField>
    <pivotField dataField="1" numFmtId="4" showAll="0">
      <items count="3">
        <item x="1"/>
        <item x="0"/>
        <item t="default"/>
      </items>
    </pivotField>
  </pivotFields>
  <rowFields count="1">
    <field x="0"/>
  </rowFields>
  <rowItems count="3">
    <i>
      <x/>
    </i>
    <i>
      <x v="1"/>
    </i>
    <i t="grand">
      <x/>
    </i>
  </rowItems>
  <colItems count="1">
    <i/>
  </colItems>
  <dataFields count="1">
    <dataField name="Sum of Sales" fld="1" baseField="0" baseItem="0" numFmtId="166"/>
  </dataFields>
  <formats count="6">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outline="0" axis="axisValues" fieldPosition="0"/>
    </format>
    <format dxfId="51">
      <pivotArea dataOnly="0" labelOnly="1" fieldPosition="0">
        <references count="1">
          <reference field="0" count="0"/>
        </references>
      </pivotArea>
    </format>
    <format dxfId="5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
  <pivotTables>
    <pivotTable tabId="8" name="PivotTable7"/>
    <pivotTable tabId="8" name="PivotTable5"/>
    <pivotTable tabId="8" name="PivotTable8"/>
    <pivotTable tabId="8" name="PivotTable9"/>
    <pivotTable tabId="8" name="PivotTable12"/>
    <pivotTable tabId="8" name="PivotTable11"/>
    <pivotTable tabId="8" name="PivotTable10"/>
    <pivotTable tabId="8" name="PivotTable6"/>
  </pivotTables>
  <data>
    <tabular pivotCacheId="5">
      <items count="12">
        <i x="10" s="1"/>
        <i x="11" s="1"/>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00000000-0013-0000-FFFF-FFFF02000000}" sourceName="Products">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00000000-0014-0000-FFFF-FFFF01000000}" cache="Slicer_Products" caption="Products"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ly Sales" xr10:uid="{00000000-0014-0000-FFFF-FFFF02000000}" cache="Slicer_Month" caption="Sales by Month" columnCount="4"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Price_Per_Sales" displayName="Price_Per_Sales" ref="L2:N10" totalsRowShown="0" headerRowDxfId="75">
  <autoFilter ref="L2:N10" xr:uid="{00000000-0009-0000-0100-000002000000}"/>
  <tableColumns count="3">
    <tableColumn id="1" xr3:uid="{00000000-0010-0000-0000-000001000000}" name="Products">
      <calculatedColumnFormula>Pivot!J4</calculatedColumnFormula>
    </tableColumn>
    <tableColumn id="2" xr3:uid="{00000000-0010-0000-0000-000002000000}" name="Price">
      <calculatedColumnFormula>Pivot!K4</calculatedColumnFormula>
    </tableColumn>
    <tableColumn id="3" xr3:uid="{00000000-0010-0000-0000-000003000000}" name="Sales Percentage " dataDxfId="74">
      <calculatedColumnFormula>Pivot!L4</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G7:H11" totalsRowShown="0" headerRowDxfId="73">
  <autoFilter ref="G7:H11" xr:uid="{00000000-0009-0000-0100-000003000000}"/>
  <tableColumns count="2">
    <tableColumn id="1" xr3:uid="{00000000-0010-0000-0100-000001000000}" name="Quarter">
      <calculatedColumnFormula>Pivot!A18</calculatedColumnFormula>
    </tableColumn>
    <tableColumn id="2" xr3:uid="{00000000-0010-0000-0100-000002000000}" name="Sum of Sales " dataDxfId="72">
      <calculatedColumnFormula>Pivot!B18</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1:N3231" totalsRowShown="0" headerRowDxfId="10" tableBorderDxfId="9">
  <autoFilter ref="A1:N3231" xr:uid="{00000000-0009-0000-0100-000001000000}"/>
  <tableColumns count="14">
    <tableColumn id="1" xr3:uid="{00000000-0010-0000-0200-000001000000}" name="date" dataDxfId="8"/>
    <tableColumn id="2" xr3:uid="{00000000-0010-0000-0200-000002000000}" name="Day" dataDxfId="7">
      <calculatedColumnFormula>TEXT(A2,"dddd")</calculatedColumnFormula>
    </tableColumn>
    <tableColumn id="4" xr3:uid="{00000000-0010-0000-0200-000004000000}" name="Cash_type" dataDxfId="6"/>
    <tableColumn id="5" xr3:uid="{00000000-0010-0000-0200-000005000000}" name="card" dataDxfId="5"/>
    <tableColumn id="6" xr3:uid="{00000000-0010-0000-0200-000006000000}" name="money" dataDxfId="4"/>
    <tableColumn id="7" xr3:uid="{00000000-0010-0000-0200-000007000000}" name="coffee_name" dataDxfId="3"/>
    <tableColumn id="8" xr3:uid="{00000000-0010-0000-0200-000008000000}" name="Date2"/>
    <tableColumn id="9" xr3:uid="{00000000-0010-0000-0200-000009000000}" name="Total sales per Day"/>
    <tableColumn id="10" xr3:uid="{00000000-0010-0000-0200-00000A000000}" name="Day of the Week" dataDxfId="2"/>
    <tableColumn id="11" xr3:uid="{00000000-0010-0000-0200-00000B000000}" name="Month "/>
    <tableColumn id="12" xr3:uid="{00000000-0010-0000-0200-00000C000000}" name="Year"/>
    <tableColumn id="13" xr3:uid="{00000000-0010-0000-0200-00000D000000}" name="Total Sales " dataDxfId="1"/>
    <tableColumn id="14" xr3:uid="{00000000-0010-0000-0200-00000E000000}" name="Average Sales "/>
    <tableColumn id="15" xr3:uid="{00000000-0010-0000-0200-00000F000000}" name="Footfal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11.xml"/><Relationship Id="rId7" Type="http://schemas.openxmlformats.org/officeDocument/2006/relationships/printerSettings" Target="../printerSettings/printerSettings5.bin"/><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17.xml"/><Relationship Id="rId7" Type="http://schemas.openxmlformats.org/officeDocument/2006/relationships/pivotTable" Target="../pivotTables/pivotTable2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G2:T24"/>
  <sheetViews>
    <sheetView showGridLines="0" workbookViewId="0">
      <selection activeCell="L3" sqref="L3:N10"/>
    </sheetView>
  </sheetViews>
  <sheetFormatPr defaultRowHeight="13" x14ac:dyDescent="0.3"/>
  <cols>
    <col min="3" max="3" width="15.83203125" bestFit="1" customWidth="1"/>
    <col min="5" max="5" width="16.33203125" customWidth="1"/>
    <col min="8" max="8" width="12.83203125" customWidth="1"/>
    <col min="12" max="12" width="15.83203125" bestFit="1" customWidth="1"/>
    <col min="13" max="13" width="9.1640625" customWidth="1"/>
    <col min="14" max="14" width="13.83203125" customWidth="1"/>
    <col min="18" max="18" width="15.83203125" bestFit="1" customWidth="1"/>
  </cols>
  <sheetData>
    <row r="2" spans="7:20" x14ac:dyDescent="0.3">
      <c r="L2" s="24" t="s">
        <v>1372</v>
      </c>
      <c r="M2" s="24" t="s">
        <v>1370</v>
      </c>
      <c r="N2" s="24" t="s">
        <v>1373</v>
      </c>
    </row>
    <row r="3" spans="7:20" x14ac:dyDescent="0.3">
      <c r="L3" s="6" t="str">
        <f>Pivot!J4</f>
        <v>Latte</v>
      </c>
      <c r="M3" s="6">
        <f>Pivot!K4</f>
        <v>38.700000000000003</v>
      </c>
      <c r="N3" s="19">
        <f>Pivot!L4</f>
        <v>0.24140967315876269</v>
      </c>
    </row>
    <row r="4" spans="7:20" x14ac:dyDescent="0.3">
      <c r="L4" s="6" t="str">
        <f>Pivot!J5</f>
        <v>Americano with Milk</v>
      </c>
      <c r="M4" s="6">
        <f>Pivot!K5</f>
        <v>33.799999999999997</v>
      </c>
      <c r="N4" s="19">
        <f>Pivot!L5</f>
        <v>0.21890993781771267</v>
      </c>
    </row>
    <row r="5" spans="7:20" x14ac:dyDescent="0.3">
      <c r="L5" s="6" t="str">
        <f>Pivot!J6</f>
        <v>Cappuccino</v>
      </c>
      <c r="M5" s="6">
        <f>Pivot!K6</f>
        <v>38.700000000000003</v>
      </c>
      <c r="N5" s="19">
        <f>Pivot!L6</f>
        <v>0.1562322892920639</v>
      </c>
    </row>
    <row r="6" spans="7:20" x14ac:dyDescent="0.3">
      <c r="L6" s="6" t="str">
        <f>Pivot!J7</f>
        <v>Americano</v>
      </c>
      <c r="M6" s="6">
        <f>Pivot!K7</f>
        <v>28.9</v>
      </c>
      <c r="N6" s="19">
        <f>Pivot!L7</f>
        <v>0.13048647519162329</v>
      </c>
    </row>
    <row r="7" spans="7:20" x14ac:dyDescent="0.3">
      <c r="G7" s="26" t="s">
        <v>1369</v>
      </c>
      <c r="H7" s="26" t="s">
        <v>1360</v>
      </c>
      <c r="L7" s="6" t="str">
        <f>Pivot!J8</f>
        <v>Hot Chocolate</v>
      </c>
      <c r="M7" s="6">
        <f>Pivot!K8</f>
        <v>38.700000000000003</v>
      </c>
      <c r="N7" s="19">
        <f>Pivot!L8</f>
        <v>8.8125450591597945E-2</v>
      </c>
    </row>
    <row r="8" spans="7:20" x14ac:dyDescent="0.3">
      <c r="G8" s="6" t="str">
        <f>Pivot!A18</f>
        <v>4th</v>
      </c>
      <c r="H8" s="25">
        <f>GETPIVOTDATA("SALES",Pivot!$A$17,"QUARTERS","4th")</f>
        <v>30719.440000000002</v>
      </c>
      <c r="L8" s="6" t="str">
        <f>Pivot!J9</f>
        <v>Cocoa</v>
      </c>
      <c r="M8" s="6">
        <f>Pivot!K9</f>
        <v>38.700000000000003</v>
      </c>
      <c r="N8" s="19">
        <f>Pivot!L9</f>
        <v>7.5180119686485039E-2</v>
      </c>
    </row>
    <row r="9" spans="7:20" x14ac:dyDescent="0.3">
      <c r="G9" s="6" t="str">
        <f>Pivot!A19</f>
        <v>1st</v>
      </c>
      <c r="H9" s="25">
        <f>Pivot!B19</f>
        <v>28132.659999999996</v>
      </c>
      <c r="L9" s="6" t="str">
        <f>Pivot!J10</f>
        <v>Cortado</v>
      </c>
      <c r="M9" s="6">
        <f>Pivot!K10</f>
        <v>28.9</v>
      </c>
      <c r="N9" s="19">
        <f>Pivot!L10</f>
        <v>6.5275551110017233E-2</v>
      </c>
    </row>
    <row r="10" spans="7:20" x14ac:dyDescent="0.3">
      <c r="G10" s="6" t="str">
        <f>Pivot!A20</f>
        <v>3rd</v>
      </c>
      <c r="H10" s="25">
        <f>Pivot!B20</f>
        <v>24518.420000000002</v>
      </c>
      <c r="L10" s="6" t="str">
        <f>Pivot!J11</f>
        <v>Espresso</v>
      </c>
      <c r="M10" s="6">
        <f>Pivot!K11</f>
        <v>24</v>
      </c>
      <c r="N10" s="19">
        <f>Pivot!L11</f>
        <v>2.43805031517372E-2</v>
      </c>
      <c r="R10" s="6"/>
      <c r="S10" s="5"/>
      <c r="T10" s="22"/>
    </row>
    <row r="11" spans="7:20" x14ac:dyDescent="0.3">
      <c r="G11" s="6" t="str">
        <f>Pivot!A21</f>
        <v>2nd</v>
      </c>
      <c r="H11" s="25">
        <f>Pivot!B21</f>
        <v>23542.74</v>
      </c>
      <c r="R11" s="6"/>
      <c r="S11" s="5"/>
      <c r="T11" s="23"/>
    </row>
    <row r="12" spans="7:20" x14ac:dyDescent="0.3">
      <c r="R12" s="6"/>
      <c r="S12" s="5"/>
      <c r="T12" s="23"/>
    </row>
    <row r="13" spans="7:20" x14ac:dyDescent="0.3">
      <c r="R13" s="6"/>
      <c r="S13" s="5"/>
      <c r="T13" s="23"/>
    </row>
    <row r="14" spans="7:20" x14ac:dyDescent="0.3">
      <c r="R14" s="6"/>
      <c r="S14" s="5"/>
      <c r="T14" s="23"/>
    </row>
    <row r="15" spans="7:20" x14ac:dyDescent="0.3">
      <c r="H15" s="21"/>
      <c r="R15" s="6"/>
      <c r="S15" s="6"/>
      <c r="T15" s="6"/>
    </row>
    <row r="16" spans="7:20" x14ac:dyDescent="0.3">
      <c r="R16" s="6"/>
      <c r="S16" s="5"/>
      <c r="T16" s="6"/>
    </row>
    <row r="17" spans="12:20" x14ac:dyDescent="0.3">
      <c r="L17" t="s">
        <v>1371</v>
      </c>
      <c r="R17" s="6"/>
      <c r="S17" s="5"/>
      <c r="T17" s="6"/>
    </row>
    <row r="18" spans="12:20" x14ac:dyDescent="0.3">
      <c r="R18" s="6"/>
      <c r="S18" s="5"/>
      <c r="T18" s="6"/>
    </row>
    <row r="19" spans="12:20" x14ac:dyDescent="0.3">
      <c r="R19" s="6"/>
      <c r="S19" s="5"/>
      <c r="T19" s="6"/>
    </row>
    <row r="20" spans="12:20" x14ac:dyDescent="0.3">
      <c r="R20" s="6"/>
      <c r="S20" s="5"/>
      <c r="T20" s="6"/>
    </row>
    <row r="21" spans="12:20" x14ac:dyDescent="0.3">
      <c r="R21" s="6"/>
      <c r="S21" s="5"/>
      <c r="T21" s="6"/>
    </row>
    <row r="22" spans="12:20" x14ac:dyDescent="0.3">
      <c r="R22" s="6"/>
      <c r="S22" s="5"/>
      <c r="T22" s="6"/>
    </row>
    <row r="23" spans="12:20" x14ac:dyDescent="0.3">
      <c r="R23" s="6"/>
      <c r="S23" s="5"/>
      <c r="T23" s="6"/>
    </row>
    <row r="24" spans="12:20" x14ac:dyDescent="0.3">
      <c r="R24" s="6"/>
      <c r="S24" s="5"/>
      <c r="T24" s="6"/>
    </row>
  </sheetData>
  <conditionalFormatting sqref="H8:H11">
    <cfRule type="colorScale" priority="1">
      <colorScale>
        <cfvo type="min"/>
        <cfvo type="percentile" val="50"/>
        <cfvo type="max"/>
        <color rgb="FFF8696B"/>
        <color rgb="FFFCFCFF"/>
        <color rgb="FF63BE7B"/>
      </colorScale>
    </cfRule>
    <cfRule type="dataBar" priority="2">
      <dataBar>
        <cfvo type="min"/>
        <cfvo type="max"/>
        <color rgb="FF638EC6"/>
      </dataBar>
      <extLst>
        <ext xmlns:x14="http://schemas.microsoft.com/office/spreadsheetml/2009/9/main" uri="{B025F937-C7B1-47D3-B67F-A62EFF666E3E}">
          <x14:id>{2AC7D2CC-961E-4CD6-A911-8387BB29C5D9}</x14:id>
        </ext>
      </extLst>
    </cfRule>
  </conditionalFormatting>
  <conditionalFormatting sqref="M3:M10">
    <cfRule type="dataBar" priority="3">
      <dataBar>
        <cfvo type="min"/>
        <cfvo type="max"/>
        <color rgb="FF638EC6"/>
      </dataBar>
      <extLst>
        <ext xmlns:x14="http://schemas.microsoft.com/office/spreadsheetml/2009/9/main" uri="{B025F937-C7B1-47D3-B67F-A62EFF666E3E}">
          <x14:id>{08EF767D-BABE-4967-A583-FF3EE4EB8629}</x14:id>
        </ext>
      </extLst>
    </cfRule>
  </conditionalFormatting>
  <conditionalFormatting sqref="N3:N10">
    <cfRule type="colorScale" priority="4">
      <colorScale>
        <cfvo type="min"/>
        <cfvo type="percentile" val="50"/>
        <cfvo type="max"/>
        <color rgb="FFF8696B"/>
        <color rgb="FFFCFCFF"/>
        <color rgb="FF63BE7B"/>
      </colorScale>
    </cfRule>
  </conditionalFormatting>
  <conditionalFormatting sqref="R11:S14">
    <cfRule type="dataBar" priority="5">
      <dataBar>
        <cfvo type="min"/>
        <cfvo type="max"/>
        <color rgb="FF638EC6"/>
      </dataBar>
      <extLst>
        <ext xmlns:x14="http://schemas.microsoft.com/office/spreadsheetml/2009/9/main" uri="{B025F937-C7B1-47D3-B67F-A62EFF666E3E}">
          <x14:id>{249A9F7A-3D06-4A90-81DE-103FFEE227F0}</x14:id>
        </ext>
      </extLst>
    </cfRule>
  </conditionalFormatting>
  <pageMargins left="0.7" right="0.7" top="0.75" bottom="0.75" header="0.3" footer="0.3"/>
  <pageSetup orientation="portrait" r:id="rId1"/>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2AC7D2CC-961E-4CD6-A911-8387BB29C5D9}">
            <x14:dataBar minLength="0" maxLength="100" gradient="0">
              <x14:cfvo type="autoMin"/>
              <x14:cfvo type="autoMax"/>
              <x14:negativeFillColor rgb="FFFF0000"/>
              <x14:axisColor rgb="FF000000"/>
            </x14:dataBar>
          </x14:cfRule>
          <xm:sqref>H8:H11</xm:sqref>
        </x14:conditionalFormatting>
        <x14:conditionalFormatting xmlns:xm="http://schemas.microsoft.com/office/excel/2006/main">
          <x14:cfRule type="dataBar" id="{08EF767D-BABE-4967-A583-FF3EE4EB8629}">
            <x14:dataBar minLength="0" maxLength="100" gradient="0">
              <x14:cfvo type="autoMin"/>
              <x14:cfvo type="autoMax"/>
              <x14:negativeFillColor rgb="FFFF0000"/>
              <x14:axisColor rgb="FF000000"/>
            </x14:dataBar>
          </x14:cfRule>
          <xm:sqref>M3:M10</xm:sqref>
        </x14:conditionalFormatting>
        <x14:conditionalFormatting xmlns:xm="http://schemas.microsoft.com/office/excel/2006/main">
          <x14:cfRule type="dataBar" id="{249A9F7A-3D06-4A90-81DE-103FFEE227F0}">
            <x14:dataBar minLength="0" maxLength="100" gradient="0">
              <x14:cfvo type="autoMin"/>
              <x14:cfvo type="autoMax"/>
              <x14:negativeFillColor rgb="FFFF0000"/>
              <x14:axisColor rgb="FF000000"/>
            </x14:dataBar>
          </x14:cfRule>
          <xm:sqref>R11:S14</xm:sqref>
        </x14:conditionalFormatting>
      </x14:conditionalFormattings>
    </ex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K3:Q19"/>
  <sheetViews>
    <sheetView showGridLines="0" workbookViewId="0">
      <selection activeCell="J23" sqref="J23"/>
    </sheetView>
  </sheetViews>
  <sheetFormatPr defaultRowHeight="13" x14ac:dyDescent="0.3"/>
  <cols>
    <col min="11" max="11" width="15.4140625" bestFit="1" customWidth="1"/>
    <col min="12" max="12" width="6.5" bestFit="1" customWidth="1"/>
    <col min="13" max="13" width="9.6640625" customWidth="1"/>
    <col min="14" max="14" width="11.9140625" style="10" customWidth="1"/>
    <col min="15" max="15" width="15.83203125" bestFit="1" customWidth="1"/>
    <col min="17" max="17" width="13.83203125" bestFit="1" customWidth="1"/>
  </cols>
  <sheetData>
    <row r="3" spans="11:17" ht="8" customHeight="1" thickBot="1" x14ac:dyDescent="0.35"/>
    <row r="4" spans="11:17" x14ac:dyDescent="0.3">
      <c r="M4" s="55" t="s">
        <v>1378</v>
      </c>
      <c r="N4" s="56" t="s">
        <v>1341</v>
      </c>
    </row>
    <row r="5" spans="11:17" x14ac:dyDescent="0.3">
      <c r="M5" s="53">
        <f>'Pivot 2'!D18</f>
        <v>1</v>
      </c>
      <c r="N5" s="57">
        <f>'Pivot 2'!E18</f>
        <v>36650.979999999996</v>
      </c>
    </row>
    <row r="6" spans="11:17" x14ac:dyDescent="0.3">
      <c r="M6" s="53">
        <f>'Pivot 2'!D19</f>
        <v>4</v>
      </c>
      <c r="N6" s="57">
        <f>'Pivot 2'!E19</f>
        <v>30719.440000000002</v>
      </c>
    </row>
    <row r="7" spans="11:17" x14ac:dyDescent="0.3">
      <c r="M7" s="53">
        <f>'Pivot 2'!D20</f>
        <v>3</v>
      </c>
      <c r="N7" s="57">
        <f>'Pivot 2'!E20</f>
        <v>24518.420000000002</v>
      </c>
    </row>
    <row r="8" spans="11:17" ht="13.5" thickBot="1" x14ac:dyDescent="0.35">
      <c r="M8" s="54">
        <f>'Pivot 2'!D21</f>
        <v>2</v>
      </c>
      <c r="N8" s="58">
        <f>'Pivot 2'!E21</f>
        <v>23542.74</v>
      </c>
    </row>
    <row r="10" spans="11:17" ht="13.5" thickBot="1" x14ac:dyDescent="0.35"/>
    <row r="11" spans="11:17" x14ac:dyDescent="0.3">
      <c r="K11" s="55" t="s">
        <v>1372</v>
      </c>
      <c r="L11" s="60" t="s">
        <v>1384</v>
      </c>
      <c r="M11" s="61" t="s">
        <v>1385</v>
      </c>
      <c r="O11" s="50" t="s">
        <v>1354</v>
      </c>
      <c r="P11" s="51" t="s">
        <v>1370</v>
      </c>
      <c r="Q11" s="52" t="s">
        <v>1380</v>
      </c>
    </row>
    <row r="12" spans="11:17" x14ac:dyDescent="0.3">
      <c r="K12" s="62" t="str">
        <f>Pivot!D18</f>
        <v>Americano with Milk</v>
      </c>
      <c r="L12" s="63">
        <f>Pivot!E18</f>
        <v>824</v>
      </c>
      <c r="M12" s="64">
        <f>Pivot!F18</f>
        <v>0.22662266226622663</v>
      </c>
      <c r="O12" s="62" t="str">
        <f>Pivot!J4</f>
        <v>Latte</v>
      </c>
      <c r="P12" s="68">
        <f>Pivot!K4</f>
        <v>38.700000000000003</v>
      </c>
      <c r="Q12" s="69">
        <f>Pivot!L4</f>
        <v>0.24140967315876269</v>
      </c>
    </row>
    <row r="13" spans="11:17" x14ac:dyDescent="0.3">
      <c r="K13" s="62" t="str">
        <f>Pivot!D19</f>
        <v>Latte</v>
      </c>
      <c r="L13" s="63">
        <f>Pivot!E19</f>
        <v>782</v>
      </c>
      <c r="M13" s="64">
        <f>Pivot!F19</f>
        <v>0.21507150715071507</v>
      </c>
      <c r="O13" s="62" t="str">
        <f>Pivot!J5</f>
        <v>Americano with Milk</v>
      </c>
      <c r="P13" s="68">
        <f>Pivot!K5</f>
        <v>33.799999999999997</v>
      </c>
      <c r="Q13" s="69">
        <f>Pivot!L5</f>
        <v>0.21890993781771267</v>
      </c>
    </row>
    <row r="14" spans="11:17" x14ac:dyDescent="0.3">
      <c r="K14" s="62" t="str">
        <f>Pivot!D20</f>
        <v>Americano</v>
      </c>
      <c r="L14" s="63">
        <f>Pivot!E20</f>
        <v>578</v>
      </c>
      <c r="M14" s="64">
        <f>Pivot!F20</f>
        <v>0.15896589658965896</v>
      </c>
      <c r="O14" s="62" t="str">
        <f>Pivot!J6</f>
        <v>Cappuccino</v>
      </c>
      <c r="P14" s="68">
        <f>Pivot!K6</f>
        <v>38.700000000000003</v>
      </c>
      <c r="Q14" s="69">
        <f>Pivot!L6</f>
        <v>0.1562322892920639</v>
      </c>
    </row>
    <row r="15" spans="11:17" x14ac:dyDescent="0.3">
      <c r="K15" s="62" t="str">
        <f>Pivot!D21</f>
        <v>Cappuccino</v>
      </c>
      <c r="L15" s="63">
        <f>Pivot!E21</f>
        <v>501</v>
      </c>
      <c r="M15" s="64">
        <f>Pivot!F21</f>
        <v>0.13778877887788779</v>
      </c>
      <c r="O15" s="62" t="str">
        <f>Pivot!J7</f>
        <v>Americano</v>
      </c>
      <c r="P15" s="68">
        <f>Pivot!K7</f>
        <v>28.9</v>
      </c>
      <c r="Q15" s="69">
        <f>Pivot!L7</f>
        <v>0.13048647519162329</v>
      </c>
    </row>
    <row r="16" spans="11:17" x14ac:dyDescent="0.3">
      <c r="K16" s="62" t="str">
        <f>Pivot!D22</f>
        <v>Cortado</v>
      </c>
      <c r="L16" s="63">
        <f>Pivot!E22</f>
        <v>292</v>
      </c>
      <c r="M16" s="64">
        <f>Pivot!F22</f>
        <v>8.0308030803080313E-2</v>
      </c>
      <c r="O16" s="62" t="str">
        <f>Pivot!J8</f>
        <v>Hot Chocolate</v>
      </c>
      <c r="P16" s="68">
        <f>Pivot!K8</f>
        <v>38.700000000000003</v>
      </c>
      <c r="Q16" s="69">
        <f>Pivot!L8</f>
        <v>8.8125450591597945E-2</v>
      </c>
    </row>
    <row r="17" spans="11:17" x14ac:dyDescent="0.3">
      <c r="K17" s="62" t="str">
        <f>Pivot!D23</f>
        <v>Hot Chocolate</v>
      </c>
      <c r="L17" s="63">
        <f>Pivot!E23</f>
        <v>282</v>
      </c>
      <c r="M17" s="64">
        <f>Pivot!F23</f>
        <v>7.7557755775577553E-2</v>
      </c>
      <c r="O17" s="62" t="str">
        <f>Pivot!J9</f>
        <v>Cocoa</v>
      </c>
      <c r="P17" s="68">
        <f>Pivot!K9</f>
        <v>38.700000000000003</v>
      </c>
      <c r="Q17" s="69">
        <f>Pivot!L9</f>
        <v>7.5180119686485039E-2</v>
      </c>
    </row>
    <row r="18" spans="11:17" x14ac:dyDescent="0.3">
      <c r="K18" s="62" t="str">
        <f>Pivot!D24</f>
        <v>Cocoa</v>
      </c>
      <c r="L18" s="63">
        <f>Pivot!E24</f>
        <v>243</v>
      </c>
      <c r="M18" s="64">
        <f>Pivot!F24</f>
        <v>6.6831683168316836E-2</v>
      </c>
      <c r="O18" s="62" t="str">
        <f>Pivot!J10</f>
        <v>Cortado</v>
      </c>
      <c r="P18" s="68">
        <f>Pivot!K10</f>
        <v>28.9</v>
      </c>
      <c r="Q18" s="69">
        <f>Pivot!L10</f>
        <v>6.5275551110017233E-2</v>
      </c>
    </row>
    <row r="19" spans="11:17" ht="13.5" thickBot="1" x14ac:dyDescent="0.35">
      <c r="K19" s="65" t="str">
        <f>Pivot!D25</f>
        <v>Espresso</v>
      </c>
      <c r="L19" s="66">
        <f>Pivot!E25</f>
        <v>134</v>
      </c>
      <c r="M19" s="67">
        <f>Pivot!F25</f>
        <v>3.6853685368536851E-2</v>
      </c>
      <c r="O19" s="65" t="str">
        <f>Pivot!J11</f>
        <v>Espresso</v>
      </c>
      <c r="P19" s="70">
        <f>Pivot!K11</f>
        <v>24</v>
      </c>
      <c r="Q19" s="71">
        <f>Pivot!L11</f>
        <v>2.43805031517372E-2</v>
      </c>
    </row>
  </sheetData>
  <conditionalFormatting sqref="K11:M19">
    <cfRule type="dataBar" priority="3">
      <dataBar>
        <cfvo type="min"/>
        <cfvo type="max"/>
        <color rgb="FF63C384"/>
      </dataBar>
      <extLst>
        <ext xmlns:x14="http://schemas.microsoft.com/office/spreadsheetml/2009/9/main" uri="{B025F937-C7B1-47D3-B67F-A62EFF666E3E}">
          <x14:id>{2231FD04-452B-4F3E-B184-8F3CA79BFFED}</x14:id>
        </ext>
      </extLst>
    </cfRule>
  </conditionalFormatting>
  <conditionalFormatting sqref="M12:M19">
    <cfRule type="iconSet" priority="1">
      <iconSet iconSet="5Arrows">
        <cfvo type="percent" val="0"/>
        <cfvo type="percent" val="20"/>
        <cfvo type="percent" val="40"/>
        <cfvo type="percent" val="60"/>
        <cfvo type="percent" val="80"/>
      </iconSet>
    </cfRule>
    <cfRule type="iconSet" priority="2">
      <iconSet iconSet="3Symbols2">
        <cfvo type="percent" val="0"/>
        <cfvo type="percent" val="33"/>
        <cfvo type="percent" val="67"/>
      </iconSet>
    </cfRule>
  </conditionalFormatting>
  <conditionalFormatting sqref="M4:N8">
    <cfRule type="iconSet" priority="7">
      <iconSet iconSet="5Arrows">
        <cfvo type="percent" val="0"/>
        <cfvo type="percent" val="20"/>
        <cfvo type="percent" val="40"/>
        <cfvo type="percent" val="60"/>
        <cfvo type="percent" val="80"/>
      </iconSet>
    </cfRule>
    <cfRule type="iconSet" priority="9">
      <iconSet iconSet="4Rating">
        <cfvo type="percent" val="0"/>
        <cfvo type="percent" val="25"/>
        <cfvo type="percent" val="50"/>
        <cfvo type="percent" val="75"/>
      </iconSet>
    </cfRule>
    <cfRule type="iconSet" priority="11">
      <iconSet iconSet="3Flags">
        <cfvo type="percent" val="0"/>
        <cfvo type="percent" val="33"/>
        <cfvo type="percent" val="67"/>
      </iconSet>
    </cfRule>
    <cfRule type="dataBar" priority="13">
      <dataBar>
        <cfvo type="min"/>
        <cfvo type="max"/>
        <color rgb="FF63C384"/>
      </dataBar>
      <extLst>
        <ext xmlns:x14="http://schemas.microsoft.com/office/spreadsheetml/2009/9/main" uri="{B025F937-C7B1-47D3-B67F-A62EFF666E3E}">
          <x14:id>{28EFD47B-5BC0-4673-B57E-A83173E3C06A}</x14:id>
        </ext>
      </extLst>
    </cfRule>
  </conditionalFormatting>
  <conditionalFormatting sqref="P12:P19">
    <cfRule type="dataBar" priority="5">
      <dataBar>
        <cfvo type="min"/>
        <cfvo type="max"/>
        <color rgb="FF63C384"/>
      </dataBar>
      <extLst>
        <ext xmlns:x14="http://schemas.microsoft.com/office/spreadsheetml/2009/9/main" uri="{B025F937-C7B1-47D3-B67F-A62EFF666E3E}">
          <x14:id>{D85BA01B-B5B9-44C4-BD68-2CE43AE99CAC}</x14:id>
        </ext>
      </extLst>
    </cfRule>
  </conditionalFormatting>
  <conditionalFormatting sqref="Q12:Q19">
    <cfRule type="dataBar" priority="4">
      <dataBar>
        <cfvo type="min"/>
        <cfvo type="max"/>
        <color rgb="FF63C384"/>
      </dataBar>
      <extLst>
        <ext xmlns:x14="http://schemas.microsoft.com/office/spreadsheetml/2009/9/main" uri="{B025F937-C7B1-47D3-B67F-A62EFF666E3E}">
          <x14:id>{FD05065D-9AB3-4CFB-BA4E-D650BCFABD41}</x14:id>
        </ext>
      </extLst>
    </cfRule>
    <cfRule type="iconSet" priority="6">
      <iconSet iconSet="5Arrows">
        <cfvo type="percent" val="0"/>
        <cfvo type="percent" val="20"/>
        <cfvo type="percent" val="40"/>
        <cfvo type="percent" val="60"/>
        <cfvo type="percent" val="80"/>
      </iconSe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2231FD04-452B-4F3E-B184-8F3CA79BFFED}">
            <x14:dataBar minLength="0" maxLength="100" gradient="0">
              <x14:cfvo type="autoMin"/>
              <x14:cfvo type="autoMax"/>
              <x14:negativeFillColor rgb="FFFF0000"/>
              <x14:axisColor rgb="FF000000"/>
            </x14:dataBar>
          </x14:cfRule>
          <xm:sqref>K11:M19</xm:sqref>
        </x14:conditionalFormatting>
        <x14:conditionalFormatting xmlns:xm="http://schemas.microsoft.com/office/excel/2006/main">
          <x14:cfRule type="dataBar" id="{28EFD47B-5BC0-4673-B57E-A83173E3C06A}">
            <x14:dataBar minLength="0" maxLength="100" gradient="0">
              <x14:cfvo type="autoMin"/>
              <x14:cfvo type="autoMax"/>
              <x14:negativeFillColor rgb="FFFF0000"/>
              <x14:axisColor rgb="FF000000"/>
            </x14:dataBar>
          </x14:cfRule>
          <xm:sqref>M4:N8</xm:sqref>
        </x14:conditionalFormatting>
        <x14:conditionalFormatting xmlns:xm="http://schemas.microsoft.com/office/excel/2006/main">
          <x14:cfRule type="dataBar" id="{D85BA01B-B5B9-44C4-BD68-2CE43AE99CAC}">
            <x14:dataBar minLength="0" maxLength="100" border="1" negativeBarBorderColorSameAsPositive="0">
              <x14:cfvo type="autoMin"/>
              <x14:cfvo type="autoMax"/>
              <x14:borderColor rgb="FF63C384"/>
              <x14:negativeFillColor rgb="FFFF0000"/>
              <x14:negativeBorderColor rgb="FFFF0000"/>
              <x14:axisColor rgb="FF000000"/>
            </x14:dataBar>
          </x14:cfRule>
          <xm:sqref>P12:P19</xm:sqref>
        </x14:conditionalFormatting>
        <x14:conditionalFormatting xmlns:xm="http://schemas.microsoft.com/office/excel/2006/main">
          <x14:cfRule type="dataBar" id="{FD05065D-9AB3-4CFB-BA4E-D650BCFABD41}">
            <x14:dataBar minLength="0" maxLength="100" border="1" negativeBarBorderColorSameAsPositive="0">
              <x14:cfvo type="autoMin"/>
              <x14:cfvo type="autoMax"/>
              <x14:borderColor rgb="FF63C384"/>
              <x14:negativeFillColor rgb="FFFF0000"/>
              <x14:negativeBorderColor rgb="FFFF0000"/>
              <x14:axisColor rgb="FF000000"/>
            </x14:dataBar>
          </x14:cfRule>
          <xm:sqref>Q12:Q19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38"/>
  <sheetViews>
    <sheetView tabSelected="1" workbookViewId="0">
      <selection activeCell="J16" sqref="J16"/>
    </sheetView>
  </sheetViews>
  <sheetFormatPr defaultRowHeight="13" x14ac:dyDescent="0.3"/>
  <cols>
    <col min="1" max="1" width="19.25" customWidth="1"/>
    <col min="2" max="2" width="11.75" customWidth="1"/>
    <col min="3" max="3" width="11.75" bestFit="1" customWidth="1"/>
    <col min="4" max="4" width="11.83203125" customWidth="1"/>
    <col min="5" max="5" width="16.25" customWidth="1"/>
    <col min="6" max="6" width="13.83203125" customWidth="1"/>
    <col min="7" max="7" width="11.83203125" customWidth="1"/>
    <col min="8" max="8" width="12.58203125" style="98" customWidth="1"/>
    <col min="9" max="9" width="11.75" customWidth="1"/>
    <col min="10" max="10" width="15.83203125" customWidth="1"/>
    <col min="11" max="11" width="12.58203125" style="97" customWidth="1"/>
    <col min="12" max="12" width="11.75" bestFit="1" customWidth="1"/>
    <col min="13" max="13" width="12.75" bestFit="1" customWidth="1"/>
  </cols>
  <sheetData>
    <row r="1" spans="1:11" x14ac:dyDescent="0.3">
      <c r="A1" s="27" t="s">
        <v>1361</v>
      </c>
      <c r="B1" t="s">
        <v>1374</v>
      </c>
      <c r="D1" s="27" t="s">
        <v>1361</v>
      </c>
      <c r="E1" t="s">
        <v>1389</v>
      </c>
      <c r="G1" s="27" t="s">
        <v>1361</v>
      </c>
      <c r="H1" s="99" t="s">
        <v>1374</v>
      </c>
      <c r="J1" s="27" t="s">
        <v>1361</v>
      </c>
      <c r="K1" s="100" t="s">
        <v>1374</v>
      </c>
    </row>
    <row r="2" spans="1:11" x14ac:dyDescent="0.3">
      <c r="A2" s="16" t="s">
        <v>1331</v>
      </c>
      <c r="B2" s="10">
        <v>16440.919999999995</v>
      </c>
      <c r="D2" s="16" t="s">
        <v>1336</v>
      </c>
      <c r="E2" s="17">
        <v>389</v>
      </c>
      <c r="G2" s="16" t="s">
        <v>1342</v>
      </c>
      <c r="H2" s="99">
        <v>5732.6600000000117</v>
      </c>
      <c r="J2" s="16" t="s">
        <v>5</v>
      </c>
      <c r="K2" s="100">
        <v>25471.859999999575</v>
      </c>
    </row>
    <row r="3" spans="1:11" x14ac:dyDescent="0.3">
      <c r="A3" s="16" t="s">
        <v>1338</v>
      </c>
      <c r="B3" s="10">
        <v>16156.960000000012</v>
      </c>
      <c r="D3" s="16" t="s">
        <v>1338</v>
      </c>
      <c r="E3" s="17">
        <v>504</v>
      </c>
      <c r="G3" s="16" t="s">
        <v>1348</v>
      </c>
      <c r="H3" s="99">
        <v>6287.0000000000036</v>
      </c>
      <c r="J3" s="16" t="s">
        <v>12</v>
      </c>
      <c r="K3" s="100">
        <v>22539.540000000205</v>
      </c>
    </row>
    <row r="4" spans="1:11" x14ac:dyDescent="0.3">
      <c r="A4" s="16" t="s">
        <v>1334</v>
      </c>
      <c r="B4" s="10">
        <v>15120.979999999996</v>
      </c>
      <c r="D4" s="16" t="s">
        <v>1331</v>
      </c>
      <c r="E4" s="17">
        <v>515</v>
      </c>
      <c r="G4" s="16" t="s">
        <v>1347</v>
      </c>
      <c r="H4" s="99">
        <v>6530.4800000000041</v>
      </c>
      <c r="J4" s="16" t="s">
        <v>41</v>
      </c>
      <c r="K4" s="100">
        <v>16455.800000000021</v>
      </c>
    </row>
    <row r="5" spans="1:11" x14ac:dyDescent="0.3">
      <c r="A5" s="16" t="s">
        <v>1333</v>
      </c>
      <c r="B5" s="10">
        <v>15044.120000000003</v>
      </c>
      <c r="D5" s="16" t="s">
        <v>1332</v>
      </c>
      <c r="E5" s="17">
        <v>461</v>
      </c>
      <c r="G5" s="16" t="s">
        <v>1345</v>
      </c>
      <c r="H5" s="99">
        <v>6546.6600000000017</v>
      </c>
      <c r="J5" s="16" t="s">
        <v>9</v>
      </c>
      <c r="K5" s="100">
        <v>12608.599999999886</v>
      </c>
    </row>
    <row r="6" spans="1:11" x14ac:dyDescent="0.3">
      <c r="A6" s="16" t="s">
        <v>1332</v>
      </c>
      <c r="B6" s="10">
        <v>14600.919999999995</v>
      </c>
      <c r="D6" s="16" t="s">
        <v>1333</v>
      </c>
      <c r="E6" s="17">
        <v>474</v>
      </c>
      <c r="G6" s="16" t="s">
        <v>1349</v>
      </c>
      <c r="H6" s="99">
        <v>6736.5800000000099</v>
      </c>
      <c r="J6" s="16" t="s">
        <v>7</v>
      </c>
      <c r="K6" s="100">
        <v>9135.4200000000401</v>
      </c>
    </row>
    <row r="7" spans="1:11" x14ac:dyDescent="0.3">
      <c r="A7" s="16" t="s">
        <v>1335</v>
      </c>
      <c r="B7" s="10">
        <v>13148.139999999996</v>
      </c>
      <c r="D7" s="16" t="s">
        <v>1334</v>
      </c>
      <c r="E7" s="17">
        <v>474</v>
      </c>
      <c r="G7" s="16" t="s">
        <v>1352</v>
      </c>
      <c r="H7" s="99">
        <v>7483.9600000000173</v>
      </c>
      <c r="J7" s="16" t="s">
        <v>16</v>
      </c>
      <c r="K7" s="100">
        <v>7576.4600000000319</v>
      </c>
    </row>
    <row r="8" spans="1:11" x14ac:dyDescent="0.3">
      <c r="A8" s="16" t="s">
        <v>1336</v>
      </c>
      <c r="B8" s="10">
        <v>12443.88000000001</v>
      </c>
      <c r="D8" s="16" t="s">
        <v>1335</v>
      </c>
      <c r="E8" s="17">
        <v>413</v>
      </c>
      <c r="G8" s="16" t="s">
        <v>1353</v>
      </c>
      <c r="H8" s="99">
        <v>7537.7600000000175</v>
      </c>
      <c r="J8" s="16" t="s">
        <v>26</v>
      </c>
      <c r="K8" s="100">
        <v>6468.5600000000049</v>
      </c>
    </row>
    <row r="9" spans="1:11" x14ac:dyDescent="0.3">
      <c r="A9" s="16" t="s">
        <v>1362</v>
      </c>
      <c r="B9" s="10">
        <v>102955.92000000001</v>
      </c>
      <c r="D9" s="16" t="s">
        <v>1362</v>
      </c>
      <c r="E9" s="17">
        <v>3230</v>
      </c>
      <c r="G9" s="16" t="s">
        <v>1346</v>
      </c>
      <c r="H9" s="99">
        <v>8161.9000000000106</v>
      </c>
      <c r="J9" s="16" t="s">
        <v>33</v>
      </c>
      <c r="K9" s="100">
        <v>2699.6799999999939</v>
      </c>
    </row>
    <row r="10" spans="1:11" x14ac:dyDescent="0.3">
      <c r="F10" s="10"/>
      <c r="G10" s="16" t="s">
        <v>1350</v>
      </c>
      <c r="H10" s="99">
        <v>8560.8000000000102</v>
      </c>
      <c r="J10" s="16" t="s">
        <v>1362</v>
      </c>
      <c r="K10" s="100">
        <v>102955.91999999975</v>
      </c>
    </row>
    <row r="11" spans="1:11" x14ac:dyDescent="0.3">
      <c r="A11" s="27" t="s">
        <v>1361</v>
      </c>
      <c r="B11" t="s">
        <v>1374</v>
      </c>
      <c r="D11" s="27" t="s">
        <v>1361</v>
      </c>
      <c r="E11" t="s">
        <v>1389</v>
      </c>
      <c r="F11" s="10"/>
      <c r="G11" s="16" t="s">
        <v>1343</v>
      </c>
      <c r="H11" s="99">
        <v>11643.600000000009</v>
      </c>
    </row>
    <row r="12" spans="1:11" x14ac:dyDescent="0.3">
      <c r="A12" s="16" t="s">
        <v>1331</v>
      </c>
      <c r="B12" s="10">
        <v>16440.920000000024</v>
      </c>
      <c r="D12" s="16" t="s">
        <v>1381</v>
      </c>
      <c r="E12" s="12">
        <v>3144</v>
      </c>
      <c r="F12" s="10"/>
      <c r="G12" s="16" t="s">
        <v>1351</v>
      </c>
      <c r="H12" s="99">
        <v>12073.340000000038</v>
      </c>
    </row>
    <row r="13" spans="1:11" x14ac:dyDescent="0.3">
      <c r="A13" s="95" t="s">
        <v>9</v>
      </c>
      <c r="B13" s="10">
        <v>1807.1400000000015</v>
      </c>
      <c r="D13" s="16" t="s">
        <v>1383</v>
      </c>
      <c r="E13" s="12">
        <v>86</v>
      </c>
      <c r="F13" s="10"/>
      <c r="G13" s="16" t="s">
        <v>1344</v>
      </c>
      <c r="H13" s="99">
        <v>15661.179999999977</v>
      </c>
    </row>
    <row r="14" spans="1:11" x14ac:dyDescent="0.3">
      <c r="A14" s="95" t="s">
        <v>12</v>
      </c>
      <c r="B14" s="10">
        <v>3644.0400000000095</v>
      </c>
      <c r="D14" s="16" t="s">
        <v>1362</v>
      </c>
      <c r="E14" s="12">
        <v>3230</v>
      </c>
      <c r="F14" s="10"/>
      <c r="G14" s="16" t="s">
        <v>1362</v>
      </c>
      <c r="H14" s="99">
        <v>102955.92000000013</v>
      </c>
    </row>
    <row r="15" spans="1:11" x14ac:dyDescent="0.3">
      <c r="A15" s="95" t="s">
        <v>41</v>
      </c>
      <c r="B15" s="10">
        <v>2196.0200000000009</v>
      </c>
      <c r="F15" s="10"/>
      <c r="G15" s="16"/>
      <c r="J15" s="95"/>
    </row>
    <row r="16" spans="1:11" x14ac:dyDescent="0.3">
      <c r="A16" s="95" t="s">
        <v>16</v>
      </c>
      <c r="B16" s="10">
        <v>1717.7599999999998</v>
      </c>
      <c r="D16" s="27" t="s">
        <v>1361</v>
      </c>
      <c r="E16" t="s">
        <v>1374</v>
      </c>
      <c r="F16" s="10"/>
      <c r="H16" s="100"/>
      <c r="J16" s="16"/>
    </row>
    <row r="17" spans="1:10" x14ac:dyDescent="0.3">
      <c r="A17" s="95" t="s">
        <v>26</v>
      </c>
      <c r="B17" s="10">
        <v>1113.4600000000003</v>
      </c>
      <c r="D17" s="16" t="s">
        <v>1376</v>
      </c>
      <c r="E17" s="10">
        <v>76968.679999999236</v>
      </c>
      <c r="F17" s="10"/>
      <c r="G17" s="16"/>
      <c r="H17" s="100"/>
      <c r="J17" s="95"/>
    </row>
    <row r="18" spans="1:10" x14ac:dyDescent="0.3">
      <c r="A18" s="95" t="s">
        <v>33</v>
      </c>
      <c r="B18" s="10">
        <v>327.16000000000003</v>
      </c>
      <c r="D18" s="16" t="s">
        <v>1377</v>
      </c>
      <c r="E18" s="10">
        <v>25987.239999999725</v>
      </c>
      <c r="F18" s="10"/>
      <c r="G18" s="16"/>
      <c r="H18" s="100"/>
      <c r="J18" s="95"/>
    </row>
    <row r="19" spans="1:10" x14ac:dyDescent="0.3">
      <c r="A19" s="95" t="s">
        <v>7</v>
      </c>
      <c r="B19" s="10">
        <v>1662.9200000000003</v>
      </c>
      <c r="D19" s="16" t="s">
        <v>1362</v>
      </c>
      <c r="E19" s="10">
        <v>102955.91999999897</v>
      </c>
      <c r="F19" s="10"/>
      <c r="G19" s="16"/>
      <c r="H19" s="100"/>
      <c r="J19" s="95"/>
    </row>
    <row r="20" spans="1:10" x14ac:dyDescent="0.3">
      <c r="A20" s="95" t="s">
        <v>5</v>
      </c>
      <c r="B20" s="10">
        <v>3972.4200000000101</v>
      </c>
      <c r="F20" s="10"/>
      <c r="G20" s="16"/>
      <c r="H20" s="100"/>
      <c r="J20" s="95"/>
    </row>
    <row r="21" spans="1:10" x14ac:dyDescent="0.3">
      <c r="A21" s="16" t="s">
        <v>1338</v>
      </c>
      <c r="B21" s="10">
        <v>16156.960000000026</v>
      </c>
      <c r="D21" s="27" t="s">
        <v>1361</v>
      </c>
      <c r="E21" t="s">
        <v>1374</v>
      </c>
      <c r="G21" s="16"/>
      <c r="H21" s="100"/>
      <c r="J21" s="95"/>
    </row>
    <row r="22" spans="1:10" x14ac:dyDescent="0.3">
      <c r="A22" s="95" t="s">
        <v>9</v>
      </c>
      <c r="B22" s="10">
        <v>2098.7800000000011</v>
      </c>
      <c r="D22" s="16" t="s">
        <v>21</v>
      </c>
      <c r="E22" s="12">
        <v>3143.740000000003</v>
      </c>
      <c r="G22" s="16"/>
      <c r="H22" s="100"/>
      <c r="J22" s="95"/>
    </row>
    <row r="23" spans="1:10" x14ac:dyDescent="0.3">
      <c r="A23" s="95" t="s">
        <v>12</v>
      </c>
      <c r="B23" s="10">
        <v>3779.7600000000079</v>
      </c>
      <c r="D23" s="16" t="s">
        <v>17</v>
      </c>
      <c r="E23" s="12">
        <v>2278.3400000000006</v>
      </c>
      <c r="G23" s="16"/>
      <c r="H23" s="100"/>
      <c r="J23" s="95"/>
    </row>
    <row r="24" spans="1:10" x14ac:dyDescent="0.3">
      <c r="A24" s="95" t="s">
        <v>41</v>
      </c>
      <c r="B24" s="10">
        <v>2383.6400000000021</v>
      </c>
      <c r="D24" s="16" t="s">
        <v>153</v>
      </c>
      <c r="E24" s="12">
        <v>2252.1400000000012</v>
      </c>
      <c r="G24" s="16"/>
      <c r="H24" s="100"/>
      <c r="J24" s="95"/>
    </row>
    <row r="25" spans="1:10" x14ac:dyDescent="0.3">
      <c r="A25" s="95" t="s">
        <v>16</v>
      </c>
      <c r="B25" s="10">
        <v>1029.1999999999998</v>
      </c>
      <c r="D25" s="16" t="s">
        <v>288</v>
      </c>
      <c r="E25" s="12">
        <v>1930.4599999999975</v>
      </c>
      <c r="G25" s="16"/>
      <c r="H25" s="100"/>
      <c r="J25" s="95"/>
    </row>
    <row r="26" spans="1:10" x14ac:dyDescent="0.3">
      <c r="A26" s="95" t="s">
        <v>26</v>
      </c>
      <c r="B26" s="10">
        <v>816.64000000000033</v>
      </c>
      <c r="D26" s="16" t="s">
        <v>1175</v>
      </c>
      <c r="E26" s="12">
        <v>1658.1</v>
      </c>
      <c r="G26" s="16"/>
      <c r="J26" s="95"/>
    </row>
    <row r="27" spans="1:10" x14ac:dyDescent="0.3">
      <c r="A27" s="95" t="s">
        <v>33</v>
      </c>
      <c r="B27" s="10">
        <v>259.62</v>
      </c>
      <c r="D27" s="16" t="s">
        <v>519</v>
      </c>
      <c r="E27" s="12">
        <v>1549.9199999999998</v>
      </c>
      <c r="J27" s="95"/>
    </row>
    <row r="28" spans="1:10" x14ac:dyDescent="0.3">
      <c r="A28" s="95" t="s">
        <v>7</v>
      </c>
      <c r="B28" s="10">
        <v>1140.3999999999999</v>
      </c>
      <c r="D28" s="16" t="s">
        <v>109</v>
      </c>
      <c r="E28" s="12">
        <v>1333.3599999999997</v>
      </c>
      <c r="J28" s="95"/>
    </row>
    <row r="29" spans="1:10" x14ac:dyDescent="0.3">
      <c r="A29" s="95" t="s">
        <v>5</v>
      </c>
      <c r="B29" s="10">
        <v>4648.9200000000146</v>
      </c>
      <c r="C29" s="10"/>
      <c r="D29" s="16" t="s">
        <v>52</v>
      </c>
      <c r="E29" s="12">
        <v>1258.3999999999996</v>
      </c>
      <c r="J29" s="95"/>
    </row>
    <row r="30" spans="1:10" x14ac:dyDescent="0.3">
      <c r="A30" s="16" t="s">
        <v>1334</v>
      </c>
      <c r="B30" s="10">
        <v>15120.980000000014</v>
      </c>
      <c r="C30" s="10"/>
      <c r="D30" s="16" t="s">
        <v>582</v>
      </c>
      <c r="E30" s="12">
        <v>1061.04</v>
      </c>
      <c r="F30" s="10"/>
      <c r="J30" s="16"/>
    </row>
    <row r="31" spans="1:10" x14ac:dyDescent="0.3">
      <c r="A31" s="95" t="s">
        <v>9</v>
      </c>
      <c r="B31" s="10">
        <v>2194.4800000000014</v>
      </c>
      <c r="C31" s="10"/>
      <c r="D31" s="16" t="s">
        <v>218</v>
      </c>
      <c r="E31" s="12">
        <v>812.68</v>
      </c>
      <c r="F31" s="10"/>
      <c r="J31" s="95"/>
    </row>
    <row r="32" spans="1:10" x14ac:dyDescent="0.3">
      <c r="A32" s="95" t="s">
        <v>12</v>
      </c>
      <c r="B32" s="10">
        <v>2898.3000000000038</v>
      </c>
      <c r="C32" s="10"/>
      <c r="D32" s="16" t="s">
        <v>1203</v>
      </c>
      <c r="E32" s="12">
        <v>715.19999999999993</v>
      </c>
      <c r="F32" s="10"/>
      <c r="J32" s="95"/>
    </row>
    <row r="33" spans="1:10" x14ac:dyDescent="0.3">
      <c r="A33" s="95" t="s">
        <v>41</v>
      </c>
      <c r="B33" s="10">
        <v>2094.6400000000008</v>
      </c>
      <c r="C33" s="10"/>
      <c r="D33" s="16" t="s">
        <v>8</v>
      </c>
      <c r="E33" s="12">
        <v>701.91999999999985</v>
      </c>
      <c r="F33" s="10"/>
      <c r="J33" s="95"/>
    </row>
    <row r="34" spans="1:10" x14ac:dyDescent="0.3">
      <c r="A34" s="95" t="s">
        <v>16</v>
      </c>
      <c r="B34" s="10">
        <v>1619.3199999999997</v>
      </c>
      <c r="C34" s="10"/>
      <c r="D34" s="16" t="s">
        <v>1173</v>
      </c>
      <c r="E34" s="12">
        <v>690.69999999999993</v>
      </c>
      <c r="F34" s="10"/>
      <c r="J34" s="95"/>
    </row>
    <row r="35" spans="1:10" x14ac:dyDescent="0.3">
      <c r="A35" s="95" t="s">
        <v>26</v>
      </c>
      <c r="B35" s="10">
        <v>812.60000000000036</v>
      </c>
      <c r="C35" s="10"/>
      <c r="D35" s="16" t="s">
        <v>708</v>
      </c>
      <c r="E35" s="12">
        <v>679.43999999999994</v>
      </c>
      <c r="F35" s="10"/>
      <c r="J35" s="95"/>
    </row>
    <row r="36" spans="1:10" x14ac:dyDescent="0.3">
      <c r="A36" s="95" t="s">
        <v>33</v>
      </c>
      <c r="B36" s="10">
        <v>422.18</v>
      </c>
      <c r="C36" s="10"/>
      <c r="D36" s="16" t="s">
        <v>1122</v>
      </c>
      <c r="E36" s="12">
        <v>668.60000000000014</v>
      </c>
      <c r="F36" s="10"/>
      <c r="J36" s="95"/>
    </row>
    <row r="37" spans="1:10" x14ac:dyDescent="0.3">
      <c r="A37" s="95" t="s">
        <v>7</v>
      </c>
      <c r="B37" s="10">
        <v>1540.62</v>
      </c>
      <c r="C37" s="10"/>
      <c r="D37" s="16" t="s">
        <v>4</v>
      </c>
      <c r="E37" s="12">
        <v>646.14000000000021</v>
      </c>
      <c r="F37" s="10"/>
      <c r="J37" s="95"/>
    </row>
    <row r="38" spans="1:10" x14ac:dyDescent="0.3">
      <c r="A38" s="95" t="s">
        <v>5</v>
      </c>
      <c r="B38" s="10">
        <v>3538.8400000000079</v>
      </c>
      <c r="C38" s="10"/>
      <c r="D38" s="16" t="s">
        <v>29</v>
      </c>
      <c r="E38" s="12">
        <v>618.67999999999995</v>
      </c>
      <c r="F38" s="10"/>
      <c r="J38" s="95"/>
    </row>
    <row r="39" spans="1:10" x14ac:dyDescent="0.3">
      <c r="A39" s="16" t="s">
        <v>1333</v>
      </c>
      <c r="B39" s="10">
        <v>15044.120000000019</v>
      </c>
      <c r="C39" s="10"/>
      <c r="D39" s="16" t="s">
        <v>1177</v>
      </c>
      <c r="E39" s="12">
        <v>607.91999999999996</v>
      </c>
      <c r="F39" s="10"/>
      <c r="J39" s="95"/>
    </row>
    <row r="40" spans="1:10" x14ac:dyDescent="0.3">
      <c r="A40" s="95" t="s">
        <v>9</v>
      </c>
      <c r="B40" s="10">
        <v>1869.2400000000014</v>
      </c>
      <c r="C40" s="10"/>
      <c r="D40" s="16" t="s">
        <v>1164</v>
      </c>
      <c r="E40" s="12">
        <v>587.79999999999995</v>
      </c>
      <c r="F40" s="10"/>
      <c r="J40" s="95"/>
    </row>
    <row r="41" spans="1:10" x14ac:dyDescent="0.3">
      <c r="A41" s="95" t="s">
        <v>12</v>
      </c>
      <c r="B41" s="10">
        <v>3003.7000000000039</v>
      </c>
      <c r="C41" s="10"/>
      <c r="D41" s="16" t="s">
        <v>1182</v>
      </c>
      <c r="E41" s="12">
        <v>538.79999999999984</v>
      </c>
      <c r="F41" s="10"/>
      <c r="J41" s="95"/>
    </row>
    <row r="42" spans="1:10" x14ac:dyDescent="0.3">
      <c r="A42" s="95" t="s">
        <v>41</v>
      </c>
      <c r="B42" s="10">
        <v>2685.5600000000036</v>
      </c>
      <c r="C42" s="10"/>
      <c r="D42" s="16" t="s">
        <v>1170</v>
      </c>
      <c r="E42" s="12">
        <v>536.4</v>
      </c>
      <c r="F42" s="10"/>
      <c r="J42" s="95"/>
    </row>
    <row r="43" spans="1:10" x14ac:dyDescent="0.3">
      <c r="A43" s="95" t="s">
        <v>16</v>
      </c>
      <c r="B43" s="10">
        <v>712.25999999999988</v>
      </c>
      <c r="C43" s="10"/>
      <c r="D43" s="16" t="s">
        <v>387</v>
      </c>
      <c r="E43" s="12">
        <v>490.7999999999999</v>
      </c>
      <c r="F43" s="10"/>
      <c r="J43" s="16"/>
    </row>
    <row r="44" spans="1:10" x14ac:dyDescent="0.3">
      <c r="A44" s="95" t="s">
        <v>26</v>
      </c>
      <c r="B44" s="10">
        <v>925.74000000000024</v>
      </c>
      <c r="C44" s="10"/>
      <c r="D44" s="16" t="s">
        <v>397</v>
      </c>
      <c r="E44" s="12">
        <v>472.20000000000016</v>
      </c>
      <c r="F44" s="10"/>
      <c r="J44" s="95"/>
    </row>
    <row r="45" spans="1:10" x14ac:dyDescent="0.3">
      <c r="A45" s="95" t="s">
        <v>33</v>
      </c>
      <c r="B45" s="10">
        <v>542.66</v>
      </c>
      <c r="C45" s="10"/>
      <c r="D45" s="16" t="s">
        <v>649</v>
      </c>
      <c r="E45" s="12">
        <v>454.09999999999997</v>
      </c>
      <c r="F45" s="10"/>
      <c r="J45" s="95"/>
    </row>
    <row r="46" spans="1:10" x14ac:dyDescent="0.3">
      <c r="A46" s="95" t="s">
        <v>7</v>
      </c>
      <c r="B46" s="10">
        <v>1515.9399999999998</v>
      </c>
      <c r="C46" s="10"/>
      <c r="D46" s="16" t="s">
        <v>506</v>
      </c>
      <c r="E46" s="12">
        <v>450.17999999999995</v>
      </c>
      <c r="F46" s="10"/>
      <c r="J46" s="95"/>
    </row>
    <row r="47" spans="1:10" x14ac:dyDescent="0.3">
      <c r="A47" s="95" t="s">
        <v>5</v>
      </c>
      <c r="B47" s="10">
        <v>3789.0200000000095</v>
      </c>
      <c r="C47" s="10"/>
      <c r="D47" s="16" t="s">
        <v>345</v>
      </c>
      <c r="E47" s="12">
        <v>431.06000000000006</v>
      </c>
      <c r="F47" s="10"/>
      <c r="J47" s="95"/>
    </row>
    <row r="48" spans="1:10" x14ac:dyDescent="0.3">
      <c r="A48" s="16" t="s">
        <v>1332</v>
      </c>
      <c r="B48" s="10">
        <v>14600.920000000016</v>
      </c>
      <c r="C48" s="10"/>
      <c r="D48" s="16" t="s">
        <v>35</v>
      </c>
      <c r="E48" s="12">
        <v>422.26</v>
      </c>
      <c r="F48" s="10"/>
      <c r="J48" s="95"/>
    </row>
    <row r="49" spans="1:10" x14ac:dyDescent="0.3">
      <c r="A49" s="95" t="s">
        <v>9</v>
      </c>
      <c r="B49" s="10">
        <v>1920.1600000000014</v>
      </c>
      <c r="C49" s="10"/>
      <c r="D49" s="16" t="s">
        <v>1196</v>
      </c>
      <c r="E49" s="12">
        <v>414.4199999999999</v>
      </c>
      <c r="F49" s="10"/>
      <c r="J49" s="95"/>
    </row>
    <row r="50" spans="1:10" x14ac:dyDescent="0.3">
      <c r="A50" s="95" t="s">
        <v>12</v>
      </c>
      <c r="B50" s="10">
        <v>3120.5000000000041</v>
      </c>
      <c r="C50" s="10"/>
      <c r="D50" s="16" t="s">
        <v>1191</v>
      </c>
      <c r="E50" s="12">
        <v>388.45999999999992</v>
      </c>
      <c r="F50" s="10"/>
      <c r="J50" s="95"/>
    </row>
    <row r="51" spans="1:10" x14ac:dyDescent="0.3">
      <c r="A51" s="95" t="s">
        <v>41</v>
      </c>
      <c r="B51" s="10">
        <v>2496.1800000000026</v>
      </c>
      <c r="C51" s="10"/>
      <c r="D51" s="16" t="s">
        <v>10</v>
      </c>
      <c r="E51" s="12">
        <v>371.3</v>
      </c>
      <c r="F51" s="10"/>
      <c r="J51" s="95"/>
    </row>
    <row r="52" spans="1:10" x14ac:dyDescent="0.3">
      <c r="A52" s="95" t="s">
        <v>16</v>
      </c>
      <c r="B52" s="10">
        <v>893.99999999999989</v>
      </c>
      <c r="C52" s="10"/>
      <c r="D52" s="16" t="s">
        <v>1179</v>
      </c>
      <c r="E52" s="12">
        <v>363.43999999999994</v>
      </c>
      <c r="F52" s="10"/>
      <c r="J52" s="95"/>
    </row>
    <row r="53" spans="1:10" x14ac:dyDescent="0.3">
      <c r="A53" s="95" t="s">
        <v>26</v>
      </c>
      <c r="B53" s="10">
        <v>788.72000000000025</v>
      </c>
      <c r="C53" s="10"/>
      <c r="D53" s="16" t="s">
        <v>918</v>
      </c>
      <c r="E53" s="12">
        <v>357.59999999999997</v>
      </c>
      <c r="F53" s="10"/>
      <c r="J53" s="16"/>
    </row>
    <row r="54" spans="1:10" x14ac:dyDescent="0.3">
      <c r="A54" s="95" t="s">
        <v>33</v>
      </c>
      <c r="B54" s="10">
        <v>566.21999999999991</v>
      </c>
      <c r="C54" s="10"/>
      <c r="D54" s="16" t="s">
        <v>1165</v>
      </c>
      <c r="E54" s="12">
        <v>344.36000000000007</v>
      </c>
      <c r="F54" s="10"/>
      <c r="J54" s="95"/>
    </row>
    <row r="55" spans="1:10" x14ac:dyDescent="0.3">
      <c r="A55" s="95" t="s">
        <v>7</v>
      </c>
      <c r="B55" s="10">
        <v>1199.9999999999998</v>
      </c>
      <c r="C55" s="10"/>
      <c r="D55" s="16" t="s">
        <v>695</v>
      </c>
      <c r="E55" s="12">
        <v>338</v>
      </c>
      <c r="F55" s="10"/>
      <c r="J55" s="95"/>
    </row>
    <row r="56" spans="1:10" x14ac:dyDescent="0.3">
      <c r="A56" s="95" t="s">
        <v>5</v>
      </c>
      <c r="B56" s="10">
        <v>3615.1400000000085</v>
      </c>
      <c r="C56" s="10"/>
      <c r="D56" s="16" t="s">
        <v>1168</v>
      </c>
      <c r="E56" s="12">
        <v>337.99999999999994</v>
      </c>
      <c r="F56" s="10"/>
      <c r="J56" s="95"/>
    </row>
    <row r="57" spans="1:10" x14ac:dyDescent="0.3">
      <c r="A57" s="16" t="s">
        <v>1335</v>
      </c>
      <c r="B57" s="10">
        <v>13148.140000000014</v>
      </c>
      <c r="C57" s="10"/>
      <c r="D57" s="16" t="s">
        <v>146</v>
      </c>
      <c r="E57" s="12">
        <v>324.77999999999997</v>
      </c>
      <c r="F57" s="10"/>
      <c r="J57" s="95"/>
    </row>
    <row r="58" spans="1:10" x14ac:dyDescent="0.3">
      <c r="A58" s="95" t="s">
        <v>9</v>
      </c>
      <c r="B58" s="10">
        <v>1570.4400000000012</v>
      </c>
      <c r="C58" s="10"/>
      <c r="D58" s="16" t="s">
        <v>1210</v>
      </c>
      <c r="E58" s="12">
        <v>316.42</v>
      </c>
      <c r="F58" s="10"/>
      <c r="J58" s="95"/>
    </row>
    <row r="59" spans="1:10" x14ac:dyDescent="0.3">
      <c r="A59" s="95" t="s">
        <v>12</v>
      </c>
      <c r="B59" s="10">
        <v>3360.5400000000068</v>
      </c>
      <c r="C59" s="10"/>
      <c r="D59" s="16" t="s">
        <v>1169</v>
      </c>
      <c r="E59" s="12">
        <v>313.50000000000006</v>
      </c>
      <c r="F59" s="10"/>
      <c r="J59" s="95"/>
    </row>
    <row r="60" spans="1:10" x14ac:dyDescent="0.3">
      <c r="A60" s="95" t="s">
        <v>41</v>
      </c>
      <c r="B60" s="10">
        <v>2280.9400000000014</v>
      </c>
      <c r="C60" s="10"/>
      <c r="D60" s="16" t="s">
        <v>522</v>
      </c>
      <c r="E60" s="12">
        <v>297.33999999999997</v>
      </c>
      <c r="F60" s="10"/>
      <c r="J60" s="95"/>
    </row>
    <row r="61" spans="1:10" x14ac:dyDescent="0.3">
      <c r="A61" s="95" t="s">
        <v>16</v>
      </c>
      <c r="B61" s="10">
        <v>861.77999999999986</v>
      </c>
      <c r="C61" s="10"/>
      <c r="D61" s="16" t="s">
        <v>1046</v>
      </c>
      <c r="E61" s="12">
        <v>293.90000000000003</v>
      </c>
      <c r="F61" s="10"/>
      <c r="J61" s="95"/>
    </row>
    <row r="62" spans="1:10" x14ac:dyDescent="0.3">
      <c r="A62" s="95" t="s">
        <v>26</v>
      </c>
      <c r="B62" s="10">
        <v>1020.7600000000006</v>
      </c>
      <c r="C62" s="10"/>
      <c r="D62" s="16" t="s">
        <v>192</v>
      </c>
      <c r="E62" s="12">
        <v>291.96000000000004</v>
      </c>
      <c r="F62" s="10"/>
      <c r="J62" s="95"/>
    </row>
    <row r="63" spans="1:10" x14ac:dyDescent="0.3">
      <c r="A63" s="95" t="s">
        <v>33</v>
      </c>
      <c r="B63" s="10">
        <v>215.98000000000002</v>
      </c>
      <c r="C63" s="10"/>
      <c r="D63" s="16" t="s">
        <v>1176</v>
      </c>
      <c r="E63" s="12">
        <v>286.08</v>
      </c>
      <c r="F63" s="10"/>
      <c r="J63" s="95"/>
    </row>
    <row r="64" spans="1:10" x14ac:dyDescent="0.3">
      <c r="A64" s="95" t="s">
        <v>7</v>
      </c>
      <c r="B64" s="10">
        <v>881.7399999999999</v>
      </c>
      <c r="C64" s="10"/>
      <c r="D64" s="16" t="s">
        <v>1180</v>
      </c>
      <c r="E64" s="12">
        <v>286.08</v>
      </c>
      <c r="F64" s="10"/>
      <c r="J64" s="95"/>
    </row>
    <row r="65" spans="1:10" x14ac:dyDescent="0.3">
      <c r="A65" s="95" t="s">
        <v>5</v>
      </c>
      <c r="B65" s="10">
        <v>2955.960000000005</v>
      </c>
      <c r="C65" s="10"/>
      <c r="D65" s="16" t="s">
        <v>702</v>
      </c>
      <c r="E65" s="12">
        <v>286.08</v>
      </c>
      <c r="F65" s="10"/>
      <c r="J65" s="95"/>
    </row>
    <row r="66" spans="1:10" x14ac:dyDescent="0.3">
      <c r="A66" s="16" t="s">
        <v>1336</v>
      </c>
      <c r="B66" s="10">
        <v>12443.880000000008</v>
      </c>
      <c r="D66" s="16" t="s">
        <v>1041</v>
      </c>
      <c r="E66" s="12">
        <v>285.56</v>
      </c>
      <c r="J66" s="16"/>
    </row>
    <row r="67" spans="1:10" x14ac:dyDescent="0.3">
      <c r="A67" s="95" t="s">
        <v>9</v>
      </c>
      <c r="B67" s="10">
        <v>1148.3600000000006</v>
      </c>
      <c r="D67" s="16" t="s">
        <v>1190</v>
      </c>
      <c r="E67" s="12">
        <v>281.17999999999995</v>
      </c>
      <c r="J67" s="95"/>
    </row>
    <row r="68" spans="1:10" x14ac:dyDescent="0.3">
      <c r="A68" s="95" t="s">
        <v>12</v>
      </c>
      <c r="B68" s="10">
        <v>2732.7000000000025</v>
      </c>
      <c r="D68" s="16" t="s">
        <v>831</v>
      </c>
      <c r="E68" s="12">
        <v>272.84000000000003</v>
      </c>
      <c r="J68" s="95"/>
    </row>
    <row r="69" spans="1:10" x14ac:dyDescent="0.3">
      <c r="A69" s="95" t="s">
        <v>41</v>
      </c>
      <c r="B69" s="10">
        <v>2318.8200000000011</v>
      </c>
      <c r="D69" s="16" t="s">
        <v>204</v>
      </c>
      <c r="E69" s="12">
        <v>272.35999999999996</v>
      </c>
      <c r="J69" s="95"/>
    </row>
    <row r="70" spans="1:10" x14ac:dyDescent="0.3">
      <c r="A70" s="95" t="s">
        <v>16</v>
      </c>
      <c r="B70" s="10">
        <v>742.13999999999987</v>
      </c>
      <c r="D70" s="16" t="s">
        <v>1172</v>
      </c>
      <c r="E70" s="12">
        <v>263.04000000000002</v>
      </c>
      <c r="J70" s="95"/>
    </row>
    <row r="71" spans="1:10" x14ac:dyDescent="0.3">
      <c r="A71" s="95" t="s">
        <v>26</v>
      </c>
      <c r="B71" s="10">
        <v>990.64000000000044</v>
      </c>
      <c r="D71" s="16" t="s">
        <v>165</v>
      </c>
      <c r="E71" s="12">
        <v>259.14</v>
      </c>
      <c r="J71" s="95"/>
    </row>
    <row r="72" spans="1:10" x14ac:dyDescent="0.3">
      <c r="A72" s="95" t="s">
        <v>33</v>
      </c>
      <c r="B72" s="10">
        <v>365.86</v>
      </c>
      <c r="D72" s="16" t="s">
        <v>1174</v>
      </c>
      <c r="E72" s="12">
        <v>251.78000000000003</v>
      </c>
      <c r="J72" s="95"/>
    </row>
    <row r="73" spans="1:10" x14ac:dyDescent="0.3">
      <c r="A73" s="95" t="s">
        <v>7</v>
      </c>
      <c r="B73" s="10">
        <v>1193.8</v>
      </c>
      <c r="D73" s="16" t="s">
        <v>1222</v>
      </c>
      <c r="E73" s="12">
        <v>250.31999999999996</v>
      </c>
      <c r="J73" s="95"/>
    </row>
    <row r="74" spans="1:10" x14ac:dyDescent="0.3">
      <c r="A74" s="95" t="s">
        <v>5</v>
      </c>
      <c r="B74" s="10">
        <v>2951.5600000000049</v>
      </c>
      <c r="D74" s="16" t="s">
        <v>1201</v>
      </c>
      <c r="E74" s="12">
        <v>250.31999999999996</v>
      </c>
      <c r="J74" s="95"/>
    </row>
    <row r="75" spans="1:10" x14ac:dyDescent="0.3">
      <c r="A75" s="16" t="s">
        <v>1362</v>
      </c>
      <c r="B75" s="10">
        <v>102955.92000000011</v>
      </c>
      <c r="D75" s="16" t="s">
        <v>889</v>
      </c>
      <c r="E75" s="12">
        <v>245.41999999999996</v>
      </c>
      <c r="J75" s="95"/>
    </row>
    <row r="76" spans="1:10" x14ac:dyDescent="0.3">
      <c r="D76" s="16" t="s">
        <v>743</v>
      </c>
      <c r="E76" s="12">
        <v>245.41999999999996</v>
      </c>
      <c r="J76" s="16"/>
    </row>
    <row r="77" spans="1:10" x14ac:dyDescent="0.3">
      <c r="D77" s="16" t="s">
        <v>62</v>
      </c>
      <c r="E77" s="12">
        <v>235.12000000000003</v>
      </c>
      <c r="J77" s="95"/>
    </row>
    <row r="78" spans="1:10" x14ac:dyDescent="0.3">
      <c r="D78" s="16" t="s">
        <v>176</v>
      </c>
      <c r="E78" s="12">
        <v>234.64</v>
      </c>
      <c r="J78" s="95"/>
    </row>
    <row r="79" spans="1:10" x14ac:dyDescent="0.3">
      <c r="D79" s="16" t="s">
        <v>27</v>
      </c>
      <c r="E79" s="12">
        <v>232.2</v>
      </c>
      <c r="J79" s="95"/>
    </row>
    <row r="80" spans="1:10" x14ac:dyDescent="0.3">
      <c r="D80" s="16" t="s">
        <v>316</v>
      </c>
      <c r="E80" s="12">
        <v>232.18</v>
      </c>
      <c r="J80" s="95"/>
    </row>
    <row r="81" spans="4:10" x14ac:dyDescent="0.3">
      <c r="D81" s="16" t="s">
        <v>237</v>
      </c>
      <c r="E81" s="12">
        <v>228.26</v>
      </c>
      <c r="J81" s="95"/>
    </row>
    <row r="82" spans="4:10" x14ac:dyDescent="0.3">
      <c r="D82" s="16" t="s">
        <v>236</v>
      </c>
      <c r="E82" s="12">
        <v>226.8</v>
      </c>
      <c r="J82" s="95"/>
    </row>
    <row r="83" spans="4:10" x14ac:dyDescent="0.3">
      <c r="D83" s="16" t="s">
        <v>1215</v>
      </c>
      <c r="E83" s="12">
        <v>222.38</v>
      </c>
      <c r="J83" s="95"/>
    </row>
    <row r="84" spans="4:10" x14ac:dyDescent="0.3">
      <c r="D84" s="16" t="s">
        <v>71</v>
      </c>
      <c r="E84" s="12">
        <v>220.42000000000002</v>
      </c>
      <c r="J84" s="95"/>
    </row>
    <row r="85" spans="4:10" x14ac:dyDescent="0.3">
      <c r="D85" s="16" t="s">
        <v>166</v>
      </c>
      <c r="E85" s="12">
        <v>217.5</v>
      </c>
      <c r="J85" s="95"/>
    </row>
    <row r="86" spans="4:10" x14ac:dyDescent="0.3">
      <c r="D86" s="16" t="s">
        <v>1208</v>
      </c>
      <c r="E86" s="12">
        <v>214.55999999999997</v>
      </c>
      <c r="J86" s="95"/>
    </row>
    <row r="87" spans="4:10" x14ac:dyDescent="0.3">
      <c r="D87" s="16" t="s">
        <v>1212</v>
      </c>
      <c r="E87" s="12">
        <v>209.65999999999997</v>
      </c>
      <c r="J87" s="95"/>
    </row>
    <row r="88" spans="4:10" x14ac:dyDescent="0.3">
      <c r="D88" s="16" t="s">
        <v>89</v>
      </c>
      <c r="E88" s="12">
        <v>207.7</v>
      </c>
      <c r="J88" s="95"/>
    </row>
    <row r="89" spans="4:10" x14ac:dyDescent="0.3">
      <c r="D89" s="16" t="s">
        <v>1202</v>
      </c>
      <c r="E89" s="12">
        <v>207.68000000000004</v>
      </c>
      <c r="J89" s="16"/>
    </row>
    <row r="90" spans="4:10" x14ac:dyDescent="0.3">
      <c r="D90" s="16" t="s">
        <v>555</v>
      </c>
      <c r="E90" s="12">
        <v>206.70000000000002</v>
      </c>
      <c r="J90" s="95"/>
    </row>
    <row r="91" spans="4:10" x14ac:dyDescent="0.3">
      <c r="D91" s="16" t="s">
        <v>359</v>
      </c>
      <c r="E91" s="12">
        <v>206.7</v>
      </c>
      <c r="J91" s="95"/>
    </row>
    <row r="92" spans="4:10" x14ac:dyDescent="0.3">
      <c r="D92" s="16" t="s">
        <v>1288</v>
      </c>
      <c r="E92" s="12">
        <v>204.75999999999996</v>
      </c>
      <c r="J92" s="95"/>
    </row>
    <row r="93" spans="4:10" x14ac:dyDescent="0.3">
      <c r="D93" s="16" t="s">
        <v>323</v>
      </c>
      <c r="E93" s="12">
        <v>196.92000000000002</v>
      </c>
      <c r="J93" s="95"/>
    </row>
    <row r="94" spans="4:10" x14ac:dyDescent="0.3">
      <c r="D94" s="16" t="s">
        <v>487</v>
      </c>
      <c r="E94" s="12">
        <v>194.95999999999998</v>
      </c>
      <c r="J94" s="95"/>
    </row>
    <row r="95" spans="4:10" x14ac:dyDescent="0.3">
      <c r="D95" s="16" t="s">
        <v>81</v>
      </c>
      <c r="E95" s="12">
        <v>191.54</v>
      </c>
      <c r="J95" s="95"/>
    </row>
    <row r="96" spans="4:10" x14ac:dyDescent="0.3">
      <c r="D96" s="16" t="s">
        <v>1234</v>
      </c>
      <c r="E96" s="12">
        <v>185.16000000000003</v>
      </c>
      <c r="J96" s="95"/>
    </row>
    <row r="97" spans="4:10" x14ac:dyDescent="0.3">
      <c r="D97" s="16" t="s">
        <v>1227</v>
      </c>
      <c r="E97" s="12">
        <v>185.16</v>
      </c>
      <c r="J97" s="95"/>
    </row>
    <row r="98" spans="4:10" x14ac:dyDescent="0.3">
      <c r="D98" s="16" t="s">
        <v>854</v>
      </c>
      <c r="E98" s="12">
        <v>185.16</v>
      </c>
      <c r="J98" s="95"/>
    </row>
    <row r="99" spans="4:10" x14ac:dyDescent="0.3">
      <c r="D99" s="16" t="s">
        <v>662</v>
      </c>
      <c r="E99" s="12">
        <v>183.68</v>
      </c>
      <c r="J99" s="95"/>
    </row>
    <row r="100" spans="4:10" x14ac:dyDescent="0.3">
      <c r="D100" s="16" t="s">
        <v>269</v>
      </c>
      <c r="E100" s="12">
        <v>179.77999999999997</v>
      </c>
      <c r="J100" s="95"/>
    </row>
    <row r="101" spans="4:10" x14ac:dyDescent="0.3">
      <c r="D101" s="16" t="s">
        <v>898</v>
      </c>
      <c r="E101" s="12">
        <v>178.79999999999998</v>
      </c>
      <c r="J101" s="95"/>
    </row>
    <row r="102" spans="4:10" x14ac:dyDescent="0.3">
      <c r="D102" s="16" t="s">
        <v>715</v>
      </c>
      <c r="E102" s="12">
        <v>178.79999999999998</v>
      </c>
      <c r="J102" s="95"/>
    </row>
    <row r="103" spans="4:10" x14ac:dyDescent="0.3">
      <c r="D103" s="16" t="s">
        <v>1219</v>
      </c>
      <c r="E103" s="12">
        <v>176.82</v>
      </c>
      <c r="J103" s="16"/>
    </row>
    <row r="104" spans="4:10" x14ac:dyDescent="0.3">
      <c r="D104" s="16" t="s">
        <v>58</v>
      </c>
      <c r="E104" s="12">
        <v>174.87999999999997</v>
      </c>
      <c r="J104" s="96"/>
    </row>
    <row r="105" spans="4:10" x14ac:dyDescent="0.3">
      <c r="D105" s="16" t="s">
        <v>738</v>
      </c>
      <c r="E105" s="12">
        <v>173.89999999999998</v>
      </c>
      <c r="J105" s="96"/>
    </row>
    <row r="106" spans="4:10" x14ac:dyDescent="0.3">
      <c r="D106" s="16" t="s">
        <v>295</v>
      </c>
      <c r="E106" s="12">
        <v>173.89999999999998</v>
      </c>
      <c r="J106" s="96"/>
    </row>
    <row r="107" spans="4:10" x14ac:dyDescent="0.3">
      <c r="D107" s="16" t="s">
        <v>206</v>
      </c>
      <c r="E107" s="12">
        <v>169</v>
      </c>
      <c r="J107" s="96"/>
    </row>
    <row r="108" spans="4:10" x14ac:dyDescent="0.3">
      <c r="D108" s="16" t="s">
        <v>1015</v>
      </c>
      <c r="E108" s="12">
        <v>165.56</v>
      </c>
      <c r="J108" s="96"/>
    </row>
    <row r="109" spans="4:10" x14ac:dyDescent="0.3">
      <c r="D109" s="16" t="s">
        <v>437</v>
      </c>
      <c r="E109" s="12">
        <v>164.1</v>
      </c>
      <c r="J109" s="96"/>
    </row>
    <row r="110" spans="4:10" x14ac:dyDescent="0.3">
      <c r="D110" s="16" t="s">
        <v>396</v>
      </c>
      <c r="E110" s="12">
        <v>164.1</v>
      </c>
      <c r="J110" s="96"/>
    </row>
    <row r="111" spans="4:10" x14ac:dyDescent="0.3">
      <c r="D111" s="16" t="s">
        <v>677</v>
      </c>
      <c r="E111" s="12">
        <v>163.12</v>
      </c>
      <c r="J111" s="96"/>
    </row>
    <row r="112" spans="4:10" x14ac:dyDescent="0.3">
      <c r="D112" s="16" t="s">
        <v>270</v>
      </c>
      <c r="E112" s="12">
        <v>160.17999999999998</v>
      </c>
      <c r="J112" s="96"/>
    </row>
    <row r="113" spans="4:10" x14ac:dyDescent="0.3">
      <c r="D113" s="16" t="s">
        <v>130</v>
      </c>
      <c r="E113" s="12">
        <v>158.22000000000003</v>
      </c>
      <c r="J113" s="96"/>
    </row>
    <row r="114" spans="4:10" x14ac:dyDescent="0.3">
      <c r="D114" s="16" t="s">
        <v>207</v>
      </c>
      <c r="E114" s="12">
        <v>156.26</v>
      </c>
      <c r="J114" s="96"/>
    </row>
    <row r="115" spans="4:10" x14ac:dyDescent="0.3">
      <c r="D115" s="16" t="s">
        <v>67</v>
      </c>
      <c r="E115" s="12">
        <v>154.80000000000001</v>
      </c>
      <c r="J115" s="96"/>
    </row>
    <row r="116" spans="4:10" x14ac:dyDescent="0.3">
      <c r="D116" s="16" t="s">
        <v>1178</v>
      </c>
      <c r="E116" s="12">
        <v>154.30000000000001</v>
      </c>
      <c r="J116" s="96"/>
    </row>
    <row r="117" spans="4:10" x14ac:dyDescent="0.3">
      <c r="D117" s="16" t="s">
        <v>1229</v>
      </c>
      <c r="E117" s="12">
        <v>154.30000000000001</v>
      </c>
      <c r="J117" s="96"/>
    </row>
    <row r="118" spans="4:10" x14ac:dyDescent="0.3">
      <c r="D118" s="16" t="s">
        <v>340</v>
      </c>
      <c r="E118" s="12">
        <v>154.29999999999998</v>
      </c>
      <c r="J118" s="96"/>
    </row>
    <row r="119" spans="4:10" x14ac:dyDescent="0.3">
      <c r="D119" s="16" t="s">
        <v>543</v>
      </c>
      <c r="E119" s="12">
        <v>152.34</v>
      </c>
      <c r="J119" s="96"/>
    </row>
    <row r="120" spans="4:10" x14ac:dyDescent="0.3">
      <c r="D120" s="16" t="s">
        <v>36</v>
      </c>
      <c r="E120" s="12">
        <v>151.86000000000001</v>
      </c>
      <c r="J120" s="96"/>
    </row>
    <row r="121" spans="4:10" x14ac:dyDescent="0.3">
      <c r="D121" s="16" t="s">
        <v>215</v>
      </c>
      <c r="E121" s="12">
        <v>150.88</v>
      </c>
      <c r="J121" s="96"/>
    </row>
    <row r="122" spans="4:10" x14ac:dyDescent="0.3">
      <c r="D122" s="16" t="s">
        <v>1183</v>
      </c>
      <c r="E122" s="12">
        <v>150.86000000000001</v>
      </c>
      <c r="J122" s="96"/>
    </row>
    <row r="123" spans="4:10" x14ac:dyDescent="0.3">
      <c r="D123" s="16" t="s">
        <v>45</v>
      </c>
      <c r="E123" s="12">
        <v>148.42000000000002</v>
      </c>
      <c r="J123" s="96"/>
    </row>
    <row r="124" spans="4:10" x14ac:dyDescent="0.3">
      <c r="D124" s="16" t="s">
        <v>431</v>
      </c>
      <c r="E124" s="12">
        <v>145.48000000000002</v>
      </c>
      <c r="J124" s="96"/>
    </row>
    <row r="125" spans="4:10" x14ac:dyDescent="0.3">
      <c r="D125" s="16" t="s">
        <v>61</v>
      </c>
      <c r="E125" s="12">
        <v>145</v>
      </c>
      <c r="J125" s="96"/>
    </row>
    <row r="126" spans="4:10" x14ac:dyDescent="0.3">
      <c r="D126" s="16" t="s">
        <v>1287</v>
      </c>
      <c r="E126" s="12">
        <v>143.04</v>
      </c>
      <c r="J126" s="96"/>
    </row>
    <row r="127" spans="4:10" x14ac:dyDescent="0.3">
      <c r="D127" s="16" t="s">
        <v>1256</v>
      </c>
      <c r="E127" s="12">
        <v>143.04</v>
      </c>
      <c r="J127" s="96"/>
    </row>
    <row r="128" spans="4:10" x14ac:dyDescent="0.3">
      <c r="D128" s="16" t="s">
        <v>1224</v>
      </c>
      <c r="E128" s="12">
        <v>143.04</v>
      </c>
      <c r="J128" s="96"/>
    </row>
    <row r="129" spans="4:10" x14ac:dyDescent="0.3">
      <c r="D129" s="16" t="s">
        <v>1057</v>
      </c>
      <c r="E129" s="12">
        <v>143.04</v>
      </c>
      <c r="J129" s="96"/>
    </row>
    <row r="130" spans="4:10" x14ac:dyDescent="0.3">
      <c r="D130" s="16" t="s">
        <v>950</v>
      </c>
      <c r="E130" s="12">
        <v>143.04</v>
      </c>
      <c r="J130" s="96"/>
    </row>
    <row r="131" spans="4:10" x14ac:dyDescent="0.3">
      <c r="D131" s="16" t="s">
        <v>726</v>
      </c>
      <c r="E131" s="12">
        <v>143.04</v>
      </c>
      <c r="J131" s="96"/>
    </row>
    <row r="132" spans="4:10" x14ac:dyDescent="0.3">
      <c r="D132" s="16" t="s">
        <v>714</v>
      </c>
      <c r="E132" s="12">
        <v>143.04</v>
      </c>
      <c r="J132" s="96"/>
    </row>
    <row r="133" spans="4:10" x14ac:dyDescent="0.3">
      <c r="D133" s="16" t="s">
        <v>697</v>
      </c>
      <c r="E133" s="12">
        <v>143.04</v>
      </c>
      <c r="J133" s="96"/>
    </row>
    <row r="134" spans="4:10" x14ac:dyDescent="0.3">
      <c r="D134" s="16" t="s">
        <v>232</v>
      </c>
      <c r="E134" s="12">
        <v>141.07999999999998</v>
      </c>
      <c r="J134" s="96"/>
    </row>
    <row r="135" spans="4:10" x14ac:dyDescent="0.3">
      <c r="D135" s="16" t="s">
        <v>648</v>
      </c>
      <c r="E135" s="12">
        <v>140.1</v>
      </c>
      <c r="J135" s="96"/>
    </row>
    <row r="136" spans="4:10" x14ac:dyDescent="0.3">
      <c r="D136" s="16" t="s">
        <v>1109</v>
      </c>
      <c r="E136" s="12">
        <v>138.13999999999999</v>
      </c>
      <c r="J136" s="96"/>
    </row>
    <row r="137" spans="4:10" x14ac:dyDescent="0.3">
      <c r="D137" s="16" t="s">
        <v>341</v>
      </c>
      <c r="E137" s="12">
        <v>137.16</v>
      </c>
      <c r="J137" s="96"/>
    </row>
    <row r="138" spans="4:10" x14ac:dyDescent="0.3">
      <c r="D138" s="16" t="s">
        <v>184</v>
      </c>
      <c r="E138" s="12">
        <v>137.16</v>
      </c>
      <c r="J138" s="96"/>
    </row>
    <row r="139" spans="4:10" x14ac:dyDescent="0.3">
      <c r="D139" s="16" t="s">
        <v>154</v>
      </c>
      <c r="E139" s="12">
        <v>136.18</v>
      </c>
      <c r="J139" s="96"/>
    </row>
    <row r="140" spans="4:10" x14ac:dyDescent="0.3">
      <c r="D140" s="16" t="s">
        <v>111</v>
      </c>
      <c r="E140" s="12">
        <v>135.68</v>
      </c>
      <c r="J140" s="96"/>
    </row>
    <row r="141" spans="4:10" x14ac:dyDescent="0.3">
      <c r="D141" s="16" t="s">
        <v>420</v>
      </c>
      <c r="E141" s="12">
        <v>134.69999999999999</v>
      </c>
      <c r="J141" s="96"/>
    </row>
    <row r="142" spans="4:10" x14ac:dyDescent="0.3">
      <c r="D142" s="16" t="s">
        <v>1286</v>
      </c>
      <c r="E142" s="12">
        <v>133.24</v>
      </c>
      <c r="J142" s="96"/>
    </row>
    <row r="143" spans="4:10" x14ac:dyDescent="0.3">
      <c r="D143" s="16" t="s">
        <v>479</v>
      </c>
      <c r="E143" s="12">
        <v>132.74</v>
      </c>
      <c r="J143" s="96"/>
    </row>
    <row r="144" spans="4:10" x14ac:dyDescent="0.3">
      <c r="D144" s="16" t="s">
        <v>595</v>
      </c>
      <c r="E144" s="12">
        <v>131.28</v>
      </c>
      <c r="J144" s="96"/>
    </row>
    <row r="145" spans="4:10" x14ac:dyDescent="0.3">
      <c r="D145" s="16" t="s">
        <v>379</v>
      </c>
      <c r="E145" s="12">
        <v>131.28</v>
      </c>
      <c r="J145" s="96"/>
    </row>
    <row r="146" spans="4:10" x14ac:dyDescent="0.3">
      <c r="D146" s="16" t="s">
        <v>312</v>
      </c>
      <c r="E146" s="12">
        <v>131.27999999999997</v>
      </c>
      <c r="J146" s="96"/>
    </row>
    <row r="147" spans="4:10" x14ac:dyDescent="0.3">
      <c r="D147" s="16" t="s">
        <v>646</v>
      </c>
      <c r="E147" s="12">
        <v>129.32</v>
      </c>
      <c r="J147" s="96"/>
    </row>
    <row r="148" spans="4:10" x14ac:dyDescent="0.3">
      <c r="D148" s="16" t="s">
        <v>452</v>
      </c>
      <c r="E148" s="12">
        <v>127.35999999999999</v>
      </c>
      <c r="J148" s="96"/>
    </row>
    <row r="149" spans="4:10" x14ac:dyDescent="0.3">
      <c r="D149" s="16" t="s">
        <v>475</v>
      </c>
      <c r="E149" s="12">
        <v>124.42</v>
      </c>
      <c r="J149" s="96"/>
    </row>
    <row r="150" spans="4:10" x14ac:dyDescent="0.3">
      <c r="D150" s="16" t="s">
        <v>1181</v>
      </c>
      <c r="E150" s="12">
        <v>123.44</v>
      </c>
      <c r="J150" s="96"/>
    </row>
    <row r="151" spans="4:10" x14ac:dyDescent="0.3">
      <c r="D151" s="16" t="s">
        <v>1063</v>
      </c>
      <c r="E151" s="12">
        <v>123.44</v>
      </c>
      <c r="J151" s="96"/>
    </row>
    <row r="152" spans="4:10" x14ac:dyDescent="0.3">
      <c r="D152" s="16" t="s">
        <v>632</v>
      </c>
      <c r="E152" s="12">
        <v>122.46000000000001</v>
      </c>
      <c r="J152" s="96"/>
    </row>
    <row r="153" spans="4:10" x14ac:dyDescent="0.3">
      <c r="D153" s="16" t="s">
        <v>583</v>
      </c>
      <c r="E153" s="12">
        <v>122.46</v>
      </c>
      <c r="J153" s="96"/>
    </row>
    <row r="154" spans="4:10" x14ac:dyDescent="0.3">
      <c r="D154" s="16" t="s">
        <v>254</v>
      </c>
      <c r="E154" s="12">
        <v>122.46</v>
      </c>
      <c r="J154" s="96"/>
    </row>
    <row r="155" spans="4:10" x14ac:dyDescent="0.3">
      <c r="D155" s="16" t="s">
        <v>566</v>
      </c>
      <c r="E155" s="12">
        <v>121.48</v>
      </c>
      <c r="J155" s="96"/>
    </row>
    <row r="156" spans="4:10" x14ac:dyDescent="0.3">
      <c r="D156" s="16" t="s">
        <v>492</v>
      </c>
      <c r="E156" s="12">
        <v>121.48</v>
      </c>
      <c r="J156" s="96"/>
    </row>
    <row r="157" spans="4:10" x14ac:dyDescent="0.3">
      <c r="D157" s="16" t="s">
        <v>155</v>
      </c>
      <c r="E157" s="12">
        <v>121.47999999999999</v>
      </c>
      <c r="J157" s="96"/>
    </row>
    <row r="158" spans="4:10" x14ac:dyDescent="0.3">
      <c r="D158" s="16" t="s">
        <v>299</v>
      </c>
      <c r="E158" s="12">
        <v>119.52</v>
      </c>
      <c r="J158" s="96"/>
    </row>
    <row r="159" spans="4:10" x14ac:dyDescent="0.3">
      <c r="D159" s="16" t="s">
        <v>1081</v>
      </c>
      <c r="E159" s="12">
        <v>118.53999999999999</v>
      </c>
      <c r="J159" s="96"/>
    </row>
    <row r="160" spans="4:10" x14ac:dyDescent="0.3">
      <c r="D160" s="16" t="s">
        <v>467</v>
      </c>
      <c r="E160" s="12">
        <v>117.56</v>
      </c>
      <c r="J160" s="96"/>
    </row>
    <row r="161" spans="4:10" x14ac:dyDescent="0.3">
      <c r="D161" s="16" t="s">
        <v>103</v>
      </c>
      <c r="E161" s="12">
        <v>116.10000000000001</v>
      </c>
      <c r="J161" s="96"/>
    </row>
    <row r="162" spans="4:10" x14ac:dyDescent="0.3">
      <c r="D162" s="16" t="s">
        <v>132</v>
      </c>
      <c r="E162" s="12">
        <v>115.12</v>
      </c>
      <c r="J162" s="96"/>
    </row>
    <row r="163" spans="4:10" x14ac:dyDescent="0.3">
      <c r="D163" s="16" t="s">
        <v>1206</v>
      </c>
      <c r="E163" s="12">
        <v>113.64000000000001</v>
      </c>
      <c r="J163" s="96"/>
    </row>
    <row r="164" spans="4:10" x14ac:dyDescent="0.3">
      <c r="D164" s="16" t="s">
        <v>890</v>
      </c>
      <c r="E164" s="12">
        <v>113.64</v>
      </c>
      <c r="J164" s="96"/>
    </row>
    <row r="165" spans="4:10" x14ac:dyDescent="0.3">
      <c r="D165" s="16" t="s">
        <v>414</v>
      </c>
      <c r="E165" s="12">
        <v>112.16</v>
      </c>
      <c r="J165" s="96"/>
    </row>
    <row r="166" spans="4:10" x14ac:dyDescent="0.3">
      <c r="D166" s="16" t="s">
        <v>325</v>
      </c>
      <c r="E166" s="12">
        <v>111.19999999999999</v>
      </c>
      <c r="J166" s="96"/>
    </row>
    <row r="167" spans="4:10" x14ac:dyDescent="0.3">
      <c r="D167" s="16" t="s">
        <v>315</v>
      </c>
      <c r="E167" s="12">
        <v>108.25999999999999</v>
      </c>
      <c r="J167" s="96"/>
    </row>
    <row r="168" spans="4:10" x14ac:dyDescent="0.3">
      <c r="D168" s="16" t="s">
        <v>244</v>
      </c>
      <c r="E168" s="12">
        <v>108.25999999999999</v>
      </c>
      <c r="J168" s="96"/>
    </row>
    <row r="169" spans="4:10" x14ac:dyDescent="0.3">
      <c r="D169" s="16" t="s">
        <v>262</v>
      </c>
      <c r="E169" s="12">
        <v>108.25999999999999</v>
      </c>
      <c r="J169" s="96"/>
    </row>
    <row r="170" spans="4:10" x14ac:dyDescent="0.3">
      <c r="D170" s="16" t="s">
        <v>203</v>
      </c>
      <c r="E170" s="12">
        <v>108.25999999999999</v>
      </c>
      <c r="J170" s="96"/>
    </row>
    <row r="171" spans="4:10" x14ac:dyDescent="0.3">
      <c r="D171" s="16" t="s">
        <v>1269</v>
      </c>
      <c r="E171" s="12">
        <v>107.28</v>
      </c>
      <c r="J171" s="96"/>
    </row>
    <row r="172" spans="4:10" x14ac:dyDescent="0.3">
      <c r="D172" s="16" t="s">
        <v>1167</v>
      </c>
      <c r="E172" s="12">
        <v>107.28</v>
      </c>
      <c r="J172" s="96"/>
    </row>
    <row r="173" spans="4:10" x14ac:dyDescent="0.3">
      <c r="D173" s="16" t="s">
        <v>1271</v>
      </c>
      <c r="E173" s="12">
        <v>107.28</v>
      </c>
      <c r="J173" s="96"/>
    </row>
    <row r="174" spans="4:10" x14ac:dyDescent="0.3">
      <c r="D174" s="16" t="s">
        <v>1239</v>
      </c>
      <c r="E174" s="12">
        <v>107.28</v>
      </c>
      <c r="J174" s="96"/>
    </row>
    <row r="175" spans="4:10" x14ac:dyDescent="0.3">
      <c r="D175" s="16" t="s">
        <v>1246</v>
      </c>
      <c r="E175" s="12">
        <v>107.28</v>
      </c>
      <c r="J175" s="96"/>
    </row>
    <row r="176" spans="4:10" x14ac:dyDescent="0.3">
      <c r="D176" s="16" t="s">
        <v>1126</v>
      </c>
      <c r="E176" s="12">
        <v>107.28</v>
      </c>
      <c r="J176" s="96"/>
    </row>
    <row r="177" spans="4:10" x14ac:dyDescent="0.3">
      <c r="D177" s="16" t="s">
        <v>1197</v>
      </c>
      <c r="E177" s="12">
        <v>107.28</v>
      </c>
      <c r="J177" s="96"/>
    </row>
    <row r="178" spans="4:10" x14ac:dyDescent="0.3">
      <c r="D178" s="16" t="s">
        <v>816</v>
      </c>
      <c r="E178" s="12">
        <v>107.28</v>
      </c>
      <c r="J178" s="96"/>
    </row>
    <row r="179" spans="4:10" x14ac:dyDescent="0.3">
      <c r="D179" s="16" t="s">
        <v>915</v>
      </c>
      <c r="E179" s="12">
        <v>107.28</v>
      </c>
      <c r="J179" s="96"/>
    </row>
    <row r="180" spans="4:10" x14ac:dyDescent="0.3">
      <c r="D180" s="16" t="s">
        <v>883</v>
      </c>
      <c r="E180" s="12">
        <v>107.28</v>
      </c>
      <c r="J180" s="96"/>
    </row>
    <row r="181" spans="4:10" x14ac:dyDescent="0.3">
      <c r="D181" s="16" t="s">
        <v>840</v>
      </c>
      <c r="E181" s="12">
        <v>107.28</v>
      </c>
      <c r="J181" s="96"/>
    </row>
    <row r="182" spans="4:10" x14ac:dyDescent="0.3">
      <c r="D182" s="16" t="s">
        <v>904</v>
      </c>
      <c r="E182" s="12">
        <v>107.28</v>
      </c>
      <c r="J182" s="96"/>
    </row>
    <row r="183" spans="4:10" x14ac:dyDescent="0.3">
      <c r="D183" s="16" t="s">
        <v>799</v>
      </c>
      <c r="E183" s="12">
        <v>107.28</v>
      </c>
      <c r="J183" s="96"/>
    </row>
    <row r="184" spans="4:10" x14ac:dyDescent="0.3">
      <c r="D184" s="16" t="s">
        <v>30</v>
      </c>
      <c r="E184" s="12">
        <v>106.3</v>
      </c>
      <c r="J184" s="96"/>
    </row>
    <row r="185" spans="4:10" x14ac:dyDescent="0.3">
      <c r="D185" s="16" t="s">
        <v>209</v>
      </c>
      <c r="E185" s="12">
        <v>106.29999999999998</v>
      </c>
      <c r="J185" s="96"/>
    </row>
    <row r="186" spans="4:10" x14ac:dyDescent="0.3">
      <c r="D186" s="16" t="s">
        <v>624</v>
      </c>
      <c r="E186" s="12">
        <v>104.34</v>
      </c>
      <c r="J186" s="96"/>
    </row>
    <row r="187" spans="4:10" x14ac:dyDescent="0.3">
      <c r="D187" s="16" t="s">
        <v>676</v>
      </c>
      <c r="E187" s="12">
        <v>104.34</v>
      </c>
      <c r="J187" s="96"/>
    </row>
    <row r="188" spans="4:10" x14ac:dyDescent="0.3">
      <c r="D188" s="16" t="s">
        <v>537</v>
      </c>
      <c r="E188" s="12">
        <v>104.34</v>
      </c>
      <c r="J188" s="96"/>
    </row>
    <row r="189" spans="4:10" x14ac:dyDescent="0.3">
      <c r="D189" s="16" t="s">
        <v>311</v>
      </c>
      <c r="E189" s="12">
        <v>103.36</v>
      </c>
      <c r="J189" s="96"/>
    </row>
    <row r="190" spans="4:10" x14ac:dyDescent="0.3">
      <c r="D190" s="16" t="s">
        <v>280</v>
      </c>
      <c r="E190" s="12">
        <v>103.35999999999999</v>
      </c>
      <c r="J190" s="96"/>
    </row>
    <row r="191" spans="4:10" x14ac:dyDescent="0.3">
      <c r="D191" s="16" t="s">
        <v>191</v>
      </c>
      <c r="E191" s="12">
        <v>103.35999999999999</v>
      </c>
      <c r="J191" s="96"/>
    </row>
    <row r="192" spans="4:10" x14ac:dyDescent="0.3">
      <c r="D192" s="16" t="s">
        <v>1232</v>
      </c>
      <c r="E192" s="12">
        <v>102.38</v>
      </c>
      <c r="J192" s="96"/>
    </row>
    <row r="193" spans="4:10" x14ac:dyDescent="0.3">
      <c r="D193" s="16" t="s">
        <v>1028</v>
      </c>
      <c r="E193" s="12">
        <v>102.38</v>
      </c>
      <c r="J193" s="96"/>
    </row>
    <row r="194" spans="4:10" x14ac:dyDescent="0.3">
      <c r="D194" s="16" t="s">
        <v>932</v>
      </c>
      <c r="E194" s="12">
        <v>102.38</v>
      </c>
      <c r="J194" s="96"/>
    </row>
    <row r="195" spans="4:10" x14ac:dyDescent="0.3">
      <c r="D195" s="16" t="s">
        <v>1032</v>
      </c>
      <c r="E195" s="12">
        <v>102.38</v>
      </c>
      <c r="J195" s="96"/>
    </row>
    <row r="196" spans="4:10" x14ac:dyDescent="0.3">
      <c r="D196" s="16" t="s">
        <v>725</v>
      </c>
      <c r="E196" s="12">
        <v>102.38</v>
      </c>
      <c r="J196" s="96"/>
    </row>
    <row r="197" spans="4:10" x14ac:dyDescent="0.3">
      <c r="D197" s="16" t="s">
        <v>760</v>
      </c>
      <c r="E197" s="12">
        <v>102.38</v>
      </c>
      <c r="J197" s="96"/>
    </row>
    <row r="198" spans="4:10" x14ac:dyDescent="0.3">
      <c r="D198" s="16" t="s">
        <v>730</v>
      </c>
      <c r="E198" s="12">
        <v>102.38</v>
      </c>
      <c r="J198" s="96"/>
    </row>
    <row r="199" spans="4:10" x14ac:dyDescent="0.3">
      <c r="D199" s="16" t="s">
        <v>54</v>
      </c>
      <c r="E199" s="12">
        <v>102.38</v>
      </c>
      <c r="J199" s="96"/>
    </row>
    <row r="200" spans="4:10" x14ac:dyDescent="0.3">
      <c r="D200" s="16" t="s">
        <v>614</v>
      </c>
      <c r="E200" s="12">
        <v>101.4</v>
      </c>
      <c r="J200" s="96"/>
    </row>
    <row r="201" spans="4:10" x14ac:dyDescent="0.3">
      <c r="D201" s="16" t="s">
        <v>643</v>
      </c>
      <c r="E201" s="12">
        <v>101.4</v>
      </c>
      <c r="J201" s="96"/>
    </row>
    <row r="202" spans="4:10" x14ac:dyDescent="0.3">
      <c r="D202" s="16" t="s">
        <v>367</v>
      </c>
      <c r="E202" s="12">
        <v>101.4</v>
      </c>
      <c r="J202" s="96"/>
    </row>
    <row r="203" spans="4:10" x14ac:dyDescent="0.3">
      <c r="D203" s="16" t="s">
        <v>634</v>
      </c>
      <c r="E203" s="12">
        <v>99.44</v>
      </c>
      <c r="J203" s="96"/>
    </row>
    <row r="204" spans="4:10" x14ac:dyDescent="0.3">
      <c r="D204" s="16" t="s">
        <v>694</v>
      </c>
      <c r="E204" s="12">
        <v>99.44</v>
      </c>
      <c r="J204" s="96"/>
    </row>
    <row r="205" spans="4:10" x14ac:dyDescent="0.3">
      <c r="D205" s="16" t="s">
        <v>594</v>
      </c>
      <c r="E205" s="12">
        <v>98.460000000000008</v>
      </c>
      <c r="J205" s="96"/>
    </row>
    <row r="206" spans="4:10" x14ac:dyDescent="0.3">
      <c r="D206" s="16" t="s">
        <v>577</v>
      </c>
      <c r="E206" s="12">
        <v>98.460000000000008</v>
      </c>
      <c r="J206" s="96"/>
    </row>
    <row r="207" spans="4:10" x14ac:dyDescent="0.3">
      <c r="D207" s="16" t="s">
        <v>454</v>
      </c>
      <c r="E207" s="12">
        <v>98.460000000000008</v>
      </c>
      <c r="J207" s="96"/>
    </row>
    <row r="208" spans="4:10" x14ac:dyDescent="0.3">
      <c r="D208" s="16" t="s">
        <v>478</v>
      </c>
      <c r="E208" s="12">
        <v>98.460000000000008</v>
      </c>
      <c r="J208" s="96"/>
    </row>
    <row r="209" spans="4:10" x14ac:dyDescent="0.3">
      <c r="D209" s="16" t="s">
        <v>282</v>
      </c>
      <c r="E209" s="12">
        <v>98.460000000000008</v>
      </c>
      <c r="J209" s="96"/>
    </row>
    <row r="210" spans="4:10" x14ac:dyDescent="0.3">
      <c r="D210" s="16" t="s">
        <v>411</v>
      </c>
      <c r="E210" s="12">
        <v>98.460000000000008</v>
      </c>
      <c r="J210" s="96"/>
    </row>
    <row r="211" spans="4:10" x14ac:dyDescent="0.3">
      <c r="D211" s="16" t="s">
        <v>1204</v>
      </c>
      <c r="E211" s="12">
        <v>97.47999999999999</v>
      </c>
      <c r="J211" s="96"/>
    </row>
    <row r="212" spans="4:10" x14ac:dyDescent="0.3">
      <c r="D212" s="16" t="s">
        <v>888</v>
      </c>
      <c r="E212" s="12">
        <v>97.47999999999999</v>
      </c>
      <c r="J212" s="96"/>
    </row>
    <row r="213" spans="4:10" x14ac:dyDescent="0.3">
      <c r="D213" s="16" t="s">
        <v>935</v>
      </c>
      <c r="E213" s="12">
        <v>97.47999999999999</v>
      </c>
      <c r="J213" s="96"/>
    </row>
    <row r="214" spans="4:10" x14ac:dyDescent="0.3">
      <c r="D214" s="16" t="s">
        <v>596</v>
      </c>
      <c r="E214" s="12">
        <v>96.98</v>
      </c>
      <c r="J214" s="96"/>
    </row>
    <row r="215" spans="4:10" x14ac:dyDescent="0.3">
      <c r="D215" s="16" t="s">
        <v>591</v>
      </c>
      <c r="E215" s="12">
        <v>96.5</v>
      </c>
      <c r="J215" s="96"/>
    </row>
    <row r="216" spans="4:10" x14ac:dyDescent="0.3">
      <c r="D216" s="16" t="s">
        <v>670</v>
      </c>
      <c r="E216" s="12">
        <v>94.539999999999992</v>
      </c>
      <c r="J216" s="96"/>
    </row>
    <row r="217" spans="4:10" x14ac:dyDescent="0.3">
      <c r="D217" s="16" t="s">
        <v>484</v>
      </c>
      <c r="E217" s="12">
        <v>93.56</v>
      </c>
      <c r="J217" s="96"/>
    </row>
    <row r="218" spans="4:10" x14ac:dyDescent="0.3">
      <c r="D218" s="16" t="s">
        <v>160</v>
      </c>
      <c r="E218" s="12">
        <v>93.56</v>
      </c>
      <c r="J218" s="96"/>
    </row>
    <row r="219" spans="4:10" x14ac:dyDescent="0.3">
      <c r="D219" s="16" t="s">
        <v>198</v>
      </c>
      <c r="E219" s="12">
        <v>93.56</v>
      </c>
      <c r="J219" s="96"/>
    </row>
    <row r="220" spans="4:10" x14ac:dyDescent="0.3">
      <c r="D220" s="16" t="s">
        <v>1305</v>
      </c>
      <c r="E220" s="12">
        <v>92.58</v>
      </c>
      <c r="J220" s="96"/>
    </row>
    <row r="221" spans="4:10" x14ac:dyDescent="0.3">
      <c r="D221" s="16" t="s">
        <v>1094</v>
      </c>
      <c r="E221" s="12">
        <v>92.58</v>
      </c>
      <c r="J221" s="96"/>
    </row>
    <row r="222" spans="4:10" x14ac:dyDescent="0.3">
      <c r="D222" s="16" t="s">
        <v>781</v>
      </c>
      <c r="E222" s="12">
        <v>92.58</v>
      </c>
      <c r="J222" s="96"/>
    </row>
    <row r="223" spans="4:10" x14ac:dyDescent="0.3">
      <c r="D223" s="16" t="s">
        <v>707</v>
      </c>
      <c r="E223" s="12">
        <v>92.58</v>
      </c>
      <c r="J223" s="96"/>
    </row>
    <row r="224" spans="4:10" x14ac:dyDescent="0.3">
      <c r="D224" s="16" t="s">
        <v>748</v>
      </c>
      <c r="E224" s="12">
        <v>92.579999999999984</v>
      </c>
      <c r="J224" s="96"/>
    </row>
    <row r="225" spans="4:10" x14ac:dyDescent="0.3">
      <c r="D225" s="16" t="s">
        <v>286</v>
      </c>
      <c r="E225" s="12">
        <v>90.12</v>
      </c>
      <c r="J225" s="96"/>
    </row>
    <row r="226" spans="4:10" x14ac:dyDescent="0.3">
      <c r="D226" s="16" t="s">
        <v>391</v>
      </c>
      <c r="E226" s="12">
        <v>88.66</v>
      </c>
      <c r="J226" s="96"/>
    </row>
    <row r="227" spans="4:10" x14ac:dyDescent="0.3">
      <c r="D227" s="16" t="s">
        <v>413</v>
      </c>
      <c r="E227" s="12">
        <v>88.66</v>
      </c>
      <c r="J227" s="96"/>
    </row>
    <row r="228" spans="4:10" x14ac:dyDescent="0.3">
      <c r="D228" s="16" t="s">
        <v>1283</v>
      </c>
      <c r="E228" s="12">
        <v>87.68</v>
      </c>
      <c r="J228" s="96"/>
    </row>
    <row r="229" spans="4:10" x14ac:dyDescent="0.3">
      <c r="D229" s="16" t="s">
        <v>1237</v>
      </c>
      <c r="E229" s="12">
        <v>87.68</v>
      </c>
      <c r="J229" s="96"/>
    </row>
    <row r="230" spans="4:10" x14ac:dyDescent="0.3">
      <c r="D230" s="16" t="s">
        <v>76</v>
      </c>
      <c r="E230" s="12">
        <v>86.699999999999989</v>
      </c>
      <c r="J230" s="96"/>
    </row>
    <row r="231" spans="4:10" x14ac:dyDescent="0.3">
      <c r="D231" s="16" t="s">
        <v>107</v>
      </c>
      <c r="E231" s="12">
        <v>86.2</v>
      </c>
      <c r="J231" s="96"/>
    </row>
    <row r="232" spans="4:10" x14ac:dyDescent="0.3">
      <c r="D232" s="16" t="s">
        <v>435</v>
      </c>
      <c r="E232" s="12">
        <v>83.76</v>
      </c>
      <c r="J232" s="96"/>
    </row>
    <row r="233" spans="4:10" x14ac:dyDescent="0.3">
      <c r="D233" s="16" t="s">
        <v>193</v>
      </c>
      <c r="E233" s="12">
        <v>83.76</v>
      </c>
      <c r="J233" s="96"/>
    </row>
    <row r="234" spans="4:10" x14ac:dyDescent="0.3">
      <c r="D234" s="16" t="s">
        <v>385</v>
      </c>
      <c r="E234" s="12">
        <v>83.759999999999991</v>
      </c>
      <c r="J234" s="96"/>
    </row>
    <row r="235" spans="4:10" x14ac:dyDescent="0.3">
      <c r="D235" s="16" t="s">
        <v>525</v>
      </c>
      <c r="E235" s="12">
        <v>83.759999999999991</v>
      </c>
      <c r="J235" s="96"/>
    </row>
    <row r="236" spans="4:10" x14ac:dyDescent="0.3">
      <c r="D236" s="16" t="s">
        <v>1230</v>
      </c>
      <c r="E236" s="12">
        <v>82.78</v>
      </c>
      <c r="J236" s="96"/>
    </row>
    <row r="237" spans="4:10" x14ac:dyDescent="0.3">
      <c r="D237" s="16" t="s">
        <v>1188</v>
      </c>
      <c r="E237" s="12">
        <v>77.88</v>
      </c>
      <c r="J237" s="96"/>
    </row>
    <row r="238" spans="4:10" x14ac:dyDescent="0.3">
      <c r="D238" s="16" t="s">
        <v>1318</v>
      </c>
      <c r="E238" s="12">
        <v>77.88</v>
      </c>
      <c r="J238" s="96"/>
    </row>
    <row r="239" spans="4:10" x14ac:dyDescent="0.3">
      <c r="D239" s="16" t="s">
        <v>712</v>
      </c>
      <c r="E239" s="12">
        <v>77.88</v>
      </c>
      <c r="J239" s="96"/>
    </row>
    <row r="240" spans="4:10" x14ac:dyDescent="0.3">
      <c r="D240" s="16" t="s">
        <v>40</v>
      </c>
      <c r="E240" s="12">
        <v>77.400000000000006</v>
      </c>
      <c r="J240" s="96"/>
    </row>
    <row r="241" spans="4:10" x14ac:dyDescent="0.3">
      <c r="D241" s="16" t="s">
        <v>136</v>
      </c>
      <c r="E241" s="12">
        <v>77.400000000000006</v>
      </c>
      <c r="J241" s="96"/>
    </row>
    <row r="242" spans="4:10" x14ac:dyDescent="0.3">
      <c r="D242" s="16" t="s">
        <v>135</v>
      </c>
      <c r="E242" s="12">
        <v>77.400000000000006</v>
      </c>
      <c r="J242" s="96"/>
    </row>
    <row r="243" spans="4:10" x14ac:dyDescent="0.3">
      <c r="D243" s="16" t="s">
        <v>6</v>
      </c>
      <c r="E243" s="12">
        <v>77.400000000000006</v>
      </c>
      <c r="J243" s="96"/>
    </row>
    <row r="244" spans="4:10" x14ac:dyDescent="0.3">
      <c r="D244" s="16" t="s">
        <v>77</v>
      </c>
      <c r="E244" s="12">
        <v>77.400000000000006</v>
      </c>
      <c r="J244" s="96"/>
    </row>
    <row r="245" spans="4:10" x14ac:dyDescent="0.3">
      <c r="D245" s="16" t="s">
        <v>118</v>
      </c>
      <c r="E245" s="12">
        <v>77.400000000000006</v>
      </c>
      <c r="J245" s="96"/>
    </row>
    <row r="246" spans="4:10" x14ac:dyDescent="0.3">
      <c r="D246" s="16" t="s">
        <v>100</v>
      </c>
      <c r="E246" s="12">
        <v>77.400000000000006</v>
      </c>
      <c r="J246" s="96"/>
    </row>
    <row r="247" spans="4:10" x14ac:dyDescent="0.3">
      <c r="D247" s="16" t="s">
        <v>86</v>
      </c>
      <c r="E247" s="12">
        <v>77.400000000000006</v>
      </c>
      <c r="J247" s="96"/>
    </row>
    <row r="248" spans="4:10" x14ac:dyDescent="0.3">
      <c r="D248" s="16" t="s">
        <v>123</v>
      </c>
      <c r="E248" s="12">
        <v>77.400000000000006</v>
      </c>
      <c r="J248" s="96"/>
    </row>
    <row r="249" spans="4:10" x14ac:dyDescent="0.3">
      <c r="D249" s="16" t="s">
        <v>93</v>
      </c>
      <c r="E249" s="12">
        <v>76.42</v>
      </c>
      <c r="J249" s="96"/>
    </row>
    <row r="250" spans="4:10" x14ac:dyDescent="0.3">
      <c r="D250" s="16" t="s">
        <v>70</v>
      </c>
      <c r="E250" s="12">
        <v>76.42</v>
      </c>
      <c r="J250" s="96"/>
    </row>
    <row r="251" spans="4:10" x14ac:dyDescent="0.3">
      <c r="D251" s="16" t="s">
        <v>127</v>
      </c>
      <c r="E251" s="12">
        <v>76.42</v>
      </c>
      <c r="J251" s="96"/>
    </row>
    <row r="252" spans="4:10" x14ac:dyDescent="0.3">
      <c r="D252" s="16" t="s">
        <v>37</v>
      </c>
      <c r="E252" s="12">
        <v>76.42</v>
      </c>
      <c r="J252" s="96"/>
    </row>
    <row r="253" spans="4:10" x14ac:dyDescent="0.3">
      <c r="D253" s="16" t="s">
        <v>332</v>
      </c>
      <c r="E253" s="12">
        <v>75.44</v>
      </c>
      <c r="J253" s="96"/>
    </row>
    <row r="254" spans="4:10" x14ac:dyDescent="0.3">
      <c r="D254" s="16" t="s">
        <v>347</v>
      </c>
      <c r="E254" s="12">
        <v>75.44</v>
      </c>
      <c r="J254" s="96"/>
    </row>
    <row r="255" spans="4:10" x14ac:dyDescent="0.3">
      <c r="D255" s="16" t="s">
        <v>268</v>
      </c>
      <c r="E255" s="12">
        <v>75.44</v>
      </c>
      <c r="J255" s="96"/>
    </row>
    <row r="256" spans="4:10" x14ac:dyDescent="0.3">
      <c r="D256" s="16" t="s">
        <v>157</v>
      </c>
      <c r="E256" s="12">
        <v>75.44</v>
      </c>
      <c r="J256" s="96"/>
    </row>
    <row r="257" spans="4:10" x14ac:dyDescent="0.3">
      <c r="D257" s="16" t="s">
        <v>219</v>
      </c>
      <c r="E257" s="12">
        <v>75.44</v>
      </c>
      <c r="J257" s="96"/>
    </row>
    <row r="258" spans="4:10" x14ac:dyDescent="0.3">
      <c r="D258" s="16" t="s">
        <v>187</v>
      </c>
      <c r="E258" s="12">
        <v>75.44</v>
      </c>
      <c r="J258" s="96"/>
    </row>
    <row r="259" spans="4:10" x14ac:dyDescent="0.3">
      <c r="D259" s="16" t="s">
        <v>266</v>
      </c>
      <c r="E259" s="12">
        <v>75.44</v>
      </c>
      <c r="J259" s="96"/>
    </row>
    <row r="260" spans="4:10" x14ac:dyDescent="0.3">
      <c r="D260" s="16" t="s">
        <v>177</v>
      </c>
      <c r="E260" s="12">
        <v>75.44</v>
      </c>
      <c r="J260" s="96"/>
    </row>
    <row r="261" spans="4:10" x14ac:dyDescent="0.3">
      <c r="D261" s="16" t="s">
        <v>152</v>
      </c>
      <c r="E261" s="12">
        <v>75.44</v>
      </c>
      <c r="J261" s="96"/>
    </row>
    <row r="262" spans="4:10" x14ac:dyDescent="0.3">
      <c r="D262" s="16" t="s">
        <v>253</v>
      </c>
      <c r="E262" s="12">
        <v>75.44</v>
      </c>
      <c r="J262" s="96"/>
    </row>
    <row r="263" spans="4:10" x14ac:dyDescent="0.3">
      <c r="D263" s="16" t="s">
        <v>139</v>
      </c>
      <c r="E263" s="12">
        <v>75.44</v>
      </c>
      <c r="J263" s="96"/>
    </row>
    <row r="264" spans="4:10" x14ac:dyDescent="0.3">
      <c r="D264" s="16" t="s">
        <v>462</v>
      </c>
      <c r="E264" s="12">
        <v>73.959999999999994</v>
      </c>
      <c r="J264" s="96"/>
    </row>
    <row r="265" spans="4:10" x14ac:dyDescent="0.3">
      <c r="D265" s="16" t="s">
        <v>346</v>
      </c>
      <c r="E265" s="12">
        <v>73.47999999999999</v>
      </c>
      <c r="J265" s="96"/>
    </row>
    <row r="266" spans="4:10" x14ac:dyDescent="0.3">
      <c r="D266" s="16" t="s">
        <v>149</v>
      </c>
      <c r="E266" s="12">
        <v>73.47999999999999</v>
      </c>
      <c r="J266" s="96"/>
    </row>
    <row r="267" spans="4:10" x14ac:dyDescent="0.3">
      <c r="D267" s="16" t="s">
        <v>240</v>
      </c>
      <c r="E267" s="12">
        <v>73.47999999999999</v>
      </c>
      <c r="J267" s="96"/>
    </row>
    <row r="268" spans="4:10" x14ac:dyDescent="0.3">
      <c r="D268" s="16" t="s">
        <v>267</v>
      </c>
      <c r="E268" s="12">
        <v>73.47999999999999</v>
      </c>
      <c r="J268" s="96"/>
    </row>
    <row r="269" spans="4:10" x14ac:dyDescent="0.3">
      <c r="D269" s="16" t="s">
        <v>171</v>
      </c>
      <c r="E269" s="12">
        <v>73.47999999999999</v>
      </c>
      <c r="J269" s="96"/>
    </row>
    <row r="270" spans="4:10" x14ac:dyDescent="0.3">
      <c r="D270" s="16" t="s">
        <v>1302</v>
      </c>
      <c r="E270" s="12">
        <v>72.97999999999999</v>
      </c>
      <c r="J270" s="96"/>
    </row>
    <row r="271" spans="4:10" x14ac:dyDescent="0.3">
      <c r="D271" s="16" t="s">
        <v>113</v>
      </c>
      <c r="E271" s="12">
        <v>72.5</v>
      </c>
      <c r="J271" s="96"/>
    </row>
    <row r="272" spans="4:10" x14ac:dyDescent="0.3">
      <c r="D272" s="16" t="s">
        <v>15</v>
      </c>
      <c r="E272" s="12">
        <v>72.5</v>
      </c>
      <c r="J272" s="96"/>
    </row>
    <row r="273" spans="4:10" x14ac:dyDescent="0.3">
      <c r="D273" s="16" t="s">
        <v>88</v>
      </c>
      <c r="E273" s="12">
        <v>72.5</v>
      </c>
      <c r="J273" s="96"/>
    </row>
    <row r="274" spans="4:10" x14ac:dyDescent="0.3">
      <c r="D274" s="16" t="s">
        <v>1276</v>
      </c>
      <c r="E274" s="12">
        <v>71.52</v>
      </c>
      <c r="J274" s="96"/>
    </row>
    <row r="275" spans="4:10" x14ac:dyDescent="0.3">
      <c r="D275" s="16" t="s">
        <v>1136</v>
      </c>
      <c r="E275" s="12">
        <v>71.52</v>
      </c>
      <c r="J275" s="96"/>
    </row>
    <row r="276" spans="4:10" x14ac:dyDescent="0.3">
      <c r="D276" s="16" t="s">
        <v>1307</v>
      </c>
      <c r="E276" s="12">
        <v>71.52</v>
      </c>
      <c r="J276" s="96"/>
    </row>
    <row r="277" spans="4:10" x14ac:dyDescent="0.3">
      <c r="D277" s="16" t="s">
        <v>1110</v>
      </c>
      <c r="E277" s="12">
        <v>71.52</v>
      </c>
      <c r="J277" s="96"/>
    </row>
    <row r="278" spans="4:10" x14ac:dyDescent="0.3">
      <c r="D278" s="16" t="s">
        <v>1266</v>
      </c>
      <c r="E278" s="12">
        <v>71.52</v>
      </c>
      <c r="J278" s="96"/>
    </row>
    <row r="279" spans="4:10" x14ac:dyDescent="0.3">
      <c r="D279" s="16" t="s">
        <v>1194</v>
      </c>
      <c r="E279" s="12">
        <v>71.52</v>
      </c>
      <c r="J279" s="96"/>
    </row>
    <row r="280" spans="4:10" x14ac:dyDescent="0.3">
      <c r="D280" s="16" t="s">
        <v>1071</v>
      </c>
      <c r="E280" s="12">
        <v>71.52</v>
      </c>
      <c r="J280" s="96"/>
    </row>
    <row r="281" spans="4:10" x14ac:dyDescent="0.3">
      <c r="D281" s="16" t="s">
        <v>1291</v>
      </c>
      <c r="E281" s="12">
        <v>71.52</v>
      </c>
      <c r="J281" s="96"/>
    </row>
    <row r="282" spans="4:10" x14ac:dyDescent="0.3">
      <c r="D282" s="16" t="s">
        <v>1211</v>
      </c>
      <c r="E282" s="12">
        <v>71.52</v>
      </c>
      <c r="J282" s="96"/>
    </row>
    <row r="283" spans="4:10" x14ac:dyDescent="0.3">
      <c r="D283" s="16" t="s">
        <v>1245</v>
      </c>
      <c r="E283" s="12">
        <v>71.52</v>
      </c>
      <c r="J283" s="96"/>
    </row>
    <row r="284" spans="4:10" x14ac:dyDescent="0.3">
      <c r="D284" s="16" t="s">
        <v>1121</v>
      </c>
      <c r="E284" s="12">
        <v>71.52</v>
      </c>
      <c r="J284" s="96"/>
    </row>
    <row r="285" spans="4:10" x14ac:dyDescent="0.3">
      <c r="D285" s="16" t="s">
        <v>1258</v>
      </c>
      <c r="E285" s="12">
        <v>71.52</v>
      </c>
      <c r="J285" s="96"/>
    </row>
    <row r="286" spans="4:10" x14ac:dyDescent="0.3">
      <c r="D286" s="16" t="s">
        <v>1213</v>
      </c>
      <c r="E286" s="12">
        <v>71.52</v>
      </c>
      <c r="J286" s="96"/>
    </row>
    <row r="287" spans="4:10" x14ac:dyDescent="0.3">
      <c r="D287" s="16" t="s">
        <v>1274</v>
      </c>
      <c r="E287" s="12">
        <v>71.52</v>
      </c>
      <c r="J287" s="96"/>
    </row>
    <row r="288" spans="4:10" x14ac:dyDescent="0.3">
      <c r="D288" s="16" t="s">
        <v>1216</v>
      </c>
      <c r="E288" s="12">
        <v>71.52</v>
      </c>
      <c r="J288" s="96"/>
    </row>
    <row r="289" spans="4:10" x14ac:dyDescent="0.3">
      <c r="D289" s="16" t="s">
        <v>1078</v>
      </c>
      <c r="E289" s="12">
        <v>71.52</v>
      </c>
      <c r="J289" s="96"/>
    </row>
    <row r="290" spans="4:10" x14ac:dyDescent="0.3">
      <c r="D290" s="16" t="s">
        <v>1220</v>
      </c>
      <c r="E290" s="12">
        <v>71.52</v>
      </c>
      <c r="J290" s="96"/>
    </row>
    <row r="291" spans="4:10" x14ac:dyDescent="0.3">
      <c r="D291" s="16" t="s">
        <v>1300</v>
      </c>
      <c r="E291" s="12">
        <v>71.52</v>
      </c>
      <c r="J291" s="96"/>
    </row>
    <row r="292" spans="4:10" x14ac:dyDescent="0.3">
      <c r="D292" s="16" t="s">
        <v>1221</v>
      </c>
      <c r="E292" s="12">
        <v>71.52</v>
      </c>
      <c r="J292" s="96"/>
    </row>
    <row r="293" spans="4:10" x14ac:dyDescent="0.3">
      <c r="D293" s="16" t="s">
        <v>1306</v>
      </c>
      <c r="E293" s="12">
        <v>71.52</v>
      </c>
      <c r="J293" s="96"/>
    </row>
    <row r="294" spans="4:10" x14ac:dyDescent="0.3">
      <c r="D294" s="16" t="s">
        <v>1310</v>
      </c>
      <c r="E294" s="12">
        <v>71.52</v>
      </c>
      <c r="J294" s="96"/>
    </row>
    <row r="295" spans="4:10" x14ac:dyDescent="0.3">
      <c r="D295" s="16" t="s">
        <v>1189</v>
      </c>
      <c r="E295" s="12">
        <v>71.52</v>
      </c>
      <c r="J295" s="96"/>
    </row>
    <row r="296" spans="4:10" x14ac:dyDescent="0.3">
      <c r="D296" s="16" t="s">
        <v>1243</v>
      </c>
      <c r="E296" s="12">
        <v>71.52</v>
      </c>
      <c r="J296" s="96"/>
    </row>
    <row r="297" spans="4:10" x14ac:dyDescent="0.3">
      <c r="D297" s="16" t="s">
        <v>943</v>
      </c>
      <c r="E297" s="12">
        <v>71.52</v>
      </c>
      <c r="J297" s="96"/>
    </row>
    <row r="298" spans="4:10" x14ac:dyDescent="0.3">
      <c r="D298" s="16" t="s">
        <v>1033</v>
      </c>
      <c r="E298" s="12">
        <v>71.52</v>
      </c>
      <c r="J298" s="96"/>
    </row>
    <row r="299" spans="4:10" x14ac:dyDescent="0.3">
      <c r="D299" s="16" t="s">
        <v>1012</v>
      </c>
      <c r="E299" s="12">
        <v>71.52</v>
      </c>
      <c r="J299" s="96"/>
    </row>
    <row r="300" spans="4:10" x14ac:dyDescent="0.3">
      <c r="D300" s="16" t="s">
        <v>811</v>
      </c>
      <c r="E300" s="12">
        <v>71.52</v>
      </c>
      <c r="J300" s="96"/>
    </row>
    <row r="301" spans="4:10" x14ac:dyDescent="0.3">
      <c r="D301" s="16" t="s">
        <v>919</v>
      </c>
      <c r="E301" s="12">
        <v>71.52</v>
      </c>
      <c r="J301" s="96"/>
    </row>
    <row r="302" spans="4:10" x14ac:dyDescent="0.3">
      <c r="D302" s="16" t="s">
        <v>879</v>
      </c>
      <c r="E302" s="12">
        <v>71.52</v>
      </c>
      <c r="J302" s="96"/>
    </row>
    <row r="303" spans="4:10" x14ac:dyDescent="0.3">
      <c r="D303" s="16" t="s">
        <v>810</v>
      </c>
      <c r="E303" s="12">
        <v>71.52</v>
      </c>
      <c r="J303" s="96"/>
    </row>
    <row r="304" spans="4:10" x14ac:dyDescent="0.3">
      <c r="D304" s="16" t="s">
        <v>903</v>
      </c>
      <c r="E304" s="12">
        <v>71.52</v>
      </c>
      <c r="J304" s="96"/>
    </row>
    <row r="305" spans="4:10" x14ac:dyDescent="0.3">
      <c r="D305" s="16" t="s">
        <v>1022</v>
      </c>
      <c r="E305" s="12">
        <v>71.52</v>
      </c>
      <c r="J305" s="96"/>
    </row>
    <row r="306" spans="4:10" x14ac:dyDescent="0.3">
      <c r="D306" s="16" t="s">
        <v>822</v>
      </c>
      <c r="E306" s="12">
        <v>71.52</v>
      </c>
      <c r="J306" s="96"/>
    </row>
    <row r="307" spans="4:10" x14ac:dyDescent="0.3">
      <c r="D307" s="16" t="s">
        <v>1037</v>
      </c>
      <c r="E307" s="12">
        <v>71.52</v>
      </c>
      <c r="J307" s="96"/>
    </row>
    <row r="308" spans="4:10" x14ac:dyDescent="0.3">
      <c r="D308" s="16" t="s">
        <v>912</v>
      </c>
      <c r="E308" s="12">
        <v>71.52</v>
      </c>
      <c r="J308" s="96"/>
    </row>
    <row r="309" spans="4:10" x14ac:dyDescent="0.3">
      <c r="D309" s="16" t="s">
        <v>934</v>
      </c>
      <c r="E309" s="12">
        <v>71.52</v>
      </c>
      <c r="J309" s="96"/>
    </row>
    <row r="310" spans="4:10" x14ac:dyDescent="0.3">
      <c r="D310" s="16" t="s">
        <v>752</v>
      </c>
      <c r="E310" s="12">
        <v>71.52</v>
      </c>
      <c r="J310" s="96"/>
    </row>
    <row r="311" spans="4:10" x14ac:dyDescent="0.3">
      <c r="D311" s="16" t="s">
        <v>770</v>
      </c>
      <c r="E311" s="12">
        <v>71.52</v>
      </c>
      <c r="J311" s="96"/>
    </row>
    <row r="312" spans="4:10" x14ac:dyDescent="0.3">
      <c r="D312" s="16" t="s">
        <v>795</v>
      </c>
      <c r="E312" s="12">
        <v>71.52</v>
      </c>
      <c r="J312" s="96"/>
    </row>
    <row r="313" spans="4:10" x14ac:dyDescent="0.3">
      <c r="D313" s="16" t="s">
        <v>727</v>
      </c>
      <c r="E313" s="12">
        <v>71.52</v>
      </c>
      <c r="J313" s="96"/>
    </row>
    <row r="314" spans="4:10" x14ac:dyDescent="0.3">
      <c r="D314" s="16" t="s">
        <v>791</v>
      </c>
      <c r="E314" s="12">
        <v>71.52</v>
      </c>
      <c r="J314" s="96"/>
    </row>
    <row r="315" spans="4:10" x14ac:dyDescent="0.3">
      <c r="D315" s="16" t="s">
        <v>698</v>
      </c>
      <c r="E315" s="12">
        <v>71.52</v>
      </c>
      <c r="J315" s="96"/>
    </row>
    <row r="316" spans="4:10" x14ac:dyDescent="0.3">
      <c r="D316" s="16" t="s">
        <v>758</v>
      </c>
      <c r="E316" s="12">
        <v>71.52</v>
      </c>
      <c r="J316" s="96"/>
    </row>
    <row r="317" spans="4:10" x14ac:dyDescent="0.3">
      <c r="D317" s="16" t="s">
        <v>734</v>
      </c>
      <c r="E317" s="12">
        <v>71.52</v>
      </c>
      <c r="J317" s="96"/>
    </row>
    <row r="318" spans="4:10" x14ac:dyDescent="0.3">
      <c r="D318" s="16" t="s">
        <v>763</v>
      </c>
      <c r="E318" s="12">
        <v>71.52</v>
      </c>
      <c r="J318" s="96"/>
    </row>
    <row r="319" spans="4:10" x14ac:dyDescent="0.3">
      <c r="D319" s="16" t="s">
        <v>737</v>
      </c>
      <c r="E319" s="12">
        <v>71.52</v>
      </c>
      <c r="J319" s="96"/>
    </row>
    <row r="320" spans="4:10" x14ac:dyDescent="0.3">
      <c r="D320" s="16" t="s">
        <v>801</v>
      </c>
      <c r="E320" s="12">
        <v>71.52</v>
      </c>
      <c r="J320" s="96"/>
    </row>
    <row r="321" spans="4:10" x14ac:dyDescent="0.3">
      <c r="D321" s="16" t="s">
        <v>741</v>
      </c>
      <c r="E321" s="12">
        <v>71.52</v>
      </c>
      <c r="J321" s="96"/>
    </row>
    <row r="322" spans="4:10" x14ac:dyDescent="0.3">
      <c r="D322" s="16" t="s">
        <v>793</v>
      </c>
      <c r="E322" s="12">
        <v>71.52</v>
      </c>
      <c r="J322" s="96"/>
    </row>
    <row r="323" spans="4:10" x14ac:dyDescent="0.3">
      <c r="D323" s="16" t="s">
        <v>713</v>
      </c>
      <c r="E323" s="12">
        <v>71.52</v>
      </c>
      <c r="J323" s="96"/>
    </row>
    <row r="324" spans="4:10" x14ac:dyDescent="0.3">
      <c r="D324" s="16" t="s">
        <v>800</v>
      </c>
      <c r="E324" s="12">
        <v>71.52</v>
      </c>
      <c r="J324" s="96"/>
    </row>
    <row r="325" spans="4:10" x14ac:dyDescent="0.3">
      <c r="D325" s="16" t="s">
        <v>719</v>
      </c>
      <c r="E325" s="12">
        <v>71.52</v>
      </c>
      <c r="J325" s="96"/>
    </row>
    <row r="326" spans="4:10" x14ac:dyDescent="0.3">
      <c r="D326" s="16" t="s">
        <v>803</v>
      </c>
      <c r="E326" s="12">
        <v>71.52</v>
      </c>
      <c r="J326" s="96"/>
    </row>
    <row r="327" spans="4:10" x14ac:dyDescent="0.3">
      <c r="D327" s="16" t="s">
        <v>363</v>
      </c>
      <c r="E327" s="12">
        <v>70.539999999999992</v>
      </c>
      <c r="J327" s="96"/>
    </row>
    <row r="328" spans="4:10" x14ac:dyDescent="0.3">
      <c r="D328" s="16" t="s">
        <v>351</v>
      </c>
      <c r="E328" s="12">
        <v>70.539999999999992</v>
      </c>
      <c r="J328" s="96"/>
    </row>
    <row r="329" spans="4:10" x14ac:dyDescent="0.3">
      <c r="D329" s="16" t="s">
        <v>190</v>
      </c>
      <c r="E329" s="12">
        <v>70.539999999999992</v>
      </c>
      <c r="J329" s="96"/>
    </row>
    <row r="330" spans="4:10" x14ac:dyDescent="0.3">
      <c r="D330" s="16" t="s">
        <v>180</v>
      </c>
      <c r="E330" s="12">
        <v>70.539999999999992</v>
      </c>
      <c r="J330" s="96"/>
    </row>
    <row r="331" spans="4:10" x14ac:dyDescent="0.3">
      <c r="D331" s="16" t="s">
        <v>217</v>
      </c>
      <c r="E331" s="12">
        <v>70.539999999999992</v>
      </c>
      <c r="J331" s="96"/>
    </row>
    <row r="332" spans="4:10" x14ac:dyDescent="0.3">
      <c r="D332" s="16" t="s">
        <v>178</v>
      </c>
      <c r="E332" s="12">
        <v>70.539999999999992</v>
      </c>
      <c r="J332" s="96"/>
    </row>
    <row r="333" spans="4:10" x14ac:dyDescent="0.3">
      <c r="D333" s="16" t="s">
        <v>161</v>
      </c>
      <c r="E333" s="12">
        <v>70.539999999999992</v>
      </c>
      <c r="J333" s="96"/>
    </row>
    <row r="334" spans="4:10" x14ac:dyDescent="0.3">
      <c r="D334" s="16" t="s">
        <v>610</v>
      </c>
      <c r="E334" s="12">
        <v>68.58</v>
      </c>
      <c r="J334" s="96"/>
    </row>
    <row r="335" spans="4:10" x14ac:dyDescent="0.3">
      <c r="D335" s="16" t="s">
        <v>418</v>
      </c>
      <c r="E335" s="12">
        <v>68.58</v>
      </c>
      <c r="J335" s="96"/>
    </row>
    <row r="336" spans="4:10" x14ac:dyDescent="0.3">
      <c r="D336" s="16" t="s">
        <v>457</v>
      </c>
      <c r="E336" s="12">
        <v>68.58</v>
      </c>
      <c r="J336" s="96"/>
    </row>
    <row r="337" spans="4:10" x14ac:dyDescent="0.3">
      <c r="D337" s="16" t="s">
        <v>421</v>
      </c>
      <c r="E337" s="12">
        <v>68.58</v>
      </c>
      <c r="J337" s="96"/>
    </row>
    <row r="338" spans="4:10" x14ac:dyDescent="0.3">
      <c r="D338" s="16" t="s">
        <v>39</v>
      </c>
      <c r="E338" s="12">
        <v>67.599999999999994</v>
      </c>
      <c r="J338" s="96"/>
    </row>
    <row r="339" spans="4:10" x14ac:dyDescent="0.3">
      <c r="D339" s="16" t="s">
        <v>55</v>
      </c>
      <c r="E339" s="12">
        <v>67.599999999999994</v>
      </c>
      <c r="J339" s="96"/>
    </row>
    <row r="340" spans="4:10" x14ac:dyDescent="0.3">
      <c r="D340" s="16" t="s">
        <v>137</v>
      </c>
      <c r="E340" s="12">
        <v>67.599999999999994</v>
      </c>
      <c r="J340" s="96"/>
    </row>
    <row r="341" spans="4:10" x14ac:dyDescent="0.3">
      <c r="D341" s="16" t="s">
        <v>60</v>
      </c>
      <c r="E341" s="12">
        <v>67.599999999999994</v>
      </c>
      <c r="J341" s="96"/>
    </row>
    <row r="342" spans="4:10" x14ac:dyDescent="0.3">
      <c r="D342" s="16" t="s">
        <v>47</v>
      </c>
      <c r="E342" s="12">
        <v>67.599999999999994</v>
      </c>
      <c r="J342" s="96"/>
    </row>
    <row r="343" spans="4:10" x14ac:dyDescent="0.3">
      <c r="D343" s="16" t="s">
        <v>59</v>
      </c>
      <c r="E343" s="12">
        <v>67.599999999999994</v>
      </c>
      <c r="J343" s="96"/>
    </row>
    <row r="344" spans="4:10" x14ac:dyDescent="0.3">
      <c r="D344" s="16" t="s">
        <v>110</v>
      </c>
      <c r="E344" s="12">
        <v>67.599999999999994</v>
      </c>
      <c r="J344" s="96"/>
    </row>
    <row r="345" spans="4:10" x14ac:dyDescent="0.3">
      <c r="D345" s="16" t="s">
        <v>97</v>
      </c>
      <c r="E345" s="12">
        <v>67.599999999999994</v>
      </c>
      <c r="J345" s="96"/>
    </row>
    <row r="346" spans="4:10" x14ac:dyDescent="0.3">
      <c r="D346" s="16" t="s">
        <v>1103</v>
      </c>
      <c r="E346" s="12">
        <v>66.62</v>
      </c>
      <c r="J346" s="96"/>
    </row>
    <row r="347" spans="4:10" x14ac:dyDescent="0.3">
      <c r="D347" s="16" t="s">
        <v>861</v>
      </c>
      <c r="E347" s="12">
        <v>66.62</v>
      </c>
      <c r="J347" s="96"/>
    </row>
    <row r="348" spans="4:10" x14ac:dyDescent="0.3">
      <c r="D348" s="16" t="s">
        <v>908</v>
      </c>
      <c r="E348" s="12">
        <v>66.62</v>
      </c>
      <c r="J348" s="96"/>
    </row>
    <row r="349" spans="4:10" x14ac:dyDescent="0.3">
      <c r="D349" s="16" t="s">
        <v>783</v>
      </c>
      <c r="E349" s="12">
        <v>66.62</v>
      </c>
      <c r="J349" s="96"/>
    </row>
    <row r="350" spans="4:10" x14ac:dyDescent="0.3">
      <c r="D350" s="16" t="s">
        <v>666</v>
      </c>
      <c r="E350" s="12">
        <v>65.64</v>
      </c>
      <c r="J350" s="96"/>
    </row>
    <row r="351" spans="4:10" x14ac:dyDescent="0.3">
      <c r="D351" s="16" t="s">
        <v>633</v>
      </c>
      <c r="E351" s="12">
        <v>65.64</v>
      </c>
      <c r="J351" s="96"/>
    </row>
    <row r="352" spans="4:10" x14ac:dyDescent="0.3">
      <c r="D352" s="16" t="s">
        <v>656</v>
      </c>
      <c r="E352" s="12">
        <v>65.64</v>
      </c>
      <c r="J352" s="96"/>
    </row>
    <row r="353" spans="4:10" x14ac:dyDescent="0.3">
      <c r="D353" s="16" t="s">
        <v>521</v>
      </c>
      <c r="E353" s="12">
        <v>65.64</v>
      </c>
      <c r="J353" s="96"/>
    </row>
    <row r="354" spans="4:10" x14ac:dyDescent="0.3">
      <c r="D354" s="16" t="s">
        <v>503</v>
      </c>
      <c r="E354" s="12">
        <v>65.64</v>
      </c>
      <c r="J354" s="96"/>
    </row>
    <row r="355" spans="4:10" x14ac:dyDescent="0.3">
      <c r="D355" s="16" t="s">
        <v>468</v>
      </c>
      <c r="E355" s="12">
        <v>65.64</v>
      </c>
      <c r="J355" s="96"/>
    </row>
    <row r="356" spans="4:10" x14ac:dyDescent="0.3">
      <c r="D356" s="16" t="s">
        <v>395</v>
      </c>
      <c r="E356" s="12">
        <v>65.64</v>
      </c>
      <c r="J356" s="96"/>
    </row>
    <row r="357" spans="4:10" x14ac:dyDescent="0.3">
      <c r="D357" s="16" t="s">
        <v>511</v>
      </c>
      <c r="E357" s="12">
        <v>65.64</v>
      </c>
      <c r="J357" s="96"/>
    </row>
    <row r="358" spans="4:10" x14ac:dyDescent="0.3">
      <c r="D358" s="16" t="s">
        <v>426</v>
      </c>
      <c r="E358" s="12">
        <v>65.64</v>
      </c>
      <c r="J358" s="96"/>
    </row>
    <row r="359" spans="4:10" x14ac:dyDescent="0.3">
      <c r="D359" s="16" t="s">
        <v>334</v>
      </c>
      <c r="E359" s="12">
        <v>65.64</v>
      </c>
      <c r="J359" s="96"/>
    </row>
    <row r="360" spans="4:10" x14ac:dyDescent="0.3">
      <c r="D360" s="16" t="s">
        <v>250</v>
      </c>
      <c r="E360" s="12">
        <v>65.64</v>
      </c>
      <c r="J360" s="96"/>
    </row>
    <row r="361" spans="4:10" x14ac:dyDescent="0.3">
      <c r="D361" s="16" t="s">
        <v>168</v>
      </c>
      <c r="E361" s="12">
        <v>65.64</v>
      </c>
      <c r="J361" s="96"/>
    </row>
    <row r="362" spans="4:10" x14ac:dyDescent="0.3">
      <c r="D362" s="16" t="s">
        <v>145</v>
      </c>
      <c r="E362" s="12">
        <v>65.64</v>
      </c>
      <c r="J362" s="96"/>
    </row>
    <row r="363" spans="4:10" x14ac:dyDescent="0.3">
      <c r="D363" s="16" t="s">
        <v>243</v>
      </c>
      <c r="E363" s="12">
        <v>65.64</v>
      </c>
      <c r="J363" s="96"/>
    </row>
    <row r="364" spans="4:10" x14ac:dyDescent="0.3">
      <c r="D364" s="16" t="s">
        <v>230</v>
      </c>
      <c r="E364" s="12">
        <v>65.64</v>
      </c>
      <c r="J364" s="96"/>
    </row>
    <row r="365" spans="4:10" x14ac:dyDescent="0.3">
      <c r="D365" s="16" t="s">
        <v>233</v>
      </c>
      <c r="E365" s="12">
        <v>65.64</v>
      </c>
      <c r="J365" s="96"/>
    </row>
    <row r="366" spans="4:10" x14ac:dyDescent="0.3">
      <c r="D366" s="16" t="s">
        <v>142</v>
      </c>
      <c r="E366" s="12">
        <v>65.64</v>
      </c>
      <c r="J366" s="96"/>
    </row>
    <row r="367" spans="4:10" x14ac:dyDescent="0.3">
      <c r="D367" s="16" t="s">
        <v>96</v>
      </c>
      <c r="E367" s="12">
        <v>64.66</v>
      </c>
      <c r="J367" s="96"/>
    </row>
    <row r="368" spans="4:10" x14ac:dyDescent="0.3">
      <c r="D368" s="16" t="s">
        <v>597</v>
      </c>
      <c r="E368" s="12">
        <v>63.68</v>
      </c>
      <c r="J368" s="96"/>
    </row>
    <row r="369" spans="4:10" x14ac:dyDescent="0.3">
      <c r="D369" s="16" t="s">
        <v>562</v>
      </c>
      <c r="E369" s="12">
        <v>63.68</v>
      </c>
      <c r="J369" s="96"/>
    </row>
    <row r="370" spans="4:10" x14ac:dyDescent="0.3">
      <c r="D370" s="16" t="s">
        <v>273</v>
      </c>
      <c r="E370" s="12">
        <v>63.68</v>
      </c>
      <c r="J370" s="96"/>
    </row>
    <row r="371" spans="4:10" x14ac:dyDescent="0.3">
      <c r="D371" s="16" t="s">
        <v>1214</v>
      </c>
      <c r="E371" s="12">
        <v>63.179999999999993</v>
      </c>
      <c r="J371" s="96"/>
    </row>
    <row r="372" spans="4:10" x14ac:dyDescent="0.3">
      <c r="D372" s="16" t="s">
        <v>1249</v>
      </c>
      <c r="E372" s="12">
        <v>63.179999999999993</v>
      </c>
      <c r="J372" s="96"/>
    </row>
    <row r="373" spans="4:10" x14ac:dyDescent="0.3">
      <c r="D373" s="16" t="s">
        <v>134</v>
      </c>
      <c r="E373" s="12">
        <v>62.699999999999996</v>
      </c>
      <c r="J373" s="96"/>
    </row>
    <row r="374" spans="4:10" x14ac:dyDescent="0.3">
      <c r="D374" s="16" t="s">
        <v>73</v>
      </c>
      <c r="E374" s="12">
        <v>62.699999999999996</v>
      </c>
      <c r="J374" s="96"/>
    </row>
    <row r="375" spans="4:10" x14ac:dyDescent="0.3">
      <c r="D375" s="16" t="s">
        <v>1259</v>
      </c>
      <c r="E375" s="12">
        <v>61.72</v>
      </c>
      <c r="J375" s="96"/>
    </row>
    <row r="376" spans="4:10" x14ac:dyDescent="0.3">
      <c r="D376" s="16" t="s">
        <v>1146</v>
      </c>
      <c r="E376" s="12">
        <v>61.72</v>
      </c>
      <c r="J376" s="96"/>
    </row>
    <row r="377" spans="4:10" x14ac:dyDescent="0.3">
      <c r="D377" s="16" t="s">
        <v>1279</v>
      </c>
      <c r="E377" s="12">
        <v>61.72</v>
      </c>
      <c r="J377" s="96"/>
    </row>
    <row r="378" spans="4:10" x14ac:dyDescent="0.3">
      <c r="D378" s="16" t="s">
        <v>1260</v>
      </c>
      <c r="E378" s="12">
        <v>61.72</v>
      </c>
      <c r="J378" s="96"/>
    </row>
    <row r="379" spans="4:10" x14ac:dyDescent="0.3">
      <c r="D379" s="16" t="s">
        <v>1231</v>
      </c>
      <c r="E379" s="12">
        <v>61.72</v>
      </c>
      <c r="J379" s="96"/>
    </row>
    <row r="380" spans="4:10" x14ac:dyDescent="0.3">
      <c r="D380" s="16" t="s">
        <v>1262</v>
      </c>
      <c r="E380" s="12">
        <v>61.72</v>
      </c>
      <c r="J380" s="96"/>
    </row>
    <row r="381" spans="4:10" x14ac:dyDescent="0.3">
      <c r="D381" s="16" t="s">
        <v>1144</v>
      </c>
      <c r="E381" s="12">
        <v>61.72</v>
      </c>
      <c r="J381" s="96"/>
    </row>
    <row r="382" spans="4:10" x14ac:dyDescent="0.3">
      <c r="D382" s="16" t="s">
        <v>1186</v>
      </c>
      <c r="E382" s="12">
        <v>61.72</v>
      </c>
      <c r="J382" s="96"/>
    </row>
    <row r="383" spans="4:10" x14ac:dyDescent="0.3">
      <c r="D383" s="16" t="s">
        <v>1145</v>
      </c>
      <c r="E383" s="12">
        <v>61.72</v>
      </c>
      <c r="J383" s="96"/>
    </row>
    <row r="384" spans="4:10" x14ac:dyDescent="0.3">
      <c r="D384" s="16" t="s">
        <v>1268</v>
      </c>
      <c r="E384" s="12">
        <v>61.72</v>
      </c>
      <c r="J384" s="16"/>
    </row>
    <row r="385" spans="4:10" x14ac:dyDescent="0.3">
      <c r="D385" s="16" t="s">
        <v>1199</v>
      </c>
      <c r="E385" s="12">
        <v>61.72</v>
      </c>
      <c r="J385" s="96"/>
    </row>
    <row r="386" spans="4:10" x14ac:dyDescent="0.3">
      <c r="D386" s="16" t="s">
        <v>863</v>
      </c>
      <c r="E386" s="12">
        <v>61.72</v>
      </c>
      <c r="J386" s="96"/>
    </row>
    <row r="387" spans="4:10" x14ac:dyDescent="0.3">
      <c r="D387" s="16" t="s">
        <v>1026</v>
      </c>
      <c r="E387" s="12">
        <v>61.72</v>
      </c>
      <c r="J387" s="96"/>
    </row>
    <row r="388" spans="4:10" x14ac:dyDescent="0.3">
      <c r="D388" s="16" t="s">
        <v>874</v>
      </c>
      <c r="E388" s="12">
        <v>61.72</v>
      </c>
      <c r="J388" s="96"/>
    </row>
    <row r="389" spans="4:10" x14ac:dyDescent="0.3">
      <c r="D389" s="16" t="s">
        <v>968</v>
      </c>
      <c r="E389" s="12">
        <v>61.72</v>
      </c>
      <c r="J389" s="96"/>
    </row>
    <row r="390" spans="4:10" x14ac:dyDescent="0.3">
      <c r="D390" s="16" t="s">
        <v>1049</v>
      </c>
      <c r="E390" s="12">
        <v>61.72</v>
      </c>
      <c r="J390" s="96"/>
    </row>
    <row r="391" spans="4:10" x14ac:dyDescent="0.3">
      <c r="D391" s="16" t="s">
        <v>988</v>
      </c>
      <c r="E391" s="12">
        <v>61.72</v>
      </c>
      <c r="J391" s="16"/>
    </row>
    <row r="392" spans="4:10" x14ac:dyDescent="0.3">
      <c r="D392" s="16" t="s">
        <v>1020</v>
      </c>
      <c r="E392" s="12">
        <v>61.72</v>
      </c>
    </row>
    <row r="393" spans="4:10" x14ac:dyDescent="0.3">
      <c r="D393" s="16" t="s">
        <v>722</v>
      </c>
      <c r="E393" s="12">
        <v>61.72</v>
      </c>
    </row>
    <row r="394" spans="4:10" x14ac:dyDescent="0.3">
      <c r="D394" s="16" t="s">
        <v>739</v>
      </c>
      <c r="E394" s="12">
        <v>61.72</v>
      </c>
    </row>
    <row r="395" spans="4:10" x14ac:dyDescent="0.3">
      <c r="D395" s="16" t="s">
        <v>729</v>
      </c>
      <c r="E395" s="12">
        <v>61.72</v>
      </c>
    </row>
    <row r="396" spans="4:10" x14ac:dyDescent="0.3">
      <c r="D396" s="16" t="s">
        <v>699</v>
      </c>
      <c r="E396" s="12">
        <v>61.72</v>
      </c>
    </row>
    <row r="397" spans="4:10" x14ac:dyDescent="0.3">
      <c r="D397" s="16" t="s">
        <v>757</v>
      </c>
      <c r="E397" s="12">
        <v>61.72</v>
      </c>
    </row>
    <row r="398" spans="4:10" x14ac:dyDescent="0.3">
      <c r="D398" s="16" t="s">
        <v>703</v>
      </c>
      <c r="E398" s="12">
        <v>61.72</v>
      </c>
    </row>
    <row r="399" spans="4:10" x14ac:dyDescent="0.3">
      <c r="D399" s="16" t="s">
        <v>779</v>
      </c>
      <c r="E399" s="12">
        <v>61.72</v>
      </c>
    </row>
    <row r="400" spans="4:10" x14ac:dyDescent="0.3">
      <c r="D400" s="16" t="s">
        <v>664</v>
      </c>
      <c r="E400" s="12">
        <v>60.74</v>
      </c>
    </row>
    <row r="401" spans="4:5" x14ac:dyDescent="0.3">
      <c r="D401" s="16" t="s">
        <v>561</v>
      </c>
      <c r="E401" s="12">
        <v>60.74</v>
      </c>
    </row>
    <row r="402" spans="4:5" x14ac:dyDescent="0.3">
      <c r="D402" s="16" t="s">
        <v>638</v>
      </c>
      <c r="E402" s="12">
        <v>60.74</v>
      </c>
    </row>
    <row r="403" spans="4:5" x14ac:dyDescent="0.3">
      <c r="D403" s="16" t="s">
        <v>611</v>
      </c>
      <c r="E403" s="12">
        <v>60.74</v>
      </c>
    </row>
    <row r="404" spans="4:5" x14ac:dyDescent="0.3">
      <c r="D404" s="16" t="s">
        <v>563</v>
      </c>
      <c r="E404" s="12">
        <v>60.74</v>
      </c>
    </row>
    <row r="405" spans="4:5" x14ac:dyDescent="0.3">
      <c r="D405" s="16" t="s">
        <v>661</v>
      </c>
      <c r="E405" s="12">
        <v>60.74</v>
      </c>
    </row>
    <row r="406" spans="4:5" x14ac:dyDescent="0.3">
      <c r="D406" s="16" t="s">
        <v>398</v>
      </c>
      <c r="E406" s="12">
        <v>60.74</v>
      </c>
    </row>
    <row r="407" spans="4:5" x14ac:dyDescent="0.3">
      <c r="D407" s="16" t="s">
        <v>496</v>
      </c>
      <c r="E407" s="12">
        <v>60.74</v>
      </c>
    </row>
    <row r="408" spans="4:5" x14ac:dyDescent="0.3">
      <c r="D408" s="16" t="s">
        <v>432</v>
      </c>
      <c r="E408" s="12">
        <v>60.74</v>
      </c>
    </row>
    <row r="409" spans="4:5" x14ac:dyDescent="0.3">
      <c r="D409" s="16" t="s">
        <v>524</v>
      </c>
      <c r="E409" s="12">
        <v>60.74</v>
      </c>
    </row>
    <row r="410" spans="4:5" x14ac:dyDescent="0.3">
      <c r="D410" s="16" t="s">
        <v>474</v>
      </c>
      <c r="E410" s="12">
        <v>60.74</v>
      </c>
    </row>
    <row r="411" spans="4:5" x14ac:dyDescent="0.3">
      <c r="D411" s="16" t="s">
        <v>189</v>
      </c>
      <c r="E411" s="12">
        <v>60.74</v>
      </c>
    </row>
    <row r="412" spans="4:5" x14ac:dyDescent="0.3">
      <c r="D412" s="16" t="s">
        <v>331</v>
      </c>
      <c r="E412" s="12">
        <v>60.739999999999995</v>
      </c>
    </row>
    <row r="413" spans="4:5" x14ac:dyDescent="0.3">
      <c r="D413" s="16" t="s">
        <v>307</v>
      </c>
      <c r="E413" s="12">
        <v>60.739999999999995</v>
      </c>
    </row>
    <row r="414" spans="4:5" x14ac:dyDescent="0.3">
      <c r="D414" s="16" t="s">
        <v>66</v>
      </c>
      <c r="E414" s="12">
        <v>59.76</v>
      </c>
    </row>
    <row r="415" spans="4:5" x14ac:dyDescent="0.3">
      <c r="D415" s="16" t="s">
        <v>645</v>
      </c>
      <c r="E415" s="12">
        <v>58.78</v>
      </c>
    </row>
    <row r="416" spans="4:5" x14ac:dyDescent="0.3">
      <c r="D416" s="16" t="s">
        <v>545</v>
      </c>
      <c r="E416" s="12">
        <v>58.78</v>
      </c>
    </row>
    <row r="417" spans="4:5" x14ac:dyDescent="0.3">
      <c r="D417" s="16" t="s">
        <v>277</v>
      </c>
      <c r="E417" s="12">
        <v>58.78</v>
      </c>
    </row>
    <row r="418" spans="4:5" x14ac:dyDescent="0.3">
      <c r="D418" s="16" t="s">
        <v>439</v>
      </c>
      <c r="E418" s="12">
        <v>58.78</v>
      </c>
    </row>
    <row r="419" spans="4:5" x14ac:dyDescent="0.3">
      <c r="D419" s="16" t="s">
        <v>530</v>
      </c>
      <c r="E419" s="12">
        <v>58.78</v>
      </c>
    </row>
    <row r="420" spans="4:5" x14ac:dyDescent="0.3">
      <c r="D420" s="16" t="s">
        <v>44</v>
      </c>
      <c r="E420" s="12">
        <v>57.8</v>
      </c>
    </row>
    <row r="421" spans="4:5" x14ac:dyDescent="0.3">
      <c r="D421" s="16" t="s">
        <v>63</v>
      </c>
      <c r="E421" s="12">
        <v>57.8</v>
      </c>
    </row>
    <row r="422" spans="4:5" x14ac:dyDescent="0.3">
      <c r="D422" s="16" t="s">
        <v>122</v>
      </c>
      <c r="E422" s="12">
        <v>57.8</v>
      </c>
    </row>
    <row r="423" spans="4:5" x14ac:dyDescent="0.3">
      <c r="D423" s="16" t="s">
        <v>1228</v>
      </c>
      <c r="E423" s="12">
        <v>56.82</v>
      </c>
    </row>
    <row r="424" spans="4:5" x14ac:dyDescent="0.3">
      <c r="D424" s="16" t="s">
        <v>814</v>
      </c>
      <c r="E424" s="12">
        <v>56.82</v>
      </c>
    </row>
    <row r="425" spans="4:5" x14ac:dyDescent="0.3">
      <c r="D425" s="16" t="s">
        <v>1042</v>
      </c>
      <c r="E425" s="12">
        <v>56.82</v>
      </c>
    </row>
    <row r="426" spans="4:5" x14ac:dyDescent="0.3">
      <c r="D426" s="16" t="s">
        <v>962</v>
      </c>
      <c r="E426" s="12">
        <v>56.82</v>
      </c>
    </row>
    <row r="427" spans="4:5" x14ac:dyDescent="0.3">
      <c r="D427" s="16" t="s">
        <v>1054</v>
      </c>
      <c r="E427" s="12">
        <v>56.82</v>
      </c>
    </row>
    <row r="428" spans="4:5" x14ac:dyDescent="0.3">
      <c r="D428" s="16" t="s">
        <v>746</v>
      </c>
      <c r="E428" s="12">
        <v>56.82</v>
      </c>
    </row>
    <row r="429" spans="4:5" x14ac:dyDescent="0.3">
      <c r="D429" s="16" t="s">
        <v>706</v>
      </c>
      <c r="E429" s="12">
        <v>56.82</v>
      </c>
    </row>
    <row r="430" spans="4:5" x14ac:dyDescent="0.3">
      <c r="D430" s="16" t="s">
        <v>776</v>
      </c>
      <c r="E430" s="12">
        <v>56.82</v>
      </c>
    </row>
    <row r="431" spans="4:5" x14ac:dyDescent="0.3">
      <c r="D431" s="16" t="s">
        <v>711</v>
      </c>
      <c r="E431" s="12">
        <v>56.82</v>
      </c>
    </row>
    <row r="432" spans="4:5" x14ac:dyDescent="0.3">
      <c r="D432" s="16" t="s">
        <v>827</v>
      </c>
      <c r="E432" s="12">
        <v>56.819999999999993</v>
      </c>
    </row>
    <row r="433" spans="4:5" x14ac:dyDescent="0.3">
      <c r="D433" s="16" t="s">
        <v>1051</v>
      </c>
      <c r="E433" s="12">
        <v>56.819999999999993</v>
      </c>
    </row>
    <row r="434" spans="4:5" x14ac:dyDescent="0.3">
      <c r="D434" s="16" t="s">
        <v>564</v>
      </c>
      <c r="E434" s="12">
        <v>55.84</v>
      </c>
    </row>
    <row r="435" spans="4:5" x14ac:dyDescent="0.3">
      <c r="D435" s="16" t="s">
        <v>688</v>
      </c>
      <c r="E435" s="12">
        <v>55.84</v>
      </c>
    </row>
    <row r="436" spans="4:5" x14ac:dyDescent="0.3">
      <c r="D436" s="16" t="s">
        <v>642</v>
      </c>
      <c r="E436" s="12">
        <v>55.84</v>
      </c>
    </row>
    <row r="437" spans="4:5" x14ac:dyDescent="0.3">
      <c r="D437" s="16" t="s">
        <v>630</v>
      </c>
      <c r="E437" s="12">
        <v>55.84</v>
      </c>
    </row>
    <row r="438" spans="4:5" x14ac:dyDescent="0.3">
      <c r="D438" s="16" t="s">
        <v>551</v>
      </c>
      <c r="E438" s="12">
        <v>55.84</v>
      </c>
    </row>
    <row r="439" spans="4:5" x14ac:dyDescent="0.3">
      <c r="D439" s="16" t="s">
        <v>585</v>
      </c>
      <c r="E439" s="12">
        <v>55.84</v>
      </c>
    </row>
    <row r="440" spans="4:5" x14ac:dyDescent="0.3">
      <c r="D440" s="16" t="s">
        <v>600</v>
      </c>
      <c r="E440" s="12">
        <v>55.84</v>
      </c>
    </row>
    <row r="441" spans="4:5" x14ac:dyDescent="0.3">
      <c r="D441" s="16" t="s">
        <v>678</v>
      </c>
      <c r="E441" s="12">
        <v>55.84</v>
      </c>
    </row>
    <row r="442" spans="4:5" x14ac:dyDescent="0.3">
      <c r="D442" s="16" t="s">
        <v>616</v>
      </c>
      <c r="E442" s="12">
        <v>55.84</v>
      </c>
    </row>
    <row r="443" spans="4:5" x14ac:dyDescent="0.3">
      <c r="D443" s="16" t="s">
        <v>685</v>
      </c>
      <c r="E443" s="12">
        <v>55.84</v>
      </c>
    </row>
    <row r="444" spans="4:5" x14ac:dyDescent="0.3">
      <c r="D444" s="16" t="s">
        <v>653</v>
      </c>
      <c r="E444" s="12">
        <v>55.84</v>
      </c>
    </row>
    <row r="445" spans="4:5" x14ac:dyDescent="0.3">
      <c r="D445" s="16" t="s">
        <v>465</v>
      </c>
      <c r="E445" s="12">
        <v>55.84</v>
      </c>
    </row>
    <row r="446" spans="4:5" x14ac:dyDescent="0.3">
      <c r="D446" s="16" t="s">
        <v>455</v>
      </c>
      <c r="E446" s="12">
        <v>55.84</v>
      </c>
    </row>
    <row r="447" spans="4:5" x14ac:dyDescent="0.3">
      <c r="D447" s="16" t="s">
        <v>502</v>
      </c>
      <c r="E447" s="12">
        <v>55.84</v>
      </c>
    </row>
    <row r="448" spans="4:5" x14ac:dyDescent="0.3">
      <c r="D448" s="16" t="s">
        <v>400</v>
      </c>
      <c r="E448" s="12">
        <v>55.84</v>
      </c>
    </row>
    <row r="449" spans="4:5" x14ac:dyDescent="0.3">
      <c r="D449" s="16" t="s">
        <v>460</v>
      </c>
      <c r="E449" s="12">
        <v>55.84</v>
      </c>
    </row>
    <row r="450" spans="4:5" x14ac:dyDescent="0.3">
      <c r="D450" s="16" t="s">
        <v>377</v>
      </c>
      <c r="E450" s="12">
        <v>55.84</v>
      </c>
    </row>
    <row r="451" spans="4:5" x14ac:dyDescent="0.3">
      <c r="D451" s="16" t="s">
        <v>399</v>
      </c>
      <c r="E451" s="12">
        <v>55.84</v>
      </c>
    </row>
    <row r="452" spans="4:5" x14ac:dyDescent="0.3">
      <c r="D452" s="16" t="s">
        <v>448</v>
      </c>
      <c r="E452" s="12">
        <v>55.84</v>
      </c>
    </row>
    <row r="453" spans="4:5" x14ac:dyDescent="0.3">
      <c r="D453" s="16" t="s">
        <v>441</v>
      </c>
      <c r="E453" s="12">
        <v>55.84</v>
      </c>
    </row>
    <row r="454" spans="4:5" x14ac:dyDescent="0.3">
      <c r="D454" s="16" t="s">
        <v>314</v>
      </c>
      <c r="E454" s="12">
        <v>53.88</v>
      </c>
    </row>
    <row r="455" spans="4:5" x14ac:dyDescent="0.3">
      <c r="D455" s="16" t="s">
        <v>436</v>
      </c>
      <c r="E455" s="12">
        <v>53.879999999999995</v>
      </c>
    </row>
    <row r="456" spans="4:5" x14ac:dyDescent="0.3">
      <c r="D456" s="16" t="s">
        <v>112</v>
      </c>
      <c r="E456" s="12">
        <v>52.9</v>
      </c>
    </row>
    <row r="457" spans="4:5" x14ac:dyDescent="0.3">
      <c r="D457" s="16" t="s">
        <v>1218</v>
      </c>
      <c r="E457" s="12">
        <v>51.92</v>
      </c>
    </row>
    <row r="458" spans="4:5" x14ac:dyDescent="0.3">
      <c r="D458" s="16" t="s">
        <v>1321</v>
      </c>
      <c r="E458" s="12">
        <v>51.92</v>
      </c>
    </row>
    <row r="459" spans="4:5" x14ac:dyDescent="0.3">
      <c r="D459" s="16" t="s">
        <v>1244</v>
      </c>
      <c r="E459" s="12">
        <v>51.92</v>
      </c>
    </row>
    <row r="460" spans="4:5" x14ac:dyDescent="0.3">
      <c r="D460" s="16" t="s">
        <v>1200</v>
      </c>
      <c r="E460" s="12">
        <v>51.92</v>
      </c>
    </row>
    <row r="461" spans="4:5" x14ac:dyDescent="0.3">
      <c r="D461" s="16" t="s">
        <v>1123</v>
      </c>
      <c r="E461" s="12">
        <v>51.92</v>
      </c>
    </row>
    <row r="462" spans="4:5" x14ac:dyDescent="0.3">
      <c r="D462" s="16" t="s">
        <v>1272</v>
      </c>
      <c r="E462" s="12">
        <v>51.92</v>
      </c>
    </row>
    <row r="463" spans="4:5" x14ac:dyDescent="0.3">
      <c r="D463" s="16" t="s">
        <v>1151</v>
      </c>
      <c r="E463" s="12">
        <v>51.92</v>
      </c>
    </row>
    <row r="464" spans="4:5" x14ac:dyDescent="0.3">
      <c r="D464" s="16" t="s">
        <v>1226</v>
      </c>
      <c r="E464" s="12">
        <v>51.92</v>
      </c>
    </row>
    <row r="465" spans="4:5" x14ac:dyDescent="0.3">
      <c r="D465" s="16" t="s">
        <v>754</v>
      </c>
      <c r="E465" s="12">
        <v>51.92</v>
      </c>
    </row>
    <row r="466" spans="4:5" x14ac:dyDescent="0.3">
      <c r="D466" s="16" t="s">
        <v>659</v>
      </c>
      <c r="E466" s="12">
        <v>50.94</v>
      </c>
    </row>
    <row r="467" spans="4:5" x14ac:dyDescent="0.3">
      <c r="D467" s="16" t="s">
        <v>602</v>
      </c>
      <c r="E467" s="12">
        <v>50.94</v>
      </c>
    </row>
    <row r="468" spans="4:5" x14ac:dyDescent="0.3">
      <c r="D468" s="16" t="s">
        <v>535</v>
      </c>
      <c r="E468" s="12">
        <v>50.94</v>
      </c>
    </row>
    <row r="469" spans="4:5" x14ac:dyDescent="0.3">
      <c r="D469" s="16" t="s">
        <v>445</v>
      </c>
      <c r="E469" s="12">
        <v>50.94</v>
      </c>
    </row>
    <row r="470" spans="4:5" x14ac:dyDescent="0.3">
      <c r="D470" s="16" t="s">
        <v>289</v>
      </c>
      <c r="E470" s="12">
        <v>50.94</v>
      </c>
    </row>
    <row r="471" spans="4:5" x14ac:dyDescent="0.3">
      <c r="D471" s="16" t="s">
        <v>65</v>
      </c>
      <c r="E471" s="12">
        <v>48</v>
      </c>
    </row>
    <row r="472" spans="4:5" x14ac:dyDescent="0.3">
      <c r="D472" s="16" t="s">
        <v>1139</v>
      </c>
      <c r="E472" s="12">
        <v>47.019999999999996</v>
      </c>
    </row>
    <row r="473" spans="4:5" x14ac:dyDescent="0.3">
      <c r="D473" s="16" t="s">
        <v>1067</v>
      </c>
      <c r="E473" s="12">
        <v>47.019999999999996</v>
      </c>
    </row>
    <row r="474" spans="4:5" x14ac:dyDescent="0.3">
      <c r="D474" s="16" t="s">
        <v>777</v>
      </c>
      <c r="E474" s="12">
        <v>47.019999999999996</v>
      </c>
    </row>
    <row r="475" spans="4:5" x14ac:dyDescent="0.3">
      <c r="D475" s="16" t="s">
        <v>640</v>
      </c>
      <c r="E475" s="12">
        <v>46.040000000000006</v>
      </c>
    </row>
    <row r="476" spans="4:5" x14ac:dyDescent="0.3">
      <c r="D476" s="16" t="s">
        <v>504</v>
      </c>
      <c r="E476" s="12">
        <v>46.040000000000006</v>
      </c>
    </row>
    <row r="477" spans="4:5" x14ac:dyDescent="0.3">
      <c r="D477" s="16" t="s">
        <v>639</v>
      </c>
      <c r="E477" s="12">
        <v>46.04</v>
      </c>
    </row>
    <row r="478" spans="4:5" x14ac:dyDescent="0.3">
      <c r="D478" s="16" t="s">
        <v>498</v>
      </c>
      <c r="E478" s="12">
        <v>46.04</v>
      </c>
    </row>
    <row r="479" spans="4:5" x14ac:dyDescent="0.3">
      <c r="D479" s="16" t="s">
        <v>383</v>
      </c>
      <c r="E479" s="12">
        <v>46.04</v>
      </c>
    </row>
    <row r="480" spans="4:5" x14ac:dyDescent="0.3">
      <c r="D480" s="16" t="s">
        <v>407</v>
      </c>
      <c r="E480" s="12">
        <v>46.04</v>
      </c>
    </row>
    <row r="481" spans="4:5" x14ac:dyDescent="0.3">
      <c r="D481" s="16" t="s">
        <v>360</v>
      </c>
      <c r="E481" s="12">
        <v>44.08</v>
      </c>
    </row>
    <row r="482" spans="4:5" x14ac:dyDescent="0.3">
      <c r="D482" s="16" t="s">
        <v>1314</v>
      </c>
      <c r="E482" s="12">
        <v>42.12</v>
      </c>
    </row>
    <row r="483" spans="4:5" x14ac:dyDescent="0.3">
      <c r="D483" s="16" t="s">
        <v>556</v>
      </c>
      <c r="E483" s="12">
        <v>41.14</v>
      </c>
    </row>
    <row r="484" spans="4:5" x14ac:dyDescent="0.3">
      <c r="D484" s="16" t="s">
        <v>538</v>
      </c>
      <c r="E484" s="12">
        <v>41.14</v>
      </c>
    </row>
    <row r="485" spans="4:5" x14ac:dyDescent="0.3">
      <c r="D485" s="16" t="s">
        <v>438</v>
      </c>
      <c r="E485" s="12">
        <v>41.14</v>
      </c>
    </row>
    <row r="486" spans="4:5" x14ac:dyDescent="0.3">
      <c r="D486" s="16" t="s">
        <v>416</v>
      </c>
      <c r="E486" s="12">
        <v>41.14</v>
      </c>
    </row>
    <row r="487" spans="4:5" x14ac:dyDescent="0.3">
      <c r="D487" s="16" t="s">
        <v>24</v>
      </c>
      <c r="E487" s="12">
        <v>38.700000000000003</v>
      </c>
    </row>
    <row r="488" spans="4:5" x14ac:dyDescent="0.3">
      <c r="D488" s="16" t="s">
        <v>102</v>
      </c>
      <c r="E488" s="12">
        <v>38.700000000000003</v>
      </c>
    </row>
    <row r="489" spans="4:5" x14ac:dyDescent="0.3">
      <c r="D489" s="16" t="s">
        <v>48</v>
      </c>
      <c r="E489" s="12">
        <v>38.700000000000003</v>
      </c>
    </row>
    <row r="490" spans="4:5" x14ac:dyDescent="0.3">
      <c r="D490" s="16" t="s">
        <v>116</v>
      </c>
      <c r="E490" s="12">
        <v>38.700000000000003</v>
      </c>
    </row>
    <row r="491" spans="4:5" x14ac:dyDescent="0.3">
      <c r="D491" s="16" t="s">
        <v>49</v>
      </c>
      <c r="E491" s="12">
        <v>38.700000000000003</v>
      </c>
    </row>
    <row r="492" spans="4:5" x14ac:dyDescent="0.3">
      <c r="D492" s="16" t="s">
        <v>104</v>
      </c>
      <c r="E492" s="12">
        <v>38.700000000000003</v>
      </c>
    </row>
    <row r="493" spans="4:5" x14ac:dyDescent="0.3">
      <c r="D493" s="16" t="s">
        <v>31</v>
      </c>
      <c r="E493" s="12">
        <v>38.700000000000003</v>
      </c>
    </row>
    <row r="494" spans="4:5" x14ac:dyDescent="0.3">
      <c r="D494" s="16" t="s">
        <v>28</v>
      </c>
      <c r="E494" s="12">
        <v>38.700000000000003</v>
      </c>
    </row>
    <row r="495" spans="4:5" x14ac:dyDescent="0.3">
      <c r="D495" s="16" t="s">
        <v>90</v>
      </c>
      <c r="E495" s="12">
        <v>38.700000000000003</v>
      </c>
    </row>
    <row r="496" spans="4:5" x14ac:dyDescent="0.3">
      <c r="D496" s="16" t="s">
        <v>119</v>
      </c>
      <c r="E496" s="12">
        <v>38.700000000000003</v>
      </c>
    </row>
    <row r="497" spans="4:5" x14ac:dyDescent="0.3">
      <c r="D497" s="16" t="s">
        <v>91</v>
      </c>
      <c r="E497" s="12">
        <v>38.700000000000003</v>
      </c>
    </row>
    <row r="498" spans="4:5" x14ac:dyDescent="0.3">
      <c r="D498" s="16" t="s">
        <v>42</v>
      </c>
      <c r="E498" s="12">
        <v>38.700000000000003</v>
      </c>
    </row>
    <row r="499" spans="4:5" x14ac:dyDescent="0.3">
      <c r="D499" s="16" t="s">
        <v>92</v>
      </c>
      <c r="E499" s="12">
        <v>38.700000000000003</v>
      </c>
    </row>
    <row r="500" spans="4:5" x14ac:dyDescent="0.3">
      <c r="D500" s="16" t="s">
        <v>56</v>
      </c>
      <c r="E500" s="12">
        <v>38.700000000000003</v>
      </c>
    </row>
    <row r="501" spans="4:5" x14ac:dyDescent="0.3">
      <c r="D501" s="16" t="s">
        <v>53</v>
      </c>
      <c r="E501" s="12">
        <v>38.700000000000003</v>
      </c>
    </row>
    <row r="502" spans="4:5" x14ac:dyDescent="0.3">
      <c r="D502" s="16" t="s">
        <v>105</v>
      </c>
      <c r="E502" s="12">
        <v>38.700000000000003</v>
      </c>
    </row>
    <row r="503" spans="4:5" x14ac:dyDescent="0.3">
      <c r="D503" s="16" t="s">
        <v>72</v>
      </c>
      <c r="E503" s="12">
        <v>38.700000000000003</v>
      </c>
    </row>
    <row r="504" spans="4:5" x14ac:dyDescent="0.3">
      <c r="D504" s="16" t="s">
        <v>84</v>
      </c>
      <c r="E504" s="12">
        <v>38.700000000000003</v>
      </c>
    </row>
    <row r="505" spans="4:5" x14ac:dyDescent="0.3">
      <c r="D505" s="16" t="s">
        <v>38</v>
      </c>
      <c r="E505" s="12">
        <v>38.700000000000003</v>
      </c>
    </row>
    <row r="506" spans="4:5" x14ac:dyDescent="0.3">
      <c r="D506" s="16" t="s">
        <v>95</v>
      </c>
      <c r="E506" s="12">
        <v>38.700000000000003</v>
      </c>
    </row>
    <row r="507" spans="4:5" x14ac:dyDescent="0.3">
      <c r="D507" s="16" t="s">
        <v>115</v>
      </c>
      <c r="E507" s="12">
        <v>38.700000000000003</v>
      </c>
    </row>
    <row r="508" spans="4:5" x14ac:dyDescent="0.3">
      <c r="D508" s="16" t="s">
        <v>46</v>
      </c>
      <c r="E508" s="12">
        <v>38.700000000000003</v>
      </c>
    </row>
    <row r="509" spans="4:5" x14ac:dyDescent="0.3">
      <c r="D509" s="16" t="s">
        <v>79</v>
      </c>
      <c r="E509" s="12">
        <v>38.700000000000003</v>
      </c>
    </row>
    <row r="510" spans="4:5" x14ac:dyDescent="0.3">
      <c r="D510" s="16" t="s">
        <v>121</v>
      </c>
      <c r="E510" s="12">
        <v>38.700000000000003</v>
      </c>
    </row>
    <row r="511" spans="4:5" x14ac:dyDescent="0.3">
      <c r="D511" s="16" t="s">
        <v>80</v>
      </c>
      <c r="E511" s="12">
        <v>38.700000000000003</v>
      </c>
    </row>
    <row r="512" spans="4:5" x14ac:dyDescent="0.3">
      <c r="D512" s="16" t="s">
        <v>124</v>
      </c>
      <c r="E512" s="12">
        <v>38.700000000000003</v>
      </c>
    </row>
    <row r="513" spans="4:5" x14ac:dyDescent="0.3">
      <c r="D513" s="16" t="s">
        <v>129</v>
      </c>
      <c r="E513" s="12">
        <v>38.700000000000003</v>
      </c>
    </row>
    <row r="514" spans="4:5" x14ac:dyDescent="0.3">
      <c r="D514" s="16" t="s">
        <v>125</v>
      </c>
      <c r="E514" s="12">
        <v>38.700000000000003</v>
      </c>
    </row>
    <row r="515" spans="4:5" x14ac:dyDescent="0.3">
      <c r="D515" s="16" t="s">
        <v>43</v>
      </c>
      <c r="E515" s="12">
        <v>38.700000000000003</v>
      </c>
    </row>
    <row r="516" spans="4:5" x14ac:dyDescent="0.3">
      <c r="D516" s="16" t="s">
        <v>13</v>
      </c>
      <c r="E516" s="12">
        <v>38.700000000000003</v>
      </c>
    </row>
    <row r="517" spans="4:5" x14ac:dyDescent="0.3">
      <c r="D517" s="16" t="s">
        <v>99</v>
      </c>
      <c r="E517" s="12">
        <v>38.700000000000003</v>
      </c>
    </row>
    <row r="518" spans="4:5" x14ac:dyDescent="0.3">
      <c r="D518" s="16" t="s">
        <v>98</v>
      </c>
      <c r="E518" s="12">
        <v>38.700000000000003</v>
      </c>
    </row>
    <row r="519" spans="4:5" x14ac:dyDescent="0.3">
      <c r="D519" s="16" t="s">
        <v>34</v>
      </c>
      <c r="E519" s="12">
        <v>38.700000000000003</v>
      </c>
    </row>
    <row r="520" spans="4:5" x14ac:dyDescent="0.3">
      <c r="D520" s="16" t="s">
        <v>101</v>
      </c>
      <c r="E520" s="12">
        <v>38.700000000000003</v>
      </c>
    </row>
    <row r="521" spans="4:5" x14ac:dyDescent="0.3">
      <c r="D521" s="16" t="s">
        <v>297</v>
      </c>
      <c r="E521" s="12">
        <v>37.72</v>
      </c>
    </row>
    <row r="522" spans="4:5" x14ac:dyDescent="0.3">
      <c r="D522" s="16" t="s">
        <v>318</v>
      </c>
      <c r="E522" s="12">
        <v>37.72</v>
      </c>
    </row>
    <row r="523" spans="4:5" x14ac:dyDescent="0.3">
      <c r="D523" s="16" t="s">
        <v>285</v>
      </c>
      <c r="E523" s="12">
        <v>37.72</v>
      </c>
    </row>
    <row r="524" spans="4:5" x14ac:dyDescent="0.3">
      <c r="D524" s="16" t="s">
        <v>335</v>
      </c>
      <c r="E524" s="12">
        <v>37.72</v>
      </c>
    </row>
    <row r="525" spans="4:5" x14ac:dyDescent="0.3">
      <c r="D525" s="16" t="s">
        <v>364</v>
      </c>
      <c r="E525" s="12">
        <v>37.72</v>
      </c>
    </row>
    <row r="526" spans="4:5" x14ac:dyDescent="0.3">
      <c r="D526" s="16" t="s">
        <v>278</v>
      </c>
      <c r="E526" s="12">
        <v>37.72</v>
      </c>
    </row>
    <row r="527" spans="4:5" x14ac:dyDescent="0.3">
      <c r="D527" s="16" t="s">
        <v>300</v>
      </c>
      <c r="E527" s="12">
        <v>37.72</v>
      </c>
    </row>
    <row r="528" spans="4:5" x14ac:dyDescent="0.3">
      <c r="D528" s="16" t="s">
        <v>348</v>
      </c>
      <c r="E528" s="12">
        <v>37.72</v>
      </c>
    </row>
    <row r="529" spans="4:5" x14ac:dyDescent="0.3">
      <c r="D529" s="16" t="s">
        <v>279</v>
      </c>
      <c r="E529" s="12">
        <v>37.72</v>
      </c>
    </row>
    <row r="530" spans="4:5" x14ac:dyDescent="0.3">
      <c r="D530" s="16" t="s">
        <v>350</v>
      </c>
      <c r="E530" s="12">
        <v>37.72</v>
      </c>
    </row>
    <row r="531" spans="4:5" x14ac:dyDescent="0.3">
      <c r="D531" s="16" t="s">
        <v>330</v>
      </c>
      <c r="E531" s="12">
        <v>37.72</v>
      </c>
    </row>
    <row r="532" spans="4:5" x14ac:dyDescent="0.3">
      <c r="D532" s="16" t="s">
        <v>317</v>
      </c>
      <c r="E532" s="12">
        <v>37.72</v>
      </c>
    </row>
    <row r="533" spans="4:5" x14ac:dyDescent="0.3">
      <c r="D533" s="16" t="s">
        <v>301</v>
      </c>
      <c r="E533" s="12">
        <v>37.72</v>
      </c>
    </row>
    <row r="534" spans="4:5" x14ac:dyDescent="0.3">
      <c r="D534" s="16" t="s">
        <v>326</v>
      </c>
      <c r="E534" s="12">
        <v>37.72</v>
      </c>
    </row>
    <row r="535" spans="4:5" x14ac:dyDescent="0.3">
      <c r="D535" s="16" t="s">
        <v>287</v>
      </c>
      <c r="E535" s="12">
        <v>37.72</v>
      </c>
    </row>
    <row r="536" spans="4:5" x14ac:dyDescent="0.3">
      <c r="D536" s="16" t="s">
        <v>302</v>
      </c>
      <c r="E536" s="12">
        <v>37.72</v>
      </c>
    </row>
    <row r="537" spans="4:5" x14ac:dyDescent="0.3">
      <c r="D537" s="16" t="s">
        <v>354</v>
      </c>
      <c r="E537" s="12">
        <v>37.72</v>
      </c>
    </row>
    <row r="538" spans="4:5" x14ac:dyDescent="0.3">
      <c r="D538" s="16" t="s">
        <v>284</v>
      </c>
      <c r="E538" s="12">
        <v>37.72</v>
      </c>
    </row>
    <row r="539" spans="4:5" x14ac:dyDescent="0.3">
      <c r="D539" s="16" t="s">
        <v>298</v>
      </c>
      <c r="E539" s="12">
        <v>37.72</v>
      </c>
    </row>
    <row r="540" spans="4:5" x14ac:dyDescent="0.3">
      <c r="D540" s="16" t="s">
        <v>293</v>
      </c>
      <c r="E540" s="12">
        <v>37.72</v>
      </c>
    </row>
    <row r="541" spans="4:5" x14ac:dyDescent="0.3">
      <c r="D541" s="16" t="s">
        <v>355</v>
      </c>
      <c r="E541" s="12">
        <v>37.72</v>
      </c>
    </row>
    <row r="542" spans="4:5" x14ac:dyDescent="0.3">
      <c r="D542" s="16" t="s">
        <v>308</v>
      </c>
      <c r="E542" s="12">
        <v>37.72</v>
      </c>
    </row>
    <row r="543" spans="4:5" x14ac:dyDescent="0.3">
      <c r="D543" s="16" t="s">
        <v>333</v>
      </c>
      <c r="E543" s="12">
        <v>37.72</v>
      </c>
    </row>
    <row r="544" spans="4:5" x14ac:dyDescent="0.3">
      <c r="D544" s="16" t="s">
        <v>343</v>
      </c>
      <c r="E544" s="12">
        <v>37.72</v>
      </c>
    </row>
    <row r="545" spans="4:5" x14ac:dyDescent="0.3">
      <c r="D545" s="16" t="s">
        <v>358</v>
      </c>
      <c r="E545" s="12">
        <v>37.72</v>
      </c>
    </row>
    <row r="546" spans="4:5" x14ac:dyDescent="0.3">
      <c r="D546" s="16" t="s">
        <v>344</v>
      </c>
      <c r="E546" s="12">
        <v>37.72</v>
      </c>
    </row>
    <row r="547" spans="4:5" x14ac:dyDescent="0.3">
      <c r="D547" s="16" t="s">
        <v>290</v>
      </c>
      <c r="E547" s="12">
        <v>37.72</v>
      </c>
    </row>
    <row r="548" spans="4:5" x14ac:dyDescent="0.3">
      <c r="D548" s="16" t="s">
        <v>294</v>
      </c>
      <c r="E548" s="12">
        <v>37.72</v>
      </c>
    </row>
    <row r="549" spans="4:5" x14ac:dyDescent="0.3">
      <c r="D549" s="16" t="s">
        <v>148</v>
      </c>
      <c r="E549" s="12">
        <v>37.72</v>
      </c>
    </row>
    <row r="550" spans="4:5" x14ac:dyDescent="0.3">
      <c r="D550" s="16" t="s">
        <v>172</v>
      </c>
      <c r="E550" s="12">
        <v>37.72</v>
      </c>
    </row>
    <row r="551" spans="4:5" x14ac:dyDescent="0.3">
      <c r="D551" s="16" t="s">
        <v>179</v>
      </c>
      <c r="E551" s="12">
        <v>37.72</v>
      </c>
    </row>
    <row r="552" spans="4:5" x14ac:dyDescent="0.3">
      <c r="D552" s="16" t="s">
        <v>188</v>
      </c>
      <c r="E552" s="12">
        <v>37.72</v>
      </c>
    </row>
    <row r="553" spans="4:5" x14ac:dyDescent="0.3">
      <c r="D553" s="16" t="s">
        <v>245</v>
      </c>
      <c r="E553" s="12">
        <v>37.72</v>
      </c>
    </row>
    <row r="554" spans="4:5" x14ac:dyDescent="0.3">
      <c r="D554" s="16" t="s">
        <v>156</v>
      </c>
      <c r="E554" s="12">
        <v>37.72</v>
      </c>
    </row>
    <row r="555" spans="4:5" x14ac:dyDescent="0.3">
      <c r="D555" s="16" t="s">
        <v>256</v>
      </c>
      <c r="E555" s="12">
        <v>37.72</v>
      </c>
    </row>
    <row r="556" spans="4:5" x14ac:dyDescent="0.3">
      <c r="D556" s="16" t="s">
        <v>158</v>
      </c>
      <c r="E556" s="12">
        <v>37.72</v>
      </c>
    </row>
    <row r="557" spans="4:5" x14ac:dyDescent="0.3">
      <c r="D557" s="16" t="s">
        <v>186</v>
      </c>
      <c r="E557" s="12">
        <v>37.72</v>
      </c>
    </row>
    <row r="558" spans="4:5" x14ac:dyDescent="0.3">
      <c r="D558" s="16" t="s">
        <v>195</v>
      </c>
      <c r="E558" s="12">
        <v>37.72</v>
      </c>
    </row>
    <row r="559" spans="4:5" x14ac:dyDescent="0.3">
      <c r="D559" s="16" t="s">
        <v>241</v>
      </c>
      <c r="E559" s="12">
        <v>37.72</v>
      </c>
    </row>
    <row r="560" spans="4:5" x14ac:dyDescent="0.3">
      <c r="D560" s="16" t="s">
        <v>159</v>
      </c>
      <c r="E560" s="12">
        <v>37.72</v>
      </c>
    </row>
    <row r="561" spans="4:5" x14ac:dyDescent="0.3">
      <c r="D561" s="16" t="s">
        <v>248</v>
      </c>
      <c r="E561" s="12">
        <v>37.72</v>
      </c>
    </row>
    <row r="562" spans="4:5" x14ac:dyDescent="0.3">
      <c r="D562" s="16" t="s">
        <v>199</v>
      </c>
      <c r="E562" s="12">
        <v>37.72</v>
      </c>
    </row>
    <row r="563" spans="4:5" x14ac:dyDescent="0.3">
      <c r="D563" s="16" t="s">
        <v>252</v>
      </c>
      <c r="E563" s="12">
        <v>37.72</v>
      </c>
    </row>
    <row r="564" spans="4:5" x14ac:dyDescent="0.3">
      <c r="D564" s="16" t="s">
        <v>200</v>
      </c>
      <c r="E564" s="12">
        <v>37.72</v>
      </c>
    </row>
    <row r="565" spans="4:5" x14ac:dyDescent="0.3">
      <c r="D565" s="16" t="s">
        <v>259</v>
      </c>
      <c r="E565" s="12">
        <v>37.72</v>
      </c>
    </row>
    <row r="566" spans="4:5" x14ac:dyDescent="0.3">
      <c r="D566" s="16" t="s">
        <v>201</v>
      </c>
      <c r="E566" s="12">
        <v>37.72</v>
      </c>
    </row>
    <row r="567" spans="4:5" x14ac:dyDescent="0.3">
      <c r="D567" s="16" t="s">
        <v>265</v>
      </c>
      <c r="E567" s="12">
        <v>37.72</v>
      </c>
    </row>
    <row r="568" spans="4:5" x14ac:dyDescent="0.3">
      <c r="D568" s="16" t="s">
        <v>205</v>
      </c>
      <c r="E568" s="12">
        <v>37.72</v>
      </c>
    </row>
    <row r="569" spans="4:5" x14ac:dyDescent="0.3">
      <c r="D569" s="16" t="s">
        <v>235</v>
      </c>
      <c r="E569" s="12">
        <v>37.72</v>
      </c>
    </row>
    <row r="570" spans="4:5" x14ac:dyDescent="0.3">
      <c r="D570" s="16" t="s">
        <v>276</v>
      </c>
      <c r="E570" s="12">
        <v>37.72</v>
      </c>
    </row>
    <row r="571" spans="4:5" x14ac:dyDescent="0.3">
      <c r="D571" s="16" t="s">
        <v>239</v>
      </c>
      <c r="E571" s="12">
        <v>37.72</v>
      </c>
    </row>
    <row r="572" spans="4:5" x14ac:dyDescent="0.3">
      <c r="D572" s="16" t="s">
        <v>163</v>
      </c>
      <c r="E572" s="12">
        <v>37.72</v>
      </c>
    </row>
    <row r="573" spans="4:5" x14ac:dyDescent="0.3">
      <c r="D573" s="16" t="s">
        <v>242</v>
      </c>
      <c r="E573" s="12">
        <v>37.72</v>
      </c>
    </row>
    <row r="574" spans="4:5" x14ac:dyDescent="0.3">
      <c r="D574" s="16" t="s">
        <v>208</v>
      </c>
      <c r="E574" s="12">
        <v>37.72</v>
      </c>
    </row>
    <row r="575" spans="4:5" x14ac:dyDescent="0.3">
      <c r="D575" s="16" t="s">
        <v>247</v>
      </c>
      <c r="E575" s="12">
        <v>37.72</v>
      </c>
    </row>
    <row r="576" spans="4:5" x14ac:dyDescent="0.3">
      <c r="D576" s="16" t="s">
        <v>210</v>
      </c>
      <c r="E576" s="12">
        <v>37.72</v>
      </c>
    </row>
    <row r="577" spans="4:5" x14ac:dyDescent="0.3">
      <c r="D577" s="16" t="s">
        <v>249</v>
      </c>
      <c r="E577" s="12">
        <v>37.72</v>
      </c>
    </row>
    <row r="578" spans="4:5" x14ac:dyDescent="0.3">
      <c r="D578" s="16" t="s">
        <v>211</v>
      </c>
      <c r="E578" s="12">
        <v>37.72</v>
      </c>
    </row>
    <row r="579" spans="4:5" x14ac:dyDescent="0.3">
      <c r="D579" s="16" t="s">
        <v>251</v>
      </c>
      <c r="E579" s="12">
        <v>37.72</v>
      </c>
    </row>
    <row r="580" spans="4:5" x14ac:dyDescent="0.3">
      <c r="D580" s="16" t="s">
        <v>212</v>
      </c>
      <c r="E580" s="12">
        <v>37.72</v>
      </c>
    </row>
    <row r="581" spans="4:5" x14ac:dyDescent="0.3">
      <c r="D581" s="16" t="s">
        <v>140</v>
      </c>
      <c r="E581" s="12">
        <v>37.72</v>
      </c>
    </row>
    <row r="582" spans="4:5" x14ac:dyDescent="0.3">
      <c r="D582" s="16" t="s">
        <v>213</v>
      </c>
      <c r="E582" s="12">
        <v>37.72</v>
      </c>
    </row>
    <row r="583" spans="4:5" x14ac:dyDescent="0.3">
      <c r="D583" s="16" t="s">
        <v>258</v>
      </c>
      <c r="E583" s="12">
        <v>37.72</v>
      </c>
    </row>
    <row r="584" spans="4:5" x14ac:dyDescent="0.3">
      <c r="D584" s="16" t="s">
        <v>167</v>
      </c>
      <c r="E584" s="12">
        <v>37.72</v>
      </c>
    </row>
    <row r="585" spans="4:5" x14ac:dyDescent="0.3">
      <c r="D585" s="16" t="s">
        <v>260</v>
      </c>
      <c r="E585" s="12">
        <v>37.72</v>
      </c>
    </row>
    <row r="586" spans="4:5" x14ac:dyDescent="0.3">
      <c r="D586" s="16" t="s">
        <v>223</v>
      </c>
      <c r="E586" s="12">
        <v>37.72</v>
      </c>
    </row>
    <row r="587" spans="4:5" x14ac:dyDescent="0.3">
      <c r="D587" s="16" t="s">
        <v>264</v>
      </c>
      <c r="E587" s="12">
        <v>37.72</v>
      </c>
    </row>
    <row r="588" spans="4:5" x14ac:dyDescent="0.3">
      <c r="D588" s="16" t="s">
        <v>229</v>
      </c>
      <c r="E588" s="12">
        <v>37.72</v>
      </c>
    </row>
    <row r="589" spans="4:5" x14ac:dyDescent="0.3">
      <c r="D589" s="16" t="s">
        <v>183</v>
      </c>
      <c r="E589" s="12">
        <v>37.72</v>
      </c>
    </row>
    <row r="590" spans="4:5" x14ac:dyDescent="0.3">
      <c r="D590" s="16" t="s">
        <v>170</v>
      </c>
      <c r="E590" s="12">
        <v>37.72</v>
      </c>
    </row>
    <row r="591" spans="4:5" x14ac:dyDescent="0.3">
      <c r="D591" s="16" t="s">
        <v>234</v>
      </c>
      <c r="E591" s="12">
        <v>37.72</v>
      </c>
    </row>
    <row r="592" spans="4:5" x14ac:dyDescent="0.3">
      <c r="D592" s="16" t="s">
        <v>231</v>
      </c>
      <c r="E592" s="12">
        <v>37.72</v>
      </c>
    </row>
    <row r="593" spans="4:5" x14ac:dyDescent="0.3">
      <c r="D593" s="16" t="s">
        <v>1116</v>
      </c>
      <c r="E593" s="12">
        <v>35.76</v>
      </c>
    </row>
    <row r="594" spans="4:5" x14ac:dyDescent="0.3">
      <c r="D594" s="16" t="s">
        <v>1277</v>
      </c>
      <c r="E594" s="12">
        <v>35.76</v>
      </c>
    </row>
    <row r="595" spans="4:5" x14ac:dyDescent="0.3">
      <c r="D595" s="16" t="s">
        <v>1265</v>
      </c>
      <c r="E595" s="12">
        <v>35.76</v>
      </c>
    </row>
    <row r="596" spans="4:5" x14ac:dyDescent="0.3">
      <c r="D596" s="16" t="s">
        <v>1073</v>
      </c>
      <c r="E596" s="12">
        <v>35.76</v>
      </c>
    </row>
    <row r="597" spans="4:5" x14ac:dyDescent="0.3">
      <c r="D597" s="16" t="s">
        <v>1142</v>
      </c>
      <c r="E597" s="12">
        <v>35.76</v>
      </c>
    </row>
    <row r="598" spans="4:5" x14ac:dyDescent="0.3">
      <c r="D598" s="16" t="s">
        <v>1093</v>
      </c>
      <c r="E598" s="12">
        <v>35.76</v>
      </c>
    </row>
    <row r="599" spans="4:5" x14ac:dyDescent="0.3">
      <c r="D599" s="16" t="s">
        <v>1320</v>
      </c>
      <c r="E599" s="12">
        <v>35.76</v>
      </c>
    </row>
    <row r="600" spans="4:5" x14ac:dyDescent="0.3">
      <c r="D600" s="16" t="s">
        <v>1148</v>
      </c>
      <c r="E600" s="12">
        <v>35.76</v>
      </c>
    </row>
    <row r="601" spans="4:5" x14ac:dyDescent="0.3">
      <c r="D601" s="16" t="s">
        <v>1195</v>
      </c>
      <c r="E601" s="12">
        <v>35.76</v>
      </c>
    </row>
    <row r="602" spans="4:5" x14ac:dyDescent="0.3">
      <c r="D602" s="16" t="s">
        <v>1095</v>
      </c>
      <c r="E602" s="12">
        <v>35.76</v>
      </c>
    </row>
    <row r="603" spans="4:5" x14ac:dyDescent="0.3">
      <c r="D603" s="16" t="s">
        <v>1284</v>
      </c>
      <c r="E603" s="12">
        <v>35.76</v>
      </c>
    </row>
    <row r="604" spans="4:5" x14ac:dyDescent="0.3">
      <c r="D604" s="16" t="s">
        <v>1097</v>
      </c>
      <c r="E604" s="12">
        <v>35.76</v>
      </c>
    </row>
    <row r="605" spans="4:5" x14ac:dyDescent="0.3">
      <c r="D605" s="16" t="s">
        <v>1293</v>
      </c>
      <c r="E605" s="12">
        <v>35.76</v>
      </c>
    </row>
    <row r="606" spans="4:5" x14ac:dyDescent="0.3">
      <c r="D606" s="16" t="s">
        <v>1098</v>
      </c>
      <c r="E606" s="12">
        <v>35.76</v>
      </c>
    </row>
    <row r="607" spans="4:5" x14ac:dyDescent="0.3">
      <c r="D607" s="16" t="s">
        <v>1117</v>
      </c>
      <c r="E607" s="12">
        <v>35.76</v>
      </c>
    </row>
    <row r="608" spans="4:5" x14ac:dyDescent="0.3">
      <c r="D608" s="16" t="s">
        <v>1125</v>
      </c>
      <c r="E608" s="12">
        <v>35.76</v>
      </c>
    </row>
    <row r="609" spans="4:5" x14ac:dyDescent="0.3">
      <c r="D609" s="16" t="s">
        <v>1192</v>
      </c>
      <c r="E609" s="12">
        <v>35.76</v>
      </c>
    </row>
    <row r="610" spans="4:5" x14ac:dyDescent="0.3">
      <c r="D610" s="16" t="s">
        <v>1075</v>
      </c>
      <c r="E610" s="12">
        <v>35.76</v>
      </c>
    </row>
    <row r="611" spans="4:5" x14ac:dyDescent="0.3">
      <c r="D611" s="16" t="s">
        <v>1163</v>
      </c>
      <c r="E611" s="12">
        <v>35.76</v>
      </c>
    </row>
    <row r="612" spans="4:5" x14ac:dyDescent="0.3">
      <c r="D612" s="16" t="s">
        <v>1323</v>
      </c>
      <c r="E612" s="12">
        <v>35.76</v>
      </c>
    </row>
    <row r="613" spans="4:5" x14ac:dyDescent="0.3">
      <c r="D613" s="16" t="s">
        <v>1111</v>
      </c>
      <c r="E613" s="12">
        <v>35.76</v>
      </c>
    </row>
    <row r="614" spans="4:5" x14ac:dyDescent="0.3">
      <c r="D614" s="16" t="s">
        <v>1324</v>
      </c>
      <c r="E614" s="12">
        <v>35.76</v>
      </c>
    </row>
    <row r="615" spans="4:5" x14ac:dyDescent="0.3">
      <c r="D615" s="16" t="s">
        <v>1282</v>
      </c>
      <c r="E615" s="12">
        <v>35.76</v>
      </c>
    </row>
    <row r="616" spans="4:5" x14ac:dyDescent="0.3">
      <c r="D616" s="16" t="s">
        <v>1099</v>
      </c>
      <c r="E616" s="12">
        <v>35.76</v>
      </c>
    </row>
    <row r="617" spans="4:5" x14ac:dyDescent="0.3">
      <c r="D617" s="16" t="s">
        <v>1140</v>
      </c>
      <c r="E617" s="12">
        <v>35.76</v>
      </c>
    </row>
    <row r="618" spans="4:5" x14ac:dyDescent="0.3">
      <c r="D618" s="16" t="s">
        <v>1129</v>
      </c>
      <c r="E618" s="12">
        <v>35.76</v>
      </c>
    </row>
    <row r="619" spans="4:5" x14ac:dyDescent="0.3">
      <c r="D619" s="16" t="s">
        <v>1112</v>
      </c>
      <c r="E619" s="12">
        <v>35.76</v>
      </c>
    </row>
    <row r="620" spans="4:5" x14ac:dyDescent="0.3">
      <c r="D620" s="16" t="s">
        <v>1101</v>
      </c>
      <c r="E620" s="12">
        <v>35.76</v>
      </c>
    </row>
    <row r="621" spans="4:5" x14ac:dyDescent="0.3">
      <c r="D621" s="16" t="s">
        <v>1115</v>
      </c>
      <c r="E621" s="12">
        <v>35.76</v>
      </c>
    </row>
    <row r="622" spans="4:5" x14ac:dyDescent="0.3">
      <c r="D622" s="16" t="s">
        <v>1152</v>
      </c>
      <c r="E622" s="12">
        <v>35.76</v>
      </c>
    </row>
    <row r="623" spans="4:5" x14ac:dyDescent="0.3">
      <c r="D623" s="16" t="s">
        <v>1079</v>
      </c>
      <c r="E623" s="12">
        <v>35.76</v>
      </c>
    </row>
    <row r="624" spans="4:5" x14ac:dyDescent="0.3">
      <c r="D624" s="16" t="s">
        <v>1104</v>
      </c>
      <c r="E624" s="12">
        <v>35.76</v>
      </c>
    </row>
    <row r="625" spans="4:5" x14ac:dyDescent="0.3">
      <c r="D625" s="16" t="s">
        <v>1092</v>
      </c>
      <c r="E625" s="12">
        <v>35.76</v>
      </c>
    </row>
    <row r="626" spans="4:5" x14ac:dyDescent="0.3">
      <c r="D626" s="16" t="s">
        <v>1118</v>
      </c>
      <c r="E626" s="12">
        <v>35.76</v>
      </c>
    </row>
    <row r="627" spans="4:5" x14ac:dyDescent="0.3">
      <c r="D627" s="16" t="s">
        <v>1233</v>
      </c>
      <c r="E627" s="12">
        <v>35.76</v>
      </c>
    </row>
    <row r="628" spans="4:5" x14ac:dyDescent="0.3">
      <c r="D628" s="16" t="s">
        <v>1322</v>
      </c>
      <c r="E628" s="12">
        <v>35.76</v>
      </c>
    </row>
    <row r="629" spans="4:5" x14ac:dyDescent="0.3">
      <c r="D629" s="16" t="s">
        <v>1131</v>
      </c>
      <c r="E629" s="12">
        <v>35.76</v>
      </c>
    </row>
    <row r="630" spans="4:5" x14ac:dyDescent="0.3">
      <c r="D630" s="16" t="s">
        <v>1263</v>
      </c>
      <c r="E630" s="12">
        <v>35.76</v>
      </c>
    </row>
    <row r="631" spans="4:5" x14ac:dyDescent="0.3">
      <c r="D631" s="16" t="s">
        <v>1236</v>
      </c>
      <c r="E631" s="12">
        <v>35.76</v>
      </c>
    </row>
    <row r="632" spans="4:5" x14ac:dyDescent="0.3">
      <c r="D632" s="16" t="s">
        <v>1193</v>
      </c>
      <c r="E632" s="12">
        <v>35.76</v>
      </c>
    </row>
    <row r="633" spans="4:5" x14ac:dyDescent="0.3">
      <c r="D633" s="16" t="s">
        <v>1106</v>
      </c>
      <c r="E633" s="12">
        <v>35.76</v>
      </c>
    </row>
    <row r="634" spans="4:5" x14ac:dyDescent="0.3">
      <c r="D634" s="16" t="s">
        <v>1089</v>
      </c>
      <c r="E634" s="12">
        <v>35.76</v>
      </c>
    </row>
    <row r="635" spans="4:5" x14ac:dyDescent="0.3">
      <c r="D635" s="16" t="s">
        <v>1137</v>
      </c>
      <c r="E635" s="12">
        <v>35.76</v>
      </c>
    </row>
    <row r="636" spans="4:5" x14ac:dyDescent="0.3">
      <c r="D636" s="16" t="s">
        <v>1238</v>
      </c>
      <c r="E636" s="12">
        <v>35.76</v>
      </c>
    </row>
    <row r="637" spans="4:5" x14ac:dyDescent="0.3">
      <c r="D637" s="16" t="s">
        <v>1273</v>
      </c>
      <c r="E637" s="12">
        <v>35.76</v>
      </c>
    </row>
    <row r="638" spans="4:5" x14ac:dyDescent="0.3">
      <c r="D638" s="16" t="s">
        <v>1132</v>
      </c>
      <c r="E638" s="12">
        <v>35.76</v>
      </c>
    </row>
    <row r="639" spans="4:5" x14ac:dyDescent="0.3">
      <c r="D639" s="16" t="s">
        <v>1327</v>
      </c>
      <c r="E639" s="12">
        <v>35.76</v>
      </c>
    </row>
    <row r="640" spans="4:5" x14ac:dyDescent="0.3">
      <c r="D640" s="16" t="s">
        <v>1240</v>
      </c>
      <c r="E640" s="12">
        <v>35.76</v>
      </c>
    </row>
    <row r="641" spans="4:5" x14ac:dyDescent="0.3">
      <c r="D641" s="16" t="s">
        <v>1077</v>
      </c>
      <c r="E641" s="12">
        <v>35.76</v>
      </c>
    </row>
    <row r="642" spans="4:5" x14ac:dyDescent="0.3">
      <c r="D642" s="16" t="s">
        <v>1241</v>
      </c>
      <c r="E642" s="12">
        <v>35.76</v>
      </c>
    </row>
    <row r="643" spans="4:5" x14ac:dyDescent="0.3">
      <c r="D643" s="16" t="s">
        <v>1149</v>
      </c>
      <c r="E643" s="12">
        <v>35.76</v>
      </c>
    </row>
    <row r="644" spans="4:5" x14ac:dyDescent="0.3">
      <c r="D644" s="16" t="s">
        <v>1108</v>
      </c>
      <c r="E644" s="12">
        <v>35.76</v>
      </c>
    </row>
    <row r="645" spans="4:5" x14ac:dyDescent="0.3">
      <c r="D645" s="16" t="s">
        <v>1285</v>
      </c>
      <c r="E645" s="12">
        <v>35.76</v>
      </c>
    </row>
    <row r="646" spans="4:5" x14ac:dyDescent="0.3">
      <c r="D646" s="16" t="s">
        <v>1184</v>
      </c>
      <c r="E646" s="12">
        <v>35.76</v>
      </c>
    </row>
    <row r="647" spans="4:5" x14ac:dyDescent="0.3">
      <c r="D647" s="16" t="s">
        <v>1141</v>
      </c>
      <c r="E647" s="12">
        <v>35.76</v>
      </c>
    </row>
    <row r="648" spans="4:5" x14ac:dyDescent="0.3">
      <c r="D648" s="16" t="s">
        <v>1185</v>
      </c>
      <c r="E648" s="12">
        <v>35.76</v>
      </c>
    </row>
    <row r="649" spans="4:5" x14ac:dyDescent="0.3">
      <c r="D649" s="16" t="s">
        <v>1289</v>
      </c>
      <c r="E649" s="12">
        <v>35.76</v>
      </c>
    </row>
    <row r="650" spans="4:5" x14ac:dyDescent="0.3">
      <c r="D650" s="16" t="s">
        <v>1134</v>
      </c>
      <c r="E650" s="12">
        <v>35.76</v>
      </c>
    </row>
    <row r="651" spans="4:5" x14ac:dyDescent="0.3">
      <c r="D651" s="16" t="s">
        <v>1292</v>
      </c>
      <c r="E651" s="12">
        <v>35.76</v>
      </c>
    </row>
    <row r="652" spans="4:5" x14ac:dyDescent="0.3">
      <c r="D652" s="16" t="s">
        <v>1247</v>
      </c>
      <c r="E652" s="12">
        <v>35.76</v>
      </c>
    </row>
    <row r="653" spans="4:5" x14ac:dyDescent="0.3">
      <c r="D653" s="16" t="s">
        <v>1299</v>
      </c>
      <c r="E653" s="12">
        <v>35.76</v>
      </c>
    </row>
    <row r="654" spans="4:5" x14ac:dyDescent="0.3">
      <c r="D654" s="16" t="s">
        <v>1248</v>
      </c>
      <c r="E654" s="12">
        <v>35.76</v>
      </c>
    </row>
    <row r="655" spans="4:5" x14ac:dyDescent="0.3">
      <c r="D655" s="16" t="s">
        <v>1301</v>
      </c>
      <c r="E655" s="12">
        <v>35.76</v>
      </c>
    </row>
    <row r="656" spans="4:5" x14ac:dyDescent="0.3">
      <c r="D656" s="16" t="s">
        <v>1155</v>
      </c>
      <c r="E656" s="12">
        <v>35.76</v>
      </c>
    </row>
    <row r="657" spans="4:5" x14ac:dyDescent="0.3">
      <c r="D657" s="16" t="s">
        <v>1304</v>
      </c>
      <c r="E657" s="12">
        <v>35.76</v>
      </c>
    </row>
    <row r="658" spans="4:5" x14ac:dyDescent="0.3">
      <c r="D658" s="16" t="s">
        <v>1251</v>
      </c>
      <c r="E658" s="12">
        <v>35.76</v>
      </c>
    </row>
    <row r="659" spans="4:5" x14ac:dyDescent="0.3">
      <c r="D659" s="16" t="s">
        <v>1205</v>
      </c>
      <c r="E659" s="12">
        <v>35.76</v>
      </c>
    </row>
    <row r="660" spans="4:5" x14ac:dyDescent="0.3">
      <c r="D660" s="16" t="s">
        <v>1252</v>
      </c>
      <c r="E660" s="12">
        <v>35.76</v>
      </c>
    </row>
    <row r="661" spans="4:5" x14ac:dyDescent="0.3">
      <c r="D661" s="16" t="s">
        <v>1309</v>
      </c>
      <c r="E661" s="12">
        <v>35.76</v>
      </c>
    </row>
    <row r="662" spans="4:5" x14ac:dyDescent="0.3">
      <c r="D662" s="16" t="s">
        <v>1254</v>
      </c>
      <c r="E662" s="12">
        <v>35.76</v>
      </c>
    </row>
    <row r="663" spans="4:5" x14ac:dyDescent="0.3">
      <c r="D663" s="16" t="s">
        <v>1312</v>
      </c>
      <c r="E663" s="12">
        <v>35.76</v>
      </c>
    </row>
    <row r="664" spans="4:5" x14ac:dyDescent="0.3">
      <c r="D664" s="16" t="s">
        <v>1157</v>
      </c>
      <c r="E664" s="12">
        <v>35.76</v>
      </c>
    </row>
    <row r="665" spans="4:5" x14ac:dyDescent="0.3">
      <c r="D665" s="16" t="s">
        <v>1120</v>
      </c>
      <c r="E665" s="12">
        <v>35.76</v>
      </c>
    </row>
    <row r="666" spans="4:5" x14ac:dyDescent="0.3">
      <c r="D666" s="16" t="s">
        <v>1158</v>
      </c>
      <c r="E666" s="12">
        <v>35.76</v>
      </c>
    </row>
    <row r="667" spans="4:5" x14ac:dyDescent="0.3">
      <c r="D667" s="16" t="s">
        <v>1070</v>
      </c>
      <c r="E667" s="12">
        <v>35.76</v>
      </c>
    </row>
    <row r="668" spans="4:5" x14ac:dyDescent="0.3">
      <c r="D668" s="16" t="s">
        <v>1161</v>
      </c>
      <c r="E668" s="12">
        <v>35.76</v>
      </c>
    </row>
    <row r="669" spans="4:5" x14ac:dyDescent="0.3">
      <c r="D669" s="16" t="s">
        <v>1086</v>
      </c>
      <c r="E669" s="12">
        <v>35.76</v>
      </c>
    </row>
    <row r="670" spans="4:5" x14ac:dyDescent="0.3">
      <c r="D670" s="16" t="s">
        <v>1162</v>
      </c>
      <c r="E670" s="12">
        <v>35.76</v>
      </c>
    </row>
    <row r="671" spans="4:5" x14ac:dyDescent="0.3">
      <c r="D671" s="16" t="s">
        <v>1143</v>
      </c>
      <c r="E671" s="12">
        <v>35.76</v>
      </c>
    </row>
    <row r="672" spans="4:5" x14ac:dyDescent="0.3">
      <c r="D672" s="16" t="s">
        <v>1127</v>
      </c>
      <c r="E672" s="12">
        <v>35.76</v>
      </c>
    </row>
    <row r="673" spans="4:5" x14ac:dyDescent="0.3">
      <c r="D673" s="16" t="s">
        <v>1198</v>
      </c>
      <c r="E673" s="12">
        <v>35.76</v>
      </c>
    </row>
    <row r="674" spans="4:5" x14ac:dyDescent="0.3">
      <c r="D674" s="16" t="s">
        <v>987</v>
      </c>
      <c r="E674" s="12">
        <v>35.76</v>
      </c>
    </row>
    <row r="675" spans="4:5" x14ac:dyDescent="0.3">
      <c r="D675" s="16" t="s">
        <v>1047</v>
      </c>
      <c r="E675" s="12">
        <v>35.76</v>
      </c>
    </row>
    <row r="676" spans="4:5" x14ac:dyDescent="0.3">
      <c r="D676" s="16" t="s">
        <v>809</v>
      </c>
      <c r="E676" s="12">
        <v>35.76</v>
      </c>
    </row>
    <row r="677" spans="4:5" x14ac:dyDescent="0.3">
      <c r="D677" s="16" t="s">
        <v>895</v>
      </c>
      <c r="E677" s="12">
        <v>35.76</v>
      </c>
    </row>
    <row r="678" spans="4:5" x14ac:dyDescent="0.3">
      <c r="D678" s="16" t="s">
        <v>972</v>
      </c>
      <c r="E678" s="12">
        <v>35.76</v>
      </c>
    </row>
    <row r="679" spans="4:5" x14ac:dyDescent="0.3">
      <c r="D679" s="16" t="s">
        <v>896</v>
      </c>
      <c r="E679" s="12">
        <v>35.76</v>
      </c>
    </row>
    <row r="680" spans="4:5" x14ac:dyDescent="0.3">
      <c r="D680" s="16" t="s">
        <v>830</v>
      </c>
      <c r="E680" s="12">
        <v>35.76</v>
      </c>
    </row>
    <row r="681" spans="4:5" x14ac:dyDescent="0.3">
      <c r="D681" s="16" t="s">
        <v>897</v>
      </c>
      <c r="E681" s="12">
        <v>35.76</v>
      </c>
    </row>
    <row r="682" spans="4:5" x14ac:dyDescent="0.3">
      <c r="D682" s="16" t="s">
        <v>1039</v>
      </c>
      <c r="E682" s="12">
        <v>35.76</v>
      </c>
    </row>
    <row r="683" spans="4:5" x14ac:dyDescent="0.3">
      <c r="D683" s="16" t="s">
        <v>821</v>
      </c>
      <c r="E683" s="12">
        <v>35.76</v>
      </c>
    </row>
    <row r="684" spans="4:5" x14ac:dyDescent="0.3">
      <c r="D684" s="16" t="s">
        <v>966</v>
      </c>
      <c r="E684" s="12">
        <v>35.76</v>
      </c>
    </row>
    <row r="685" spans="4:5" x14ac:dyDescent="0.3">
      <c r="D685" s="16" t="s">
        <v>899</v>
      </c>
      <c r="E685" s="12">
        <v>35.76</v>
      </c>
    </row>
    <row r="686" spans="4:5" x14ac:dyDescent="0.3">
      <c r="D686" s="16" t="s">
        <v>976</v>
      </c>
      <c r="E686" s="12">
        <v>35.76</v>
      </c>
    </row>
    <row r="687" spans="4:5" x14ac:dyDescent="0.3">
      <c r="D687" s="16" t="s">
        <v>900</v>
      </c>
      <c r="E687" s="12">
        <v>35.76</v>
      </c>
    </row>
    <row r="688" spans="4:5" x14ac:dyDescent="0.3">
      <c r="D688" s="16" t="s">
        <v>1008</v>
      </c>
      <c r="E688" s="12">
        <v>35.76</v>
      </c>
    </row>
    <row r="689" spans="4:5" x14ac:dyDescent="0.3">
      <c r="D689" s="16" t="s">
        <v>901</v>
      </c>
      <c r="E689" s="12">
        <v>35.76</v>
      </c>
    </row>
    <row r="690" spans="4:5" x14ac:dyDescent="0.3">
      <c r="D690" s="16" t="s">
        <v>880</v>
      </c>
      <c r="E690" s="12">
        <v>35.76</v>
      </c>
    </row>
    <row r="691" spans="4:5" x14ac:dyDescent="0.3">
      <c r="D691" s="16" t="s">
        <v>902</v>
      </c>
      <c r="E691" s="12">
        <v>35.76</v>
      </c>
    </row>
    <row r="692" spans="4:5" x14ac:dyDescent="0.3">
      <c r="D692" s="16" t="s">
        <v>884</v>
      </c>
      <c r="E692" s="12">
        <v>35.76</v>
      </c>
    </row>
    <row r="693" spans="4:5" x14ac:dyDescent="0.3">
      <c r="D693" s="16" t="s">
        <v>859</v>
      </c>
      <c r="E693" s="12">
        <v>35.76</v>
      </c>
    </row>
    <row r="694" spans="4:5" x14ac:dyDescent="0.3">
      <c r="D694" s="16" t="s">
        <v>1043</v>
      </c>
      <c r="E694" s="12">
        <v>35.76</v>
      </c>
    </row>
    <row r="695" spans="4:5" x14ac:dyDescent="0.3">
      <c r="D695" s="16" t="s">
        <v>849</v>
      </c>
      <c r="E695" s="12">
        <v>35.76</v>
      </c>
    </row>
    <row r="696" spans="4:5" x14ac:dyDescent="0.3">
      <c r="D696" s="16" t="s">
        <v>818</v>
      </c>
      <c r="E696" s="12">
        <v>35.76</v>
      </c>
    </row>
    <row r="697" spans="4:5" x14ac:dyDescent="0.3">
      <c r="D697" s="16" t="s">
        <v>905</v>
      </c>
      <c r="E697" s="12">
        <v>35.76</v>
      </c>
    </row>
    <row r="698" spans="4:5" x14ac:dyDescent="0.3">
      <c r="D698" s="16" t="s">
        <v>853</v>
      </c>
      <c r="E698" s="12">
        <v>35.76</v>
      </c>
    </row>
    <row r="699" spans="4:5" x14ac:dyDescent="0.3">
      <c r="D699" s="16" t="s">
        <v>850</v>
      </c>
      <c r="E699" s="12">
        <v>35.76</v>
      </c>
    </row>
    <row r="700" spans="4:5" x14ac:dyDescent="0.3">
      <c r="D700" s="16" t="s">
        <v>974</v>
      </c>
      <c r="E700" s="12">
        <v>35.76</v>
      </c>
    </row>
    <row r="701" spans="4:5" x14ac:dyDescent="0.3">
      <c r="D701" s="16" t="s">
        <v>911</v>
      </c>
      <c r="E701" s="12">
        <v>35.76</v>
      </c>
    </row>
    <row r="702" spans="4:5" x14ac:dyDescent="0.3">
      <c r="D702" s="16" t="s">
        <v>982</v>
      </c>
      <c r="E702" s="12">
        <v>35.76</v>
      </c>
    </row>
    <row r="703" spans="4:5" x14ac:dyDescent="0.3">
      <c r="D703" s="16" t="s">
        <v>867</v>
      </c>
      <c r="E703" s="12">
        <v>35.76</v>
      </c>
    </row>
    <row r="704" spans="4:5" x14ac:dyDescent="0.3">
      <c r="D704" s="16" t="s">
        <v>894</v>
      </c>
      <c r="E704" s="12">
        <v>35.76</v>
      </c>
    </row>
    <row r="705" spans="4:5" x14ac:dyDescent="0.3">
      <c r="D705" s="16" t="s">
        <v>913</v>
      </c>
      <c r="E705" s="12">
        <v>35.76</v>
      </c>
    </row>
    <row r="706" spans="4:5" x14ac:dyDescent="0.3">
      <c r="D706" s="16" t="s">
        <v>1011</v>
      </c>
      <c r="E706" s="12">
        <v>35.76</v>
      </c>
    </row>
    <row r="707" spans="4:5" x14ac:dyDescent="0.3">
      <c r="D707" s="16" t="s">
        <v>825</v>
      </c>
      <c r="E707" s="12">
        <v>35.76</v>
      </c>
    </row>
    <row r="708" spans="4:5" x14ac:dyDescent="0.3">
      <c r="D708" s="16" t="s">
        <v>1019</v>
      </c>
      <c r="E708" s="12">
        <v>35.76</v>
      </c>
    </row>
    <row r="709" spans="4:5" x14ac:dyDescent="0.3">
      <c r="D709" s="16" t="s">
        <v>916</v>
      </c>
      <c r="E709" s="12">
        <v>35.76</v>
      </c>
    </row>
    <row r="710" spans="4:5" x14ac:dyDescent="0.3">
      <c r="D710" s="16" t="s">
        <v>855</v>
      </c>
      <c r="E710" s="12">
        <v>35.76</v>
      </c>
    </row>
    <row r="711" spans="4:5" x14ac:dyDescent="0.3">
      <c r="D711" s="16" t="s">
        <v>826</v>
      </c>
      <c r="E711" s="12">
        <v>35.76</v>
      </c>
    </row>
    <row r="712" spans="4:5" x14ac:dyDescent="0.3">
      <c r="D712" s="16" t="s">
        <v>1031</v>
      </c>
      <c r="E712" s="12">
        <v>35.76</v>
      </c>
    </row>
    <row r="713" spans="4:5" x14ac:dyDescent="0.3">
      <c r="D713" s="16" t="s">
        <v>868</v>
      </c>
      <c r="E713" s="12">
        <v>35.76</v>
      </c>
    </row>
    <row r="714" spans="4:5" x14ac:dyDescent="0.3">
      <c r="D714" s="16" t="s">
        <v>1036</v>
      </c>
      <c r="E714" s="12">
        <v>35.76</v>
      </c>
    </row>
    <row r="715" spans="4:5" x14ac:dyDescent="0.3">
      <c r="D715" s="16" t="s">
        <v>921</v>
      </c>
      <c r="E715" s="12">
        <v>35.76</v>
      </c>
    </row>
    <row r="716" spans="4:5" x14ac:dyDescent="0.3">
      <c r="D716" s="16" t="s">
        <v>836</v>
      </c>
      <c r="E716" s="12">
        <v>35.76</v>
      </c>
    </row>
    <row r="717" spans="4:5" x14ac:dyDescent="0.3">
      <c r="D717" s="16" t="s">
        <v>922</v>
      </c>
      <c r="E717" s="12">
        <v>35.76</v>
      </c>
    </row>
    <row r="718" spans="4:5" x14ac:dyDescent="0.3">
      <c r="D718" s="16" t="s">
        <v>1045</v>
      </c>
      <c r="E718" s="12">
        <v>35.76</v>
      </c>
    </row>
    <row r="719" spans="4:5" x14ac:dyDescent="0.3">
      <c r="D719" s="16" t="s">
        <v>923</v>
      </c>
      <c r="E719" s="12">
        <v>35.76</v>
      </c>
    </row>
    <row r="720" spans="4:5" x14ac:dyDescent="0.3">
      <c r="D720" s="16" t="s">
        <v>893</v>
      </c>
      <c r="E720" s="12">
        <v>35.76</v>
      </c>
    </row>
    <row r="721" spans="4:5" x14ac:dyDescent="0.3">
      <c r="D721" s="16" t="s">
        <v>925</v>
      </c>
      <c r="E721" s="12">
        <v>35.76</v>
      </c>
    </row>
    <row r="722" spans="4:5" x14ac:dyDescent="0.3">
      <c r="D722" s="16" t="s">
        <v>964</v>
      </c>
      <c r="E722" s="12">
        <v>35.76</v>
      </c>
    </row>
    <row r="723" spans="4:5" x14ac:dyDescent="0.3">
      <c r="D723" s="16" t="s">
        <v>926</v>
      </c>
      <c r="E723" s="12">
        <v>35.76</v>
      </c>
    </row>
    <row r="724" spans="4:5" x14ac:dyDescent="0.3">
      <c r="D724" s="16" t="s">
        <v>967</v>
      </c>
      <c r="E724" s="12">
        <v>35.76</v>
      </c>
    </row>
    <row r="725" spans="4:5" x14ac:dyDescent="0.3">
      <c r="D725" s="16" t="s">
        <v>819</v>
      </c>
      <c r="E725" s="12">
        <v>35.76</v>
      </c>
    </row>
    <row r="726" spans="4:5" x14ac:dyDescent="0.3">
      <c r="D726" s="16" t="s">
        <v>971</v>
      </c>
      <c r="E726" s="12">
        <v>35.76</v>
      </c>
    </row>
    <row r="727" spans="4:5" x14ac:dyDescent="0.3">
      <c r="D727" s="16" t="s">
        <v>933</v>
      </c>
      <c r="E727" s="12">
        <v>35.76</v>
      </c>
    </row>
    <row r="728" spans="4:5" x14ac:dyDescent="0.3">
      <c r="D728" s="16" t="s">
        <v>973</v>
      </c>
      <c r="E728" s="12">
        <v>35.76</v>
      </c>
    </row>
    <row r="729" spans="4:5" x14ac:dyDescent="0.3">
      <c r="D729" s="16" t="s">
        <v>869</v>
      </c>
      <c r="E729" s="12">
        <v>35.76</v>
      </c>
    </row>
    <row r="730" spans="4:5" x14ac:dyDescent="0.3">
      <c r="D730" s="16" t="s">
        <v>975</v>
      </c>
      <c r="E730" s="12">
        <v>35.76</v>
      </c>
    </row>
    <row r="731" spans="4:5" x14ac:dyDescent="0.3">
      <c r="D731" s="16" t="s">
        <v>1064</v>
      </c>
      <c r="E731" s="12">
        <v>35.76</v>
      </c>
    </row>
    <row r="732" spans="4:5" x14ac:dyDescent="0.3">
      <c r="D732" s="16" t="s">
        <v>980</v>
      </c>
      <c r="E732" s="12">
        <v>35.76</v>
      </c>
    </row>
    <row r="733" spans="4:5" x14ac:dyDescent="0.3">
      <c r="D733" s="16" t="s">
        <v>1065</v>
      </c>
      <c r="E733" s="12">
        <v>35.76</v>
      </c>
    </row>
    <row r="734" spans="4:5" x14ac:dyDescent="0.3">
      <c r="D734" s="16" t="s">
        <v>984</v>
      </c>
      <c r="E734" s="12">
        <v>35.76</v>
      </c>
    </row>
    <row r="735" spans="4:5" x14ac:dyDescent="0.3">
      <c r="D735" s="16" t="s">
        <v>989</v>
      </c>
      <c r="E735" s="12">
        <v>35.76</v>
      </c>
    </row>
    <row r="736" spans="4:5" x14ac:dyDescent="0.3">
      <c r="D736" s="16" t="s">
        <v>875</v>
      </c>
      <c r="E736" s="12">
        <v>35.76</v>
      </c>
    </row>
    <row r="737" spans="4:5" x14ac:dyDescent="0.3">
      <c r="D737" s="16" t="s">
        <v>990</v>
      </c>
      <c r="E737" s="12">
        <v>35.76</v>
      </c>
    </row>
    <row r="738" spans="4:5" x14ac:dyDescent="0.3">
      <c r="D738" s="16" t="s">
        <v>997</v>
      </c>
      <c r="E738" s="12">
        <v>35.76</v>
      </c>
    </row>
    <row r="739" spans="4:5" x14ac:dyDescent="0.3">
      <c r="D739" s="16" t="s">
        <v>994</v>
      </c>
      <c r="E739" s="12">
        <v>35.76</v>
      </c>
    </row>
    <row r="740" spans="4:5" x14ac:dyDescent="0.3">
      <c r="D740" s="16" t="s">
        <v>939</v>
      </c>
      <c r="E740" s="12">
        <v>35.76</v>
      </c>
    </row>
    <row r="741" spans="4:5" x14ac:dyDescent="0.3">
      <c r="D741" s="16" t="s">
        <v>1006</v>
      </c>
      <c r="E741" s="12">
        <v>35.76</v>
      </c>
    </row>
    <row r="742" spans="4:5" x14ac:dyDescent="0.3">
      <c r="D742" s="16" t="s">
        <v>940</v>
      </c>
      <c r="E742" s="12">
        <v>35.76</v>
      </c>
    </row>
    <row r="743" spans="4:5" x14ac:dyDescent="0.3">
      <c r="D743" s="16" t="s">
        <v>1009</v>
      </c>
      <c r="E743" s="12">
        <v>35.76</v>
      </c>
    </row>
    <row r="744" spans="4:5" x14ac:dyDescent="0.3">
      <c r="D744" s="16" t="s">
        <v>941</v>
      </c>
      <c r="E744" s="12">
        <v>35.76</v>
      </c>
    </row>
    <row r="745" spans="4:5" x14ac:dyDescent="0.3">
      <c r="D745" s="16" t="s">
        <v>876</v>
      </c>
      <c r="E745" s="12">
        <v>35.76</v>
      </c>
    </row>
    <row r="746" spans="4:5" x14ac:dyDescent="0.3">
      <c r="D746" s="16" t="s">
        <v>870</v>
      </c>
      <c r="E746" s="12">
        <v>35.76</v>
      </c>
    </row>
    <row r="747" spans="4:5" x14ac:dyDescent="0.3">
      <c r="D747" s="16" t="s">
        <v>1017</v>
      </c>
      <c r="E747" s="12">
        <v>35.76</v>
      </c>
    </row>
    <row r="748" spans="4:5" x14ac:dyDescent="0.3">
      <c r="D748" s="16" t="s">
        <v>944</v>
      </c>
      <c r="E748" s="12">
        <v>35.76</v>
      </c>
    </row>
    <row r="749" spans="4:5" x14ac:dyDescent="0.3">
      <c r="D749" s="16" t="s">
        <v>846</v>
      </c>
      <c r="E749" s="12">
        <v>35.76</v>
      </c>
    </row>
    <row r="750" spans="4:5" x14ac:dyDescent="0.3">
      <c r="D750" s="16" t="s">
        <v>1053</v>
      </c>
      <c r="E750" s="12">
        <v>35.76</v>
      </c>
    </row>
    <row r="751" spans="4:5" x14ac:dyDescent="0.3">
      <c r="D751" s="16" t="s">
        <v>1025</v>
      </c>
      <c r="E751" s="12">
        <v>35.76</v>
      </c>
    </row>
    <row r="752" spans="4:5" x14ac:dyDescent="0.3">
      <c r="D752" s="16" t="s">
        <v>871</v>
      </c>
      <c r="E752" s="12">
        <v>35.76</v>
      </c>
    </row>
    <row r="753" spans="4:5" x14ac:dyDescent="0.3">
      <c r="D753" s="16" t="s">
        <v>1027</v>
      </c>
      <c r="E753" s="12">
        <v>35.76</v>
      </c>
    </row>
    <row r="754" spans="4:5" x14ac:dyDescent="0.3">
      <c r="D754" s="16" t="s">
        <v>1059</v>
      </c>
      <c r="E754" s="12">
        <v>35.76</v>
      </c>
    </row>
    <row r="755" spans="4:5" x14ac:dyDescent="0.3">
      <c r="D755" s="16" t="s">
        <v>1029</v>
      </c>
      <c r="E755" s="12">
        <v>35.76</v>
      </c>
    </row>
    <row r="756" spans="4:5" x14ac:dyDescent="0.3">
      <c r="D756" s="16" t="s">
        <v>844</v>
      </c>
      <c r="E756" s="12">
        <v>35.76</v>
      </c>
    </row>
    <row r="757" spans="4:5" x14ac:dyDescent="0.3">
      <c r="D757" s="16" t="s">
        <v>834</v>
      </c>
      <c r="E757" s="12">
        <v>35.76</v>
      </c>
    </row>
    <row r="758" spans="4:5" x14ac:dyDescent="0.3">
      <c r="D758" s="16" t="s">
        <v>952</v>
      </c>
      <c r="E758" s="12">
        <v>35.76</v>
      </c>
    </row>
    <row r="759" spans="4:5" x14ac:dyDescent="0.3">
      <c r="D759" s="16" t="s">
        <v>1034</v>
      </c>
      <c r="E759" s="12">
        <v>35.76</v>
      </c>
    </row>
    <row r="760" spans="4:5" x14ac:dyDescent="0.3">
      <c r="D760" s="16" t="s">
        <v>953</v>
      </c>
      <c r="E760" s="12">
        <v>35.76</v>
      </c>
    </row>
    <row r="761" spans="4:5" x14ac:dyDescent="0.3">
      <c r="D761" s="16" t="s">
        <v>885</v>
      </c>
      <c r="E761" s="12">
        <v>35.76</v>
      </c>
    </row>
    <row r="762" spans="4:5" x14ac:dyDescent="0.3">
      <c r="D762" s="16" t="s">
        <v>954</v>
      </c>
      <c r="E762" s="12">
        <v>35.76</v>
      </c>
    </row>
    <row r="763" spans="4:5" x14ac:dyDescent="0.3">
      <c r="D763" s="16" t="s">
        <v>1040</v>
      </c>
      <c r="E763" s="12">
        <v>35.76</v>
      </c>
    </row>
    <row r="764" spans="4:5" x14ac:dyDescent="0.3">
      <c r="D764" s="16" t="s">
        <v>955</v>
      </c>
      <c r="E764" s="12">
        <v>35.76</v>
      </c>
    </row>
    <row r="765" spans="4:5" x14ac:dyDescent="0.3">
      <c r="D765" s="16" t="s">
        <v>886</v>
      </c>
      <c r="E765" s="12">
        <v>35.76</v>
      </c>
    </row>
    <row r="766" spans="4:5" x14ac:dyDescent="0.3">
      <c r="D766" s="16" t="s">
        <v>957</v>
      </c>
      <c r="E766" s="12">
        <v>35.76</v>
      </c>
    </row>
    <row r="767" spans="4:5" x14ac:dyDescent="0.3">
      <c r="D767" s="16" t="s">
        <v>1044</v>
      </c>
      <c r="E767" s="12">
        <v>35.76</v>
      </c>
    </row>
    <row r="768" spans="4:5" x14ac:dyDescent="0.3">
      <c r="D768" s="16" t="s">
        <v>959</v>
      </c>
      <c r="E768" s="12">
        <v>35.76</v>
      </c>
    </row>
    <row r="769" spans="4:5" x14ac:dyDescent="0.3">
      <c r="D769" s="16" t="s">
        <v>838</v>
      </c>
      <c r="E769" s="12">
        <v>35.76</v>
      </c>
    </row>
    <row r="770" spans="4:5" x14ac:dyDescent="0.3">
      <c r="D770" s="16" t="s">
        <v>960</v>
      </c>
      <c r="E770" s="12">
        <v>35.76</v>
      </c>
    </row>
    <row r="771" spans="4:5" x14ac:dyDescent="0.3">
      <c r="D771" s="16" t="s">
        <v>806</v>
      </c>
      <c r="E771" s="12">
        <v>35.76</v>
      </c>
    </row>
    <row r="772" spans="4:5" x14ac:dyDescent="0.3">
      <c r="D772" s="16" t="s">
        <v>961</v>
      </c>
      <c r="E772" s="12">
        <v>35.76</v>
      </c>
    </row>
    <row r="773" spans="4:5" x14ac:dyDescent="0.3">
      <c r="D773" s="16" t="s">
        <v>1052</v>
      </c>
      <c r="E773" s="12">
        <v>35.76</v>
      </c>
    </row>
    <row r="774" spans="4:5" x14ac:dyDescent="0.3">
      <c r="D774" s="16" t="s">
        <v>873</v>
      </c>
      <c r="E774" s="12">
        <v>35.76</v>
      </c>
    </row>
    <row r="775" spans="4:5" x14ac:dyDescent="0.3">
      <c r="D775" s="16" t="s">
        <v>963</v>
      </c>
      <c r="E775" s="12">
        <v>35.76</v>
      </c>
    </row>
    <row r="776" spans="4:5" x14ac:dyDescent="0.3">
      <c r="D776" s="16" t="s">
        <v>947</v>
      </c>
      <c r="E776" s="12">
        <v>35.76</v>
      </c>
    </row>
    <row r="777" spans="4:5" x14ac:dyDescent="0.3">
      <c r="D777" s="16" t="s">
        <v>1058</v>
      </c>
      <c r="E777" s="12">
        <v>35.76</v>
      </c>
    </row>
    <row r="778" spans="4:5" x14ac:dyDescent="0.3">
      <c r="D778" s="16" t="s">
        <v>948</v>
      </c>
      <c r="E778" s="12">
        <v>35.76</v>
      </c>
    </row>
    <row r="779" spans="4:5" x14ac:dyDescent="0.3">
      <c r="D779" s="16" t="s">
        <v>1062</v>
      </c>
      <c r="E779" s="12">
        <v>35.76</v>
      </c>
    </row>
    <row r="780" spans="4:5" x14ac:dyDescent="0.3">
      <c r="D780" s="16" t="s">
        <v>949</v>
      </c>
      <c r="E780" s="12">
        <v>35.76</v>
      </c>
    </row>
    <row r="781" spans="4:5" x14ac:dyDescent="0.3">
      <c r="D781" s="16" t="s">
        <v>845</v>
      </c>
      <c r="E781" s="12">
        <v>35.76</v>
      </c>
    </row>
    <row r="782" spans="4:5" x14ac:dyDescent="0.3">
      <c r="D782" s="16" t="s">
        <v>829</v>
      </c>
      <c r="E782" s="12">
        <v>35.76</v>
      </c>
    </row>
    <row r="783" spans="4:5" x14ac:dyDescent="0.3">
      <c r="D783" s="16" t="s">
        <v>1066</v>
      </c>
      <c r="E783" s="12">
        <v>35.76</v>
      </c>
    </row>
    <row r="784" spans="4:5" x14ac:dyDescent="0.3">
      <c r="D784" s="16" t="s">
        <v>805</v>
      </c>
      <c r="E784" s="12">
        <v>35.76</v>
      </c>
    </row>
    <row r="785" spans="4:5" x14ac:dyDescent="0.3">
      <c r="D785" s="16" t="s">
        <v>937</v>
      </c>
      <c r="E785" s="12">
        <v>35.76</v>
      </c>
    </row>
    <row r="786" spans="4:5" x14ac:dyDescent="0.3">
      <c r="D786" s="16" t="s">
        <v>936</v>
      </c>
      <c r="E786" s="12">
        <v>35.76</v>
      </c>
    </row>
    <row r="787" spans="4:5" x14ac:dyDescent="0.3">
      <c r="D787" s="16" t="s">
        <v>753</v>
      </c>
      <c r="E787" s="12">
        <v>35.76</v>
      </c>
    </row>
    <row r="788" spans="4:5" x14ac:dyDescent="0.3">
      <c r="D788" s="16" t="s">
        <v>768</v>
      </c>
      <c r="E788" s="12">
        <v>35.76</v>
      </c>
    </row>
    <row r="789" spans="4:5" x14ac:dyDescent="0.3">
      <c r="D789" s="16" t="s">
        <v>761</v>
      </c>
      <c r="E789" s="12">
        <v>35.76</v>
      </c>
    </row>
    <row r="790" spans="4:5" x14ac:dyDescent="0.3">
      <c r="D790" s="16" t="s">
        <v>720</v>
      </c>
      <c r="E790" s="12">
        <v>35.76</v>
      </c>
    </row>
    <row r="791" spans="4:5" x14ac:dyDescent="0.3">
      <c r="D791" s="16" t="s">
        <v>718</v>
      </c>
      <c r="E791" s="12">
        <v>35.76</v>
      </c>
    </row>
    <row r="792" spans="4:5" x14ac:dyDescent="0.3">
      <c r="D792" s="16" t="s">
        <v>723</v>
      </c>
      <c r="E792" s="12">
        <v>35.76</v>
      </c>
    </row>
    <row r="793" spans="4:5" x14ac:dyDescent="0.3">
      <c r="D793" s="16" t="s">
        <v>755</v>
      </c>
      <c r="E793" s="12">
        <v>35.76</v>
      </c>
    </row>
    <row r="794" spans="4:5" x14ac:dyDescent="0.3">
      <c r="D794" s="16" t="s">
        <v>724</v>
      </c>
      <c r="E794" s="12">
        <v>35.76</v>
      </c>
    </row>
    <row r="795" spans="4:5" x14ac:dyDescent="0.3">
      <c r="D795" s="16" t="s">
        <v>766</v>
      </c>
      <c r="E795" s="12">
        <v>35.76</v>
      </c>
    </row>
    <row r="796" spans="4:5" x14ac:dyDescent="0.3">
      <c r="D796" s="16" t="s">
        <v>701</v>
      </c>
      <c r="E796" s="12">
        <v>35.76</v>
      </c>
    </row>
    <row r="797" spans="4:5" x14ac:dyDescent="0.3">
      <c r="D797" s="16" t="s">
        <v>772</v>
      </c>
      <c r="E797" s="12">
        <v>35.76</v>
      </c>
    </row>
    <row r="798" spans="4:5" x14ac:dyDescent="0.3">
      <c r="D798" s="16" t="s">
        <v>798</v>
      </c>
      <c r="E798" s="12">
        <v>35.76</v>
      </c>
    </row>
    <row r="799" spans="4:5" x14ac:dyDescent="0.3">
      <c r="D799" s="16" t="s">
        <v>794</v>
      </c>
      <c r="E799" s="12">
        <v>35.76</v>
      </c>
    </row>
    <row r="800" spans="4:5" x14ac:dyDescent="0.3">
      <c r="D800" s="16" t="s">
        <v>728</v>
      </c>
      <c r="E800" s="12">
        <v>35.76</v>
      </c>
    </row>
    <row r="801" spans="4:5" x14ac:dyDescent="0.3">
      <c r="D801" s="16" t="s">
        <v>804</v>
      </c>
      <c r="E801" s="12">
        <v>35.76</v>
      </c>
    </row>
    <row r="802" spans="4:5" x14ac:dyDescent="0.3">
      <c r="D802" s="16" t="s">
        <v>704</v>
      </c>
      <c r="E802" s="12">
        <v>35.76</v>
      </c>
    </row>
    <row r="803" spans="4:5" x14ac:dyDescent="0.3">
      <c r="D803" s="16" t="s">
        <v>759</v>
      </c>
      <c r="E803" s="12">
        <v>35.76</v>
      </c>
    </row>
    <row r="804" spans="4:5" x14ac:dyDescent="0.3">
      <c r="D804" s="16" t="s">
        <v>735</v>
      </c>
      <c r="E804" s="12">
        <v>35.76</v>
      </c>
    </row>
    <row r="805" spans="4:5" x14ac:dyDescent="0.3">
      <c r="D805" s="16" t="s">
        <v>765</v>
      </c>
      <c r="E805" s="12">
        <v>35.76</v>
      </c>
    </row>
    <row r="806" spans="4:5" x14ac:dyDescent="0.3">
      <c r="D806" s="16" t="s">
        <v>736</v>
      </c>
      <c r="E806" s="12">
        <v>35.76</v>
      </c>
    </row>
    <row r="807" spans="4:5" x14ac:dyDescent="0.3">
      <c r="D807" s="16" t="s">
        <v>767</v>
      </c>
      <c r="E807" s="12">
        <v>35.76</v>
      </c>
    </row>
    <row r="808" spans="4:5" x14ac:dyDescent="0.3">
      <c r="D808" s="16" t="s">
        <v>717</v>
      </c>
      <c r="E808" s="12">
        <v>35.76</v>
      </c>
    </row>
    <row r="809" spans="4:5" x14ac:dyDescent="0.3">
      <c r="D809" s="16" t="s">
        <v>771</v>
      </c>
      <c r="E809" s="12">
        <v>35.76</v>
      </c>
    </row>
    <row r="810" spans="4:5" x14ac:dyDescent="0.3">
      <c r="D810" s="16" t="s">
        <v>775</v>
      </c>
      <c r="E810" s="12">
        <v>35.76</v>
      </c>
    </row>
    <row r="811" spans="4:5" x14ac:dyDescent="0.3">
      <c r="D811" s="16" t="s">
        <v>774</v>
      </c>
      <c r="E811" s="12">
        <v>35.76</v>
      </c>
    </row>
    <row r="812" spans="4:5" x14ac:dyDescent="0.3">
      <c r="D812" s="16" t="s">
        <v>700</v>
      </c>
      <c r="E812" s="12">
        <v>35.76</v>
      </c>
    </row>
    <row r="813" spans="4:5" x14ac:dyDescent="0.3">
      <c r="D813" s="16" t="s">
        <v>789</v>
      </c>
      <c r="E813" s="12">
        <v>35.76</v>
      </c>
    </row>
    <row r="814" spans="4:5" x14ac:dyDescent="0.3">
      <c r="D814" s="16" t="s">
        <v>778</v>
      </c>
      <c r="E814" s="12">
        <v>35.76</v>
      </c>
    </row>
    <row r="815" spans="4:5" x14ac:dyDescent="0.3">
      <c r="D815" s="16" t="s">
        <v>784</v>
      </c>
      <c r="E815" s="12">
        <v>35.76</v>
      </c>
    </row>
    <row r="816" spans="4:5" x14ac:dyDescent="0.3">
      <c r="D816" s="16" t="s">
        <v>782</v>
      </c>
      <c r="E816" s="12">
        <v>35.76</v>
      </c>
    </row>
    <row r="817" spans="4:5" x14ac:dyDescent="0.3">
      <c r="D817" s="16" t="s">
        <v>744</v>
      </c>
      <c r="E817" s="12">
        <v>35.76</v>
      </c>
    </row>
    <row r="818" spans="4:5" x14ac:dyDescent="0.3">
      <c r="D818" s="16" t="s">
        <v>787</v>
      </c>
      <c r="E818" s="12">
        <v>35.76</v>
      </c>
    </row>
    <row r="819" spans="4:5" x14ac:dyDescent="0.3">
      <c r="D819" s="16" t="s">
        <v>749</v>
      </c>
      <c r="E819" s="12">
        <v>35.76</v>
      </c>
    </row>
    <row r="820" spans="4:5" x14ac:dyDescent="0.3">
      <c r="D820" s="16" t="s">
        <v>792</v>
      </c>
      <c r="E820" s="12">
        <v>35.76</v>
      </c>
    </row>
    <row r="821" spans="4:5" x14ac:dyDescent="0.3">
      <c r="D821" s="16" t="s">
        <v>750</v>
      </c>
      <c r="E821" s="12">
        <v>35.76</v>
      </c>
    </row>
    <row r="822" spans="4:5" x14ac:dyDescent="0.3">
      <c r="D822" s="16" t="s">
        <v>751</v>
      </c>
      <c r="E822" s="12">
        <v>35.76</v>
      </c>
    </row>
    <row r="823" spans="4:5" x14ac:dyDescent="0.3">
      <c r="D823" s="16" t="s">
        <v>731</v>
      </c>
      <c r="E823" s="12">
        <v>35.76</v>
      </c>
    </row>
    <row r="824" spans="4:5" x14ac:dyDescent="0.3">
      <c r="D824" s="16" t="s">
        <v>114</v>
      </c>
      <c r="E824" s="12">
        <v>33.799999999999997</v>
      </c>
    </row>
    <row r="825" spans="4:5" x14ac:dyDescent="0.3">
      <c r="D825" s="16" t="s">
        <v>74</v>
      </c>
      <c r="E825" s="12">
        <v>33.799999999999997</v>
      </c>
    </row>
    <row r="826" spans="4:5" x14ac:dyDescent="0.3">
      <c r="D826" s="16" t="s">
        <v>11</v>
      </c>
      <c r="E826" s="12">
        <v>33.799999999999997</v>
      </c>
    </row>
    <row r="827" spans="4:5" x14ac:dyDescent="0.3">
      <c r="D827" s="16" t="s">
        <v>14</v>
      </c>
      <c r="E827" s="12">
        <v>33.799999999999997</v>
      </c>
    </row>
    <row r="828" spans="4:5" x14ac:dyDescent="0.3">
      <c r="D828" s="16" t="s">
        <v>85</v>
      </c>
      <c r="E828" s="12">
        <v>33.799999999999997</v>
      </c>
    </row>
    <row r="829" spans="4:5" x14ac:dyDescent="0.3">
      <c r="D829" s="16" t="s">
        <v>83</v>
      </c>
      <c r="E829" s="12">
        <v>33.799999999999997</v>
      </c>
    </row>
    <row r="830" spans="4:5" x14ac:dyDescent="0.3">
      <c r="D830" s="16" t="s">
        <v>20</v>
      </c>
      <c r="E830" s="12">
        <v>33.799999999999997</v>
      </c>
    </row>
    <row r="831" spans="4:5" x14ac:dyDescent="0.3">
      <c r="D831" s="16" t="s">
        <v>68</v>
      </c>
      <c r="E831" s="12">
        <v>33.799999999999997</v>
      </c>
    </row>
    <row r="832" spans="4:5" x14ac:dyDescent="0.3">
      <c r="D832" s="16" t="s">
        <v>94</v>
      </c>
      <c r="E832" s="12">
        <v>33.799999999999997</v>
      </c>
    </row>
    <row r="833" spans="4:5" x14ac:dyDescent="0.3">
      <c r="D833" s="16" t="s">
        <v>23</v>
      </c>
      <c r="E833" s="12">
        <v>33.799999999999997</v>
      </c>
    </row>
    <row r="834" spans="4:5" x14ac:dyDescent="0.3">
      <c r="D834" s="16" t="s">
        <v>78</v>
      </c>
      <c r="E834" s="12">
        <v>33.799999999999997</v>
      </c>
    </row>
    <row r="835" spans="4:5" x14ac:dyDescent="0.3">
      <c r="D835" s="16" t="s">
        <v>87</v>
      </c>
      <c r="E835" s="12">
        <v>33.799999999999997</v>
      </c>
    </row>
    <row r="836" spans="4:5" x14ac:dyDescent="0.3">
      <c r="D836" s="16" t="s">
        <v>128</v>
      </c>
      <c r="E836" s="12">
        <v>33.799999999999997</v>
      </c>
    </row>
    <row r="837" spans="4:5" x14ac:dyDescent="0.3">
      <c r="D837" s="16" t="s">
        <v>82</v>
      </c>
      <c r="E837" s="12">
        <v>33.799999999999997</v>
      </c>
    </row>
    <row r="838" spans="4:5" x14ac:dyDescent="0.3">
      <c r="D838" s="16" t="s">
        <v>64</v>
      </c>
      <c r="E838" s="12">
        <v>33.799999999999997</v>
      </c>
    </row>
    <row r="839" spans="4:5" x14ac:dyDescent="0.3">
      <c r="D839" s="16" t="s">
        <v>620</v>
      </c>
      <c r="E839" s="12">
        <v>32.82</v>
      </c>
    </row>
    <row r="840" spans="4:5" x14ac:dyDescent="0.3">
      <c r="D840" s="16" t="s">
        <v>617</v>
      </c>
      <c r="E840" s="12">
        <v>32.82</v>
      </c>
    </row>
    <row r="841" spans="4:5" x14ac:dyDescent="0.3">
      <c r="D841" s="16" t="s">
        <v>684</v>
      </c>
      <c r="E841" s="12">
        <v>32.82</v>
      </c>
    </row>
    <row r="842" spans="4:5" x14ac:dyDescent="0.3">
      <c r="D842" s="16" t="s">
        <v>586</v>
      </c>
      <c r="E842" s="12">
        <v>32.82</v>
      </c>
    </row>
    <row r="843" spans="4:5" x14ac:dyDescent="0.3">
      <c r="D843" s="16" t="s">
        <v>552</v>
      </c>
      <c r="E843" s="12">
        <v>32.82</v>
      </c>
    </row>
    <row r="844" spans="4:5" x14ac:dyDescent="0.3">
      <c r="D844" s="16" t="s">
        <v>599</v>
      </c>
      <c r="E844" s="12">
        <v>32.82</v>
      </c>
    </row>
    <row r="845" spans="4:5" x14ac:dyDescent="0.3">
      <c r="D845" s="16" t="s">
        <v>557</v>
      </c>
      <c r="E845" s="12">
        <v>32.82</v>
      </c>
    </row>
    <row r="846" spans="4:5" x14ac:dyDescent="0.3">
      <c r="D846" s="16" t="s">
        <v>626</v>
      </c>
      <c r="E846" s="12">
        <v>32.82</v>
      </c>
    </row>
    <row r="847" spans="4:5" x14ac:dyDescent="0.3">
      <c r="D847" s="16" t="s">
        <v>651</v>
      </c>
      <c r="E847" s="12">
        <v>32.82</v>
      </c>
    </row>
    <row r="848" spans="4:5" x14ac:dyDescent="0.3">
      <c r="D848" s="16" t="s">
        <v>654</v>
      </c>
      <c r="E848" s="12">
        <v>32.82</v>
      </c>
    </row>
    <row r="849" spans="4:5" x14ac:dyDescent="0.3">
      <c r="D849" s="16" t="s">
        <v>619</v>
      </c>
      <c r="E849" s="12">
        <v>32.82</v>
      </c>
    </row>
    <row r="850" spans="4:5" x14ac:dyDescent="0.3">
      <c r="D850" s="16" t="s">
        <v>574</v>
      </c>
      <c r="E850" s="12">
        <v>32.82</v>
      </c>
    </row>
    <row r="851" spans="4:5" x14ac:dyDescent="0.3">
      <c r="D851" s="16" t="s">
        <v>636</v>
      </c>
      <c r="E851" s="12">
        <v>32.82</v>
      </c>
    </row>
    <row r="852" spans="4:5" x14ac:dyDescent="0.3">
      <c r="D852" s="16" t="s">
        <v>587</v>
      </c>
      <c r="E852" s="12">
        <v>32.82</v>
      </c>
    </row>
    <row r="853" spans="4:5" x14ac:dyDescent="0.3">
      <c r="D853" s="16" t="s">
        <v>548</v>
      </c>
      <c r="E853" s="12">
        <v>32.82</v>
      </c>
    </row>
    <row r="854" spans="4:5" x14ac:dyDescent="0.3">
      <c r="D854" s="16" t="s">
        <v>559</v>
      </c>
      <c r="E854" s="12">
        <v>32.82</v>
      </c>
    </row>
    <row r="855" spans="4:5" x14ac:dyDescent="0.3">
      <c r="D855" s="16" t="s">
        <v>683</v>
      </c>
      <c r="E855" s="12">
        <v>32.82</v>
      </c>
    </row>
    <row r="856" spans="4:5" x14ac:dyDescent="0.3">
      <c r="D856" s="16" t="s">
        <v>570</v>
      </c>
      <c r="E856" s="12">
        <v>32.82</v>
      </c>
    </row>
    <row r="857" spans="4:5" x14ac:dyDescent="0.3">
      <c r="D857" s="16" t="s">
        <v>631</v>
      </c>
      <c r="E857" s="12">
        <v>32.82</v>
      </c>
    </row>
    <row r="858" spans="4:5" x14ac:dyDescent="0.3">
      <c r="D858" s="16" t="s">
        <v>641</v>
      </c>
      <c r="E858" s="12">
        <v>32.82</v>
      </c>
    </row>
    <row r="859" spans="4:5" x14ac:dyDescent="0.3">
      <c r="D859" s="16" t="s">
        <v>686</v>
      </c>
      <c r="E859" s="12">
        <v>32.82</v>
      </c>
    </row>
    <row r="860" spans="4:5" x14ac:dyDescent="0.3">
      <c r="D860" s="16" t="s">
        <v>603</v>
      </c>
      <c r="E860" s="12">
        <v>32.82</v>
      </c>
    </row>
    <row r="861" spans="4:5" x14ac:dyDescent="0.3">
      <c r="D861" s="16" t="s">
        <v>618</v>
      </c>
      <c r="E861" s="12">
        <v>32.82</v>
      </c>
    </row>
    <row r="862" spans="4:5" x14ac:dyDescent="0.3">
      <c r="D862" s="16" t="s">
        <v>572</v>
      </c>
      <c r="E862" s="12">
        <v>32.82</v>
      </c>
    </row>
    <row r="863" spans="4:5" x14ac:dyDescent="0.3">
      <c r="D863" s="16" t="s">
        <v>635</v>
      </c>
      <c r="E863" s="12">
        <v>32.82</v>
      </c>
    </row>
    <row r="864" spans="4:5" x14ac:dyDescent="0.3">
      <c r="D864" s="16" t="s">
        <v>560</v>
      </c>
      <c r="E864" s="12">
        <v>32.82</v>
      </c>
    </row>
    <row r="865" spans="4:5" x14ac:dyDescent="0.3">
      <c r="D865" s="16" t="s">
        <v>592</v>
      </c>
      <c r="E865" s="12">
        <v>32.82</v>
      </c>
    </row>
    <row r="866" spans="4:5" x14ac:dyDescent="0.3">
      <c r="D866" s="16" t="s">
        <v>665</v>
      </c>
      <c r="E866" s="12">
        <v>32.82</v>
      </c>
    </row>
    <row r="867" spans="4:5" x14ac:dyDescent="0.3">
      <c r="D867" s="16" t="s">
        <v>573</v>
      </c>
      <c r="E867" s="12">
        <v>32.82</v>
      </c>
    </row>
    <row r="868" spans="4:5" x14ac:dyDescent="0.3">
      <c r="D868" s="16" t="s">
        <v>604</v>
      </c>
      <c r="E868" s="12">
        <v>32.82</v>
      </c>
    </row>
    <row r="869" spans="4:5" x14ac:dyDescent="0.3">
      <c r="D869" s="16" t="s">
        <v>542</v>
      </c>
      <c r="E869" s="12">
        <v>32.82</v>
      </c>
    </row>
    <row r="870" spans="4:5" x14ac:dyDescent="0.3">
      <c r="D870" s="16" t="s">
        <v>575</v>
      </c>
      <c r="E870" s="12">
        <v>32.82</v>
      </c>
    </row>
    <row r="871" spans="4:5" x14ac:dyDescent="0.3">
      <c r="D871" s="16" t="s">
        <v>637</v>
      </c>
      <c r="E871" s="12">
        <v>32.82</v>
      </c>
    </row>
    <row r="872" spans="4:5" x14ac:dyDescent="0.3">
      <c r="D872" s="16" t="s">
        <v>629</v>
      </c>
      <c r="E872" s="12">
        <v>32.82</v>
      </c>
    </row>
    <row r="873" spans="4:5" x14ac:dyDescent="0.3">
      <c r="D873" s="16" t="s">
        <v>682</v>
      </c>
      <c r="E873" s="12">
        <v>32.82</v>
      </c>
    </row>
    <row r="874" spans="4:5" x14ac:dyDescent="0.3">
      <c r="D874" s="16" t="s">
        <v>673</v>
      </c>
      <c r="E874" s="12">
        <v>32.82</v>
      </c>
    </row>
    <row r="875" spans="4:5" x14ac:dyDescent="0.3">
      <c r="D875" s="16" t="s">
        <v>581</v>
      </c>
      <c r="E875" s="12">
        <v>32.82</v>
      </c>
    </row>
    <row r="876" spans="4:5" x14ac:dyDescent="0.3">
      <c r="D876" s="16" t="s">
        <v>608</v>
      </c>
      <c r="E876" s="12">
        <v>32.82</v>
      </c>
    </row>
    <row r="877" spans="4:5" x14ac:dyDescent="0.3">
      <c r="D877" s="16" t="s">
        <v>650</v>
      </c>
      <c r="E877" s="12">
        <v>32.82</v>
      </c>
    </row>
    <row r="878" spans="4:5" x14ac:dyDescent="0.3">
      <c r="D878" s="16" t="s">
        <v>558</v>
      </c>
      <c r="E878" s="12">
        <v>32.82</v>
      </c>
    </row>
    <row r="879" spans="4:5" x14ac:dyDescent="0.3">
      <c r="D879" s="16" t="s">
        <v>549</v>
      </c>
      <c r="E879" s="12">
        <v>32.82</v>
      </c>
    </row>
    <row r="880" spans="4:5" x14ac:dyDescent="0.3">
      <c r="D880" s="16" t="s">
        <v>623</v>
      </c>
      <c r="E880" s="12">
        <v>32.82</v>
      </c>
    </row>
    <row r="881" spans="4:5" x14ac:dyDescent="0.3">
      <c r="D881" s="16" t="s">
        <v>658</v>
      </c>
      <c r="E881" s="12">
        <v>32.82</v>
      </c>
    </row>
    <row r="882" spans="4:5" x14ac:dyDescent="0.3">
      <c r="D882" s="16" t="s">
        <v>546</v>
      </c>
      <c r="E882" s="12">
        <v>32.82</v>
      </c>
    </row>
    <row r="883" spans="4:5" x14ac:dyDescent="0.3">
      <c r="D883" s="16" t="s">
        <v>687</v>
      </c>
      <c r="E883" s="12">
        <v>32.82</v>
      </c>
    </row>
    <row r="884" spans="4:5" x14ac:dyDescent="0.3">
      <c r="D884" s="16" t="s">
        <v>584</v>
      </c>
      <c r="E884" s="12">
        <v>32.82</v>
      </c>
    </row>
    <row r="885" spans="4:5" x14ac:dyDescent="0.3">
      <c r="D885" s="16" t="s">
        <v>675</v>
      </c>
      <c r="E885" s="12">
        <v>32.82</v>
      </c>
    </row>
    <row r="886" spans="4:5" x14ac:dyDescent="0.3">
      <c r="D886" s="16" t="s">
        <v>609</v>
      </c>
      <c r="E886" s="12">
        <v>32.82</v>
      </c>
    </row>
    <row r="887" spans="4:5" x14ac:dyDescent="0.3">
      <c r="D887" s="16" t="s">
        <v>598</v>
      </c>
      <c r="E887" s="12">
        <v>32.82</v>
      </c>
    </row>
    <row r="888" spans="4:5" x14ac:dyDescent="0.3">
      <c r="D888" s="16" t="s">
        <v>657</v>
      </c>
      <c r="E888" s="12">
        <v>32.82</v>
      </c>
    </row>
    <row r="889" spans="4:5" x14ac:dyDescent="0.3">
      <c r="D889" s="16" t="s">
        <v>690</v>
      </c>
      <c r="E889" s="12">
        <v>32.82</v>
      </c>
    </row>
    <row r="890" spans="4:5" x14ac:dyDescent="0.3">
      <c r="D890" s="16" t="s">
        <v>625</v>
      </c>
      <c r="E890" s="12">
        <v>32.82</v>
      </c>
    </row>
    <row r="891" spans="4:5" x14ac:dyDescent="0.3">
      <c r="D891" s="16" t="s">
        <v>544</v>
      </c>
      <c r="E891" s="12">
        <v>32.82</v>
      </c>
    </row>
    <row r="892" spans="4:5" x14ac:dyDescent="0.3">
      <c r="D892" s="16" t="s">
        <v>621</v>
      </c>
      <c r="E892" s="12">
        <v>32.82</v>
      </c>
    </row>
    <row r="893" spans="4:5" x14ac:dyDescent="0.3">
      <c r="D893" s="16" t="s">
        <v>579</v>
      </c>
      <c r="E893" s="12">
        <v>32.82</v>
      </c>
    </row>
    <row r="894" spans="4:5" x14ac:dyDescent="0.3">
      <c r="D894" s="16" t="s">
        <v>691</v>
      </c>
      <c r="E894" s="12">
        <v>32.82</v>
      </c>
    </row>
    <row r="895" spans="4:5" x14ac:dyDescent="0.3">
      <c r="D895" s="16" t="s">
        <v>692</v>
      </c>
      <c r="E895" s="12">
        <v>32.82</v>
      </c>
    </row>
    <row r="896" spans="4:5" x14ac:dyDescent="0.3">
      <c r="D896" s="16" t="s">
        <v>672</v>
      </c>
      <c r="E896" s="12">
        <v>32.82</v>
      </c>
    </row>
    <row r="897" spans="4:5" x14ac:dyDescent="0.3">
      <c r="D897" s="16" t="s">
        <v>532</v>
      </c>
      <c r="E897" s="12">
        <v>32.82</v>
      </c>
    </row>
    <row r="898" spans="4:5" x14ac:dyDescent="0.3">
      <c r="D898" s="16" t="s">
        <v>433</v>
      </c>
      <c r="E898" s="12">
        <v>32.82</v>
      </c>
    </row>
    <row r="899" spans="4:5" x14ac:dyDescent="0.3">
      <c r="D899" s="16" t="s">
        <v>495</v>
      </c>
      <c r="E899" s="12">
        <v>32.82</v>
      </c>
    </row>
    <row r="900" spans="4:5" x14ac:dyDescent="0.3">
      <c r="D900" s="16" t="s">
        <v>415</v>
      </c>
      <c r="E900" s="12">
        <v>32.82</v>
      </c>
    </row>
    <row r="901" spans="4:5" x14ac:dyDescent="0.3">
      <c r="D901" s="16" t="s">
        <v>384</v>
      </c>
      <c r="E901" s="12">
        <v>32.82</v>
      </c>
    </row>
    <row r="902" spans="4:5" x14ac:dyDescent="0.3">
      <c r="D902" s="16" t="s">
        <v>394</v>
      </c>
      <c r="E902" s="12">
        <v>32.82</v>
      </c>
    </row>
    <row r="903" spans="4:5" x14ac:dyDescent="0.3">
      <c r="D903" s="16" t="s">
        <v>491</v>
      </c>
      <c r="E903" s="12">
        <v>32.82</v>
      </c>
    </row>
    <row r="904" spans="4:5" x14ac:dyDescent="0.3">
      <c r="D904" s="16" t="s">
        <v>443</v>
      </c>
      <c r="E904" s="12">
        <v>32.82</v>
      </c>
    </row>
    <row r="905" spans="4:5" x14ac:dyDescent="0.3">
      <c r="D905" s="16" t="s">
        <v>500</v>
      </c>
      <c r="E905" s="12">
        <v>32.82</v>
      </c>
    </row>
    <row r="906" spans="4:5" x14ac:dyDescent="0.3">
      <c r="D906" s="16" t="s">
        <v>417</v>
      </c>
      <c r="E906" s="12">
        <v>32.82</v>
      </c>
    </row>
    <row r="907" spans="4:5" x14ac:dyDescent="0.3">
      <c r="D907" s="16" t="s">
        <v>512</v>
      </c>
      <c r="E907" s="12">
        <v>32.82</v>
      </c>
    </row>
    <row r="908" spans="4:5" x14ac:dyDescent="0.3">
      <c r="D908" s="16" t="s">
        <v>447</v>
      </c>
      <c r="E908" s="12">
        <v>32.82</v>
      </c>
    </row>
    <row r="909" spans="4:5" x14ac:dyDescent="0.3">
      <c r="D909" s="16" t="s">
        <v>526</v>
      </c>
      <c r="E909" s="12">
        <v>32.82</v>
      </c>
    </row>
    <row r="910" spans="4:5" x14ac:dyDescent="0.3">
      <c r="D910" s="16" t="s">
        <v>404</v>
      </c>
      <c r="E910" s="12">
        <v>32.82</v>
      </c>
    </row>
    <row r="911" spans="4:5" x14ac:dyDescent="0.3">
      <c r="D911" s="16" t="s">
        <v>486</v>
      </c>
      <c r="E911" s="12">
        <v>32.82</v>
      </c>
    </row>
    <row r="912" spans="4:5" x14ac:dyDescent="0.3">
      <c r="D912" s="16" t="s">
        <v>406</v>
      </c>
      <c r="E912" s="12">
        <v>32.82</v>
      </c>
    </row>
    <row r="913" spans="4:5" x14ac:dyDescent="0.3">
      <c r="D913" s="16" t="s">
        <v>493</v>
      </c>
      <c r="E913" s="12">
        <v>32.82</v>
      </c>
    </row>
    <row r="914" spans="4:5" x14ac:dyDescent="0.3">
      <c r="D914" s="16" t="s">
        <v>389</v>
      </c>
      <c r="E914" s="12">
        <v>32.82</v>
      </c>
    </row>
    <row r="915" spans="4:5" x14ac:dyDescent="0.3">
      <c r="D915" s="16" t="s">
        <v>430</v>
      </c>
      <c r="E915" s="12">
        <v>32.82</v>
      </c>
    </row>
    <row r="916" spans="4:5" x14ac:dyDescent="0.3">
      <c r="D916" s="16" t="s">
        <v>366</v>
      </c>
      <c r="E916" s="12">
        <v>32.82</v>
      </c>
    </row>
    <row r="917" spans="4:5" x14ac:dyDescent="0.3">
      <c r="D917" s="16" t="s">
        <v>381</v>
      </c>
      <c r="E917" s="12">
        <v>32.82</v>
      </c>
    </row>
    <row r="918" spans="4:5" x14ac:dyDescent="0.3">
      <c r="D918" s="16" t="s">
        <v>456</v>
      </c>
      <c r="E918" s="12">
        <v>32.82</v>
      </c>
    </row>
    <row r="919" spans="4:5" x14ac:dyDescent="0.3">
      <c r="D919" s="16" t="s">
        <v>510</v>
      </c>
      <c r="E919" s="12">
        <v>32.82</v>
      </c>
    </row>
    <row r="920" spans="4:5" x14ac:dyDescent="0.3">
      <c r="D920" s="16" t="s">
        <v>338</v>
      </c>
      <c r="E920" s="12">
        <v>32.82</v>
      </c>
    </row>
    <row r="921" spans="4:5" x14ac:dyDescent="0.3">
      <c r="D921" s="16" t="s">
        <v>310</v>
      </c>
      <c r="E921" s="12">
        <v>32.82</v>
      </c>
    </row>
    <row r="922" spans="4:5" x14ac:dyDescent="0.3">
      <c r="D922" s="16" t="s">
        <v>533</v>
      </c>
      <c r="E922" s="12">
        <v>32.82</v>
      </c>
    </row>
    <row r="923" spans="4:5" x14ac:dyDescent="0.3">
      <c r="D923" s="16" t="s">
        <v>329</v>
      </c>
      <c r="E923" s="12">
        <v>32.82</v>
      </c>
    </row>
    <row r="924" spans="4:5" x14ac:dyDescent="0.3">
      <c r="D924" s="16" t="s">
        <v>313</v>
      </c>
      <c r="E924" s="12">
        <v>32.82</v>
      </c>
    </row>
    <row r="925" spans="4:5" x14ac:dyDescent="0.3">
      <c r="D925" s="16" t="s">
        <v>386</v>
      </c>
      <c r="E925" s="12">
        <v>32.82</v>
      </c>
    </row>
    <row r="926" spans="4:5" x14ac:dyDescent="0.3">
      <c r="D926" s="16" t="s">
        <v>461</v>
      </c>
      <c r="E926" s="12">
        <v>32.82</v>
      </c>
    </row>
    <row r="927" spans="4:5" x14ac:dyDescent="0.3">
      <c r="D927" s="16" t="s">
        <v>485</v>
      </c>
      <c r="E927" s="12">
        <v>32.82</v>
      </c>
    </row>
    <row r="928" spans="4:5" x14ac:dyDescent="0.3">
      <c r="D928" s="16" t="s">
        <v>423</v>
      </c>
      <c r="E928" s="12">
        <v>32.82</v>
      </c>
    </row>
    <row r="929" spans="4:5" x14ac:dyDescent="0.3">
      <c r="D929" s="16" t="s">
        <v>306</v>
      </c>
      <c r="E929" s="12">
        <v>32.82</v>
      </c>
    </row>
    <row r="930" spans="4:5" x14ac:dyDescent="0.3">
      <c r="D930" s="16" t="s">
        <v>464</v>
      </c>
      <c r="E930" s="12">
        <v>32.82</v>
      </c>
    </row>
    <row r="931" spans="4:5" x14ac:dyDescent="0.3">
      <c r="D931" s="16" t="s">
        <v>372</v>
      </c>
      <c r="E931" s="12">
        <v>32.82</v>
      </c>
    </row>
    <row r="932" spans="4:5" x14ac:dyDescent="0.3">
      <c r="D932" s="16" t="s">
        <v>368</v>
      </c>
      <c r="E932" s="12">
        <v>32.82</v>
      </c>
    </row>
    <row r="933" spans="4:5" x14ac:dyDescent="0.3">
      <c r="D933" s="16" t="s">
        <v>494</v>
      </c>
      <c r="E933" s="12">
        <v>32.82</v>
      </c>
    </row>
    <row r="934" spans="4:5" x14ac:dyDescent="0.3">
      <c r="D934" s="16" t="s">
        <v>356</v>
      </c>
      <c r="E934" s="12">
        <v>32.82</v>
      </c>
    </row>
    <row r="935" spans="4:5" x14ac:dyDescent="0.3">
      <c r="D935" s="16" t="s">
        <v>429</v>
      </c>
      <c r="E935" s="12">
        <v>32.82</v>
      </c>
    </row>
    <row r="936" spans="4:5" x14ac:dyDescent="0.3">
      <c r="D936" s="16" t="s">
        <v>369</v>
      </c>
      <c r="E936" s="12">
        <v>32.82</v>
      </c>
    </row>
    <row r="937" spans="4:5" x14ac:dyDescent="0.3">
      <c r="D937" s="16" t="s">
        <v>499</v>
      </c>
      <c r="E937" s="12">
        <v>32.82</v>
      </c>
    </row>
    <row r="938" spans="4:5" x14ac:dyDescent="0.3">
      <c r="D938" s="16" t="s">
        <v>469</v>
      </c>
      <c r="E938" s="12">
        <v>32.82</v>
      </c>
    </row>
    <row r="939" spans="4:5" x14ac:dyDescent="0.3">
      <c r="D939" s="16" t="s">
        <v>353</v>
      </c>
      <c r="E939" s="12">
        <v>32.82</v>
      </c>
    </row>
    <row r="940" spans="4:5" x14ac:dyDescent="0.3">
      <c r="D940" s="16" t="s">
        <v>470</v>
      </c>
      <c r="E940" s="12">
        <v>32.82</v>
      </c>
    </row>
    <row r="941" spans="4:5" x14ac:dyDescent="0.3">
      <c r="D941" s="16" t="s">
        <v>410</v>
      </c>
      <c r="E941" s="12">
        <v>32.82</v>
      </c>
    </row>
    <row r="942" spans="4:5" x14ac:dyDescent="0.3">
      <c r="D942" s="16" t="s">
        <v>472</v>
      </c>
      <c r="E942" s="12">
        <v>32.82</v>
      </c>
    </row>
    <row r="943" spans="4:5" x14ac:dyDescent="0.3">
      <c r="D943" s="16" t="s">
        <v>508</v>
      </c>
      <c r="E943" s="12">
        <v>32.82</v>
      </c>
    </row>
    <row r="944" spans="4:5" x14ac:dyDescent="0.3">
      <c r="D944" s="16" t="s">
        <v>473</v>
      </c>
      <c r="E944" s="12">
        <v>32.82</v>
      </c>
    </row>
    <row r="945" spans="4:5" x14ac:dyDescent="0.3">
      <c r="D945" s="16" t="s">
        <v>434</v>
      </c>
      <c r="E945" s="12">
        <v>32.82</v>
      </c>
    </row>
    <row r="946" spans="4:5" x14ac:dyDescent="0.3">
      <c r="D946" s="16" t="s">
        <v>370</v>
      </c>
      <c r="E946" s="12">
        <v>32.82</v>
      </c>
    </row>
    <row r="947" spans="4:5" x14ac:dyDescent="0.3">
      <c r="D947" s="16" t="s">
        <v>515</v>
      </c>
      <c r="E947" s="12">
        <v>32.82</v>
      </c>
    </row>
    <row r="948" spans="4:5" x14ac:dyDescent="0.3">
      <c r="D948" s="16" t="s">
        <v>303</v>
      </c>
      <c r="E948" s="12">
        <v>32.82</v>
      </c>
    </row>
    <row r="949" spans="4:5" x14ac:dyDescent="0.3">
      <c r="D949" s="16" t="s">
        <v>520</v>
      </c>
      <c r="E949" s="12">
        <v>32.82</v>
      </c>
    </row>
    <row r="950" spans="4:5" x14ac:dyDescent="0.3">
      <c r="D950" s="16" t="s">
        <v>477</v>
      </c>
      <c r="E950" s="12">
        <v>32.82</v>
      </c>
    </row>
    <row r="951" spans="4:5" x14ac:dyDescent="0.3">
      <c r="D951" s="16" t="s">
        <v>291</v>
      </c>
      <c r="E951" s="12">
        <v>32.82</v>
      </c>
    </row>
    <row r="952" spans="4:5" x14ac:dyDescent="0.3">
      <c r="D952" s="16" t="s">
        <v>427</v>
      </c>
      <c r="E952" s="12">
        <v>32.82</v>
      </c>
    </row>
    <row r="953" spans="4:5" x14ac:dyDescent="0.3">
      <c r="D953" s="16" t="s">
        <v>388</v>
      </c>
      <c r="E953" s="12">
        <v>32.82</v>
      </c>
    </row>
    <row r="954" spans="4:5" x14ac:dyDescent="0.3">
      <c r="D954" s="16" t="s">
        <v>305</v>
      </c>
      <c r="E954" s="12">
        <v>32.82</v>
      </c>
    </row>
    <row r="955" spans="4:5" x14ac:dyDescent="0.3">
      <c r="D955" s="16" t="s">
        <v>528</v>
      </c>
      <c r="E955" s="12">
        <v>32.82</v>
      </c>
    </row>
    <row r="956" spans="4:5" x14ac:dyDescent="0.3">
      <c r="D956" s="16" t="s">
        <v>480</v>
      </c>
      <c r="E956" s="12">
        <v>32.82</v>
      </c>
    </row>
    <row r="957" spans="4:5" x14ac:dyDescent="0.3">
      <c r="D957" s="16" t="s">
        <v>531</v>
      </c>
      <c r="E957" s="12">
        <v>32.82</v>
      </c>
    </row>
    <row r="958" spans="4:5" x14ac:dyDescent="0.3">
      <c r="D958" s="16" t="s">
        <v>483</v>
      </c>
      <c r="E958" s="12">
        <v>32.82</v>
      </c>
    </row>
    <row r="959" spans="4:5" x14ac:dyDescent="0.3">
      <c r="D959" s="16" t="s">
        <v>296</v>
      </c>
      <c r="E959" s="12">
        <v>32.82</v>
      </c>
    </row>
    <row r="960" spans="4:5" x14ac:dyDescent="0.3">
      <c r="D960" s="16" t="s">
        <v>342</v>
      </c>
      <c r="E960" s="12">
        <v>32.82</v>
      </c>
    </row>
    <row r="961" spans="4:5" x14ac:dyDescent="0.3">
      <c r="D961" s="16" t="s">
        <v>458</v>
      </c>
      <c r="E961" s="12">
        <v>32.82</v>
      </c>
    </row>
    <row r="962" spans="4:5" x14ac:dyDescent="0.3">
      <c r="D962" s="16" t="s">
        <v>401</v>
      </c>
      <c r="E962" s="12">
        <v>32.82</v>
      </c>
    </row>
    <row r="963" spans="4:5" x14ac:dyDescent="0.3">
      <c r="D963" s="16" t="s">
        <v>403</v>
      </c>
      <c r="E963" s="12">
        <v>32.82</v>
      </c>
    </row>
    <row r="964" spans="4:5" x14ac:dyDescent="0.3">
      <c r="D964" s="16" t="s">
        <v>408</v>
      </c>
      <c r="E964" s="12">
        <v>32.82</v>
      </c>
    </row>
    <row r="965" spans="4:5" x14ac:dyDescent="0.3">
      <c r="D965" s="16" t="s">
        <v>141</v>
      </c>
      <c r="E965" s="12">
        <v>32.82</v>
      </c>
    </row>
    <row r="966" spans="4:5" x14ac:dyDescent="0.3">
      <c r="D966" s="16" t="s">
        <v>220</v>
      </c>
      <c r="E966" s="12">
        <v>32.82</v>
      </c>
    </row>
    <row r="967" spans="4:5" x14ac:dyDescent="0.3">
      <c r="D967" s="16" t="s">
        <v>225</v>
      </c>
      <c r="E967" s="12">
        <v>32.82</v>
      </c>
    </row>
    <row r="968" spans="4:5" x14ac:dyDescent="0.3">
      <c r="D968" s="16" t="s">
        <v>196</v>
      </c>
      <c r="E968" s="12">
        <v>32.82</v>
      </c>
    </row>
    <row r="969" spans="4:5" x14ac:dyDescent="0.3">
      <c r="D969" s="16" t="s">
        <v>175</v>
      </c>
      <c r="E969" s="12">
        <v>32.82</v>
      </c>
    </row>
    <row r="970" spans="4:5" x14ac:dyDescent="0.3">
      <c r="D970" s="16" t="s">
        <v>174</v>
      </c>
      <c r="E970" s="12">
        <v>32.82</v>
      </c>
    </row>
    <row r="971" spans="4:5" x14ac:dyDescent="0.3">
      <c r="D971" s="16" t="s">
        <v>271</v>
      </c>
      <c r="E971" s="12">
        <v>32.82</v>
      </c>
    </row>
    <row r="972" spans="4:5" x14ac:dyDescent="0.3">
      <c r="D972" s="16" t="s">
        <v>257</v>
      </c>
      <c r="E972" s="12">
        <v>32.82</v>
      </c>
    </row>
    <row r="973" spans="4:5" x14ac:dyDescent="0.3">
      <c r="D973" s="16" t="s">
        <v>275</v>
      </c>
      <c r="E973" s="12">
        <v>32.82</v>
      </c>
    </row>
    <row r="974" spans="4:5" x14ac:dyDescent="0.3">
      <c r="D974" s="16" t="s">
        <v>228</v>
      </c>
      <c r="E974" s="12">
        <v>32.82</v>
      </c>
    </row>
    <row r="975" spans="4:5" x14ac:dyDescent="0.3">
      <c r="D975" s="16" t="s">
        <v>222</v>
      </c>
      <c r="E975" s="12">
        <v>32.82</v>
      </c>
    </row>
    <row r="976" spans="4:5" x14ac:dyDescent="0.3">
      <c r="D976" s="16" t="s">
        <v>202</v>
      </c>
      <c r="E976" s="12">
        <v>32.82</v>
      </c>
    </row>
    <row r="977" spans="4:5" x14ac:dyDescent="0.3">
      <c r="D977" s="16" t="s">
        <v>224</v>
      </c>
      <c r="E977" s="12">
        <v>32.82</v>
      </c>
    </row>
    <row r="978" spans="4:5" x14ac:dyDescent="0.3">
      <c r="D978" s="16" t="s">
        <v>197</v>
      </c>
      <c r="E978" s="12">
        <v>32.82</v>
      </c>
    </row>
    <row r="979" spans="4:5" x14ac:dyDescent="0.3">
      <c r="D979" s="16" t="s">
        <v>185</v>
      </c>
      <c r="E979" s="12">
        <v>32.82</v>
      </c>
    </row>
    <row r="980" spans="4:5" x14ac:dyDescent="0.3">
      <c r="D980" s="16" t="s">
        <v>261</v>
      </c>
      <c r="E980" s="12">
        <v>32.82</v>
      </c>
    </row>
    <row r="981" spans="4:5" x14ac:dyDescent="0.3">
      <c r="D981" s="16" t="s">
        <v>272</v>
      </c>
      <c r="E981" s="12">
        <v>32.82</v>
      </c>
    </row>
    <row r="982" spans="4:5" x14ac:dyDescent="0.3">
      <c r="D982" s="16" t="s">
        <v>138</v>
      </c>
      <c r="E982" s="12">
        <v>32.82</v>
      </c>
    </row>
    <row r="983" spans="4:5" x14ac:dyDescent="0.3">
      <c r="D983" s="16" t="s">
        <v>263</v>
      </c>
      <c r="E983" s="12">
        <v>32.82</v>
      </c>
    </row>
    <row r="984" spans="4:5" x14ac:dyDescent="0.3">
      <c r="D984" s="16" t="s">
        <v>226</v>
      </c>
      <c r="E984" s="12">
        <v>32.82</v>
      </c>
    </row>
    <row r="985" spans="4:5" x14ac:dyDescent="0.3">
      <c r="D985" s="16" t="s">
        <v>143</v>
      </c>
      <c r="E985" s="12">
        <v>32.82</v>
      </c>
    </row>
    <row r="986" spans="4:5" x14ac:dyDescent="0.3">
      <c r="D986" s="16" t="s">
        <v>144</v>
      </c>
      <c r="E986" s="12">
        <v>32.82</v>
      </c>
    </row>
    <row r="987" spans="4:5" x14ac:dyDescent="0.3">
      <c r="D987" s="16" t="s">
        <v>1296</v>
      </c>
      <c r="E987" s="12">
        <v>30.86</v>
      </c>
    </row>
    <row r="988" spans="4:5" x14ac:dyDescent="0.3">
      <c r="D988" s="16" t="s">
        <v>1316</v>
      </c>
      <c r="E988" s="12">
        <v>30.86</v>
      </c>
    </row>
    <row r="989" spans="4:5" x14ac:dyDescent="0.3">
      <c r="D989" s="16" t="s">
        <v>1159</v>
      </c>
      <c r="E989" s="12">
        <v>30.86</v>
      </c>
    </row>
    <row r="990" spans="4:5" x14ac:dyDescent="0.3">
      <c r="D990" s="16" t="s">
        <v>1257</v>
      </c>
      <c r="E990" s="12">
        <v>30.86</v>
      </c>
    </row>
    <row r="991" spans="4:5" x14ac:dyDescent="0.3">
      <c r="D991" s="16" t="s">
        <v>1326</v>
      </c>
      <c r="E991" s="12">
        <v>30.86</v>
      </c>
    </row>
    <row r="992" spans="4:5" x14ac:dyDescent="0.3">
      <c r="D992" s="16" t="s">
        <v>1113</v>
      </c>
      <c r="E992" s="12">
        <v>30.86</v>
      </c>
    </row>
    <row r="993" spans="4:5" x14ac:dyDescent="0.3">
      <c r="D993" s="16" t="s">
        <v>1298</v>
      </c>
      <c r="E993" s="12">
        <v>30.86</v>
      </c>
    </row>
    <row r="994" spans="4:5" x14ac:dyDescent="0.3">
      <c r="D994" s="16" t="s">
        <v>1264</v>
      </c>
      <c r="E994" s="12">
        <v>30.86</v>
      </c>
    </row>
    <row r="995" spans="4:5" x14ac:dyDescent="0.3">
      <c r="D995" s="16" t="s">
        <v>1308</v>
      </c>
      <c r="E995" s="12">
        <v>30.86</v>
      </c>
    </row>
    <row r="996" spans="4:5" x14ac:dyDescent="0.3">
      <c r="D996" s="16" t="s">
        <v>1223</v>
      </c>
      <c r="E996" s="12">
        <v>30.86</v>
      </c>
    </row>
    <row r="997" spans="4:5" x14ac:dyDescent="0.3">
      <c r="D997" s="16" t="s">
        <v>1082</v>
      </c>
      <c r="E997" s="12">
        <v>30.86</v>
      </c>
    </row>
    <row r="998" spans="4:5" x14ac:dyDescent="0.3">
      <c r="D998" s="16" t="s">
        <v>1278</v>
      </c>
      <c r="E998" s="12">
        <v>30.86</v>
      </c>
    </row>
    <row r="999" spans="4:5" x14ac:dyDescent="0.3">
      <c r="D999" s="16" t="s">
        <v>1209</v>
      </c>
      <c r="E999" s="12">
        <v>30.86</v>
      </c>
    </row>
    <row r="1000" spans="4:5" x14ac:dyDescent="0.3">
      <c r="D1000" s="16" t="s">
        <v>1225</v>
      </c>
      <c r="E1000" s="12">
        <v>30.86</v>
      </c>
    </row>
    <row r="1001" spans="4:5" x14ac:dyDescent="0.3">
      <c r="D1001" s="16" t="s">
        <v>1297</v>
      </c>
      <c r="E1001" s="12">
        <v>30.86</v>
      </c>
    </row>
    <row r="1002" spans="4:5" x14ac:dyDescent="0.3">
      <c r="D1002" s="16" t="s">
        <v>1281</v>
      </c>
      <c r="E1002" s="12">
        <v>30.86</v>
      </c>
    </row>
    <row r="1003" spans="4:5" x14ac:dyDescent="0.3">
      <c r="D1003" s="16" t="s">
        <v>1090</v>
      </c>
      <c r="E1003" s="12">
        <v>30.86</v>
      </c>
    </row>
    <row r="1004" spans="4:5" x14ac:dyDescent="0.3">
      <c r="D1004" s="16" t="s">
        <v>1102</v>
      </c>
      <c r="E1004" s="12">
        <v>30.86</v>
      </c>
    </row>
    <row r="1005" spans="4:5" x14ac:dyDescent="0.3">
      <c r="D1005" s="16" t="s">
        <v>1107</v>
      </c>
      <c r="E1005" s="12">
        <v>30.86</v>
      </c>
    </row>
    <row r="1006" spans="4:5" x14ac:dyDescent="0.3">
      <c r="D1006" s="16" t="s">
        <v>1088</v>
      </c>
      <c r="E1006" s="12">
        <v>30.86</v>
      </c>
    </row>
    <row r="1007" spans="4:5" x14ac:dyDescent="0.3">
      <c r="D1007" s="16" t="s">
        <v>1133</v>
      </c>
      <c r="E1007" s="12">
        <v>30.86</v>
      </c>
    </row>
    <row r="1008" spans="4:5" x14ac:dyDescent="0.3">
      <c r="D1008" s="16" t="s">
        <v>1124</v>
      </c>
      <c r="E1008" s="12">
        <v>30.86</v>
      </c>
    </row>
    <row r="1009" spans="4:5" x14ac:dyDescent="0.3">
      <c r="D1009" s="16" t="s">
        <v>1074</v>
      </c>
      <c r="E1009" s="12">
        <v>30.86</v>
      </c>
    </row>
    <row r="1010" spans="4:5" x14ac:dyDescent="0.3">
      <c r="D1010" s="16" t="s">
        <v>1154</v>
      </c>
      <c r="E1010" s="12">
        <v>30.86</v>
      </c>
    </row>
    <row r="1011" spans="4:5" x14ac:dyDescent="0.3">
      <c r="D1011" s="16" t="s">
        <v>1325</v>
      </c>
      <c r="E1011" s="12">
        <v>30.86</v>
      </c>
    </row>
    <row r="1012" spans="4:5" x14ac:dyDescent="0.3">
      <c r="D1012" s="16" t="s">
        <v>1076</v>
      </c>
      <c r="E1012" s="12">
        <v>30.86</v>
      </c>
    </row>
    <row r="1013" spans="4:5" x14ac:dyDescent="0.3">
      <c r="D1013" s="16" t="s">
        <v>945</v>
      </c>
      <c r="E1013" s="12">
        <v>30.86</v>
      </c>
    </row>
    <row r="1014" spans="4:5" x14ac:dyDescent="0.3">
      <c r="D1014" s="16" t="s">
        <v>881</v>
      </c>
      <c r="E1014" s="12">
        <v>30.86</v>
      </c>
    </row>
    <row r="1015" spans="4:5" x14ac:dyDescent="0.3">
      <c r="D1015" s="16" t="s">
        <v>1055</v>
      </c>
      <c r="E1015" s="12">
        <v>30.86</v>
      </c>
    </row>
    <row r="1016" spans="4:5" x14ac:dyDescent="0.3">
      <c r="D1016" s="16" t="s">
        <v>970</v>
      </c>
      <c r="E1016" s="12">
        <v>30.86</v>
      </c>
    </row>
    <row r="1017" spans="4:5" x14ac:dyDescent="0.3">
      <c r="D1017" s="16" t="s">
        <v>1023</v>
      </c>
      <c r="E1017" s="12">
        <v>30.86</v>
      </c>
    </row>
    <row r="1018" spans="4:5" x14ac:dyDescent="0.3">
      <c r="D1018" s="16" t="s">
        <v>839</v>
      </c>
      <c r="E1018" s="12">
        <v>30.86</v>
      </c>
    </row>
    <row r="1019" spans="4:5" x14ac:dyDescent="0.3">
      <c r="D1019" s="16" t="s">
        <v>815</v>
      </c>
      <c r="E1019" s="12">
        <v>30.86</v>
      </c>
    </row>
    <row r="1020" spans="4:5" x14ac:dyDescent="0.3">
      <c r="D1020" s="16" t="s">
        <v>807</v>
      </c>
      <c r="E1020" s="12">
        <v>30.86</v>
      </c>
    </row>
    <row r="1021" spans="4:5" x14ac:dyDescent="0.3">
      <c r="D1021" s="16" t="s">
        <v>965</v>
      </c>
      <c r="E1021" s="12">
        <v>30.86</v>
      </c>
    </row>
    <row r="1022" spans="4:5" x14ac:dyDescent="0.3">
      <c r="D1022" s="16" t="s">
        <v>841</v>
      </c>
      <c r="E1022" s="12">
        <v>30.86</v>
      </c>
    </row>
    <row r="1023" spans="4:5" x14ac:dyDescent="0.3">
      <c r="D1023" s="16" t="s">
        <v>1021</v>
      </c>
      <c r="E1023" s="12">
        <v>30.86</v>
      </c>
    </row>
    <row r="1024" spans="4:5" x14ac:dyDescent="0.3">
      <c r="D1024" s="16" t="s">
        <v>914</v>
      </c>
      <c r="E1024" s="12">
        <v>30.86</v>
      </c>
    </row>
    <row r="1025" spans="4:5" x14ac:dyDescent="0.3">
      <c r="D1025" s="16" t="s">
        <v>942</v>
      </c>
      <c r="E1025" s="12">
        <v>30.86</v>
      </c>
    </row>
    <row r="1026" spans="4:5" x14ac:dyDescent="0.3">
      <c r="D1026" s="16" t="s">
        <v>977</v>
      </c>
      <c r="E1026" s="12">
        <v>30.86</v>
      </c>
    </row>
    <row r="1027" spans="4:5" x14ac:dyDescent="0.3">
      <c r="D1027" s="16" t="s">
        <v>856</v>
      </c>
      <c r="E1027" s="12">
        <v>30.86</v>
      </c>
    </row>
    <row r="1028" spans="4:5" x14ac:dyDescent="0.3">
      <c r="D1028" s="16" t="s">
        <v>978</v>
      </c>
      <c r="E1028" s="12">
        <v>30.86</v>
      </c>
    </row>
    <row r="1029" spans="4:5" x14ac:dyDescent="0.3">
      <c r="D1029" s="16" t="s">
        <v>1050</v>
      </c>
      <c r="E1029" s="12">
        <v>30.86</v>
      </c>
    </row>
    <row r="1030" spans="4:5" x14ac:dyDescent="0.3">
      <c r="D1030" s="16" t="s">
        <v>986</v>
      </c>
      <c r="E1030" s="12">
        <v>30.86</v>
      </c>
    </row>
    <row r="1031" spans="4:5" x14ac:dyDescent="0.3">
      <c r="D1031" s="16" t="s">
        <v>837</v>
      </c>
      <c r="E1031" s="12">
        <v>30.86</v>
      </c>
    </row>
    <row r="1032" spans="4:5" x14ac:dyDescent="0.3">
      <c r="D1032" s="16" t="s">
        <v>992</v>
      </c>
      <c r="E1032" s="12">
        <v>30.86</v>
      </c>
    </row>
    <row r="1033" spans="4:5" x14ac:dyDescent="0.3">
      <c r="D1033" s="16" t="s">
        <v>969</v>
      </c>
      <c r="E1033" s="12">
        <v>30.86</v>
      </c>
    </row>
    <row r="1034" spans="4:5" x14ac:dyDescent="0.3">
      <c r="D1034" s="16" t="s">
        <v>993</v>
      </c>
      <c r="E1034" s="12">
        <v>30.86</v>
      </c>
    </row>
    <row r="1035" spans="4:5" x14ac:dyDescent="0.3">
      <c r="D1035" s="16" t="s">
        <v>882</v>
      </c>
      <c r="E1035" s="12">
        <v>30.86</v>
      </c>
    </row>
    <row r="1036" spans="4:5" x14ac:dyDescent="0.3">
      <c r="D1036" s="16" t="s">
        <v>924</v>
      </c>
      <c r="E1036" s="12">
        <v>30.86</v>
      </c>
    </row>
    <row r="1037" spans="4:5" x14ac:dyDescent="0.3">
      <c r="D1037" s="16" t="s">
        <v>848</v>
      </c>
      <c r="E1037" s="12">
        <v>30.86</v>
      </c>
    </row>
    <row r="1038" spans="4:5" x14ac:dyDescent="0.3">
      <c r="D1038" s="16" t="s">
        <v>998</v>
      </c>
      <c r="E1038" s="12">
        <v>30.86</v>
      </c>
    </row>
    <row r="1039" spans="4:5" x14ac:dyDescent="0.3">
      <c r="D1039" s="16" t="s">
        <v>852</v>
      </c>
      <c r="E1039" s="12">
        <v>30.86</v>
      </c>
    </row>
    <row r="1040" spans="4:5" x14ac:dyDescent="0.3">
      <c r="D1040" s="16" t="s">
        <v>1000</v>
      </c>
      <c r="E1040" s="12">
        <v>30.86</v>
      </c>
    </row>
    <row r="1041" spans="4:5" x14ac:dyDescent="0.3">
      <c r="D1041" s="16" t="s">
        <v>832</v>
      </c>
      <c r="E1041" s="12">
        <v>30.86</v>
      </c>
    </row>
    <row r="1042" spans="4:5" x14ac:dyDescent="0.3">
      <c r="D1042" s="16" t="s">
        <v>1003</v>
      </c>
      <c r="E1042" s="12">
        <v>30.86</v>
      </c>
    </row>
    <row r="1043" spans="4:5" x14ac:dyDescent="0.3">
      <c r="D1043" s="16" t="s">
        <v>833</v>
      </c>
      <c r="E1043" s="12">
        <v>30.86</v>
      </c>
    </row>
    <row r="1044" spans="4:5" x14ac:dyDescent="0.3">
      <c r="D1044" s="16" t="s">
        <v>1005</v>
      </c>
      <c r="E1044" s="12">
        <v>30.86</v>
      </c>
    </row>
    <row r="1045" spans="4:5" x14ac:dyDescent="0.3">
      <c r="D1045" s="16" t="s">
        <v>858</v>
      </c>
      <c r="E1045" s="12">
        <v>30.86</v>
      </c>
    </row>
    <row r="1046" spans="4:5" x14ac:dyDescent="0.3">
      <c r="D1046" s="16" t="s">
        <v>847</v>
      </c>
      <c r="E1046" s="12">
        <v>30.86</v>
      </c>
    </row>
    <row r="1047" spans="4:5" x14ac:dyDescent="0.3">
      <c r="D1047" s="16" t="s">
        <v>1048</v>
      </c>
      <c r="E1047" s="12">
        <v>30.86</v>
      </c>
    </row>
    <row r="1048" spans="4:5" x14ac:dyDescent="0.3">
      <c r="D1048" s="16" t="s">
        <v>927</v>
      </c>
      <c r="E1048" s="12">
        <v>30.86</v>
      </c>
    </row>
    <row r="1049" spans="4:5" x14ac:dyDescent="0.3">
      <c r="D1049" s="16" t="s">
        <v>956</v>
      </c>
      <c r="E1049" s="12">
        <v>30.86</v>
      </c>
    </row>
    <row r="1050" spans="4:5" x14ac:dyDescent="0.3">
      <c r="D1050" s="16" t="s">
        <v>928</v>
      </c>
      <c r="E1050" s="12">
        <v>30.86</v>
      </c>
    </row>
    <row r="1051" spans="4:5" x14ac:dyDescent="0.3">
      <c r="D1051" s="16" t="s">
        <v>866</v>
      </c>
      <c r="E1051" s="12">
        <v>30.86</v>
      </c>
    </row>
    <row r="1052" spans="4:5" x14ac:dyDescent="0.3">
      <c r="D1052" s="16" t="s">
        <v>929</v>
      </c>
      <c r="E1052" s="12">
        <v>30.86</v>
      </c>
    </row>
    <row r="1053" spans="4:5" x14ac:dyDescent="0.3">
      <c r="D1053" s="16" t="s">
        <v>906</v>
      </c>
      <c r="E1053" s="12">
        <v>30.86</v>
      </c>
    </row>
    <row r="1054" spans="4:5" x14ac:dyDescent="0.3">
      <c r="D1054" s="16" t="s">
        <v>1013</v>
      </c>
      <c r="E1054" s="12">
        <v>30.86</v>
      </c>
    </row>
    <row r="1055" spans="4:5" x14ac:dyDescent="0.3">
      <c r="D1055" s="16" t="s">
        <v>907</v>
      </c>
      <c r="E1055" s="12">
        <v>30.86</v>
      </c>
    </row>
    <row r="1056" spans="4:5" x14ac:dyDescent="0.3">
      <c r="D1056" s="16" t="s">
        <v>931</v>
      </c>
      <c r="E1056" s="12">
        <v>30.86</v>
      </c>
    </row>
    <row r="1057" spans="4:5" x14ac:dyDescent="0.3">
      <c r="D1057" s="16" t="s">
        <v>1018</v>
      </c>
      <c r="E1057" s="12">
        <v>30.86</v>
      </c>
    </row>
    <row r="1058" spans="4:5" x14ac:dyDescent="0.3">
      <c r="D1058" s="16" t="s">
        <v>797</v>
      </c>
      <c r="E1058" s="12">
        <v>30.86</v>
      </c>
    </row>
    <row r="1059" spans="4:5" x14ac:dyDescent="0.3">
      <c r="D1059" s="16" t="s">
        <v>785</v>
      </c>
      <c r="E1059" s="12">
        <v>30.86</v>
      </c>
    </row>
    <row r="1060" spans="4:5" x14ac:dyDescent="0.3">
      <c r="D1060" s="16" t="s">
        <v>716</v>
      </c>
      <c r="E1060" s="12">
        <v>30.86</v>
      </c>
    </row>
    <row r="1061" spans="4:5" x14ac:dyDescent="0.3">
      <c r="D1061" s="16" t="s">
        <v>742</v>
      </c>
      <c r="E1061" s="12">
        <v>30.86</v>
      </c>
    </row>
    <row r="1062" spans="4:5" x14ac:dyDescent="0.3">
      <c r="D1062" s="16" t="s">
        <v>790</v>
      </c>
      <c r="E1062" s="12">
        <v>30.86</v>
      </c>
    </row>
    <row r="1063" spans="4:5" x14ac:dyDescent="0.3">
      <c r="D1063" s="16" t="s">
        <v>747</v>
      </c>
      <c r="E1063" s="12">
        <v>30.86</v>
      </c>
    </row>
    <row r="1064" spans="4:5" x14ac:dyDescent="0.3">
      <c r="D1064" s="16" t="s">
        <v>710</v>
      </c>
      <c r="E1064" s="12">
        <v>30.86</v>
      </c>
    </row>
    <row r="1065" spans="4:5" x14ac:dyDescent="0.3">
      <c r="D1065" s="16" t="s">
        <v>696</v>
      </c>
      <c r="E1065" s="12">
        <v>30.86</v>
      </c>
    </row>
    <row r="1066" spans="4:5" x14ac:dyDescent="0.3">
      <c r="D1066" s="16" t="s">
        <v>721</v>
      </c>
      <c r="E1066" s="12">
        <v>30.86</v>
      </c>
    </row>
    <row r="1067" spans="4:5" x14ac:dyDescent="0.3">
      <c r="D1067" s="16" t="s">
        <v>756</v>
      </c>
      <c r="E1067" s="12">
        <v>30.86</v>
      </c>
    </row>
    <row r="1068" spans="4:5" x14ac:dyDescent="0.3">
      <c r="D1068" s="16" t="s">
        <v>786</v>
      </c>
      <c r="E1068" s="12">
        <v>30.86</v>
      </c>
    </row>
    <row r="1069" spans="4:5" x14ac:dyDescent="0.3">
      <c r="D1069" s="16" t="s">
        <v>705</v>
      </c>
      <c r="E1069" s="12">
        <v>30.86</v>
      </c>
    </row>
    <row r="1070" spans="4:5" x14ac:dyDescent="0.3">
      <c r="D1070" s="16" t="s">
        <v>796</v>
      </c>
      <c r="E1070" s="12">
        <v>30.86</v>
      </c>
    </row>
    <row r="1071" spans="4:5" x14ac:dyDescent="0.3">
      <c r="D1071" s="16" t="s">
        <v>762</v>
      </c>
      <c r="E1071" s="12">
        <v>30.86</v>
      </c>
    </row>
    <row r="1072" spans="4:5" x14ac:dyDescent="0.3">
      <c r="D1072" s="16" t="s">
        <v>733</v>
      </c>
      <c r="E1072" s="12">
        <v>30.86</v>
      </c>
    </row>
    <row r="1073" spans="4:5" x14ac:dyDescent="0.3">
      <c r="D1073" s="16" t="s">
        <v>764</v>
      </c>
      <c r="E1073" s="12">
        <v>30.86</v>
      </c>
    </row>
    <row r="1074" spans="4:5" x14ac:dyDescent="0.3">
      <c r="D1074" s="16" t="s">
        <v>709</v>
      </c>
      <c r="E1074" s="12">
        <v>30.86</v>
      </c>
    </row>
    <row r="1075" spans="4:5" x14ac:dyDescent="0.3">
      <c r="D1075" s="16" t="s">
        <v>22</v>
      </c>
      <c r="E1075" s="12">
        <v>28.9</v>
      </c>
    </row>
    <row r="1076" spans="4:5" x14ac:dyDescent="0.3">
      <c r="D1076" s="16" t="s">
        <v>133</v>
      </c>
      <c r="E1076" s="12">
        <v>28.9</v>
      </c>
    </row>
    <row r="1077" spans="4:5" x14ac:dyDescent="0.3">
      <c r="D1077" s="16" t="s">
        <v>51</v>
      </c>
      <c r="E1077" s="12">
        <v>28.9</v>
      </c>
    </row>
    <row r="1078" spans="4:5" x14ac:dyDescent="0.3">
      <c r="D1078" s="16" t="s">
        <v>75</v>
      </c>
      <c r="E1078" s="12">
        <v>28.9</v>
      </c>
    </row>
    <row r="1079" spans="4:5" x14ac:dyDescent="0.3">
      <c r="D1079" s="16" t="s">
        <v>106</v>
      </c>
      <c r="E1079" s="12">
        <v>28.9</v>
      </c>
    </row>
    <row r="1080" spans="4:5" x14ac:dyDescent="0.3">
      <c r="D1080" s="16" t="s">
        <v>25</v>
      </c>
      <c r="E1080" s="12">
        <v>28.9</v>
      </c>
    </row>
    <row r="1081" spans="4:5" x14ac:dyDescent="0.3">
      <c r="D1081" s="16" t="s">
        <v>108</v>
      </c>
      <c r="E1081" s="12">
        <v>28.9</v>
      </c>
    </row>
    <row r="1082" spans="4:5" x14ac:dyDescent="0.3">
      <c r="D1082" s="16" t="s">
        <v>18</v>
      </c>
      <c r="E1082" s="12">
        <v>28.9</v>
      </c>
    </row>
    <row r="1083" spans="4:5" x14ac:dyDescent="0.3">
      <c r="D1083" s="16" t="s">
        <v>126</v>
      </c>
      <c r="E1083" s="12">
        <v>28.9</v>
      </c>
    </row>
    <row r="1084" spans="4:5" x14ac:dyDescent="0.3">
      <c r="D1084" s="16" t="s">
        <v>117</v>
      </c>
      <c r="E1084" s="12">
        <v>28.9</v>
      </c>
    </row>
    <row r="1085" spans="4:5" x14ac:dyDescent="0.3">
      <c r="D1085" s="16" t="s">
        <v>612</v>
      </c>
      <c r="E1085" s="12">
        <v>27.92</v>
      </c>
    </row>
    <row r="1086" spans="4:5" x14ac:dyDescent="0.3">
      <c r="D1086" s="16" t="s">
        <v>693</v>
      </c>
      <c r="E1086" s="12">
        <v>27.92</v>
      </c>
    </row>
    <row r="1087" spans="4:5" x14ac:dyDescent="0.3">
      <c r="D1087" s="16" t="s">
        <v>547</v>
      </c>
      <c r="E1087" s="12">
        <v>27.92</v>
      </c>
    </row>
    <row r="1088" spans="4:5" x14ac:dyDescent="0.3">
      <c r="D1088" s="16" t="s">
        <v>689</v>
      </c>
      <c r="E1088" s="12">
        <v>27.92</v>
      </c>
    </row>
    <row r="1089" spans="4:5" x14ac:dyDescent="0.3">
      <c r="D1089" s="16" t="s">
        <v>571</v>
      </c>
      <c r="E1089" s="12">
        <v>27.92</v>
      </c>
    </row>
    <row r="1090" spans="4:5" x14ac:dyDescent="0.3">
      <c r="D1090" s="16" t="s">
        <v>627</v>
      </c>
      <c r="E1090" s="12">
        <v>27.92</v>
      </c>
    </row>
    <row r="1091" spans="4:5" x14ac:dyDescent="0.3">
      <c r="D1091" s="16" t="s">
        <v>567</v>
      </c>
      <c r="E1091" s="12">
        <v>27.92</v>
      </c>
    </row>
    <row r="1092" spans="4:5" x14ac:dyDescent="0.3">
      <c r="D1092" s="16" t="s">
        <v>569</v>
      </c>
      <c r="E1092" s="12">
        <v>27.92</v>
      </c>
    </row>
    <row r="1093" spans="4:5" x14ac:dyDescent="0.3">
      <c r="D1093" s="16" t="s">
        <v>578</v>
      </c>
      <c r="E1093" s="12">
        <v>27.92</v>
      </c>
    </row>
    <row r="1094" spans="4:5" x14ac:dyDescent="0.3">
      <c r="D1094" s="16" t="s">
        <v>663</v>
      </c>
      <c r="E1094" s="12">
        <v>27.92</v>
      </c>
    </row>
    <row r="1095" spans="4:5" x14ac:dyDescent="0.3">
      <c r="D1095" s="16" t="s">
        <v>590</v>
      </c>
      <c r="E1095" s="12">
        <v>27.92</v>
      </c>
    </row>
    <row r="1096" spans="4:5" x14ac:dyDescent="0.3">
      <c r="D1096" s="16" t="s">
        <v>644</v>
      </c>
      <c r="E1096" s="12">
        <v>27.92</v>
      </c>
    </row>
    <row r="1097" spans="4:5" x14ac:dyDescent="0.3">
      <c r="D1097" s="16" t="s">
        <v>576</v>
      </c>
      <c r="E1097" s="12">
        <v>27.92</v>
      </c>
    </row>
    <row r="1098" spans="4:5" x14ac:dyDescent="0.3">
      <c r="D1098" s="16" t="s">
        <v>622</v>
      </c>
      <c r="E1098" s="12">
        <v>27.92</v>
      </c>
    </row>
    <row r="1099" spans="4:5" x14ac:dyDescent="0.3">
      <c r="D1099" s="16" t="s">
        <v>613</v>
      </c>
      <c r="E1099" s="12">
        <v>27.92</v>
      </c>
    </row>
    <row r="1100" spans="4:5" x14ac:dyDescent="0.3">
      <c r="D1100" s="16" t="s">
        <v>667</v>
      </c>
      <c r="E1100" s="12">
        <v>27.92</v>
      </c>
    </row>
    <row r="1101" spans="4:5" x14ac:dyDescent="0.3">
      <c r="D1101" s="16" t="s">
        <v>679</v>
      </c>
      <c r="E1101" s="12">
        <v>27.92</v>
      </c>
    </row>
    <row r="1102" spans="4:5" x14ac:dyDescent="0.3">
      <c r="D1102" s="16" t="s">
        <v>647</v>
      </c>
      <c r="E1102" s="12">
        <v>27.92</v>
      </c>
    </row>
    <row r="1103" spans="4:5" x14ac:dyDescent="0.3">
      <c r="D1103" s="16" t="s">
        <v>593</v>
      </c>
      <c r="E1103" s="12">
        <v>27.92</v>
      </c>
    </row>
    <row r="1104" spans="4:5" x14ac:dyDescent="0.3">
      <c r="D1104" s="16" t="s">
        <v>669</v>
      </c>
      <c r="E1104" s="12">
        <v>27.92</v>
      </c>
    </row>
    <row r="1105" spans="4:5" x14ac:dyDescent="0.3">
      <c r="D1105" s="16" t="s">
        <v>589</v>
      </c>
      <c r="E1105" s="12">
        <v>27.92</v>
      </c>
    </row>
    <row r="1106" spans="4:5" x14ac:dyDescent="0.3">
      <c r="D1106" s="16" t="s">
        <v>450</v>
      </c>
      <c r="E1106" s="12">
        <v>27.92</v>
      </c>
    </row>
    <row r="1107" spans="4:5" x14ac:dyDescent="0.3">
      <c r="D1107" s="16" t="s">
        <v>320</v>
      </c>
      <c r="E1107" s="12">
        <v>27.92</v>
      </c>
    </row>
    <row r="1108" spans="4:5" x14ac:dyDescent="0.3">
      <c r="D1108" s="16" t="s">
        <v>376</v>
      </c>
      <c r="E1108" s="12">
        <v>27.92</v>
      </c>
    </row>
    <row r="1109" spans="4:5" x14ac:dyDescent="0.3">
      <c r="D1109" s="16" t="s">
        <v>466</v>
      </c>
      <c r="E1109" s="12">
        <v>27.92</v>
      </c>
    </row>
    <row r="1110" spans="4:5" x14ac:dyDescent="0.3">
      <c r="D1110" s="16" t="s">
        <v>321</v>
      </c>
      <c r="E1110" s="12">
        <v>27.92</v>
      </c>
    </row>
    <row r="1111" spans="4:5" x14ac:dyDescent="0.3">
      <c r="D1111" s="16" t="s">
        <v>352</v>
      </c>
      <c r="E1111" s="12">
        <v>27.92</v>
      </c>
    </row>
    <row r="1112" spans="4:5" x14ac:dyDescent="0.3">
      <c r="D1112" s="16" t="s">
        <v>529</v>
      </c>
      <c r="E1112" s="12">
        <v>27.92</v>
      </c>
    </row>
    <row r="1113" spans="4:5" x14ac:dyDescent="0.3">
      <c r="D1113" s="16" t="s">
        <v>380</v>
      </c>
      <c r="E1113" s="12">
        <v>27.92</v>
      </c>
    </row>
    <row r="1114" spans="4:5" x14ac:dyDescent="0.3">
      <c r="D1114" s="16" t="s">
        <v>309</v>
      </c>
      <c r="E1114" s="12">
        <v>27.92</v>
      </c>
    </row>
    <row r="1115" spans="4:5" x14ac:dyDescent="0.3">
      <c r="D1115" s="16" t="s">
        <v>337</v>
      </c>
      <c r="E1115" s="12">
        <v>27.92</v>
      </c>
    </row>
    <row r="1116" spans="4:5" x14ac:dyDescent="0.3">
      <c r="D1116" s="16" t="s">
        <v>444</v>
      </c>
      <c r="E1116" s="12">
        <v>27.92</v>
      </c>
    </row>
    <row r="1117" spans="4:5" x14ac:dyDescent="0.3">
      <c r="D1117" s="16" t="s">
        <v>324</v>
      </c>
      <c r="E1117" s="12">
        <v>27.92</v>
      </c>
    </row>
    <row r="1118" spans="4:5" x14ac:dyDescent="0.3">
      <c r="D1118" s="16" t="s">
        <v>449</v>
      </c>
      <c r="E1118" s="12">
        <v>27.92</v>
      </c>
    </row>
    <row r="1119" spans="4:5" x14ac:dyDescent="0.3">
      <c r="D1119" s="16" t="s">
        <v>476</v>
      </c>
      <c r="E1119" s="12">
        <v>27.92</v>
      </c>
    </row>
    <row r="1120" spans="4:5" x14ac:dyDescent="0.3">
      <c r="D1120" s="16" t="s">
        <v>523</v>
      </c>
      <c r="E1120" s="12">
        <v>27.92</v>
      </c>
    </row>
    <row r="1121" spans="4:5" x14ac:dyDescent="0.3">
      <c r="D1121" s="16" t="s">
        <v>339</v>
      </c>
      <c r="E1121" s="12">
        <v>27.92</v>
      </c>
    </row>
    <row r="1122" spans="4:5" x14ac:dyDescent="0.3">
      <c r="D1122" s="16" t="s">
        <v>459</v>
      </c>
      <c r="E1122" s="12">
        <v>27.92</v>
      </c>
    </row>
    <row r="1123" spans="4:5" x14ac:dyDescent="0.3">
      <c r="D1123" s="16" t="s">
        <v>424</v>
      </c>
      <c r="E1123" s="12">
        <v>27.92</v>
      </c>
    </row>
    <row r="1124" spans="4:5" x14ac:dyDescent="0.3">
      <c r="D1124" s="16" t="s">
        <v>412</v>
      </c>
      <c r="E1124" s="12">
        <v>27.92</v>
      </c>
    </row>
    <row r="1125" spans="4:5" x14ac:dyDescent="0.3">
      <c r="D1125" s="16" t="s">
        <v>425</v>
      </c>
      <c r="E1125" s="12">
        <v>27.92</v>
      </c>
    </row>
    <row r="1126" spans="4:5" x14ac:dyDescent="0.3">
      <c r="D1126" s="16" t="s">
        <v>442</v>
      </c>
      <c r="E1126" s="12">
        <v>27.92</v>
      </c>
    </row>
    <row r="1127" spans="4:5" x14ac:dyDescent="0.3">
      <c r="D1127" s="16" t="s">
        <v>292</v>
      </c>
      <c r="E1127" s="12">
        <v>27.92</v>
      </c>
    </row>
    <row r="1128" spans="4:5" x14ac:dyDescent="0.3">
      <c r="D1128" s="16" t="s">
        <v>505</v>
      </c>
      <c r="E1128" s="12">
        <v>27.92</v>
      </c>
    </row>
    <row r="1129" spans="4:5" x14ac:dyDescent="0.3">
      <c r="D1129" s="16" t="s">
        <v>428</v>
      </c>
      <c r="E1129" s="12">
        <v>27.92</v>
      </c>
    </row>
    <row r="1130" spans="4:5" x14ac:dyDescent="0.3">
      <c r="D1130" s="16" t="s">
        <v>507</v>
      </c>
      <c r="E1130" s="12">
        <v>27.92</v>
      </c>
    </row>
    <row r="1131" spans="4:5" x14ac:dyDescent="0.3">
      <c r="D1131" s="16" t="s">
        <v>327</v>
      </c>
      <c r="E1131" s="12">
        <v>27.92</v>
      </c>
    </row>
    <row r="1132" spans="4:5" x14ac:dyDescent="0.3">
      <c r="D1132" s="16" t="s">
        <v>509</v>
      </c>
      <c r="E1132" s="12">
        <v>27.92</v>
      </c>
    </row>
    <row r="1133" spans="4:5" x14ac:dyDescent="0.3">
      <c r="D1133" s="16" t="s">
        <v>390</v>
      </c>
      <c r="E1133" s="12">
        <v>27.92</v>
      </c>
    </row>
    <row r="1134" spans="4:5" x14ac:dyDescent="0.3">
      <c r="D1134" s="16" t="s">
        <v>518</v>
      </c>
      <c r="E1134" s="12">
        <v>27.92</v>
      </c>
    </row>
    <row r="1135" spans="4:5" x14ac:dyDescent="0.3">
      <c r="D1135" s="16" t="s">
        <v>392</v>
      </c>
      <c r="E1135" s="12">
        <v>27.92</v>
      </c>
    </row>
    <row r="1136" spans="4:5" x14ac:dyDescent="0.3">
      <c r="D1136" s="16" t="s">
        <v>371</v>
      </c>
      <c r="E1136" s="12">
        <v>27.92</v>
      </c>
    </row>
    <row r="1137" spans="4:5" x14ac:dyDescent="0.3">
      <c r="D1137" s="16" t="s">
        <v>362</v>
      </c>
      <c r="E1137" s="12">
        <v>27.92</v>
      </c>
    </row>
    <row r="1138" spans="4:5" x14ac:dyDescent="0.3">
      <c r="D1138" s="16" t="s">
        <v>322</v>
      </c>
      <c r="E1138" s="12">
        <v>27.92</v>
      </c>
    </row>
    <row r="1139" spans="4:5" x14ac:dyDescent="0.3">
      <c r="D1139" s="16" t="s">
        <v>283</v>
      </c>
      <c r="E1139" s="12">
        <v>27.92</v>
      </c>
    </row>
    <row r="1140" spans="4:5" x14ac:dyDescent="0.3">
      <c r="D1140" s="16" t="s">
        <v>409</v>
      </c>
      <c r="E1140" s="12">
        <v>27.92</v>
      </c>
    </row>
    <row r="1141" spans="4:5" x14ac:dyDescent="0.3">
      <c r="D1141" s="16" t="s">
        <v>365</v>
      </c>
      <c r="E1141" s="12">
        <v>27.92</v>
      </c>
    </row>
    <row r="1142" spans="4:5" x14ac:dyDescent="0.3">
      <c r="D1142" s="16" t="s">
        <v>375</v>
      </c>
      <c r="E1142" s="12">
        <v>27.92</v>
      </c>
    </row>
    <row r="1143" spans="4:5" x14ac:dyDescent="0.3">
      <c r="D1143" s="16" t="s">
        <v>304</v>
      </c>
      <c r="E1143" s="12">
        <v>27.92</v>
      </c>
    </row>
    <row r="1144" spans="4:5" x14ac:dyDescent="0.3">
      <c r="D1144" s="16" t="s">
        <v>534</v>
      </c>
      <c r="E1144" s="12">
        <v>27.92</v>
      </c>
    </row>
    <row r="1145" spans="4:5" x14ac:dyDescent="0.3">
      <c r="D1145" s="16" t="s">
        <v>440</v>
      </c>
      <c r="E1145" s="12">
        <v>27.92</v>
      </c>
    </row>
    <row r="1146" spans="4:5" x14ac:dyDescent="0.3">
      <c r="D1146" s="16" t="s">
        <v>536</v>
      </c>
      <c r="E1146" s="12">
        <v>27.92</v>
      </c>
    </row>
    <row r="1147" spans="4:5" x14ac:dyDescent="0.3">
      <c r="D1147" s="16" t="s">
        <v>501</v>
      </c>
      <c r="E1147" s="12">
        <v>27.92</v>
      </c>
    </row>
    <row r="1148" spans="4:5" x14ac:dyDescent="0.3">
      <c r="D1148" s="16" t="s">
        <v>378</v>
      </c>
      <c r="E1148" s="12">
        <v>27.92</v>
      </c>
    </row>
    <row r="1149" spans="4:5" x14ac:dyDescent="0.3">
      <c r="D1149" s="16" t="s">
        <v>319</v>
      </c>
      <c r="E1149" s="12">
        <v>27.92</v>
      </c>
    </row>
    <row r="1150" spans="4:5" x14ac:dyDescent="0.3">
      <c r="D1150" s="16" t="s">
        <v>173</v>
      </c>
      <c r="E1150" s="12">
        <v>27.92</v>
      </c>
    </row>
    <row r="1151" spans="4:5" x14ac:dyDescent="0.3">
      <c r="D1151" s="16" t="s">
        <v>246</v>
      </c>
      <c r="E1151" s="12">
        <v>27.92</v>
      </c>
    </row>
    <row r="1152" spans="4:5" x14ac:dyDescent="0.3">
      <c r="D1152" s="16" t="s">
        <v>221</v>
      </c>
      <c r="E1152" s="12">
        <v>27.92</v>
      </c>
    </row>
    <row r="1153" spans="4:5" x14ac:dyDescent="0.3">
      <c r="D1153" s="16" t="s">
        <v>147</v>
      </c>
      <c r="E1153" s="12">
        <v>27.92</v>
      </c>
    </row>
    <row r="1154" spans="4:5" x14ac:dyDescent="0.3">
      <c r="D1154" s="16" t="s">
        <v>238</v>
      </c>
      <c r="E1154" s="12">
        <v>27.92</v>
      </c>
    </row>
    <row r="1155" spans="4:5" x14ac:dyDescent="0.3">
      <c r="D1155" s="16" t="s">
        <v>194</v>
      </c>
      <c r="E1155" s="12">
        <v>27.92</v>
      </c>
    </row>
    <row r="1156" spans="4:5" x14ac:dyDescent="0.3">
      <c r="D1156" s="16" t="s">
        <v>151</v>
      </c>
      <c r="E1156" s="12">
        <v>27.92</v>
      </c>
    </row>
    <row r="1157" spans="4:5" x14ac:dyDescent="0.3">
      <c r="D1157" s="16" t="s">
        <v>169</v>
      </c>
      <c r="E1157" s="12">
        <v>27.92</v>
      </c>
    </row>
    <row r="1158" spans="4:5" x14ac:dyDescent="0.3">
      <c r="D1158" s="16" t="s">
        <v>164</v>
      </c>
      <c r="E1158" s="12">
        <v>27.92</v>
      </c>
    </row>
    <row r="1159" spans="4:5" x14ac:dyDescent="0.3">
      <c r="D1159" s="16" t="s">
        <v>162</v>
      </c>
      <c r="E1159" s="12">
        <v>27.92</v>
      </c>
    </row>
    <row r="1160" spans="4:5" x14ac:dyDescent="0.3">
      <c r="D1160" s="16" t="s">
        <v>181</v>
      </c>
      <c r="E1160" s="12">
        <v>27.92</v>
      </c>
    </row>
    <row r="1161" spans="4:5" x14ac:dyDescent="0.3">
      <c r="D1161" s="16" t="s">
        <v>227</v>
      </c>
      <c r="E1161" s="12">
        <v>27.92</v>
      </c>
    </row>
    <row r="1162" spans="4:5" x14ac:dyDescent="0.3">
      <c r="D1162" s="16" t="s">
        <v>274</v>
      </c>
      <c r="E1162" s="12">
        <v>27.92</v>
      </c>
    </row>
    <row r="1163" spans="4:5" x14ac:dyDescent="0.3">
      <c r="D1163" s="16" t="s">
        <v>150</v>
      </c>
      <c r="E1163" s="12">
        <v>27.92</v>
      </c>
    </row>
    <row r="1164" spans="4:5" x14ac:dyDescent="0.3">
      <c r="D1164" s="16" t="s">
        <v>216</v>
      </c>
      <c r="E1164" s="12">
        <v>27.92</v>
      </c>
    </row>
    <row r="1165" spans="4:5" x14ac:dyDescent="0.3">
      <c r="D1165" s="16" t="s">
        <v>1250</v>
      </c>
      <c r="E1165" s="12">
        <v>25.96</v>
      </c>
    </row>
    <row r="1166" spans="4:5" x14ac:dyDescent="0.3">
      <c r="D1166" s="16" t="s">
        <v>1311</v>
      </c>
      <c r="E1166" s="12">
        <v>25.96</v>
      </c>
    </row>
    <row r="1167" spans="4:5" x14ac:dyDescent="0.3">
      <c r="D1167" s="16" t="s">
        <v>1261</v>
      </c>
      <c r="E1167" s="12">
        <v>25.96</v>
      </c>
    </row>
    <row r="1168" spans="4:5" x14ac:dyDescent="0.3">
      <c r="D1168" s="16" t="s">
        <v>1084</v>
      </c>
      <c r="E1168" s="12">
        <v>25.96</v>
      </c>
    </row>
    <row r="1169" spans="4:5" x14ac:dyDescent="0.3">
      <c r="D1169" s="16" t="s">
        <v>1083</v>
      </c>
      <c r="E1169" s="12">
        <v>25.96</v>
      </c>
    </row>
    <row r="1170" spans="4:5" x14ac:dyDescent="0.3">
      <c r="D1170" s="16" t="s">
        <v>1153</v>
      </c>
      <c r="E1170" s="12">
        <v>25.96</v>
      </c>
    </row>
    <row r="1171" spans="4:5" x14ac:dyDescent="0.3">
      <c r="D1171" s="16" t="s">
        <v>1096</v>
      </c>
      <c r="E1171" s="12">
        <v>25.96</v>
      </c>
    </row>
    <row r="1172" spans="4:5" x14ac:dyDescent="0.3">
      <c r="D1172" s="16" t="s">
        <v>1217</v>
      </c>
      <c r="E1172" s="12">
        <v>25.96</v>
      </c>
    </row>
    <row r="1173" spans="4:5" x14ac:dyDescent="0.3">
      <c r="D1173" s="16" t="s">
        <v>1091</v>
      </c>
      <c r="E1173" s="12">
        <v>25.96</v>
      </c>
    </row>
    <row r="1174" spans="4:5" x14ac:dyDescent="0.3">
      <c r="D1174" s="16" t="s">
        <v>1085</v>
      </c>
      <c r="E1174" s="12">
        <v>25.96</v>
      </c>
    </row>
    <row r="1175" spans="4:5" x14ac:dyDescent="0.3">
      <c r="D1175" s="16" t="s">
        <v>1313</v>
      </c>
      <c r="E1175" s="12">
        <v>25.96</v>
      </c>
    </row>
    <row r="1176" spans="4:5" x14ac:dyDescent="0.3">
      <c r="D1176" s="16" t="s">
        <v>1270</v>
      </c>
      <c r="E1176" s="12">
        <v>25.96</v>
      </c>
    </row>
    <row r="1177" spans="4:5" x14ac:dyDescent="0.3">
      <c r="D1177" s="16" t="s">
        <v>1150</v>
      </c>
      <c r="E1177" s="12">
        <v>25.96</v>
      </c>
    </row>
    <row r="1178" spans="4:5" x14ac:dyDescent="0.3">
      <c r="D1178" s="16" t="s">
        <v>1328</v>
      </c>
      <c r="E1178" s="12">
        <v>25.96</v>
      </c>
    </row>
    <row r="1179" spans="4:5" x14ac:dyDescent="0.3">
      <c r="D1179" s="16" t="s">
        <v>1207</v>
      </c>
      <c r="E1179" s="12">
        <v>25.96</v>
      </c>
    </row>
    <row r="1180" spans="4:5" x14ac:dyDescent="0.3">
      <c r="D1180" s="16" t="s">
        <v>1072</v>
      </c>
      <c r="E1180" s="12">
        <v>25.96</v>
      </c>
    </row>
    <row r="1181" spans="4:5" x14ac:dyDescent="0.3">
      <c r="D1181" s="16" t="s">
        <v>1303</v>
      </c>
      <c r="E1181" s="12">
        <v>25.96</v>
      </c>
    </row>
    <row r="1182" spans="4:5" x14ac:dyDescent="0.3">
      <c r="D1182" s="16" t="s">
        <v>1105</v>
      </c>
      <c r="E1182" s="12">
        <v>25.96</v>
      </c>
    </row>
    <row r="1183" spans="4:5" x14ac:dyDescent="0.3">
      <c r="D1183" s="16" t="s">
        <v>1171</v>
      </c>
      <c r="E1183" s="12">
        <v>25.96</v>
      </c>
    </row>
    <row r="1184" spans="4:5" x14ac:dyDescent="0.3">
      <c r="D1184" s="16" t="s">
        <v>1294</v>
      </c>
      <c r="E1184" s="12">
        <v>25.96</v>
      </c>
    </row>
    <row r="1185" spans="4:5" x14ac:dyDescent="0.3">
      <c r="D1185" s="16" t="s">
        <v>1080</v>
      </c>
      <c r="E1185" s="12">
        <v>25.96</v>
      </c>
    </row>
    <row r="1186" spans="4:5" x14ac:dyDescent="0.3">
      <c r="D1186" s="16" t="s">
        <v>1295</v>
      </c>
      <c r="E1186" s="12">
        <v>25.96</v>
      </c>
    </row>
    <row r="1187" spans="4:5" x14ac:dyDescent="0.3">
      <c r="D1187" s="16" t="s">
        <v>1166</v>
      </c>
      <c r="E1187" s="12">
        <v>25.96</v>
      </c>
    </row>
    <row r="1188" spans="4:5" x14ac:dyDescent="0.3">
      <c r="D1188" s="16" t="s">
        <v>1119</v>
      </c>
      <c r="E1188" s="12">
        <v>25.96</v>
      </c>
    </row>
    <row r="1189" spans="4:5" x14ac:dyDescent="0.3">
      <c r="D1189" s="16" t="s">
        <v>1114</v>
      </c>
      <c r="E1189" s="12">
        <v>25.96</v>
      </c>
    </row>
    <row r="1190" spans="4:5" x14ac:dyDescent="0.3">
      <c r="D1190" s="16" t="s">
        <v>1100</v>
      </c>
      <c r="E1190" s="12">
        <v>25.96</v>
      </c>
    </row>
    <row r="1191" spans="4:5" x14ac:dyDescent="0.3">
      <c r="D1191" s="16" t="s">
        <v>1317</v>
      </c>
      <c r="E1191" s="12">
        <v>25.96</v>
      </c>
    </row>
    <row r="1192" spans="4:5" x14ac:dyDescent="0.3">
      <c r="D1192" s="16" t="s">
        <v>1147</v>
      </c>
      <c r="E1192" s="12">
        <v>25.96</v>
      </c>
    </row>
    <row r="1193" spans="4:5" x14ac:dyDescent="0.3">
      <c r="D1193" s="16" t="s">
        <v>1319</v>
      </c>
      <c r="E1193" s="12">
        <v>25.96</v>
      </c>
    </row>
    <row r="1194" spans="4:5" x14ac:dyDescent="0.3">
      <c r="D1194" s="16" t="s">
        <v>1138</v>
      </c>
      <c r="E1194" s="12">
        <v>25.96</v>
      </c>
    </row>
    <row r="1195" spans="4:5" x14ac:dyDescent="0.3">
      <c r="D1195" s="16" t="s">
        <v>1135</v>
      </c>
      <c r="E1195" s="12">
        <v>25.96</v>
      </c>
    </row>
    <row r="1196" spans="4:5" x14ac:dyDescent="0.3">
      <c r="D1196" s="16" t="s">
        <v>1087</v>
      </c>
      <c r="E1196" s="12">
        <v>25.96</v>
      </c>
    </row>
    <row r="1197" spans="4:5" x14ac:dyDescent="0.3">
      <c r="D1197" s="16" t="s">
        <v>1253</v>
      </c>
      <c r="E1197" s="12">
        <v>25.96</v>
      </c>
    </row>
    <row r="1198" spans="4:5" x14ac:dyDescent="0.3">
      <c r="D1198" s="16" t="s">
        <v>1160</v>
      </c>
      <c r="E1198" s="12">
        <v>25.96</v>
      </c>
    </row>
    <row r="1199" spans="4:5" x14ac:dyDescent="0.3">
      <c r="D1199" s="16" t="s">
        <v>1187</v>
      </c>
      <c r="E1199" s="12">
        <v>25.96</v>
      </c>
    </row>
    <row r="1200" spans="4:5" x14ac:dyDescent="0.3">
      <c r="D1200" s="16" t="s">
        <v>1128</v>
      </c>
      <c r="E1200" s="12">
        <v>25.96</v>
      </c>
    </row>
    <row r="1201" spans="4:5" x14ac:dyDescent="0.3">
      <c r="D1201" s="16" t="s">
        <v>1255</v>
      </c>
      <c r="E1201" s="12">
        <v>25.96</v>
      </c>
    </row>
    <row r="1202" spans="4:5" x14ac:dyDescent="0.3">
      <c r="D1202" s="16" t="s">
        <v>1290</v>
      </c>
      <c r="E1202" s="12">
        <v>25.96</v>
      </c>
    </row>
    <row r="1203" spans="4:5" x14ac:dyDescent="0.3">
      <c r="D1203" s="16" t="s">
        <v>1156</v>
      </c>
      <c r="E1203" s="12">
        <v>25.96</v>
      </c>
    </row>
    <row r="1204" spans="4:5" x14ac:dyDescent="0.3">
      <c r="D1204" s="16" t="s">
        <v>1235</v>
      </c>
      <c r="E1204" s="12">
        <v>25.96</v>
      </c>
    </row>
    <row r="1205" spans="4:5" x14ac:dyDescent="0.3">
      <c r="D1205" s="16" t="s">
        <v>1007</v>
      </c>
      <c r="E1205" s="12">
        <v>25.96</v>
      </c>
    </row>
    <row r="1206" spans="4:5" x14ac:dyDescent="0.3">
      <c r="D1206" s="16" t="s">
        <v>1002</v>
      </c>
      <c r="E1206" s="12">
        <v>25.96</v>
      </c>
    </row>
    <row r="1207" spans="4:5" x14ac:dyDescent="0.3">
      <c r="D1207" s="16" t="s">
        <v>1061</v>
      </c>
      <c r="E1207" s="12">
        <v>25.96</v>
      </c>
    </row>
    <row r="1208" spans="4:5" x14ac:dyDescent="0.3">
      <c r="D1208" s="16" t="s">
        <v>930</v>
      </c>
      <c r="E1208" s="12">
        <v>25.96</v>
      </c>
    </row>
    <row r="1209" spans="4:5" x14ac:dyDescent="0.3">
      <c r="D1209" s="16" t="s">
        <v>860</v>
      </c>
      <c r="E1209" s="12">
        <v>25.96</v>
      </c>
    </row>
    <row r="1210" spans="4:5" x14ac:dyDescent="0.3">
      <c r="D1210" s="16" t="s">
        <v>1016</v>
      </c>
      <c r="E1210" s="12">
        <v>25.96</v>
      </c>
    </row>
    <row r="1211" spans="4:5" x14ac:dyDescent="0.3">
      <c r="D1211" s="16" t="s">
        <v>985</v>
      </c>
      <c r="E1211" s="12">
        <v>25.96</v>
      </c>
    </row>
    <row r="1212" spans="4:5" x14ac:dyDescent="0.3">
      <c r="D1212" s="16" t="s">
        <v>877</v>
      </c>
      <c r="E1212" s="12">
        <v>25.96</v>
      </c>
    </row>
    <row r="1213" spans="4:5" x14ac:dyDescent="0.3">
      <c r="D1213" s="16" t="s">
        <v>909</v>
      </c>
      <c r="E1213" s="12">
        <v>25.96</v>
      </c>
    </row>
    <row r="1214" spans="4:5" x14ac:dyDescent="0.3">
      <c r="D1214" s="16" t="s">
        <v>991</v>
      </c>
      <c r="E1214" s="12">
        <v>25.96</v>
      </c>
    </row>
    <row r="1215" spans="4:5" x14ac:dyDescent="0.3">
      <c r="D1215" s="16" t="s">
        <v>951</v>
      </c>
      <c r="E1215" s="12">
        <v>25.96</v>
      </c>
    </row>
    <row r="1216" spans="4:5" x14ac:dyDescent="0.3">
      <c r="D1216" s="16" t="s">
        <v>979</v>
      </c>
      <c r="E1216" s="12">
        <v>25.96</v>
      </c>
    </row>
    <row r="1217" spans="4:5" x14ac:dyDescent="0.3">
      <c r="D1217" s="16" t="s">
        <v>835</v>
      </c>
      <c r="E1217" s="12">
        <v>25.96</v>
      </c>
    </row>
    <row r="1218" spans="4:5" x14ac:dyDescent="0.3">
      <c r="D1218" s="16" t="s">
        <v>878</v>
      </c>
      <c r="E1218" s="12">
        <v>25.96</v>
      </c>
    </row>
    <row r="1219" spans="4:5" x14ac:dyDescent="0.3">
      <c r="D1219" s="16" t="s">
        <v>958</v>
      </c>
      <c r="E1219" s="12">
        <v>25.96</v>
      </c>
    </row>
    <row r="1220" spans="4:5" x14ac:dyDescent="0.3">
      <c r="D1220" s="16" t="s">
        <v>995</v>
      </c>
      <c r="E1220" s="12">
        <v>25.96</v>
      </c>
    </row>
    <row r="1221" spans="4:5" x14ac:dyDescent="0.3">
      <c r="D1221" s="16" t="s">
        <v>864</v>
      </c>
      <c r="E1221" s="12">
        <v>25.96</v>
      </c>
    </row>
    <row r="1222" spans="4:5" x14ac:dyDescent="0.3">
      <c r="D1222" s="16" t="s">
        <v>996</v>
      </c>
      <c r="E1222" s="12">
        <v>25.96</v>
      </c>
    </row>
    <row r="1223" spans="4:5" x14ac:dyDescent="0.3">
      <c r="D1223" s="16" t="s">
        <v>812</v>
      </c>
      <c r="E1223" s="12">
        <v>25.96</v>
      </c>
    </row>
    <row r="1224" spans="4:5" x14ac:dyDescent="0.3">
      <c r="D1224" s="16" t="s">
        <v>1024</v>
      </c>
      <c r="E1224" s="12">
        <v>25.96</v>
      </c>
    </row>
    <row r="1225" spans="4:5" x14ac:dyDescent="0.3">
      <c r="D1225" s="16" t="s">
        <v>1014</v>
      </c>
      <c r="E1225" s="12">
        <v>25.96</v>
      </c>
    </row>
    <row r="1226" spans="4:5" x14ac:dyDescent="0.3">
      <c r="D1226" s="16" t="s">
        <v>813</v>
      </c>
      <c r="E1226" s="12">
        <v>25.96</v>
      </c>
    </row>
    <row r="1227" spans="4:5" x14ac:dyDescent="0.3">
      <c r="D1227" s="16" t="s">
        <v>857</v>
      </c>
      <c r="E1227" s="12">
        <v>25.96</v>
      </c>
    </row>
    <row r="1228" spans="4:5" x14ac:dyDescent="0.3">
      <c r="D1228" s="16" t="s">
        <v>820</v>
      </c>
      <c r="E1228" s="12">
        <v>25.96</v>
      </c>
    </row>
    <row r="1229" spans="4:5" x14ac:dyDescent="0.3">
      <c r="D1229" s="16" t="s">
        <v>983</v>
      </c>
      <c r="E1229" s="12">
        <v>25.96</v>
      </c>
    </row>
    <row r="1230" spans="4:5" x14ac:dyDescent="0.3">
      <c r="D1230" s="16" t="s">
        <v>851</v>
      </c>
      <c r="E1230" s="12">
        <v>25.96</v>
      </c>
    </row>
    <row r="1231" spans="4:5" x14ac:dyDescent="0.3">
      <c r="D1231" s="16" t="s">
        <v>843</v>
      </c>
      <c r="E1231" s="12">
        <v>25.96</v>
      </c>
    </row>
    <row r="1232" spans="4:5" x14ac:dyDescent="0.3">
      <c r="D1232" s="16" t="s">
        <v>887</v>
      </c>
      <c r="E1232" s="12">
        <v>25.96</v>
      </c>
    </row>
    <row r="1233" spans="4:5" x14ac:dyDescent="0.3">
      <c r="D1233" s="16" t="s">
        <v>828</v>
      </c>
      <c r="E1233" s="12">
        <v>25.96</v>
      </c>
    </row>
    <row r="1234" spans="4:5" x14ac:dyDescent="0.3">
      <c r="D1234" s="16" t="s">
        <v>808</v>
      </c>
      <c r="E1234" s="12">
        <v>25.96</v>
      </c>
    </row>
    <row r="1235" spans="4:5" x14ac:dyDescent="0.3">
      <c r="D1235" s="16" t="s">
        <v>862</v>
      </c>
      <c r="E1235" s="12">
        <v>25.96</v>
      </c>
    </row>
    <row r="1236" spans="4:5" x14ac:dyDescent="0.3">
      <c r="D1236" s="16" t="s">
        <v>999</v>
      </c>
      <c r="E1236" s="12">
        <v>25.96</v>
      </c>
    </row>
    <row r="1237" spans="4:5" x14ac:dyDescent="0.3">
      <c r="D1237" s="16" t="s">
        <v>823</v>
      </c>
      <c r="E1237" s="12">
        <v>25.96</v>
      </c>
    </row>
    <row r="1238" spans="4:5" x14ac:dyDescent="0.3">
      <c r="D1238" s="16" t="s">
        <v>1035</v>
      </c>
      <c r="E1238" s="12">
        <v>25.96</v>
      </c>
    </row>
    <row r="1239" spans="4:5" x14ac:dyDescent="0.3">
      <c r="D1239" s="16" t="s">
        <v>1056</v>
      </c>
      <c r="E1239" s="12">
        <v>25.96</v>
      </c>
    </row>
    <row r="1240" spans="4:5" x14ac:dyDescent="0.3">
      <c r="D1240" s="16" t="s">
        <v>891</v>
      </c>
      <c r="E1240" s="12">
        <v>25.96</v>
      </c>
    </row>
    <row r="1241" spans="4:5" x14ac:dyDescent="0.3">
      <c r="D1241" s="16" t="s">
        <v>865</v>
      </c>
      <c r="E1241" s="12">
        <v>25.96</v>
      </c>
    </row>
    <row r="1242" spans="4:5" x14ac:dyDescent="0.3">
      <c r="D1242" s="16" t="s">
        <v>917</v>
      </c>
      <c r="E1242" s="12">
        <v>25.96</v>
      </c>
    </row>
    <row r="1243" spans="4:5" x14ac:dyDescent="0.3">
      <c r="D1243" s="16" t="s">
        <v>920</v>
      </c>
      <c r="E1243" s="12">
        <v>25.96</v>
      </c>
    </row>
    <row r="1244" spans="4:5" x14ac:dyDescent="0.3">
      <c r="D1244" s="16" t="s">
        <v>1038</v>
      </c>
      <c r="E1244" s="12">
        <v>25.96</v>
      </c>
    </row>
    <row r="1245" spans="4:5" x14ac:dyDescent="0.3">
      <c r="D1245" s="16" t="s">
        <v>824</v>
      </c>
      <c r="E1245" s="12">
        <v>25.96</v>
      </c>
    </row>
    <row r="1246" spans="4:5" x14ac:dyDescent="0.3">
      <c r="D1246" s="16" t="s">
        <v>946</v>
      </c>
      <c r="E1246" s="12">
        <v>25.96</v>
      </c>
    </row>
    <row r="1247" spans="4:5" x14ac:dyDescent="0.3">
      <c r="D1247" s="16" t="s">
        <v>1068</v>
      </c>
      <c r="E1247" s="12">
        <v>25.96</v>
      </c>
    </row>
    <row r="1248" spans="4:5" x14ac:dyDescent="0.3">
      <c r="D1248" s="16" t="s">
        <v>892</v>
      </c>
      <c r="E1248" s="12">
        <v>25.96</v>
      </c>
    </row>
    <row r="1249" spans="4:5" x14ac:dyDescent="0.3">
      <c r="D1249" s="16" t="s">
        <v>1001</v>
      </c>
      <c r="E1249" s="12">
        <v>25.96</v>
      </c>
    </row>
    <row r="1250" spans="4:5" x14ac:dyDescent="0.3">
      <c r="D1250" s="16" t="s">
        <v>802</v>
      </c>
      <c r="E1250" s="12">
        <v>25.96</v>
      </c>
    </row>
    <row r="1251" spans="4:5" x14ac:dyDescent="0.3">
      <c r="D1251" s="16" t="s">
        <v>769</v>
      </c>
      <c r="E1251" s="12">
        <v>25.96</v>
      </c>
    </row>
    <row r="1252" spans="4:5" x14ac:dyDescent="0.3">
      <c r="D1252" s="16" t="s">
        <v>740</v>
      </c>
      <c r="E1252" s="12">
        <v>25.96</v>
      </c>
    </row>
    <row r="1253" spans="4:5" x14ac:dyDescent="0.3">
      <c r="D1253" s="16" t="s">
        <v>780</v>
      </c>
      <c r="E1253" s="12">
        <v>25.96</v>
      </c>
    </row>
    <row r="1254" spans="4:5" x14ac:dyDescent="0.3">
      <c r="D1254" s="16" t="s">
        <v>788</v>
      </c>
      <c r="E1254" s="12">
        <v>25.96</v>
      </c>
    </row>
    <row r="1255" spans="4:5" x14ac:dyDescent="0.3">
      <c r="D1255" s="16" t="s">
        <v>131</v>
      </c>
      <c r="E1255" s="12">
        <v>24</v>
      </c>
    </row>
    <row r="1256" spans="4:5" x14ac:dyDescent="0.3">
      <c r="D1256" s="16" t="s">
        <v>120</v>
      </c>
      <c r="E1256" s="12">
        <v>24</v>
      </c>
    </row>
    <row r="1257" spans="4:5" x14ac:dyDescent="0.3">
      <c r="D1257" s="16" t="s">
        <v>57</v>
      </c>
      <c r="E1257" s="12">
        <v>24</v>
      </c>
    </row>
    <row r="1258" spans="4:5" x14ac:dyDescent="0.3">
      <c r="D1258" s="16" t="s">
        <v>50</v>
      </c>
      <c r="E1258" s="12">
        <v>24</v>
      </c>
    </row>
    <row r="1259" spans="4:5" x14ac:dyDescent="0.3">
      <c r="D1259" s="16" t="s">
        <v>69</v>
      </c>
      <c r="E1259" s="12">
        <v>24</v>
      </c>
    </row>
    <row r="1260" spans="4:5" x14ac:dyDescent="0.3">
      <c r="D1260" s="16" t="s">
        <v>32</v>
      </c>
      <c r="E1260" s="12">
        <v>24</v>
      </c>
    </row>
    <row r="1261" spans="4:5" x14ac:dyDescent="0.3">
      <c r="D1261" s="16" t="s">
        <v>674</v>
      </c>
      <c r="E1261" s="12">
        <v>23.02</v>
      </c>
    </row>
    <row r="1262" spans="4:5" x14ac:dyDescent="0.3">
      <c r="D1262" s="16" t="s">
        <v>554</v>
      </c>
      <c r="E1262" s="12">
        <v>23.02</v>
      </c>
    </row>
    <row r="1263" spans="4:5" x14ac:dyDescent="0.3">
      <c r="D1263" s="16" t="s">
        <v>553</v>
      </c>
      <c r="E1263" s="12">
        <v>23.02</v>
      </c>
    </row>
    <row r="1264" spans="4:5" x14ac:dyDescent="0.3">
      <c r="D1264" s="16" t="s">
        <v>580</v>
      </c>
      <c r="E1264" s="12">
        <v>23.02</v>
      </c>
    </row>
    <row r="1265" spans="4:5" x14ac:dyDescent="0.3">
      <c r="D1265" s="16" t="s">
        <v>655</v>
      </c>
      <c r="E1265" s="12">
        <v>23.02</v>
      </c>
    </row>
    <row r="1266" spans="4:5" x14ac:dyDescent="0.3">
      <c r="D1266" s="16" t="s">
        <v>652</v>
      </c>
      <c r="E1266" s="12">
        <v>23.02</v>
      </c>
    </row>
    <row r="1267" spans="4:5" x14ac:dyDescent="0.3">
      <c r="D1267" s="16" t="s">
        <v>668</v>
      </c>
      <c r="E1267" s="12">
        <v>23.02</v>
      </c>
    </row>
    <row r="1268" spans="4:5" x14ac:dyDescent="0.3">
      <c r="D1268" s="16" t="s">
        <v>541</v>
      </c>
      <c r="E1268" s="12">
        <v>23.02</v>
      </c>
    </row>
    <row r="1269" spans="4:5" x14ac:dyDescent="0.3">
      <c r="D1269" s="16" t="s">
        <v>680</v>
      </c>
      <c r="E1269" s="12">
        <v>23.02</v>
      </c>
    </row>
    <row r="1270" spans="4:5" x14ac:dyDescent="0.3">
      <c r="D1270" s="16" t="s">
        <v>565</v>
      </c>
      <c r="E1270" s="12">
        <v>23.02</v>
      </c>
    </row>
    <row r="1271" spans="4:5" x14ac:dyDescent="0.3">
      <c r="D1271" s="16" t="s">
        <v>601</v>
      </c>
      <c r="E1271" s="12">
        <v>23.02</v>
      </c>
    </row>
    <row r="1272" spans="4:5" x14ac:dyDescent="0.3">
      <c r="D1272" s="16" t="s">
        <v>550</v>
      </c>
      <c r="E1272" s="12">
        <v>23.02</v>
      </c>
    </row>
    <row r="1273" spans="4:5" x14ac:dyDescent="0.3">
      <c r="D1273" s="16" t="s">
        <v>605</v>
      </c>
      <c r="E1273" s="12">
        <v>23.02</v>
      </c>
    </row>
    <row r="1274" spans="4:5" x14ac:dyDescent="0.3">
      <c r="D1274" s="16" t="s">
        <v>660</v>
      </c>
      <c r="E1274" s="12">
        <v>23.02</v>
      </c>
    </row>
    <row r="1275" spans="4:5" x14ac:dyDescent="0.3">
      <c r="D1275" s="16" t="s">
        <v>628</v>
      </c>
      <c r="E1275" s="12">
        <v>23.02</v>
      </c>
    </row>
    <row r="1276" spans="4:5" x14ac:dyDescent="0.3">
      <c r="D1276" s="16" t="s">
        <v>588</v>
      </c>
      <c r="E1276" s="12">
        <v>23.02</v>
      </c>
    </row>
    <row r="1277" spans="4:5" x14ac:dyDescent="0.3">
      <c r="D1277" s="16" t="s">
        <v>671</v>
      </c>
      <c r="E1277" s="12">
        <v>23.02</v>
      </c>
    </row>
    <row r="1278" spans="4:5" x14ac:dyDescent="0.3">
      <c r="D1278" s="16" t="s">
        <v>606</v>
      </c>
      <c r="E1278" s="12">
        <v>23.02</v>
      </c>
    </row>
    <row r="1279" spans="4:5" x14ac:dyDescent="0.3">
      <c r="D1279" s="16" t="s">
        <v>374</v>
      </c>
      <c r="E1279" s="12">
        <v>23.02</v>
      </c>
    </row>
    <row r="1280" spans="4:5" x14ac:dyDescent="0.3">
      <c r="D1280" s="16" t="s">
        <v>361</v>
      </c>
      <c r="E1280" s="12">
        <v>23.02</v>
      </c>
    </row>
    <row r="1281" spans="4:5" x14ac:dyDescent="0.3">
      <c r="D1281" s="16" t="s">
        <v>336</v>
      </c>
      <c r="E1281" s="12">
        <v>23.02</v>
      </c>
    </row>
    <row r="1282" spans="4:5" x14ac:dyDescent="0.3">
      <c r="D1282" s="16" t="s">
        <v>402</v>
      </c>
      <c r="E1282" s="12">
        <v>23.02</v>
      </c>
    </row>
    <row r="1283" spans="4:5" x14ac:dyDescent="0.3">
      <c r="D1283" s="16" t="s">
        <v>540</v>
      </c>
      <c r="E1283" s="12">
        <v>23.02</v>
      </c>
    </row>
    <row r="1284" spans="4:5" x14ac:dyDescent="0.3">
      <c r="D1284" s="16" t="s">
        <v>349</v>
      </c>
      <c r="E1284" s="12">
        <v>23.02</v>
      </c>
    </row>
    <row r="1285" spans="4:5" x14ac:dyDescent="0.3">
      <c r="D1285" s="16" t="s">
        <v>281</v>
      </c>
      <c r="E1285" s="12">
        <v>23.02</v>
      </c>
    </row>
    <row r="1286" spans="4:5" x14ac:dyDescent="0.3">
      <c r="D1286" s="16" t="s">
        <v>513</v>
      </c>
      <c r="E1286" s="12">
        <v>23.02</v>
      </c>
    </row>
    <row r="1287" spans="4:5" x14ac:dyDescent="0.3">
      <c r="D1287" s="16" t="s">
        <v>489</v>
      </c>
      <c r="E1287" s="12">
        <v>23.02</v>
      </c>
    </row>
    <row r="1288" spans="4:5" x14ac:dyDescent="0.3">
      <c r="D1288" s="16" t="s">
        <v>514</v>
      </c>
      <c r="E1288" s="12">
        <v>23.02</v>
      </c>
    </row>
    <row r="1289" spans="4:5" x14ac:dyDescent="0.3">
      <c r="D1289" s="16" t="s">
        <v>382</v>
      </c>
      <c r="E1289" s="12">
        <v>23.02</v>
      </c>
    </row>
    <row r="1290" spans="4:5" x14ac:dyDescent="0.3">
      <c r="D1290" s="16" t="s">
        <v>357</v>
      </c>
      <c r="E1290" s="12">
        <v>23.02</v>
      </c>
    </row>
    <row r="1291" spans="4:5" x14ac:dyDescent="0.3">
      <c r="D1291" s="16" t="s">
        <v>527</v>
      </c>
      <c r="E1291" s="12">
        <v>23.02</v>
      </c>
    </row>
    <row r="1292" spans="4:5" x14ac:dyDescent="0.3">
      <c r="D1292" s="16" t="s">
        <v>516</v>
      </c>
      <c r="E1292" s="12">
        <v>23.02</v>
      </c>
    </row>
    <row r="1293" spans="4:5" x14ac:dyDescent="0.3">
      <c r="D1293" s="16" t="s">
        <v>471</v>
      </c>
      <c r="E1293" s="12">
        <v>23.02</v>
      </c>
    </row>
    <row r="1294" spans="4:5" x14ac:dyDescent="0.3">
      <c r="D1294" s="16" t="s">
        <v>517</v>
      </c>
      <c r="E1294" s="12">
        <v>23.02</v>
      </c>
    </row>
    <row r="1295" spans="4:5" x14ac:dyDescent="0.3">
      <c r="D1295" s="16" t="s">
        <v>419</v>
      </c>
      <c r="E1295" s="12">
        <v>23.02</v>
      </c>
    </row>
    <row r="1296" spans="4:5" x14ac:dyDescent="0.3">
      <c r="D1296" s="16" t="s">
        <v>328</v>
      </c>
      <c r="E1296" s="12">
        <v>23.02</v>
      </c>
    </row>
    <row r="1297" spans="4:5" x14ac:dyDescent="0.3">
      <c r="D1297" s="16" t="s">
        <v>488</v>
      </c>
      <c r="E1297" s="12">
        <v>23.02</v>
      </c>
    </row>
    <row r="1298" spans="4:5" x14ac:dyDescent="0.3">
      <c r="D1298" s="16" t="s">
        <v>451</v>
      </c>
      <c r="E1298" s="12">
        <v>23.02</v>
      </c>
    </row>
    <row r="1299" spans="4:5" x14ac:dyDescent="0.3">
      <c r="D1299" s="16" t="s">
        <v>490</v>
      </c>
      <c r="E1299" s="12">
        <v>23.02</v>
      </c>
    </row>
    <row r="1300" spans="4:5" x14ac:dyDescent="0.3">
      <c r="D1300" s="16" t="s">
        <v>453</v>
      </c>
      <c r="E1300" s="12">
        <v>23.02</v>
      </c>
    </row>
    <row r="1301" spans="4:5" x14ac:dyDescent="0.3">
      <c r="D1301" s="16" t="s">
        <v>463</v>
      </c>
      <c r="E1301" s="12">
        <v>23.02</v>
      </c>
    </row>
    <row r="1302" spans="4:5" x14ac:dyDescent="0.3">
      <c r="D1302" s="16" t="s">
        <v>482</v>
      </c>
      <c r="E1302" s="12">
        <v>23.02</v>
      </c>
    </row>
    <row r="1303" spans="4:5" x14ac:dyDescent="0.3">
      <c r="D1303" s="16" t="s">
        <v>539</v>
      </c>
      <c r="E1303" s="12">
        <v>23.02</v>
      </c>
    </row>
    <row r="1304" spans="4:5" x14ac:dyDescent="0.3">
      <c r="D1304" s="16" t="s">
        <v>422</v>
      </c>
      <c r="E1304" s="12">
        <v>23.02</v>
      </c>
    </row>
    <row r="1305" spans="4:5" x14ac:dyDescent="0.3">
      <c r="D1305" s="16" t="s">
        <v>373</v>
      </c>
      <c r="E1305" s="12">
        <v>23.02</v>
      </c>
    </row>
    <row r="1306" spans="4:5" x14ac:dyDescent="0.3">
      <c r="D1306" s="16" t="s">
        <v>405</v>
      </c>
      <c r="E1306" s="12">
        <v>23.02</v>
      </c>
    </row>
    <row r="1307" spans="4:5" x14ac:dyDescent="0.3">
      <c r="D1307" s="16" t="s">
        <v>255</v>
      </c>
      <c r="E1307" s="12">
        <v>23.02</v>
      </c>
    </row>
    <row r="1308" spans="4:5" x14ac:dyDescent="0.3">
      <c r="D1308" s="16" t="s">
        <v>214</v>
      </c>
      <c r="E1308" s="12">
        <v>23.02</v>
      </c>
    </row>
    <row r="1309" spans="4:5" x14ac:dyDescent="0.3">
      <c r="D1309" s="16" t="s">
        <v>182</v>
      </c>
      <c r="E1309" s="12">
        <v>23.02</v>
      </c>
    </row>
    <row r="1310" spans="4:5" x14ac:dyDescent="0.3">
      <c r="D1310" s="16" t="s">
        <v>1315</v>
      </c>
      <c r="E1310" s="12">
        <v>21.06</v>
      </c>
    </row>
    <row r="1311" spans="4:5" x14ac:dyDescent="0.3">
      <c r="D1311" s="16" t="s">
        <v>1130</v>
      </c>
      <c r="E1311" s="12">
        <v>21.06</v>
      </c>
    </row>
    <row r="1312" spans="4:5" x14ac:dyDescent="0.3">
      <c r="D1312" s="16" t="s">
        <v>1280</v>
      </c>
      <c r="E1312" s="12">
        <v>21.06</v>
      </c>
    </row>
    <row r="1313" spans="4:5" x14ac:dyDescent="0.3">
      <c r="D1313" s="16" t="s">
        <v>1275</v>
      </c>
      <c r="E1313" s="12">
        <v>21.06</v>
      </c>
    </row>
    <row r="1314" spans="4:5" x14ac:dyDescent="0.3">
      <c r="D1314" s="16" t="s">
        <v>1267</v>
      </c>
      <c r="E1314" s="12">
        <v>21.06</v>
      </c>
    </row>
    <row r="1315" spans="4:5" x14ac:dyDescent="0.3">
      <c r="D1315" s="16" t="s">
        <v>1069</v>
      </c>
      <c r="E1315" s="12">
        <v>21.06</v>
      </c>
    </row>
    <row r="1316" spans="4:5" x14ac:dyDescent="0.3">
      <c r="D1316" s="16" t="s">
        <v>1242</v>
      </c>
      <c r="E1316" s="12">
        <v>21.06</v>
      </c>
    </row>
    <row r="1317" spans="4:5" x14ac:dyDescent="0.3">
      <c r="D1317" s="16" t="s">
        <v>872</v>
      </c>
      <c r="E1317" s="12">
        <v>21.06</v>
      </c>
    </row>
    <row r="1318" spans="4:5" x14ac:dyDescent="0.3">
      <c r="D1318" s="16" t="s">
        <v>938</v>
      </c>
      <c r="E1318" s="12">
        <v>21.06</v>
      </c>
    </row>
    <row r="1319" spans="4:5" x14ac:dyDescent="0.3">
      <c r="D1319" s="16" t="s">
        <v>1004</v>
      </c>
      <c r="E1319" s="12">
        <v>21.06</v>
      </c>
    </row>
    <row r="1320" spans="4:5" x14ac:dyDescent="0.3">
      <c r="D1320" s="16" t="s">
        <v>1060</v>
      </c>
      <c r="E1320" s="12">
        <v>21.06</v>
      </c>
    </row>
    <row r="1321" spans="4:5" x14ac:dyDescent="0.3">
      <c r="D1321" s="16" t="s">
        <v>981</v>
      </c>
      <c r="E1321" s="12">
        <v>21.06</v>
      </c>
    </row>
    <row r="1322" spans="4:5" x14ac:dyDescent="0.3">
      <c r="D1322" s="16" t="s">
        <v>842</v>
      </c>
      <c r="E1322" s="12">
        <v>21.06</v>
      </c>
    </row>
    <row r="1323" spans="4:5" x14ac:dyDescent="0.3">
      <c r="D1323" s="16" t="s">
        <v>1030</v>
      </c>
      <c r="E1323" s="12">
        <v>21.06</v>
      </c>
    </row>
    <row r="1324" spans="4:5" x14ac:dyDescent="0.3">
      <c r="D1324" s="16" t="s">
        <v>1010</v>
      </c>
      <c r="E1324" s="12">
        <v>21.06</v>
      </c>
    </row>
    <row r="1325" spans="4:5" x14ac:dyDescent="0.3">
      <c r="D1325" s="16" t="s">
        <v>910</v>
      </c>
      <c r="E1325" s="12">
        <v>21.06</v>
      </c>
    </row>
    <row r="1326" spans="4:5" x14ac:dyDescent="0.3">
      <c r="D1326" s="16" t="s">
        <v>817</v>
      </c>
      <c r="E1326" s="12">
        <v>21.06</v>
      </c>
    </row>
    <row r="1327" spans="4:5" x14ac:dyDescent="0.3">
      <c r="D1327" s="16" t="s">
        <v>732</v>
      </c>
      <c r="E1327" s="12">
        <v>21.06</v>
      </c>
    </row>
    <row r="1328" spans="4:5" x14ac:dyDescent="0.3">
      <c r="D1328" s="16" t="s">
        <v>745</v>
      </c>
      <c r="E1328" s="12">
        <v>21.06</v>
      </c>
    </row>
    <row r="1329" spans="4:5" x14ac:dyDescent="0.3">
      <c r="D1329" s="16" t="s">
        <v>773</v>
      </c>
      <c r="E1329" s="12">
        <v>21.06</v>
      </c>
    </row>
    <row r="1330" spans="4:5" x14ac:dyDescent="0.3">
      <c r="D1330" s="16" t="s">
        <v>615</v>
      </c>
      <c r="E1330" s="12">
        <v>18.12</v>
      </c>
    </row>
    <row r="1331" spans="4:5" x14ac:dyDescent="0.3">
      <c r="D1331" s="16" t="s">
        <v>607</v>
      </c>
      <c r="E1331" s="12">
        <v>18.12</v>
      </c>
    </row>
    <row r="1332" spans="4:5" x14ac:dyDescent="0.3">
      <c r="D1332" s="16" t="s">
        <v>681</v>
      </c>
      <c r="E1332" s="12">
        <v>18.12</v>
      </c>
    </row>
    <row r="1333" spans="4:5" x14ac:dyDescent="0.3">
      <c r="D1333" s="16" t="s">
        <v>568</v>
      </c>
      <c r="E1333" s="12">
        <v>18.12</v>
      </c>
    </row>
    <row r="1334" spans="4:5" x14ac:dyDescent="0.3">
      <c r="D1334" s="16" t="s">
        <v>393</v>
      </c>
      <c r="E1334" s="12">
        <v>18.12</v>
      </c>
    </row>
    <row r="1335" spans="4:5" x14ac:dyDescent="0.3">
      <c r="D1335" s="16" t="s">
        <v>446</v>
      </c>
      <c r="E1335" s="12">
        <v>18.12</v>
      </c>
    </row>
    <row r="1336" spans="4:5" x14ac:dyDescent="0.3">
      <c r="D1336" s="16" t="s">
        <v>497</v>
      </c>
      <c r="E1336" s="12">
        <v>18.12</v>
      </c>
    </row>
    <row r="1337" spans="4:5" x14ac:dyDescent="0.3">
      <c r="D1337" s="16" t="s">
        <v>481</v>
      </c>
      <c r="E1337" s="12">
        <v>18.12</v>
      </c>
    </row>
    <row r="1338" spans="4:5" x14ac:dyDescent="0.3">
      <c r="D1338" s="16" t="s">
        <v>1362</v>
      </c>
      <c r="E1338" s="12">
        <v>99861.919999999373</v>
      </c>
    </row>
  </sheetData>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I2:O28"/>
  <sheetViews>
    <sheetView showGridLines="0" workbookViewId="0">
      <selection activeCell="M31" sqref="M31"/>
    </sheetView>
  </sheetViews>
  <sheetFormatPr defaultRowHeight="13" x14ac:dyDescent="0.3"/>
  <cols>
    <col min="9" max="9" width="7.4140625" customWidth="1"/>
    <col min="10" max="10" width="20.5" bestFit="1" customWidth="1"/>
    <col min="11" max="11" width="11.58203125" bestFit="1" customWidth="1"/>
    <col min="12" max="12" width="2.4140625" customWidth="1"/>
    <col min="13" max="13" width="10.75" customWidth="1"/>
    <col min="14" max="14" width="12.25" bestFit="1" customWidth="1"/>
    <col min="15" max="15" width="9.75" bestFit="1" customWidth="1"/>
  </cols>
  <sheetData>
    <row r="2" spans="9:15" ht="13.5" thickBot="1" x14ac:dyDescent="0.35"/>
    <row r="3" spans="9:15" ht="13.5" thickBot="1" x14ac:dyDescent="0.35">
      <c r="I3" s="104" t="s">
        <v>1340</v>
      </c>
      <c r="J3" s="107" t="s">
        <v>1386</v>
      </c>
      <c r="K3" s="108" t="s">
        <v>1385</v>
      </c>
    </row>
    <row r="4" spans="9:15" x14ac:dyDescent="0.3">
      <c r="I4" s="102" t="str">
        <f>'Combined Pivot '!D17</f>
        <v>2024</v>
      </c>
      <c r="J4" s="106">
        <f>'Combined Pivot '!E17</f>
        <v>76968.679999999236</v>
      </c>
      <c r="K4" s="109">
        <f>SUM(J4)/SUM($J$4:$J$5)</f>
        <v>0.74758867678517182</v>
      </c>
      <c r="M4" s="113" t="s">
        <v>1372</v>
      </c>
      <c r="N4" s="114" t="s">
        <v>1390</v>
      </c>
      <c r="O4" s="108" t="s">
        <v>1385</v>
      </c>
    </row>
    <row r="5" spans="9:15" x14ac:dyDescent="0.3">
      <c r="I5" s="102" t="str">
        <f>'Combined Pivot '!D18</f>
        <v>2025</v>
      </c>
      <c r="J5" s="106">
        <f>'Combined Pivot '!E18</f>
        <v>25987.239999999725</v>
      </c>
      <c r="K5" s="109">
        <f>SUM(J5)/SUM($J$4:$J$5)</f>
        <v>0.25241132321482812</v>
      </c>
      <c r="L5" s="105"/>
      <c r="M5" s="115" t="str">
        <f>'Combined Pivot '!J2</f>
        <v>Latte</v>
      </c>
      <c r="N5" s="117">
        <f>'Combined Pivot '!K2</f>
        <v>25471.859999999575</v>
      </c>
      <c r="O5" s="14">
        <f t="shared" ref="O5:O12" si="0">SUM(N5)/SUM($N$5:$N$12)</f>
        <v>0.24740549159290343</v>
      </c>
    </row>
    <row r="6" spans="9:15" x14ac:dyDescent="0.3">
      <c r="I6" s="110" t="s">
        <v>1386</v>
      </c>
      <c r="J6" s="111">
        <f>'Combined Pivot '!E19</f>
        <v>102955.91999999897</v>
      </c>
      <c r="K6" s="112">
        <f>SUM(K4:K5)</f>
        <v>1</v>
      </c>
      <c r="L6" s="105"/>
      <c r="M6" s="115" t="str">
        <f>'Combined Pivot '!J3</f>
        <v>Americano with Milk</v>
      </c>
      <c r="N6" s="117">
        <f>'Combined Pivot '!K3</f>
        <v>22539.540000000205</v>
      </c>
      <c r="O6" s="14">
        <f t="shared" si="0"/>
        <v>0.21892417648252047</v>
      </c>
    </row>
    <row r="7" spans="9:15" x14ac:dyDescent="0.3">
      <c r="M7" s="115" t="str">
        <f>'Combined Pivot '!J4</f>
        <v>Cappuccino</v>
      </c>
      <c r="N7" s="117">
        <f>'Combined Pivot '!K4</f>
        <v>16455.800000000021</v>
      </c>
      <c r="O7" s="14">
        <f t="shared" si="0"/>
        <v>0.15983345105361654</v>
      </c>
    </row>
    <row r="8" spans="9:15" ht="13.5" thickBot="1" x14ac:dyDescent="0.35">
      <c r="M8" s="115" t="str">
        <f>'Combined Pivot '!J5</f>
        <v>Americano</v>
      </c>
      <c r="N8" s="117">
        <f>'Combined Pivot '!K5</f>
        <v>12608.599999999886</v>
      </c>
      <c r="O8" s="14">
        <f t="shared" si="0"/>
        <v>0.12246600292630007</v>
      </c>
    </row>
    <row r="9" spans="9:15" x14ac:dyDescent="0.3">
      <c r="I9" s="50" t="s">
        <v>1329</v>
      </c>
      <c r="J9" s="51" t="s">
        <v>1393</v>
      </c>
      <c r="K9" s="52" t="s">
        <v>1394</v>
      </c>
      <c r="M9" s="115" t="str">
        <f>'Combined Pivot '!J6</f>
        <v>Hot Chocolate</v>
      </c>
      <c r="N9" s="117">
        <f>'Combined Pivot '!K6</f>
        <v>9135.4200000000401</v>
      </c>
      <c r="O9" s="14">
        <f t="shared" si="0"/>
        <v>8.8731371639436202E-2</v>
      </c>
    </row>
    <row r="10" spans="9:15" x14ac:dyDescent="0.3">
      <c r="I10" s="115" t="str">
        <f>'Combined Pivot '!A12</f>
        <v>Tuesday</v>
      </c>
      <c r="J10" s="122" t="str">
        <f>'Combined Pivot '!A20</f>
        <v>Latte</v>
      </c>
      <c r="K10" s="120">
        <f>GETPIVOTDATA("money",'Combined Pivot '!$A$11,"Day","Tuesday","coffee_name","Latte")</f>
        <v>3972.4200000000101</v>
      </c>
      <c r="M10" s="115" t="str">
        <f>'Combined Pivot '!J7</f>
        <v>Cocoa</v>
      </c>
      <c r="N10" s="117">
        <f>'Combined Pivot '!K7</f>
        <v>7576.4600000000319</v>
      </c>
      <c r="O10" s="14">
        <f t="shared" si="0"/>
        <v>7.3589357464826213E-2</v>
      </c>
    </row>
    <row r="11" spans="9:15" x14ac:dyDescent="0.3">
      <c r="I11" s="115" t="str">
        <f>'Combined Pivot '!A21</f>
        <v>Monday</v>
      </c>
      <c r="J11" s="122" t="str">
        <f>'Combined Pivot '!A29</f>
        <v>Latte</v>
      </c>
      <c r="K11" s="120">
        <f>GETPIVOTDATA("money",'Combined Pivot '!$A$11,"Day","Monday","coffee_name","Latte")</f>
        <v>4648.9200000000146</v>
      </c>
      <c r="M11" s="115" t="str">
        <f>'Combined Pivot '!J8</f>
        <v>Cortado</v>
      </c>
      <c r="N11" s="117">
        <f>'Combined Pivot '!K8</f>
        <v>6468.5600000000049</v>
      </c>
      <c r="O11" s="14">
        <f t="shared" si="0"/>
        <v>6.2828441531094278E-2</v>
      </c>
    </row>
    <row r="12" spans="9:15" ht="13.5" thickBot="1" x14ac:dyDescent="0.35">
      <c r="I12" s="115" t="str">
        <f>'Combined Pivot '!A30</f>
        <v>Friday</v>
      </c>
      <c r="J12" s="122" t="str">
        <f>'Combined Pivot '!A38</f>
        <v>Latte</v>
      </c>
      <c r="K12" s="120">
        <f>GETPIVOTDATA("money",'Combined Pivot '!$A$11,"Day","Friday","coffee_name","Latte")</f>
        <v>3538.8400000000079</v>
      </c>
      <c r="M12" s="116" t="str">
        <f>'Combined Pivot '!J9</f>
        <v>Espresso</v>
      </c>
      <c r="N12" s="118">
        <f>'Combined Pivot '!K9</f>
        <v>2699.6799999999939</v>
      </c>
      <c r="O12" s="15">
        <f t="shared" si="0"/>
        <v>2.6221707309302858E-2</v>
      </c>
    </row>
    <row r="13" spans="9:15" x14ac:dyDescent="0.3">
      <c r="I13" s="115" t="str">
        <f>'Combined Pivot '!A39</f>
        <v>Thursday</v>
      </c>
      <c r="J13" s="122" t="str">
        <f>'Combined Pivot '!A47</f>
        <v>Latte</v>
      </c>
      <c r="K13" s="120">
        <f>GETPIVOTDATA("money",'Combined Pivot '!$A$11,"Day","Thursday","coffee_name","Latte")</f>
        <v>3789.0200000000095</v>
      </c>
    </row>
    <row r="14" spans="9:15" ht="13.5" thickBot="1" x14ac:dyDescent="0.35">
      <c r="I14" s="115" t="str">
        <f>'Combined Pivot '!A48</f>
        <v>Wednesday</v>
      </c>
      <c r="J14" s="122" t="str">
        <f>'Combined Pivot '!A56</f>
        <v>Latte</v>
      </c>
      <c r="K14" s="120">
        <f>GETPIVOTDATA("money",'Combined Pivot '!$A$11,"Day","Wednesday","coffee_name","Latte")</f>
        <v>3615.1400000000085</v>
      </c>
    </row>
    <row r="15" spans="9:15" x14ac:dyDescent="0.3">
      <c r="I15" s="115" t="str">
        <f>'Combined Pivot '!A57</f>
        <v>Saturday</v>
      </c>
      <c r="J15" s="122" t="str">
        <f>'Combined Pivot '!A59</f>
        <v>Americano with Milk</v>
      </c>
      <c r="K15" s="120">
        <f>GETPIVOTDATA("money",'Combined Pivot '!$A$11,"Day","Saturday","coffee_name","Americano with Milk")</f>
        <v>3360.5400000000068</v>
      </c>
      <c r="M15" s="113" t="s">
        <v>1372</v>
      </c>
      <c r="N15" s="114" t="s">
        <v>1395</v>
      </c>
      <c r="O15" s="108" t="s">
        <v>1370</v>
      </c>
    </row>
    <row r="16" spans="9:15" ht="13.5" thickBot="1" x14ac:dyDescent="0.35">
      <c r="I16" s="116" t="str">
        <f>'Combined Pivot '!A66</f>
        <v>Sunday</v>
      </c>
      <c r="J16" s="123" t="str">
        <f>'Combined Pivot '!A74</f>
        <v>Latte</v>
      </c>
      <c r="K16" s="121">
        <f>GETPIVOTDATA("money",'Combined Pivot '!$A$11,"Day","Sunday","coffee_name","Latte")</f>
        <v>2951.5600000000049</v>
      </c>
      <c r="M16" s="115" t="str">
        <f>'Combined Pivot '!J2</f>
        <v>Latte</v>
      </c>
      <c r="N16" s="106">
        <f>'Combined Pivot '!K2</f>
        <v>25471.859999999575</v>
      </c>
      <c r="O16" s="103">
        <f>index_1!E21</f>
        <v>38.700000000000003</v>
      </c>
    </row>
    <row r="17" spans="10:15" x14ac:dyDescent="0.3">
      <c r="M17" s="115" t="str">
        <f>'Combined Pivot '!J3</f>
        <v>Americano with Milk</v>
      </c>
      <c r="N17" s="106">
        <f>'Combined Pivot '!K3</f>
        <v>22539.540000000205</v>
      </c>
      <c r="O17" s="103">
        <f>index_1!E12</f>
        <v>33.799999999999997</v>
      </c>
    </row>
    <row r="18" spans="10:15" ht="13.5" thickBot="1" x14ac:dyDescent="0.35">
      <c r="M18" s="115" t="str">
        <f>'Combined Pivot '!J4</f>
        <v>Cappuccino</v>
      </c>
      <c r="N18" s="106">
        <f>'Combined Pivot '!K4</f>
        <v>16455.800000000021</v>
      </c>
      <c r="O18" s="103">
        <f>index_1!E55</f>
        <v>38.700000000000003</v>
      </c>
    </row>
    <row r="19" spans="10:15" x14ac:dyDescent="0.3">
      <c r="J19" s="113" t="s">
        <v>1392</v>
      </c>
      <c r="K19" s="108" t="s">
        <v>1391</v>
      </c>
      <c r="M19" s="115" t="str">
        <f>'Combined Pivot '!J5</f>
        <v>Americano</v>
      </c>
      <c r="N19" s="106">
        <f>'Combined Pivot '!K5</f>
        <v>12608.599999999886</v>
      </c>
      <c r="O19" s="103">
        <f>index_1!E56</f>
        <v>28.9</v>
      </c>
    </row>
    <row r="20" spans="10:15" x14ac:dyDescent="0.3">
      <c r="J20" s="115" t="str">
        <f>'Combined Pivot '!D22</f>
        <v>ANON-0000-0000-0012</v>
      </c>
      <c r="K20" s="103">
        <f>'Combined Pivot '!E22</f>
        <v>3143.740000000003</v>
      </c>
      <c r="M20" s="115" t="str">
        <f>'Combined Pivot '!J6</f>
        <v>Hot Chocolate</v>
      </c>
      <c r="N20" s="106">
        <f>'Combined Pivot '!K6</f>
        <v>9135.4200000000401</v>
      </c>
      <c r="O20" s="103">
        <f>index_1!E49</f>
        <v>38.700000000000003</v>
      </c>
    </row>
    <row r="21" spans="10:15" x14ac:dyDescent="0.3">
      <c r="J21" s="115" t="str">
        <f>'Combined Pivot '!D23</f>
        <v>ANON-0000-0000-0009</v>
      </c>
      <c r="K21" s="103">
        <f>'Combined Pivot '!E23</f>
        <v>2278.3400000000006</v>
      </c>
      <c r="M21" s="115" t="str">
        <f>'Combined Pivot '!J7</f>
        <v>Cocoa</v>
      </c>
      <c r="N21" s="106">
        <f>'Combined Pivot '!K7</f>
        <v>7576.4600000000319</v>
      </c>
      <c r="O21" s="103">
        <f>index_1!E38</f>
        <v>38.700000000000003</v>
      </c>
    </row>
    <row r="22" spans="10:15" x14ac:dyDescent="0.3">
      <c r="J22" s="115" t="str">
        <f>'Combined Pivot '!D24</f>
        <v>ANON-0000-0000-0141</v>
      </c>
      <c r="K22" s="103">
        <f>'Combined Pivot '!E24</f>
        <v>2252.1400000000012</v>
      </c>
      <c r="M22" s="115" t="str">
        <f>'Combined Pivot '!J8</f>
        <v>Cortado</v>
      </c>
      <c r="N22" s="106">
        <f>'Combined Pivot '!K8</f>
        <v>6468.5600000000049</v>
      </c>
      <c r="O22" s="103">
        <f>index_1!E41</f>
        <v>28.9</v>
      </c>
    </row>
    <row r="23" spans="10:15" ht="13.5" thickBot="1" x14ac:dyDescent="0.35">
      <c r="J23" s="115" t="str">
        <f>'Combined Pivot '!D25</f>
        <v>ANON-0000-0000-0276</v>
      </c>
      <c r="K23" s="103">
        <f>'Combined Pivot '!E25</f>
        <v>1930.4599999999975</v>
      </c>
      <c r="M23" s="116" t="str">
        <f>'Combined Pivot '!J9</f>
        <v>Espresso</v>
      </c>
      <c r="N23" s="124">
        <f>'Combined Pivot '!K9</f>
        <v>2699.6799999999939</v>
      </c>
      <c r="O23" s="119">
        <f>index_1!E33</f>
        <v>24</v>
      </c>
    </row>
    <row r="24" spans="10:15" x14ac:dyDescent="0.3">
      <c r="J24" s="115" t="str">
        <f>'Combined Pivot '!D26</f>
        <v>ANON-0000-0000-1163</v>
      </c>
      <c r="K24" s="103">
        <f>'Combined Pivot '!E26</f>
        <v>1658.1</v>
      </c>
    </row>
    <row r="25" spans="10:15" ht="13.5" thickBot="1" x14ac:dyDescent="0.35">
      <c r="J25" s="116" t="str">
        <f>'Combined Pivot '!D27</f>
        <v>ANON-0000-0000-0507</v>
      </c>
      <c r="K25" s="119">
        <f>'Combined Pivot '!E27</f>
        <v>1549.9199999999998</v>
      </c>
    </row>
    <row r="26" spans="10:15" x14ac:dyDescent="0.3">
      <c r="J26" s="115" t="str">
        <f>'Combined Pivot '!D28</f>
        <v>ANON-0000-0000-0097</v>
      </c>
      <c r="K26" s="103">
        <f>'Combined Pivot '!E28</f>
        <v>1333.3599999999997</v>
      </c>
    </row>
    <row r="27" spans="10:15" x14ac:dyDescent="0.3">
      <c r="J27" s="115" t="str">
        <f>'Combined Pivot '!D29</f>
        <v>ANON-0000-0000-0040</v>
      </c>
      <c r="K27" s="103">
        <f>'Combined Pivot '!E29</f>
        <v>1258.3999999999996</v>
      </c>
    </row>
    <row r="28" spans="10:15" x14ac:dyDescent="0.3">
      <c r="J28" s="115" t="str">
        <f>'Combined Pivot '!D30</f>
        <v>ANON-0000-0000-0570</v>
      </c>
      <c r="K28" s="103">
        <f>'Combined Pivot '!E30</f>
        <v>1061.04</v>
      </c>
    </row>
  </sheetData>
  <conditionalFormatting sqref="J4:K5">
    <cfRule type="dataBar" priority="13">
      <dataBar>
        <cfvo type="min"/>
        <cfvo type="max"/>
        <color rgb="FF63C384"/>
      </dataBar>
      <extLst>
        <ext xmlns:x14="http://schemas.microsoft.com/office/spreadsheetml/2009/9/main" uri="{B025F937-C7B1-47D3-B67F-A62EFF666E3E}">
          <x14:id>{2220CB98-EC71-4F80-B250-175A8ECCFDCB}</x14:id>
        </ext>
      </extLst>
    </cfRule>
  </conditionalFormatting>
  <conditionalFormatting sqref="J10:K16">
    <cfRule type="iconSet" priority="1">
      <iconSet iconSet="4Arrows">
        <cfvo type="percent" val="0"/>
        <cfvo type="percent" val="25"/>
        <cfvo type="percent" val="50"/>
        <cfvo type="percent" val="75"/>
      </iconSet>
    </cfRule>
  </conditionalFormatting>
  <conditionalFormatting sqref="K20:K28">
    <cfRule type="colorScale" priority="7">
      <colorScale>
        <cfvo type="min"/>
        <cfvo type="max"/>
        <color rgb="FFFCFCFF"/>
        <color rgb="FF63BE7B"/>
      </colorScale>
    </cfRule>
  </conditionalFormatting>
  <conditionalFormatting sqref="M5:O12">
    <cfRule type="dataBar" priority="3">
      <dataBar>
        <cfvo type="min"/>
        <cfvo type="max"/>
        <color rgb="FF63C384"/>
      </dataBar>
      <extLst>
        <ext xmlns:x14="http://schemas.microsoft.com/office/spreadsheetml/2009/9/main" uri="{B025F937-C7B1-47D3-B67F-A62EFF666E3E}">
          <x14:id>{9C3A6D4E-6914-4E70-AB6D-42DA2015D583}</x14:id>
        </ext>
      </extLst>
    </cfRule>
  </conditionalFormatting>
  <conditionalFormatting sqref="O5:O12">
    <cfRule type="dataBar" priority="2">
      <dataBar>
        <cfvo type="min"/>
        <cfvo type="max"/>
        <color rgb="FF63C384"/>
      </dataBar>
      <extLst>
        <ext xmlns:x14="http://schemas.microsoft.com/office/spreadsheetml/2009/9/main" uri="{B025F937-C7B1-47D3-B67F-A62EFF666E3E}">
          <x14:id>{377D34C8-FA94-48D0-B556-39E88FAED13F}</x14:id>
        </ext>
      </extLst>
    </cfRule>
  </conditionalFormatting>
  <conditionalFormatting sqref="O16:O23">
    <cfRule type="dataBar" priority="4">
      <dataBar>
        <cfvo type="min"/>
        <cfvo type="max"/>
        <color rgb="FF63C384"/>
      </dataBar>
      <extLst>
        <ext xmlns:x14="http://schemas.microsoft.com/office/spreadsheetml/2009/9/main" uri="{B025F937-C7B1-47D3-B67F-A62EFF666E3E}">
          <x14:id>{9D11DD2D-5255-4754-BF59-52C94228BC3B}</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2220CB98-EC71-4F80-B250-175A8ECCFDCB}">
            <x14:dataBar minLength="0" maxLength="100" border="1" negativeBarBorderColorSameAsPositive="0">
              <x14:cfvo type="autoMin"/>
              <x14:cfvo type="autoMax"/>
              <x14:borderColor rgb="FF63C384"/>
              <x14:negativeFillColor rgb="FFFF0000"/>
              <x14:negativeBorderColor rgb="FFFF0000"/>
              <x14:axisColor rgb="FF000000"/>
            </x14:dataBar>
          </x14:cfRule>
          <xm:sqref>J4:K5</xm:sqref>
        </x14:conditionalFormatting>
        <x14:conditionalFormatting xmlns:xm="http://schemas.microsoft.com/office/excel/2006/main">
          <x14:cfRule type="dataBar" id="{9C3A6D4E-6914-4E70-AB6D-42DA2015D583}">
            <x14:dataBar minLength="0" maxLength="100" border="1" negativeBarBorderColorSameAsPositive="0">
              <x14:cfvo type="autoMin"/>
              <x14:cfvo type="autoMax"/>
              <x14:borderColor rgb="FF63C384"/>
              <x14:negativeFillColor rgb="FFFF0000"/>
              <x14:negativeBorderColor rgb="FFFF0000"/>
              <x14:axisColor rgb="FF000000"/>
            </x14:dataBar>
          </x14:cfRule>
          <xm:sqref>M5:O12</xm:sqref>
        </x14:conditionalFormatting>
        <x14:conditionalFormatting xmlns:xm="http://schemas.microsoft.com/office/excel/2006/main">
          <x14:cfRule type="dataBar" id="{377D34C8-FA94-48D0-B556-39E88FAED13F}">
            <x14:dataBar minLength="0" maxLength="100" border="1" negativeBarBorderColorSameAsPositive="0">
              <x14:cfvo type="autoMin"/>
              <x14:cfvo type="autoMax"/>
              <x14:borderColor rgb="FF63C384"/>
              <x14:negativeFillColor rgb="FFFF0000"/>
              <x14:negativeBorderColor rgb="FFFF0000"/>
              <x14:axisColor rgb="FF000000"/>
            </x14:dataBar>
          </x14:cfRule>
          <xm:sqref>O5:O12</xm:sqref>
        </x14:conditionalFormatting>
        <x14:conditionalFormatting xmlns:xm="http://schemas.microsoft.com/office/excel/2006/main">
          <x14:cfRule type="dataBar" id="{9D11DD2D-5255-4754-BF59-52C94228BC3B}">
            <x14:dataBar minLength="0" maxLength="100" border="1" negativeBarBorderColorSameAsPositive="0">
              <x14:cfvo type="autoMin"/>
              <x14:cfvo type="autoMax"/>
              <x14:borderColor rgb="FF63C384"/>
              <x14:negativeFillColor rgb="FFFF0000"/>
              <x14:negativeBorderColor rgb="FFFF0000"/>
              <x14:axisColor rgb="FF000000"/>
            </x14:dataBar>
          </x14:cfRule>
          <xm:sqref>O16:O23</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4"/>
  <sheetViews>
    <sheetView topLeftCell="F1" workbookViewId="0">
      <selection activeCell="M8" sqref="M8"/>
    </sheetView>
  </sheetViews>
  <sheetFormatPr defaultRowHeight="13" x14ac:dyDescent="0.3"/>
  <cols>
    <col min="1" max="1" width="11.83203125" customWidth="1"/>
    <col min="2" max="2" width="21.4140625" style="10" bestFit="1" customWidth="1"/>
    <col min="4" max="4" width="11.83203125" customWidth="1"/>
    <col min="5" max="5" width="21.4140625" bestFit="1" customWidth="1"/>
    <col min="7" max="7" width="15.83203125" customWidth="1"/>
    <col min="8" max="8" width="11.75" bestFit="1" customWidth="1"/>
    <col min="9" max="9" width="11" bestFit="1" customWidth="1"/>
    <col min="10" max="10" width="15.83203125" customWidth="1"/>
    <col min="11" max="11" width="11.75" bestFit="1" customWidth="1"/>
  </cols>
  <sheetData>
    <row r="1" spans="1:12" x14ac:dyDescent="0.3">
      <c r="A1" s="27" t="s">
        <v>1361</v>
      </c>
      <c r="B1" s="10" t="s">
        <v>1374</v>
      </c>
      <c r="D1" s="27" t="s">
        <v>1361</v>
      </c>
      <c r="E1" s="10" t="s">
        <v>1374</v>
      </c>
      <c r="G1" s="27" t="s">
        <v>1329</v>
      </c>
      <c r="H1" t="s">
        <v>1379</v>
      </c>
      <c r="J1" s="27" t="s">
        <v>1361</v>
      </c>
      <c r="K1" s="10" t="s">
        <v>1374</v>
      </c>
    </row>
    <row r="2" spans="1:12" x14ac:dyDescent="0.3">
      <c r="A2" s="16" t="s">
        <v>5</v>
      </c>
      <c r="B2" s="10">
        <v>27866.299999999457</v>
      </c>
      <c r="D2" s="16" t="s">
        <v>1331</v>
      </c>
      <c r="E2" s="10">
        <v>18637.379999999946</v>
      </c>
      <c r="J2" s="16" t="s">
        <v>1</v>
      </c>
      <c r="K2" s="10">
        <v>112245.57999999814</v>
      </c>
    </row>
    <row r="3" spans="1:12" x14ac:dyDescent="0.3">
      <c r="A3" s="16" t="s">
        <v>12</v>
      </c>
      <c r="B3" s="10">
        <v>25269.120000000225</v>
      </c>
      <c r="D3" s="16" t="s">
        <v>1338</v>
      </c>
      <c r="E3" s="10">
        <v>17925.099999999955</v>
      </c>
      <c r="G3" s="27" t="s">
        <v>1361</v>
      </c>
      <c r="H3" s="10" t="s">
        <v>1374</v>
      </c>
      <c r="J3" s="16" t="s">
        <v>19</v>
      </c>
      <c r="K3" s="10">
        <v>3186</v>
      </c>
    </row>
    <row r="4" spans="1:12" x14ac:dyDescent="0.3">
      <c r="A4" s="16" t="s">
        <v>41</v>
      </c>
      <c r="B4" s="10">
        <v>18034.139999999945</v>
      </c>
      <c r="D4" s="16" t="s">
        <v>1334</v>
      </c>
      <c r="E4" s="10">
        <v>17257.659999999963</v>
      </c>
      <c r="G4" s="16" t="s">
        <v>9</v>
      </c>
      <c r="H4" s="10">
        <v>15062.259999999818</v>
      </c>
      <c r="J4" s="16" t="s">
        <v>1362</v>
      </c>
      <c r="K4" s="10">
        <v>115431.57999999814</v>
      </c>
    </row>
    <row r="5" spans="1:12" x14ac:dyDescent="0.3">
      <c r="A5" s="16" t="s">
        <v>9</v>
      </c>
      <c r="B5" s="10">
        <v>15062.259999999818</v>
      </c>
      <c r="D5" s="16" t="s">
        <v>1333</v>
      </c>
      <c r="E5" s="10">
        <v>16477.399999999994</v>
      </c>
      <c r="G5" s="16" t="s">
        <v>12</v>
      </c>
      <c r="H5" s="10">
        <v>25269.120000000225</v>
      </c>
    </row>
    <row r="6" spans="1:12" x14ac:dyDescent="0.3">
      <c r="A6" s="16" t="s">
        <v>7</v>
      </c>
      <c r="B6" s="10">
        <v>10172.460000000045</v>
      </c>
      <c r="D6" s="16" t="s">
        <v>1332</v>
      </c>
      <c r="E6" s="10">
        <v>16093.46</v>
      </c>
      <c r="G6" s="16" t="s">
        <v>41</v>
      </c>
      <c r="H6" s="10">
        <v>18034.139999999945</v>
      </c>
      <c r="J6" s="28"/>
      <c r="K6" s="29"/>
      <c r="L6" s="30"/>
    </row>
    <row r="7" spans="1:12" x14ac:dyDescent="0.3">
      <c r="A7" s="16" t="s">
        <v>16</v>
      </c>
      <c r="B7" s="10">
        <v>8678.1600000000381</v>
      </c>
      <c r="D7" s="16" t="s">
        <v>1335</v>
      </c>
      <c r="E7" s="10">
        <v>15182.519999999997</v>
      </c>
      <c r="G7" s="16" t="s">
        <v>16</v>
      </c>
      <c r="H7" s="10">
        <v>8678.1600000000381</v>
      </c>
      <c r="J7" s="37"/>
      <c r="K7" s="38"/>
      <c r="L7" s="39"/>
    </row>
    <row r="8" spans="1:12" x14ac:dyDescent="0.3">
      <c r="A8" s="16" t="s">
        <v>26</v>
      </c>
      <c r="B8" s="10">
        <v>7534.8600000000133</v>
      </c>
      <c r="D8" s="16" t="s">
        <v>1336</v>
      </c>
      <c r="E8" s="10">
        <v>13858.060000000016</v>
      </c>
      <c r="G8" s="16" t="s">
        <v>26</v>
      </c>
      <c r="H8" s="10">
        <v>7534.8600000000133</v>
      </c>
      <c r="J8" s="37"/>
      <c r="K8" s="38"/>
      <c r="L8" s="39"/>
    </row>
    <row r="9" spans="1:12" x14ac:dyDescent="0.3">
      <c r="A9" s="16" t="s">
        <v>33</v>
      </c>
      <c r="B9" s="10">
        <v>2814.2799999999934</v>
      </c>
      <c r="D9" s="16" t="s">
        <v>1362</v>
      </c>
      <c r="E9" s="10">
        <v>115431.57999999987</v>
      </c>
      <c r="G9" s="16" t="s">
        <v>33</v>
      </c>
      <c r="H9" s="10">
        <v>2814.2799999999934</v>
      </c>
      <c r="J9" s="37"/>
      <c r="K9" s="38"/>
      <c r="L9" s="39"/>
    </row>
    <row r="10" spans="1:12" x14ac:dyDescent="0.3">
      <c r="A10" s="16" t="s">
        <v>1362</v>
      </c>
      <c r="B10" s="10">
        <v>115431.57999999955</v>
      </c>
      <c r="G10" s="16" t="s">
        <v>7</v>
      </c>
      <c r="H10" s="10">
        <v>10172.460000000045</v>
      </c>
      <c r="J10" s="37"/>
      <c r="K10" s="38"/>
      <c r="L10" s="39"/>
    </row>
    <row r="11" spans="1:12" x14ac:dyDescent="0.3">
      <c r="A11" s="16"/>
      <c r="G11" s="16" t="s">
        <v>5</v>
      </c>
      <c r="H11" s="10">
        <v>27866.299999999457</v>
      </c>
      <c r="J11" s="37"/>
      <c r="K11" s="38"/>
      <c r="L11" s="39"/>
    </row>
    <row r="12" spans="1:12" x14ac:dyDescent="0.3">
      <c r="A12" s="27" t="s">
        <v>1361</v>
      </c>
      <c r="B12" s="10" t="s">
        <v>1375</v>
      </c>
      <c r="D12" s="27" t="s">
        <v>1361</v>
      </c>
      <c r="E12" t="s">
        <v>1375</v>
      </c>
      <c r="G12" s="16" t="s">
        <v>1362</v>
      </c>
      <c r="H12" s="10">
        <v>115431.57999999955</v>
      </c>
      <c r="J12" s="37"/>
      <c r="K12" s="38"/>
      <c r="L12" s="39"/>
    </row>
    <row r="13" spans="1:12" x14ac:dyDescent="0.3">
      <c r="A13" s="16" t="s">
        <v>1342</v>
      </c>
      <c r="B13" s="10">
        <v>6398.86</v>
      </c>
      <c r="D13" s="16" t="s">
        <v>1376</v>
      </c>
      <c r="E13" s="17">
        <v>85830.8</v>
      </c>
      <c r="J13" s="37"/>
      <c r="K13" s="38"/>
      <c r="L13" s="39"/>
    </row>
    <row r="14" spans="1:12" x14ac:dyDescent="0.3">
      <c r="A14" s="16" t="s">
        <v>1345</v>
      </c>
      <c r="B14" s="10">
        <v>6720.5599999999986</v>
      </c>
      <c r="D14" s="16" t="s">
        <v>1377</v>
      </c>
      <c r="E14" s="17">
        <v>29600.779999999995</v>
      </c>
      <c r="J14" s="37"/>
      <c r="K14" s="38"/>
      <c r="L14" s="39"/>
    </row>
    <row r="15" spans="1:12" x14ac:dyDescent="0.3">
      <c r="A15" s="16" t="s">
        <v>1348</v>
      </c>
      <c r="B15" s="10">
        <v>6915.9400000000005</v>
      </c>
      <c r="D15" s="16" t="s">
        <v>1362</v>
      </c>
      <c r="E15" s="17">
        <v>115431.58</v>
      </c>
      <c r="J15" s="37"/>
      <c r="K15" s="38"/>
      <c r="L15" s="39"/>
    </row>
    <row r="16" spans="1:12" ht="13.5" thickBot="1" x14ac:dyDescent="0.35">
      <c r="A16" s="16" t="s">
        <v>1349</v>
      </c>
      <c r="B16" s="10">
        <v>7613.84</v>
      </c>
      <c r="J16" s="37"/>
      <c r="K16" s="38"/>
      <c r="L16" s="39"/>
    </row>
    <row r="17" spans="1:12" x14ac:dyDescent="0.3">
      <c r="A17" s="16" t="s">
        <v>1347</v>
      </c>
      <c r="B17" s="10">
        <v>7758.7600000000011</v>
      </c>
      <c r="D17" s="2" t="s">
        <v>1378</v>
      </c>
      <c r="E17" s="47" t="s">
        <v>1341</v>
      </c>
      <c r="F17" s="43"/>
      <c r="J17" s="37"/>
      <c r="K17" s="38"/>
      <c r="L17" s="39"/>
    </row>
    <row r="18" spans="1:12" x14ac:dyDescent="0.3">
      <c r="A18" s="16" t="s">
        <v>1353</v>
      </c>
      <c r="B18" s="10">
        <v>8237.739999999998</v>
      </c>
      <c r="D18" s="3">
        <v>1</v>
      </c>
      <c r="E18" s="48">
        <f>SUM(GETPIVOTDATA("Total sales per Day",$A$12,"Month ","January"),GETPIVOTDATA("Total sales per Day",$A$12,"Month ","February"),GETPIVOTDATA("Total sales per Day",$A$12,"Month ","March"))</f>
        <v>36650.979999999996</v>
      </c>
      <c r="F18" s="44"/>
      <c r="J18" s="37"/>
      <c r="K18" s="38"/>
      <c r="L18" s="39"/>
    </row>
    <row r="19" spans="1:12" x14ac:dyDescent="0.3">
      <c r="A19" s="16" t="s">
        <v>1352</v>
      </c>
      <c r="B19" s="10">
        <v>8590.5400000000009</v>
      </c>
      <c r="D19" s="3">
        <v>4</v>
      </c>
      <c r="E19" s="48">
        <f>SUM(GETPIVOTDATA("Total sales per Day",$A$12,"Month ","October"),GETPIVOTDATA("Total sales per Day",$A$12,"Month ","November"),GETPIVOTDATA("Total sales per Day",$A$12,"Month ","December"))</f>
        <v>30719.440000000002</v>
      </c>
      <c r="F19" s="44"/>
      <c r="J19" s="37"/>
      <c r="K19" s="38"/>
      <c r="L19" s="39"/>
    </row>
    <row r="20" spans="1:12" x14ac:dyDescent="0.3">
      <c r="A20" s="16" t="s">
        <v>1346</v>
      </c>
      <c r="B20" s="10">
        <v>9063.4200000000019</v>
      </c>
      <c r="D20" s="3">
        <v>3</v>
      </c>
      <c r="E20" s="48">
        <f>SUM(GETPIVOTDATA("Total sales per Day",$A$12,"Month ","July"),GETPIVOTDATA("Total sales per Day",$A$12,"Month ","August"),GETPIVOTDATA("Total sales per Day",$A$12,"Month ","September"))</f>
        <v>24518.420000000002</v>
      </c>
      <c r="F20" s="44"/>
      <c r="J20" s="37"/>
      <c r="K20" s="38"/>
      <c r="L20" s="39"/>
    </row>
    <row r="21" spans="1:12" ht="13.5" thickBot="1" x14ac:dyDescent="0.35">
      <c r="A21" s="16" t="s">
        <v>1350</v>
      </c>
      <c r="B21" s="10">
        <v>9988.6400000000012</v>
      </c>
      <c r="D21" s="4">
        <v>2</v>
      </c>
      <c r="E21" s="49">
        <f>SUM(GETPIVOTDATA("Total sales per Day",$A$12,"Month ","April"),GETPIVOTDATA("Total sales per Day",$A$12,"Month ","May"),GETPIVOTDATA("Total sales per Day",$A$12,"Month ","June"))</f>
        <v>23542.74</v>
      </c>
      <c r="F21" s="44"/>
      <c r="J21" s="37"/>
      <c r="K21" s="38"/>
      <c r="L21" s="39"/>
    </row>
    <row r="22" spans="1:12" x14ac:dyDescent="0.3">
      <c r="A22" s="16" t="s">
        <v>1343</v>
      </c>
      <c r="B22" s="10">
        <v>13215.480000000001</v>
      </c>
      <c r="D22" s="45"/>
      <c r="E22" s="46"/>
      <c r="F22" s="33"/>
      <c r="J22" s="37"/>
      <c r="K22" s="38"/>
      <c r="L22" s="39"/>
    </row>
    <row r="23" spans="1:12" x14ac:dyDescent="0.3">
      <c r="A23" s="16" t="s">
        <v>1351</v>
      </c>
      <c r="B23" s="10">
        <v>13891.160000000002</v>
      </c>
      <c r="D23" s="31"/>
      <c r="E23" s="32"/>
      <c r="F23" s="33"/>
      <c r="J23" s="40"/>
      <c r="K23" s="41"/>
      <c r="L23" s="42"/>
    </row>
    <row r="24" spans="1:12" x14ac:dyDescent="0.3">
      <c r="A24" s="16" t="s">
        <v>1344</v>
      </c>
      <c r="B24" s="10">
        <v>17036.639999999996</v>
      </c>
      <c r="D24" s="31"/>
      <c r="E24" s="32"/>
      <c r="F24" s="33"/>
    </row>
    <row r="25" spans="1:12" x14ac:dyDescent="0.3">
      <c r="A25" s="16" t="s">
        <v>1362</v>
      </c>
      <c r="B25" s="10">
        <v>115431.57999999999</v>
      </c>
      <c r="D25" s="31"/>
      <c r="E25" s="32"/>
      <c r="F25" s="33"/>
    </row>
    <row r="26" spans="1:12" x14ac:dyDescent="0.3">
      <c r="D26" s="31"/>
      <c r="E26" s="32"/>
      <c r="F26" s="33"/>
    </row>
    <row r="27" spans="1:12" x14ac:dyDescent="0.3">
      <c r="D27" s="31"/>
      <c r="E27" s="32"/>
      <c r="F27" s="33"/>
    </row>
    <row r="28" spans="1:12" x14ac:dyDescent="0.3">
      <c r="D28" s="31"/>
      <c r="E28" s="32"/>
      <c r="F28" s="33"/>
    </row>
    <row r="29" spans="1:12" x14ac:dyDescent="0.3">
      <c r="D29" s="31"/>
      <c r="E29" s="32"/>
      <c r="F29" s="33"/>
    </row>
    <row r="30" spans="1:12" x14ac:dyDescent="0.3">
      <c r="D30" s="31"/>
      <c r="E30" s="32"/>
      <c r="F30" s="33"/>
    </row>
    <row r="31" spans="1:12" x14ac:dyDescent="0.3">
      <c r="D31" s="31"/>
      <c r="E31" s="32"/>
      <c r="F31" s="33"/>
    </row>
    <row r="32" spans="1:12" x14ac:dyDescent="0.3">
      <c r="D32" s="31"/>
      <c r="E32" s="32"/>
      <c r="F32" s="33"/>
    </row>
    <row r="33" spans="4:6" x14ac:dyDescent="0.3">
      <c r="D33" s="31"/>
      <c r="E33" s="32"/>
      <c r="F33" s="33"/>
    </row>
    <row r="34" spans="4:6" x14ac:dyDescent="0.3">
      <c r="D34" s="34"/>
      <c r="E34" s="35"/>
      <c r="F34" s="36"/>
    </row>
  </sheetData>
  <pageMargins left="0.7" right="0.7" top="0.75" bottom="0.75" header="0.3" footer="0.3"/>
  <pageSetup orientation="portrait"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L26"/>
  <sheetViews>
    <sheetView topLeftCell="A5" workbookViewId="0">
      <selection activeCell="H19" sqref="H19"/>
    </sheetView>
  </sheetViews>
  <sheetFormatPr defaultRowHeight="13" x14ac:dyDescent="0.3"/>
  <cols>
    <col min="1" max="1" width="11.83203125" style="10" bestFit="1" customWidth="1"/>
    <col min="2" max="2" width="11.1640625" style="10" customWidth="1"/>
    <col min="3" max="3" width="8.6640625" style="10"/>
    <col min="4" max="4" width="15.83203125" style="10" bestFit="1" customWidth="1"/>
    <col min="5" max="5" width="12.4140625" style="10" bestFit="1" customWidth="1"/>
    <col min="6" max="6" width="16" style="10" bestFit="1" customWidth="1"/>
    <col min="7" max="7" width="15.83203125" style="10" customWidth="1"/>
    <col min="8" max="8" width="11.1640625" style="10" bestFit="1" customWidth="1"/>
    <col min="9" max="9" width="8.6640625" style="10"/>
    <col min="10" max="10" width="15.83203125" style="10" bestFit="1" customWidth="1"/>
    <col min="11" max="11" width="11" style="10" customWidth="1"/>
    <col min="12" max="12" width="20.08203125" style="10" bestFit="1" customWidth="1"/>
    <col min="13" max="16384" width="8.6640625" style="10"/>
  </cols>
  <sheetData>
    <row r="3" spans="1:12" x14ac:dyDescent="0.3">
      <c r="A3" s="9" t="s">
        <v>1361</v>
      </c>
      <c r="B3" s="10" t="s">
        <v>1360</v>
      </c>
      <c r="D3" s="9" t="s">
        <v>1361</v>
      </c>
      <c r="E3" s="10" t="s">
        <v>1364</v>
      </c>
      <c r="G3" s="9" t="s">
        <v>1361</v>
      </c>
      <c r="H3" s="10" t="s">
        <v>1360</v>
      </c>
      <c r="J3" s="9" t="s">
        <v>1361</v>
      </c>
      <c r="K3" s="10" t="s">
        <v>1365</v>
      </c>
      <c r="L3" s="10" t="s">
        <v>1366</v>
      </c>
    </row>
    <row r="4" spans="1:12" x14ac:dyDescent="0.3">
      <c r="A4" s="11" t="s">
        <v>1331</v>
      </c>
      <c r="B4" s="10">
        <v>18637.379999999997</v>
      </c>
      <c r="D4" s="11" t="s">
        <v>1344</v>
      </c>
      <c r="E4" s="10">
        <v>17036.639999999996</v>
      </c>
      <c r="G4" s="11" t="s">
        <v>33</v>
      </c>
      <c r="H4" s="10">
        <v>2814.2799999999934</v>
      </c>
      <c r="J4" s="11" t="s">
        <v>5</v>
      </c>
      <c r="K4" s="10">
        <v>38.700000000000003</v>
      </c>
      <c r="L4" s="7">
        <v>0.24140967315876269</v>
      </c>
    </row>
    <row r="5" spans="1:12" x14ac:dyDescent="0.3">
      <c r="A5" s="11" t="s">
        <v>1338</v>
      </c>
      <c r="B5" s="10">
        <v>17925.099999999999</v>
      </c>
      <c r="D5" s="11" t="s">
        <v>1351</v>
      </c>
      <c r="E5" s="10">
        <v>13891.160000000002</v>
      </c>
      <c r="G5" s="11" t="s">
        <v>26</v>
      </c>
      <c r="H5" s="10">
        <v>7534.8600000000133</v>
      </c>
      <c r="J5" s="11" t="s">
        <v>12</v>
      </c>
      <c r="K5" s="10">
        <v>33.799999999999997</v>
      </c>
      <c r="L5" s="7">
        <v>0.21890993781771267</v>
      </c>
    </row>
    <row r="6" spans="1:12" x14ac:dyDescent="0.3">
      <c r="A6" s="11" t="s">
        <v>1334</v>
      </c>
      <c r="B6" s="10">
        <v>17257.66</v>
      </c>
      <c r="D6" s="11" t="s">
        <v>1343</v>
      </c>
      <c r="E6" s="10">
        <v>13215.480000000001</v>
      </c>
      <c r="G6" s="11" t="s">
        <v>16</v>
      </c>
      <c r="H6" s="10">
        <v>8678.1600000000381</v>
      </c>
      <c r="J6" s="11" t="s">
        <v>41</v>
      </c>
      <c r="K6" s="10">
        <v>38.700000000000003</v>
      </c>
      <c r="L6" s="7">
        <v>0.1562322892920639</v>
      </c>
    </row>
    <row r="7" spans="1:12" x14ac:dyDescent="0.3">
      <c r="A7" s="11" t="s">
        <v>1333</v>
      </c>
      <c r="B7" s="10">
        <v>16477.400000000001</v>
      </c>
      <c r="D7" s="11" t="s">
        <v>1350</v>
      </c>
      <c r="E7" s="10">
        <v>9988.6400000000012</v>
      </c>
      <c r="G7" s="11" t="s">
        <v>7</v>
      </c>
      <c r="H7" s="10">
        <v>10172.460000000045</v>
      </c>
      <c r="J7" s="11" t="s">
        <v>9</v>
      </c>
      <c r="K7" s="10">
        <v>28.9</v>
      </c>
      <c r="L7" s="7">
        <v>0.13048647519162329</v>
      </c>
    </row>
    <row r="8" spans="1:12" x14ac:dyDescent="0.3">
      <c r="A8" s="11" t="s">
        <v>1332</v>
      </c>
      <c r="B8" s="10">
        <v>16093.459999999995</v>
      </c>
      <c r="D8" s="11" t="s">
        <v>1346</v>
      </c>
      <c r="E8" s="10">
        <v>9063.4200000000019</v>
      </c>
      <c r="G8" s="11" t="s">
        <v>9</v>
      </c>
      <c r="H8" s="10">
        <v>15062.259999999818</v>
      </c>
      <c r="J8" s="11" t="s">
        <v>7</v>
      </c>
      <c r="K8" s="10">
        <v>38.700000000000003</v>
      </c>
      <c r="L8" s="7">
        <v>8.8125450591597945E-2</v>
      </c>
    </row>
    <row r="9" spans="1:12" x14ac:dyDescent="0.3">
      <c r="A9" s="11" t="s">
        <v>1335</v>
      </c>
      <c r="B9" s="10">
        <v>15182.519999999999</v>
      </c>
      <c r="D9" s="11" t="s">
        <v>1352</v>
      </c>
      <c r="E9" s="10">
        <v>8590.5400000000009</v>
      </c>
      <c r="G9" s="11" t="s">
        <v>41</v>
      </c>
      <c r="H9" s="10">
        <v>18034.139999999945</v>
      </c>
      <c r="J9" s="11" t="s">
        <v>16</v>
      </c>
      <c r="K9" s="10">
        <v>38.700000000000003</v>
      </c>
      <c r="L9" s="7">
        <v>7.5180119686485039E-2</v>
      </c>
    </row>
    <row r="10" spans="1:12" x14ac:dyDescent="0.3">
      <c r="A10" s="11" t="s">
        <v>1336</v>
      </c>
      <c r="B10" s="10">
        <v>13858.06</v>
      </c>
      <c r="D10" s="11" t="s">
        <v>1353</v>
      </c>
      <c r="E10" s="10">
        <v>8237.739999999998</v>
      </c>
      <c r="G10" s="11" t="s">
        <v>12</v>
      </c>
      <c r="H10" s="10">
        <v>25269.120000000225</v>
      </c>
      <c r="J10" s="11" t="s">
        <v>26</v>
      </c>
      <c r="K10" s="10">
        <v>28.9</v>
      </c>
      <c r="L10" s="7">
        <v>6.5275551110017233E-2</v>
      </c>
    </row>
    <row r="11" spans="1:12" x14ac:dyDescent="0.3">
      <c r="A11" s="11" t="s">
        <v>1362</v>
      </c>
      <c r="B11" s="10">
        <v>115431.58</v>
      </c>
      <c r="D11" s="11" t="s">
        <v>1347</v>
      </c>
      <c r="E11" s="10">
        <v>7758.7600000000011</v>
      </c>
      <c r="G11" s="11" t="s">
        <v>5</v>
      </c>
      <c r="H11" s="10">
        <v>27866.299999999457</v>
      </c>
      <c r="J11" s="11" t="s">
        <v>33</v>
      </c>
      <c r="K11" s="10">
        <v>24</v>
      </c>
      <c r="L11" s="7">
        <v>2.43805031517372E-2</v>
      </c>
    </row>
    <row r="12" spans="1:12" x14ac:dyDescent="0.3">
      <c r="D12" s="11" t="s">
        <v>1349</v>
      </c>
      <c r="E12" s="10">
        <v>7613.84</v>
      </c>
      <c r="G12" s="11" t="s">
        <v>1362</v>
      </c>
      <c r="H12" s="10">
        <v>115431.57999999955</v>
      </c>
      <c r="J12" s="11" t="s">
        <v>1362</v>
      </c>
      <c r="K12" s="10">
        <v>270.39999999999998</v>
      </c>
      <c r="L12" s="7">
        <v>0.99999999999999978</v>
      </c>
    </row>
    <row r="13" spans="1:12" x14ac:dyDescent="0.3">
      <c r="D13" s="11" t="s">
        <v>1348</v>
      </c>
      <c r="E13" s="10">
        <v>6915.9400000000005</v>
      </c>
    </row>
    <row r="14" spans="1:12" x14ac:dyDescent="0.3">
      <c r="D14" s="11" t="s">
        <v>1345</v>
      </c>
      <c r="E14" s="10">
        <v>6720.5599999999986</v>
      </c>
    </row>
    <row r="15" spans="1:12" x14ac:dyDescent="0.3">
      <c r="D15" s="11" t="s">
        <v>1342</v>
      </c>
      <c r="E15" s="10">
        <v>6398.86</v>
      </c>
    </row>
    <row r="16" spans="1:12" x14ac:dyDescent="0.3">
      <c r="D16" s="11" t="s">
        <v>1362</v>
      </c>
      <c r="E16" s="10">
        <v>115431.57999999999</v>
      </c>
      <c r="K16" s="9" t="s">
        <v>1361</v>
      </c>
      <c r="L16" s="10" t="s">
        <v>1364</v>
      </c>
    </row>
    <row r="17" spans="1:12" x14ac:dyDescent="0.3">
      <c r="A17" s="9" t="s">
        <v>1361</v>
      </c>
      <c r="B17" s="10" t="s">
        <v>1363</v>
      </c>
      <c r="D17" s="9" t="s">
        <v>1361</v>
      </c>
      <c r="E17" s="10" t="s">
        <v>1367</v>
      </c>
      <c r="F17" s="10" t="s">
        <v>1368</v>
      </c>
      <c r="K17" s="11">
        <v>2024</v>
      </c>
      <c r="L17" s="10">
        <v>85830.8</v>
      </c>
    </row>
    <row r="18" spans="1:12" x14ac:dyDescent="0.3">
      <c r="A18" s="11" t="s">
        <v>1359</v>
      </c>
      <c r="B18" s="10">
        <v>30719.440000000002</v>
      </c>
      <c r="D18" s="11" t="s">
        <v>12</v>
      </c>
      <c r="E18" s="12">
        <v>824</v>
      </c>
      <c r="F18" s="7">
        <v>0.22662266226622663</v>
      </c>
      <c r="K18" s="11">
        <v>2025</v>
      </c>
      <c r="L18" s="10">
        <v>29600.779999999995</v>
      </c>
    </row>
    <row r="19" spans="1:12" x14ac:dyDescent="0.3">
      <c r="A19" s="11" t="s">
        <v>1356</v>
      </c>
      <c r="B19" s="10">
        <v>28132.659999999996</v>
      </c>
      <c r="D19" s="11" t="s">
        <v>5</v>
      </c>
      <c r="E19" s="12">
        <v>782</v>
      </c>
      <c r="F19" s="7">
        <v>0.21507150715071507</v>
      </c>
      <c r="K19" s="11" t="s">
        <v>1362</v>
      </c>
      <c r="L19" s="10">
        <v>115431.58</v>
      </c>
    </row>
    <row r="20" spans="1:12" x14ac:dyDescent="0.3">
      <c r="A20" s="11" t="s">
        <v>1358</v>
      </c>
      <c r="B20" s="10">
        <v>24518.420000000002</v>
      </c>
      <c r="D20" s="11" t="s">
        <v>9</v>
      </c>
      <c r="E20" s="12">
        <v>578</v>
      </c>
      <c r="F20" s="7">
        <v>0.15896589658965896</v>
      </c>
    </row>
    <row r="21" spans="1:12" x14ac:dyDescent="0.3">
      <c r="A21" s="11" t="s">
        <v>1357</v>
      </c>
      <c r="B21" s="10">
        <v>23542.74</v>
      </c>
      <c r="D21" s="11" t="s">
        <v>41</v>
      </c>
      <c r="E21" s="12">
        <v>501</v>
      </c>
      <c r="F21" s="7">
        <v>0.13778877887788779</v>
      </c>
    </row>
    <row r="22" spans="1:12" x14ac:dyDescent="0.3">
      <c r="A22" s="11" t="s">
        <v>1362</v>
      </c>
      <c r="B22" s="10">
        <v>106913.26</v>
      </c>
      <c r="D22" s="11" t="s">
        <v>26</v>
      </c>
      <c r="E22" s="12">
        <v>292</v>
      </c>
      <c r="F22" s="7">
        <v>8.0308030803080313E-2</v>
      </c>
    </row>
    <row r="23" spans="1:12" x14ac:dyDescent="0.3">
      <c r="D23" s="11" t="s">
        <v>7</v>
      </c>
      <c r="E23" s="12">
        <v>282</v>
      </c>
      <c r="F23" s="7">
        <v>7.7557755775577553E-2</v>
      </c>
    </row>
    <row r="24" spans="1:12" x14ac:dyDescent="0.3">
      <c r="D24" s="11" t="s">
        <v>16</v>
      </c>
      <c r="E24" s="12">
        <v>243</v>
      </c>
      <c r="F24" s="7">
        <v>6.6831683168316836E-2</v>
      </c>
    </row>
    <row r="25" spans="1:12" x14ac:dyDescent="0.3">
      <c r="D25" s="11" t="s">
        <v>33</v>
      </c>
      <c r="E25" s="12">
        <v>134</v>
      </c>
      <c r="F25" s="7">
        <v>3.6853685368536851E-2</v>
      </c>
    </row>
    <row r="26" spans="1:12" x14ac:dyDescent="0.3">
      <c r="D26" s="11" t="s">
        <v>1362</v>
      </c>
      <c r="E26" s="12">
        <v>3636</v>
      </c>
      <c r="F26" s="7">
        <v>1</v>
      </c>
    </row>
  </sheetData>
  <pageMargins left="0.7" right="0.7" top="0.75" bottom="0.75" header="0.3" footer="0.3"/>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3640"/>
  <sheetViews>
    <sheetView zoomScaleNormal="100" workbookViewId="0">
      <selection activeCell="H22" sqref="H22"/>
    </sheetView>
  </sheetViews>
  <sheetFormatPr defaultRowHeight="13" x14ac:dyDescent="0.3"/>
  <cols>
    <col min="1" max="2" width="8.6640625" style="59"/>
    <col min="3" max="3" width="10.75" style="59" customWidth="1"/>
    <col min="4" max="4" width="19.4140625" style="59" bestFit="1" customWidth="1"/>
    <col min="5" max="5" width="10.25" style="13" bestFit="1" customWidth="1"/>
    <col min="6" max="6" width="15.83203125" style="59" bestFit="1" customWidth="1"/>
    <col min="7" max="7" width="15.83203125" customWidth="1"/>
    <col min="8" max="8" width="17.08203125" customWidth="1"/>
    <col min="9" max="9" width="17.08203125" style="1" customWidth="1"/>
    <col min="10" max="10" width="8.83203125" bestFit="1" customWidth="1"/>
    <col min="11" max="11" width="6.25" customWidth="1"/>
    <col min="12" max="12" width="11.33203125" customWidth="1"/>
    <col min="13" max="13" width="14" customWidth="1"/>
    <col min="14" max="14" width="9.6640625" bestFit="1" customWidth="1"/>
    <col min="15" max="15" width="11.9140625" style="1" customWidth="1"/>
    <col min="16" max="16" width="9.33203125" bestFit="1" customWidth="1"/>
    <col min="17" max="17" width="8.83203125" bestFit="1" customWidth="1"/>
    <col min="18" max="18" width="11.9140625" style="1" bestFit="1" customWidth="1"/>
    <col min="21" max="21" width="8.6640625" style="1"/>
    <col min="23" max="23" width="15.83203125" bestFit="1" customWidth="1"/>
    <col min="24" max="24" width="8.6640625" style="1"/>
    <col min="25" max="25" width="9.75" bestFit="1" customWidth="1"/>
    <col min="26" max="26" width="15.83203125" bestFit="1" customWidth="1"/>
    <col min="28" max="28" width="15.83203125" style="20" customWidth="1"/>
    <col min="30" max="30" width="15.83203125" bestFit="1" customWidth="1"/>
    <col min="31" max="31" width="11" bestFit="1" customWidth="1"/>
    <col min="32" max="32" width="20.08203125" bestFit="1" customWidth="1"/>
  </cols>
  <sheetData>
    <row r="1" spans="1:32" x14ac:dyDescent="0.3">
      <c r="A1" s="82" t="s">
        <v>0</v>
      </c>
      <c r="B1" s="74" t="s">
        <v>1329</v>
      </c>
      <c r="C1" s="74" t="s">
        <v>1382</v>
      </c>
      <c r="D1" s="74" t="s">
        <v>1</v>
      </c>
      <c r="E1" s="75" t="s">
        <v>2</v>
      </c>
      <c r="F1" s="76" t="s">
        <v>3</v>
      </c>
      <c r="G1" s="77" t="s">
        <v>1388</v>
      </c>
      <c r="H1" s="78" t="s">
        <v>1330</v>
      </c>
      <c r="I1" s="79" t="s">
        <v>1337</v>
      </c>
      <c r="J1" s="79" t="s">
        <v>1339</v>
      </c>
      <c r="K1" s="80" t="s">
        <v>1340</v>
      </c>
      <c r="L1" s="81" t="s">
        <v>1386</v>
      </c>
      <c r="M1" s="81" t="s">
        <v>1387</v>
      </c>
      <c r="N1" s="125" t="s">
        <v>1355</v>
      </c>
      <c r="O1" s="5"/>
      <c r="P1" s="6"/>
      <c r="Q1" s="6"/>
      <c r="R1" s="5"/>
      <c r="S1" s="6"/>
      <c r="T1" s="6"/>
      <c r="U1" s="5"/>
      <c r="V1" s="6"/>
      <c r="W1" s="6"/>
      <c r="X1" s="5"/>
      <c r="Y1" s="6"/>
      <c r="Z1" s="6"/>
      <c r="AA1" s="6"/>
      <c r="AB1" s="129"/>
    </row>
    <row r="2" spans="1:32" ht="14" x14ac:dyDescent="0.35">
      <c r="A2" s="87">
        <v>45352</v>
      </c>
      <c r="B2" s="87" t="str">
        <f t="shared" ref="B2:B65" si="0">TEXT(A2,"dddd")</f>
        <v>Friday</v>
      </c>
      <c r="C2" s="88" t="s">
        <v>1381</v>
      </c>
      <c r="D2" s="88" t="s">
        <v>4</v>
      </c>
      <c r="E2" s="89">
        <v>38.700000000000003</v>
      </c>
      <c r="F2" s="88" t="s">
        <v>5</v>
      </c>
      <c r="G2" s="87">
        <f>Table1[[#This Row],[date]]</f>
        <v>45352</v>
      </c>
      <c r="H2" s="89">
        <f>SUMIF($A$2:A3231,G2,$E$2:E3231)</f>
        <v>396.3</v>
      </c>
      <c r="I2" s="88" t="str">
        <f t="shared" ref="I2:I65" si="1">TEXT(G2,"dddd")</f>
        <v>Friday</v>
      </c>
      <c r="J2" s="88" t="str">
        <f t="shared" ref="J2:J65" si="2">TEXT(G2,"mmmm")</f>
        <v>March</v>
      </c>
      <c r="K2" s="88" t="str">
        <f t="shared" ref="K2:K65" si="3">TEXT(G2,"yyyy")</f>
        <v>2024</v>
      </c>
      <c r="L2" s="90">
        <f>SUM(E:E)</f>
        <v>102955.9199999986</v>
      </c>
      <c r="M2" s="91">
        <f>AVERAGE(E:E)</f>
        <v>31.874897832816906</v>
      </c>
      <c r="N2" s="101">
        <f>COUNT(A:A)</f>
        <v>3230</v>
      </c>
      <c r="O2" s="5"/>
      <c r="P2" s="6"/>
      <c r="Q2" s="6"/>
      <c r="R2" s="5"/>
      <c r="S2" s="6"/>
      <c r="T2" s="6"/>
      <c r="U2" s="5"/>
      <c r="V2" s="6"/>
      <c r="W2" s="6"/>
      <c r="X2" s="5"/>
      <c r="Y2" s="6"/>
      <c r="Z2" s="6"/>
      <c r="AA2" s="5"/>
      <c r="AB2" s="129"/>
      <c r="AD2" s="16"/>
      <c r="AE2" s="17"/>
      <c r="AF2" s="18"/>
    </row>
    <row r="3" spans="1:32" x14ac:dyDescent="0.3">
      <c r="A3" s="92">
        <v>45352</v>
      </c>
      <c r="B3" s="92" t="str">
        <f t="shared" si="0"/>
        <v>Friday</v>
      </c>
      <c r="C3" s="93" t="s">
        <v>1381</v>
      </c>
      <c r="D3" s="93" t="s">
        <v>6</v>
      </c>
      <c r="E3" s="94">
        <v>38.700000000000003</v>
      </c>
      <c r="F3" s="93" t="s">
        <v>7</v>
      </c>
      <c r="G3" s="87">
        <f>Table1[[#This Row],[date]]</f>
        <v>45352</v>
      </c>
      <c r="H3" s="94">
        <f>SUMIF($A$2:A3638,G3,$E$2:E3638)</f>
        <v>396.3</v>
      </c>
      <c r="I3" s="93" t="str">
        <f>TEXT(G3,"dddd")</f>
        <v>Friday</v>
      </c>
      <c r="J3" s="93" t="str">
        <f t="shared" si="2"/>
        <v>March</v>
      </c>
      <c r="K3" s="93" t="str">
        <f t="shared" si="3"/>
        <v>2024</v>
      </c>
      <c r="L3" s="6"/>
      <c r="M3" s="6"/>
      <c r="N3" s="6"/>
      <c r="O3" s="5"/>
      <c r="P3" s="6"/>
      <c r="Q3" s="6"/>
      <c r="R3" s="5"/>
      <c r="S3" s="6"/>
      <c r="T3" s="6"/>
      <c r="U3" s="5"/>
      <c r="V3" s="6"/>
      <c r="W3" s="6"/>
      <c r="X3" s="5"/>
      <c r="Y3" s="6"/>
      <c r="Z3" s="6"/>
      <c r="AA3" s="5"/>
      <c r="AB3" s="129"/>
      <c r="AD3" s="16"/>
      <c r="AE3" s="17"/>
      <c r="AF3" s="18"/>
    </row>
    <row r="4" spans="1:32" x14ac:dyDescent="0.3">
      <c r="A4" s="87">
        <v>45352</v>
      </c>
      <c r="B4" s="87" t="str">
        <f t="shared" si="0"/>
        <v>Friday</v>
      </c>
      <c r="C4" s="88" t="s">
        <v>1381</v>
      </c>
      <c r="D4" s="88" t="s">
        <v>6</v>
      </c>
      <c r="E4" s="89">
        <v>38.700000000000003</v>
      </c>
      <c r="F4" s="88" t="s">
        <v>7</v>
      </c>
      <c r="G4" s="87">
        <f>Table1[[#This Row],[date]]</f>
        <v>45352</v>
      </c>
      <c r="H4" s="89">
        <f>SUMIF($A$2:A3639,G4,$E$2:E3639)</f>
        <v>396.3</v>
      </c>
      <c r="I4" s="88" t="str">
        <f t="shared" si="1"/>
        <v>Friday</v>
      </c>
      <c r="J4" s="88" t="str">
        <f t="shared" si="2"/>
        <v>March</v>
      </c>
      <c r="K4" s="88" t="str">
        <f t="shared" si="3"/>
        <v>2024</v>
      </c>
      <c r="L4" s="6"/>
      <c r="M4" s="6"/>
      <c r="N4" s="6"/>
      <c r="O4" s="5"/>
      <c r="P4" s="6"/>
      <c r="Q4" s="6"/>
      <c r="R4" s="5"/>
      <c r="S4" s="6"/>
      <c r="T4" s="6"/>
      <c r="U4" s="5"/>
      <c r="V4" s="6"/>
      <c r="W4" s="6"/>
      <c r="X4" s="5"/>
      <c r="Y4" s="6"/>
      <c r="Z4" s="6"/>
      <c r="AA4" s="5"/>
      <c r="AB4" s="129"/>
      <c r="AD4" s="16"/>
      <c r="AE4" s="17"/>
      <c r="AF4" s="18"/>
    </row>
    <row r="5" spans="1:32" x14ac:dyDescent="0.3">
      <c r="A5" s="92">
        <v>45352</v>
      </c>
      <c r="B5" s="92" t="str">
        <f t="shared" si="0"/>
        <v>Friday</v>
      </c>
      <c r="C5" s="93" t="s">
        <v>1381</v>
      </c>
      <c r="D5" s="93" t="s">
        <v>8</v>
      </c>
      <c r="E5" s="94">
        <v>28.9</v>
      </c>
      <c r="F5" s="93" t="s">
        <v>9</v>
      </c>
      <c r="G5" s="87">
        <f>Table1[[#This Row],[date]]</f>
        <v>45352</v>
      </c>
      <c r="H5" s="94">
        <f>SUMIF($A$2:A3640,G5,$E$2:E3640)</f>
        <v>396.3</v>
      </c>
      <c r="I5" s="93" t="str">
        <f t="shared" si="1"/>
        <v>Friday</v>
      </c>
      <c r="J5" s="93" t="str">
        <f t="shared" si="2"/>
        <v>March</v>
      </c>
      <c r="K5" s="93" t="str">
        <f t="shared" si="3"/>
        <v>2024</v>
      </c>
      <c r="L5" s="6"/>
      <c r="M5" s="6"/>
      <c r="N5" s="6"/>
      <c r="O5" s="5"/>
      <c r="P5" s="6"/>
      <c r="Q5" s="6"/>
      <c r="R5" s="5"/>
      <c r="S5" s="6"/>
      <c r="T5" s="6"/>
      <c r="U5" s="5"/>
      <c r="V5" s="6"/>
      <c r="W5" s="6"/>
      <c r="X5" s="5"/>
      <c r="Y5" s="6"/>
      <c r="Z5" s="6"/>
      <c r="AA5" s="5"/>
      <c r="AB5" s="129"/>
      <c r="AD5" s="16"/>
      <c r="AE5" s="17"/>
      <c r="AF5" s="18"/>
    </row>
    <row r="6" spans="1:32" x14ac:dyDescent="0.3">
      <c r="A6" s="87">
        <v>45352</v>
      </c>
      <c r="B6" s="87" t="str">
        <f t="shared" si="0"/>
        <v>Friday</v>
      </c>
      <c r="C6" s="88" t="s">
        <v>1381</v>
      </c>
      <c r="D6" s="88" t="s">
        <v>10</v>
      </c>
      <c r="E6" s="89">
        <v>38.700000000000003</v>
      </c>
      <c r="F6" s="88" t="s">
        <v>5</v>
      </c>
      <c r="G6" s="87">
        <f>Table1[[#This Row],[date]]</f>
        <v>45352</v>
      </c>
      <c r="H6" s="89">
        <f>SUMIF($A$2:A3641,G6,$E$2:E3641)</f>
        <v>396.3</v>
      </c>
      <c r="I6" s="88" t="str">
        <f t="shared" si="1"/>
        <v>Friday</v>
      </c>
      <c r="J6" s="88" t="str">
        <f t="shared" si="2"/>
        <v>March</v>
      </c>
      <c r="K6" s="88" t="str">
        <f t="shared" si="3"/>
        <v>2024</v>
      </c>
      <c r="L6" s="6"/>
      <c r="M6" s="6"/>
      <c r="N6" s="6"/>
      <c r="O6" s="5"/>
      <c r="P6" s="6"/>
      <c r="Q6" s="6"/>
      <c r="R6" s="5"/>
      <c r="S6" s="6"/>
      <c r="T6" s="6"/>
      <c r="U6" s="5"/>
      <c r="V6" s="6"/>
      <c r="W6" s="6"/>
      <c r="X6" s="5"/>
      <c r="Y6" s="6"/>
      <c r="Z6" s="6"/>
      <c r="AA6" s="5"/>
      <c r="AB6" s="129"/>
      <c r="AD6" s="16"/>
      <c r="AE6" s="17"/>
      <c r="AF6" s="18"/>
    </row>
    <row r="7" spans="1:32" x14ac:dyDescent="0.3">
      <c r="A7" s="92">
        <v>45352</v>
      </c>
      <c r="B7" s="92" t="str">
        <f t="shared" si="0"/>
        <v>Friday</v>
      </c>
      <c r="C7" s="93" t="s">
        <v>1381</v>
      </c>
      <c r="D7" s="93" t="s">
        <v>11</v>
      </c>
      <c r="E7" s="94">
        <v>33.799999999999997</v>
      </c>
      <c r="F7" s="93" t="s">
        <v>12</v>
      </c>
      <c r="G7" s="87">
        <f>Table1[[#This Row],[date]]</f>
        <v>45352</v>
      </c>
      <c r="H7" s="94">
        <f>SUMIF($A$2:A3642,G7,$E$2:E3642)</f>
        <v>396.3</v>
      </c>
      <c r="I7" s="93" t="str">
        <f t="shared" si="1"/>
        <v>Friday</v>
      </c>
      <c r="J7" s="93" t="str">
        <f t="shared" si="2"/>
        <v>March</v>
      </c>
      <c r="K7" s="93" t="str">
        <f t="shared" si="3"/>
        <v>2024</v>
      </c>
      <c r="L7" s="6"/>
      <c r="M7" s="6"/>
      <c r="N7" s="6"/>
      <c r="O7" s="5"/>
      <c r="P7" s="6"/>
      <c r="Q7" s="6"/>
      <c r="R7" s="5"/>
      <c r="S7" s="6"/>
      <c r="T7" s="6"/>
      <c r="U7" s="5"/>
      <c r="V7" s="6"/>
      <c r="W7" s="6"/>
      <c r="X7" s="5"/>
      <c r="Y7" s="6"/>
      <c r="Z7" s="6"/>
      <c r="AA7" s="5"/>
      <c r="AB7" s="129"/>
      <c r="AD7" s="16"/>
      <c r="AE7" s="17"/>
      <c r="AF7" s="18"/>
    </row>
    <row r="8" spans="1:32" x14ac:dyDescent="0.3">
      <c r="A8" s="87">
        <v>45352</v>
      </c>
      <c r="B8" s="87" t="str">
        <f t="shared" si="0"/>
        <v>Friday</v>
      </c>
      <c r="C8" s="88" t="s">
        <v>1381</v>
      </c>
      <c r="D8" s="88" t="s">
        <v>13</v>
      </c>
      <c r="E8" s="89">
        <v>38.700000000000003</v>
      </c>
      <c r="F8" s="88" t="s">
        <v>7</v>
      </c>
      <c r="G8" s="87">
        <f>Table1[[#This Row],[date]]</f>
        <v>45352</v>
      </c>
      <c r="H8" s="89">
        <f>SUMIF($A$2:A3643,G8,$E$2:E3643)</f>
        <v>396.3</v>
      </c>
      <c r="I8" s="88" t="str">
        <f t="shared" si="1"/>
        <v>Friday</v>
      </c>
      <c r="J8" s="88" t="str">
        <f t="shared" si="2"/>
        <v>March</v>
      </c>
      <c r="K8" s="88" t="str">
        <f t="shared" si="3"/>
        <v>2024</v>
      </c>
      <c r="L8" s="6"/>
      <c r="M8" s="6"/>
      <c r="N8" s="6"/>
      <c r="O8" s="5"/>
      <c r="P8" s="6"/>
      <c r="Q8" s="6"/>
      <c r="R8" s="5"/>
      <c r="S8" s="6"/>
      <c r="T8" s="6"/>
      <c r="U8" s="5"/>
      <c r="V8" s="6"/>
      <c r="W8" s="6"/>
      <c r="X8" s="5"/>
      <c r="Y8" s="6"/>
      <c r="Z8" s="6"/>
      <c r="AA8" s="5"/>
      <c r="AB8" s="129"/>
      <c r="AD8" s="16"/>
      <c r="AE8" s="17"/>
      <c r="AF8" s="18"/>
    </row>
    <row r="9" spans="1:32" x14ac:dyDescent="0.3">
      <c r="A9" s="92">
        <v>45352</v>
      </c>
      <c r="B9" s="92" t="str">
        <f t="shared" si="0"/>
        <v>Friday</v>
      </c>
      <c r="C9" s="93" t="s">
        <v>1381</v>
      </c>
      <c r="D9" s="93" t="s">
        <v>14</v>
      </c>
      <c r="E9" s="94">
        <v>33.799999999999997</v>
      </c>
      <c r="F9" s="93" t="s">
        <v>12</v>
      </c>
      <c r="G9" s="87">
        <f>Table1[[#This Row],[date]]</f>
        <v>45352</v>
      </c>
      <c r="H9" s="94">
        <f>SUMIF($A$2:A3644,G9,$E$2:E3644)</f>
        <v>396.3</v>
      </c>
      <c r="I9" s="93" t="str">
        <f t="shared" si="1"/>
        <v>Friday</v>
      </c>
      <c r="J9" s="93" t="str">
        <f t="shared" si="2"/>
        <v>March</v>
      </c>
      <c r="K9" s="93" t="str">
        <f t="shared" si="3"/>
        <v>2024</v>
      </c>
      <c r="L9" s="6"/>
      <c r="M9" s="6"/>
      <c r="N9" s="6"/>
      <c r="O9" s="5"/>
      <c r="P9" s="6"/>
      <c r="Q9" s="6"/>
      <c r="R9" s="5"/>
      <c r="S9" s="6"/>
      <c r="T9" s="6"/>
      <c r="U9" s="5"/>
      <c r="V9" s="6"/>
      <c r="W9" s="6"/>
      <c r="X9" s="5"/>
      <c r="Y9" s="6"/>
      <c r="Z9" s="6"/>
      <c r="AA9" s="5"/>
      <c r="AB9" s="129"/>
      <c r="AD9" s="16"/>
      <c r="AE9" s="17"/>
      <c r="AF9" s="18"/>
    </row>
    <row r="10" spans="1:32" x14ac:dyDescent="0.3">
      <c r="A10" s="87">
        <v>45352</v>
      </c>
      <c r="B10" s="87" t="str">
        <f t="shared" si="0"/>
        <v>Friday</v>
      </c>
      <c r="C10" s="88" t="s">
        <v>1381</v>
      </c>
      <c r="D10" s="88" t="s">
        <v>15</v>
      </c>
      <c r="E10" s="89">
        <v>38.700000000000003</v>
      </c>
      <c r="F10" s="88" t="s">
        <v>16</v>
      </c>
      <c r="G10" s="87">
        <f>Table1[[#This Row],[date]]</f>
        <v>45352</v>
      </c>
      <c r="H10" s="89">
        <f>SUMIF($A$2:A3645,G10,$E$2:E3645)</f>
        <v>396.3</v>
      </c>
      <c r="I10" s="88" t="str">
        <f t="shared" si="1"/>
        <v>Friday</v>
      </c>
      <c r="J10" s="88" t="str">
        <f t="shared" si="2"/>
        <v>March</v>
      </c>
      <c r="K10" s="88" t="str">
        <f t="shared" si="3"/>
        <v>2024</v>
      </c>
      <c r="L10" s="6"/>
      <c r="M10" s="6"/>
      <c r="N10" s="6"/>
      <c r="O10" s="5"/>
      <c r="P10" s="6"/>
      <c r="Q10" s="6"/>
      <c r="R10" s="5"/>
      <c r="S10" s="6"/>
      <c r="T10" s="6"/>
      <c r="U10" s="5"/>
      <c r="V10" s="6"/>
      <c r="W10" s="6"/>
      <c r="X10" s="5"/>
      <c r="Y10" s="6"/>
      <c r="Z10" s="6"/>
      <c r="AA10" s="5"/>
      <c r="AD10" s="16"/>
      <c r="AE10" s="17"/>
      <c r="AF10" s="17"/>
    </row>
    <row r="11" spans="1:32" x14ac:dyDescent="0.3">
      <c r="A11" s="92">
        <v>45352</v>
      </c>
      <c r="B11" s="92" t="str">
        <f t="shared" si="0"/>
        <v>Friday</v>
      </c>
      <c r="C11" s="93" t="s">
        <v>1381</v>
      </c>
      <c r="D11" s="93" t="s">
        <v>15</v>
      </c>
      <c r="E11" s="94">
        <v>33.799999999999997</v>
      </c>
      <c r="F11" s="93" t="s">
        <v>12</v>
      </c>
      <c r="G11" s="87">
        <f>Table1[[#This Row],[date]]</f>
        <v>45352</v>
      </c>
      <c r="H11" s="94">
        <f>SUMIF($A$2:A3646,G11,$E$2:E3646)</f>
        <v>396.3</v>
      </c>
      <c r="I11" s="93" t="str">
        <f t="shared" si="1"/>
        <v>Friday</v>
      </c>
      <c r="J11" s="93" t="str">
        <f t="shared" si="2"/>
        <v>March</v>
      </c>
      <c r="K11" s="93" t="str">
        <f t="shared" si="3"/>
        <v>2024</v>
      </c>
      <c r="L11" s="6"/>
      <c r="M11" s="6"/>
      <c r="N11" s="6"/>
      <c r="O11" s="5"/>
      <c r="P11" s="6"/>
      <c r="Q11" s="6"/>
      <c r="R11" s="5"/>
      <c r="S11" s="6"/>
      <c r="T11" s="6"/>
      <c r="U11" s="5"/>
      <c r="V11" s="6"/>
      <c r="W11" s="6"/>
      <c r="X11" s="5"/>
      <c r="Y11" s="6"/>
      <c r="Z11" s="6"/>
      <c r="AA11" s="6"/>
    </row>
    <row r="12" spans="1:32" x14ac:dyDescent="0.3">
      <c r="A12" s="87">
        <v>45352</v>
      </c>
      <c r="B12" s="87" t="str">
        <f t="shared" si="0"/>
        <v>Friday</v>
      </c>
      <c r="C12" s="88" t="s">
        <v>1381</v>
      </c>
      <c r="D12" s="88" t="s">
        <v>17</v>
      </c>
      <c r="E12" s="89">
        <v>33.799999999999997</v>
      </c>
      <c r="F12" s="88" t="s">
        <v>12</v>
      </c>
      <c r="G12" s="87">
        <f>Table1[[#This Row],[date]]</f>
        <v>45352</v>
      </c>
      <c r="H12" s="89">
        <f>SUMIF($A$2:A3647,G12,$E$2:E3647)</f>
        <v>396.3</v>
      </c>
      <c r="I12" s="88" t="str">
        <f t="shared" si="1"/>
        <v>Friday</v>
      </c>
      <c r="J12" s="88" t="str">
        <f t="shared" si="2"/>
        <v>March</v>
      </c>
      <c r="K12" s="88" t="str">
        <f t="shared" si="3"/>
        <v>2024</v>
      </c>
      <c r="L12" s="6"/>
      <c r="M12" s="6"/>
      <c r="N12" s="6"/>
      <c r="O12" s="5"/>
      <c r="P12" s="6"/>
      <c r="Q12" s="6"/>
      <c r="R12" s="5"/>
      <c r="S12" s="6"/>
      <c r="T12" s="6"/>
      <c r="U12" s="5"/>
      <c r="V12" s="6"/>
      <c r="W12" s="6"/>
      <c r="X12" s="5"/>
      <c r="Y12" s="6"/>
      <c r="Z12" s="6"/>
      <c r="AA12" s="6"/>
    </row>
    <row r="13" spans="1:32" x14ac:dyDescent="0.3">
      <c r="A13" s="92">
        <v>45353</v>
      </c>
      <c r="B13" s="92" t="str">
        <f t="shared" si="0"/>
        <v>Saturday</v>
      </c>
      <c r="C13" s="93" t="s">
        <v>1381</v>
      </c>
      <c r="D13" s="93" t="s">
        <v>18</v>
      </c>
      <c r="E13" s="94">
        <v>28.9</v>
      </c>
      <c r="F13" s="93" t="s">
        <v>9</v>
      </c>
      <c r="G13" s="87">
        <f>Table1[[#This Row],[date]]</f>
        <v>45353</v>
      </c>
      <c r="H13" s="94">
        <f>SUMIF($A$2:A3648,G13,$E$2:E3648)</f>
        <v>228.1</v>
      </c>
      <c r="I13" s="93" t="str">
        <f t="shared" si="1"/>
        <v>Saturday</v>
      </c>
      <c r="J13" s="93" t="str">
        <f t="shared" si="2"/>
        <v>March</v>
      </c>
      <c r="K13" s="93" t="str">
        <f t="shared" si="3"/>
        <v>2024</v>
      </c>
      <c r="L13" s="6"/>
      <c r="M13" s="6"/>
      <c r="N13" s="6"/>
      <c r="O13" s="5"/>
      <c r="P13" s="6"/>
      <c r="Q13" s="6"/>
      <c r="R13" s="5"/>
      <c r="S13" s="6"/>
      <c r="T13" s="6"/>
      <c r="U13" s="5"/>
      <c r="V13" s="6"/>
      <c r="W13" s="6"/>
      <c r="X13" s="5"/>
      <c r="Y13" s="6"/>
      <c r="Z13" s="6"/>
      <c r="AA13" s="6"/>
    </row>
    <row r="14" spans="1:32" x14ac:dyDescent="0.3">
      <c r="A14" s="87">
        <v>45353</v>
      </c>
      <c r="B14" s="87" t="str">
        <f t="shared" si="0"/>
        <v>Saturday</v>
      </c>
      <c r="C14" s="88" t="s">
        <v>1383</v>
      </c>
      <c r="D14" s="88"/>
      <c r="E14" s="89">
        <v>40</v>
      </c>
      <c r="F14" s="88" t="s">
        <v>5</v>
      </c>
      <c r="G14" s="87">
        <f>Table1[[#This Row],[date]]</f>
        <v>45353</v>
      </c>
      <c r="H14" s="89">
        <f>SUMIF($A$2:A3649,G14,$E$2:E3649)</f>
        <v>228.1</v>
      </c>
      <c r="I14" s="88" t="str">
        <f t="shared" si="1"/>
        <v>Saturday</v>
      </c>
      <c r="J14" s="88" t="str">
        <f t="shared" si="2"/>
        <v>March</v>
      </c>
      <c r="K14" s="88" t="str">
        <f t="shared" si="3"/>
        <v>2024</v>
      </c>
      <c r="L14" s="6"/>
      <c r="M14" s="6"/>
      <c r="N14" s="6"/>
      <c r="O14" s="5"/>
      <c r="P14" s="6"/>
      <c r="Q14" s="6"/>
      <c r="R14" s="5"/>
      <c r="S14" s="6"/>
      <c r="T14" s="6"/>
      <c r="U14" s="5"/>
      <c r="V14" s="6"/>
      <c r="W14" s="6"/>
      <c r="X14" s="5"/>
      <c r="Y14" s="6"/>
      <c r="Z14" s="6"/>
      <c r="AA14" s="6"/>
    </row>
    <row r="15" spans="1:32" x14ac:dyDescent="0.3">
      <c r="A15" s="92">
        <v>45353</v>
      </c>
      <c r="B15" s="92" t="str">
        <f t="shared" si="0"/>
        <v>Saturday</v>
      </c>
      <c r="C15" s="93" t="s">
        <v>1381</v>
      </c>
      <c r="D15" s="93" t="s">
        <v>20</v>
      </c>
      <c r="E15" s="94">
        <v>33.799999999999997</v>
      </c>
      <c r="F15" s="93" t="s">
        <v>12</v>
      </c>
      <c r="G15" s="87">
        <f>Table1[[#This Row],[date]]</f>
        <v>45353</v>
      </c>
      <c r="H15" s="94">
        <f>SUMIF($A$2:A3650,G15,$E$2:E3650)</f>
        <v>228.1</v>
      </c>
      <c r="I15" s="93" t="str">
        <f t="shared" si="1"/>
        <v>Saturday</v>
      </c>
      <c r="J15" s="93" t="str">
        <f t="shared" si="2"/>
        <v>March</v>
      </c>
      <c r="K15" s="93" t="str">
        <f t="shared" si="3"/>
        <v>2024</v>
      </c>
      <c r="L15" s="6"/>
      <c r="M15" s="6"/>
      <c r="N15" s="6"/>
      <c r="O15" s="5"/>
      <c r="P15" s="6"/>
      <c r="Q15" s="6"/>
      <c r="R15" s="5"/>
      <c r="S15" s="6"/>
      <c r="T15" s="6"/>
      <c r="U15" s="5"/>
      <c r="V15" s="6"/>
      <c r="W15" s="6"/>
      <c r="X15" s="127"/>
      <c r="Y15" s="19"/>
      <c r="Z15" s="6"/>
      <c r="AA15" s="6"/>
    </row>
    <row r="16" spans="1:32" x14ac:dyDescent="0.3">
      <c r="A16" s="87">
        <v>45353</v>
      </c>
      <c r="B16" s="87" t="str">
        <f t="shared" si="0"/>
        <v>Saturday</v>
      </c>
      <c r="C16" s="88" t="s">
        <v>1381</v>
      </c>
      <c r="D16" s="88" t="s">
        <v>21</v>
      </c>
      <c r="E16" s="89">
        <v>33.799999999999997</v>
      </c>
      <c r="F16" s="88" t="s">
        <v>12</v>
      </c>
      <c r="G16" s="87">
        <f>Table1[[#This Row],[date]]</f>
        <v>45353</v>
      </c>
      <c r="H16" s="89">
        <f>SUMIF($A$2:A3651,G16,$E$2:E3651)</f>
        <v>228.1</v>
      </c>
      <c r="I16" s="88" t="str">
        <f t="shared" si="1"/>
        <v>Saturday</v>
      </c>
      <c r="J16" s="88" t="str">
        <f t="shared" si="2"/>
        <v>March</v>
      </c>
      <c r="K16" s="88" t="str">
        <f t="shared" si="3"/>
        <v>2024</v>
      </c>
      <c r="L16" s="6"/>
      <c r="M16" s="6"/>
      <c r="N16" s="6"/>
      <c r="O16" s="5"/>
      <c r="P16" s="22"/>
      <c r="Q16" s="6"/>
      <c r="R16" s="5"/>
      <c r="S16" s="6"/>
      <c r="T16" s="6"/>
      <c r="U16" s="5"/>
      <c r="V16" s="6"/>
      <c r="W16" s="6"/>
      <c r="X16" s="127"/>
      <c r="Y16" s="19"/>
      <c r="Z16" s="6"/>
      <c r="AA16" s="6"/>
    </row>
    <row r="17" spans="1:27" x14ac:dyDescent="0.3">
      <c r="A17" s="92">
        <v>45353</v>
      </c>
      <c r="B17" s="92" t="str">
        <f t="shared" si="0"/>
        <v>Saturday</v>
      </c>
      <c r="C17" s="93" t="s">
        <v>1381</v>
      </c>
      <c r="D17" s="93" t="s">
        <v>22</v>
      </c>
      <c r="E17" s="94">
        <v>28.9</v>
      </c>
      <c r="F17" s="93" t="s">
        <v>9</v>
      </c>
      <c r="G17" s="87">
        <f>Table1[[#This Row],[date]]</f>
        <v>45353</v>
      </c>
      <c r="H17" s="94">
        <f>SUMIF($A$2:A3652,G17,$E$2:E3652)</f>
        <v>228.1</v>
      </c>
      <c r="I17" s="93" t="str">
        <f t="shared" si="1"/>
        <v>Saturday</v>
      </c>
      <c r="J17" s="93" t="str">
        <f t="shared" si="2"/>
        <v>March</v>
      </c>
      <c r="K17" s="93" t="str">
        <f t="shared" si="3"/>
        <v>2024</v>
      </c>
      <c r="L17" s="6"/>
      <c r="M17" s="6"/>
      <c r="N17" s="6"/>
      <c r="O17" s="5"/>
      <c r="P17" s="23"/>
      <c r="Q17" s="6"/>
      <c r="R17" s="5"/>
      <c r="S17" s="6"/>
      <c r="T17" s="6"/>
      <c r="U17" s="5"/>
      <c r="V17" s="6"/>
      <c r="W17" s="6"/>
      <c r="X17" s="127"/>
      <c r="Y17" s="19"/>
      <c r="Z17" s="6"/>
      <c r="AA17" s="6"/>
    </row>
    <row r="18" spans="1:27" x14ac:dyDescent="0.3">
      <c r="A18" s="87">
        <v>45353</v>
      </c>
      <c r="B18" s="87" t="str">
        <f t="shared" si="0"/>
        <v>Saturday</v>
      </c>
      <c r="C18" s="88" t="s">
        <v>1381</v>
      </c>
      <c r="D18" s="88" t="s">
        <v>23</v>
      </c>
      <c r="E18" s="89">
        <v>33.799999999999997</v>
      </c>
      <c r="F18" s="88" t="s">
        <v>12</v>
      </c>
      <c r="G18" s="87">
        <f>Table1[[#This Row],[date]]</f>
        <v>45353</v>
      </c>
      <c r="H18" s="89">
        <f>SUMIF($A$2:A3653,G18,$E$2:E3653)</f>
        <v>228.1</v>
      </c>
      <c r="I18" s="88" t="str">
        <f t="shared" si="1"/>
        <v>Saturday</v>
      </c>
      <c r="J18" s="88" t="str">
        <f t="shared" si="2"/>
        <v>March</v>
      </c>
      <c r="K18" s="88" t="str">
        <f t="shared" si="3"/>
        <v>2024</v>
      </c>
      <c r="L18" s="6"/>
      <c r="M18" s="6"/>
      <c r="N18" s="6"/>
      <c r="O18" s="5"/>
      <c r="P18" s="23"/>
      <c r="Q18" s="6"/>
      <c r="R18" s="5"/>
      <c r="S18" s="6"/>
      <c r="T18" s="6"/>
      <c r="U18" s="5"/>
      <c r="V18" s="6"/>
      <c r="W18" s="6"/>
      <c r="X18" s="127"/>
      <c r="Y18" s="19"/>
      <c r="Z18" s="6"/>
      <c r="AA18" s="6"/>
    </row>
    <row r="19" spans="1:27" x14ac:dyDescent="0.3">
      <c r="A19" s="92">
        <v>45353</v>
      </c>
      <c r="B19" s="92" t="str">
        <f t="shared" si="0"/>
        <v>Saturday</v>
      </c>
      <c r="C19" s="93" t="s">
        <v>1381</v>
      </c>
      <c r="D19" s="93" t="s">
        <v>10</v>
      </c>
      <c r="E19" s="94">
        <v>28.9</v>
      </c>
      <c r="F19" s="93" t="s">
        <v>9</v>
      </c>
      <c r="G19" s="87">
        <f>Table1[[#This Row],[date]]</f>
        <v>45353</v>
      </c>
      <c r="H19" s="94">
        <f>SUMIF($A$2:A3654,G19,$E$2:E3654)</f>
        <v>228.1</v>
      </c>
      <c r="I19" s="93" t="str">
        <f t="shared" si="1"/>
        <v>Saturday</v>
      </c>
      <c r="J19" s="93" t="str">
        <f t="shared" si="2"/>
        <v>March</v>
      </c>
      <c r="K19" s="93" t="str">
        <f t="shared" si="3"/>
        <v>2024</v>
      </c>
      <c r="L19" s="6"/>
      <c r="M19" s="6"/>
      <c r="N19" s="6"/>
      <c r="O19" s="5"/>
      <c r="P19" s="23"/>
      <c r="Q19" s="6"/>
      <c r="R19" s="5"/>
      <c r="S19" s="6"/>
      <c r="T19" s="6"/>
      <c r="U19" s="5"/>
      <c r="V19" s="6"/>
      <c r="W19" s="6"/>
      <c r="X19" s="127"/>
      <c r="Y19" s="19"/>
      <c r="Z19" s="6"/>
      <c r="AA19" s="6"/>
    </row>
    <row r="20" spans="1:27" x14ac:dyDescent="0.3">
      <c r="A20" s="87">
        <v>45354</v>
      </c>
      <c r="B20" s="87" t="str">
        <f t="shared" si="0"/>
        <v>Sunday</v>
      </c>
      <c r="C20" s="88" t="s">
        <v>1383</v>
      </c>
      <c r="D20" s="88"/>
      <c r="E20" s="89">
        <v>40</v>
      </c>
      <c r="F20" s="88" t="s">
        <v>5</v>
      </c>
      <c r="G20" s="87">
        <f>Table1[[#This Row],[date]]</f>
        <v>45354</v>
      </c>
      <c r="H20" s="89">
        <f>SUMIF($A$2:A3655,G20,$E$2:E3655)</f>
        <v>349.09999999999997</v>
      </c>
      <c r="I20" s="88" t="str">
        <f t="shared" si="1"/>
        <v>Sunday</v>
      </c>
      <c r="J20" s="88" t="str">
        <f t="shared" si="2"/>
        <v>March</v>
      </c>
      <c r="K20" s="88" t="str">
        <f t="shared" si="3"/>
        <v>2024</v>
      </c>
      <c r="L20" s="6"/>
      <c r="M20" s="6"/>
      <c r="N20" s="6"/>
      <c r="O20" s="5"/>
      <c r="P20" s="23"/>
      <c r="Q20" s="6"/>
      <c r="R20" s="126"/>
      <c r="S20" s="6"/>
      <c r="T20" s="6"/>
      <c r="U20" s="5"/>
      <c r="V20" s="6"/>
      <c r="W20" s="6"/>
      <c r="X20" s="127"/>
      <c r="Y20" s="19"/>
      <c r="Z20" s="6"/>
      <c r="AA20" s="6"/>
    </row>
    <row r="21" spans="1:27" x14ac:dyDescent="0.3">
      <c r="A21" s="92">
        <v>45354</v>
      </c>
      <c r="B21" s="92" t="str">
        <f t="shared" si="0"/>
        <v>Sunday</v>
      </c>
      <c r="C21" s="93" t="s">
        <v>1381</v>
      </c>
      <c r="D21" s="93" t="s">
        <v>24</v>
      </c>
      <c r="E21" s="94">
        <v>38.700000000000003</v>
      </c>
      <c r="F21" s="93" t="s">
        <v>5</v>
      </c>
      <c r="G21" s="87">
        <f>Table1[[#This Row],[date]]</f>
        <v>45354</v>
      </c>
      <c r="H21" s="94">
        <f>SUMIF($A$2:A3656,G21,$E$2:E3656)</f>
        <v>349.09999999999997</v>
      </c>
      <c r="I21" s="93" t="str">
        <f t="shared" si="1"/>
        <v>Sunday</v>
      </c>
      <c r="J21" s="93" t="str">
        <f t="shared" si="2"/>
        <v>March</v>
      </c>
      <c r="K21" s="93" t="str">
        <f t="shared" si="3"/>
        <v>2024</v>
      </c>
      <c r="L21" s="6"/>
      <c r="M21" s="6"/>
      <c r="N21" s="6"/>
      <c r="O21" s="5"/>
      <c r="R21" s="8"/>
      <c r="T21" s="6"/>
      <c r="U21" s="5"/>
      <c r="V21" s="6"/>
      <c r="W21" s="6"/>
      <c r="X21" s="127"/>
      <c r="Y21" s="19"/>
      <c r="Z21" s="6"/>
      <c r="AA21" s="6"/>
    </row>
    <row r="22" spans="1:27" x14ac:dyDescent="0.3">
      <c r="A22" s="87">
        <v>45354</v>
      </c>
      <c r="B22" s="87" t="str">
        <f t="shared" si="0"/>
        <v>Sunday</v>
      </c>
      <c r="C22" s="88" t="s">
        <v>1381</v>
      </c>
      <c r="D22" s="88" t="s">
        <v>25</v>
      </c>
      <c r="E22" s="89">
        <v>28.9</v>
      </c>
      <c r="F22" s="88" t="s">
        <v>26</v>
      </c>
      <c r="G22" s="87">
        <f>Table1[[#This Row],[date]]</f>
        <v>45354</v>
      </c>
      <c r="H22" s="89">
        <f>SUMIF($A$2:A3657,G22,$E$2:E3657)</f>
        <v>349.09999999999997</v>
      </c>
      <c r="I22" s="88" t="str">
        <f t="shared" si="1"/>
        <v>Sunday</v>
      </c>
      <c r="J22" s="88" t="str">
        <f t="shared" si="2"/>
        <v>March</v>
      </c>
      <c r="K22" s="88" t="str">
        <f t="shared" si="3"/>
        <v>2024</v>
      </c>
      <c r="L22" s="6"/>
      <c r="M22" s="6"/>
      <c r="N22" s="6"/>
      <c r="R22" s="8"/>
      <c r="T22" s="6"/>
      <c r="U22" s="5"/>
      <c r="V22" s="6"/>
      <c r="W22" s="6"/>
      <c r="X22" s="127"/>
      <c r="Y22" s="19"/>
      <c r="Z22" s="6"/>
      <c r="AA22" s="6"/>
    </row>
    <row r="23" spans="1:27" x14ac:dyDescent="0.3">
      <c r="A23" s="92">
        <v>45354</v>
      </c>
      <c r="B23" s="92" t="str">
        <f t="shared" si="0"/>
        <v>Sunday</v>
      </c>
      <c r="C23" s="93" t="s">
        <v>1381</v>
      </c>
      <c r="D23" s="93" t="s">
        <v>21</v>
      </c>
      <c r="E23" s="94">
        <v>28.9</v>
      </c>
      <c r="F23" s="93" t="s">
        <v>9</v>
      </c>
      <c r="G23" s="87">
        <f>Table1[[#This Row],[date]]</f>
        <v>45354</v>
      </c>
      <c r="H23" s="94">
        <f>SUMIF($A$2:A3658,G23,$E$2:E3658)</f>
        <v>349.09999999999997</v>
      </c>
      <c r="I23" s="93" t="str">
        <f t="shared" si="1"/>
        <v>Sunday</v>
      </c>
      <c r="J23" s="93" t="str">
        <f t="shared" si="2"/>
        <v>March</v>
      </c>
      <c r="K23" s="93" t="str">
        <f t="shared" si="3"/>
        <v>2024</v>
      </c>
      <c r="L23" s="6"/>
      <c r="M23" s="6"/>
      <c r="N23" s="6"/>
      <c r="T23" s="6"/>
      <c r="U23" s="5"/>
      <c r="V23" s="6"/>
      <c r="W23" s="6"/>
      <c r="X23" s="5"/>
      <c r="Y23" s="128"/>
      <c r="Z23" s="6"/>
      <c r="AA23" s="6"/>
    </row>
    <row r="24" spans="1:27" x14ac:dyDescent="0.3">
      <c r="A24" s="87">
        <v>45354</v>
      </c>
      <c r="B24" s="87" t="str">
        <f t="shared" si="0"/>
        <v>Sunday</v>
      </c>
      <c r="C24" s="88" t="s">
        <v>1381</v>
      </c>
      <c r="D24" s="88" t="s">
        <v>27</v>
      </c>
      <c r="E24" s="89">
        <v>38.700000000000003</v>
      </c>
      <c r="F24" s="88" t="s">
        <v>7</v>
      </c>
      <c r="G24" s="87">
        <f>Table1[[#This Row],[date]]</f>
        <v>45354</v>
      </c>
      <c r="H24" s="89">
        <f>SUMIF($A$2:A3659,G24,$E$2:E3659)</f>
        <v>349.09999999999997</v>
      </c>
      <c r="I24" s="88" t="str">
        <f t="shared" si="1"/>
        <v>Sunday</v>
      </c>
      <c r="J24" s="88" t="str">
        <f t="shared" si="2"/>
        <v>March</v>
      </c>
      <c r="K24" s="88" t="str">
        <f t="shared" si="3"/>
        <v>2024</v>
      </c>
      <c r="L24" s="6"/>
      <c r="M24" s="6"/>
      <c r="N24" s="6"/>
      <c r="T24" s="6"/>
      <c r="U24" s="5"/>
      <c r="V24" s="6"/>
      <c r="W24" s="6"/>
      <c r="X24" s="5"/>
      <c r="Y24" s="6"/>
      <c r="Z24" s="6"/>
      <c r="AA24" s="6"/>
    </row>
    <row r="25" spans="1:27" x14ac:dyDescent="0.3">
      <c r="A25" s="92">
        <v>45354</v>
      </c>
      <c r="B25" s="92" t="str">
        <f t="shared" si="0"/>
        <v>Sunday</v>
      </c>
      <c r="C25" s="93" t="s">
        <v>1381</v>
      </c>
      <c r="D25" s="93" t="s">
        <v>28</v>
      </c>
      <c r="E25" s="94">
        <v>38.700000000000003</v>
      </c>
      <c r="F25" s="93" t="s">
        <v>16</v>
      </c>
      <c r="G25" s="87">
        <f>Table1[[#This Row],[date]]</f>
        <v>45354</v>
      </c>
      <c r="H25" s="94">
        <f>SUMIF($A$2:A3660,G25,$E$2:E3660)</f>
        <v>349.09999999999997</v>
      </c>
      <c r="I25" s="93" t="str">
        <f t="shared" si="1"/>
        <v>Sunday</v>
      </c>
      <c r="J25" s="93" t="str">
        <f t="shared" si="2"/>
        <v>March</v>
      </c>
      <c r="K25" s="93" t="str">
        <f t="shared" si="3"/>
        <v>2024</v>
      </c>
      <c r="L25" s="6"/>
      <c r="M25" s="6"/>
      <c r="N25" s="6"/>
      <c r="T25" s="6"/>
      <c r="U25" s="5"/>
      <c r="V25" s="6"/>
      <c r="W25" s="6"/>
      <c r="X25" s="127"/>
      <c r="Y25" s="6"/>
      <c r="Z25" s="6"/>
      <c r="AA25" s="6"/>
    </row>
    <row r="26" spans="1:27" x14ac:dyDescent="0.3">
      <c r="A26" s="87">
        <v>45354</v>
      </c>
      <c r="B26" s="87" t="str">
        <f t="shared" si="0"/>
        <v>Sunday</v>
      </c>
      <c r="C26" s="88" t="s">
        <v>1381</v>
      </c>
      <c r="D26" s="88" t="s">
        <v>29</v>
      </c>
      <c r="E26" s="89">
        <v>28.9</v>
      </c>
      <c r="F26" s="88" t="s">
        <v>26</v>
      </c>
      <c r="G26" s="87">
        <f>Table1[[#This Row],[date]]</f>
        <v>45354</v>
      </c>
      <c r="H26" s="89">
        <f>SUMIF($A$2:A3661,G26,$E$2:E3661)</f>
        <v>349.09999999999997</v>
      </c>
      <c r="I26" s="88" t="str">
        <f t="shared" si="1"/>
        <v>Sunday</v>
      </c>
      <c r="J26" s="88" t="str">
        <f t="shared" si="2"/>
        <v>March</v>
      </c>
      <c r="K26" s="88" t="str">
        <f t="shared" si="3"/>
        <v>2024</v>
      </c>
      <c r="L26" s="6"/>
      <c r="M26" s="6"/>
      <c r="N26" s="6"/>
      <c r="T26" s="6"/>
      <c r="U26" s="5"/>
      <c r="V26" s="6"/>
      <c r="W26" s="6"/>
      <c r="X26" s="5"/>
      <c r="Y26" s="6"/>
      <c r="Z26" s="6"/>
      <c r="AA26" s="6"/>
    </row>
    <row r="27" spans="1:27" x14ac:dyDescent="0.3">
      <c r="A27" s="92">
        <v>45354</v>
      </c>
      <c r="B27" s="92" t="str">
        <f t="shared" si="0"/>
        <v>Sunday</v>
      </c>
      <c r="C27" s="93" t="s">
        <v>1381</v>
      </c>
      <c r="D27" s="93" t="s">
        <v>30</v>
      </c>
      <c r="E27" s="94">
        <v>33.799999999999997</v>
      </c>
      <c r="F27" s="93" t="s">
        <v>12</v>
      </c>
      <c r="G27" s="87">
        <f>Table1[[#This Row],[date]]</f>
        <v>45354</v>
      </c>
      <c r="H27" s="94">
        <f>SUMIF($A$2:A3662,G27,$E$2:E3662)</f>
        <v>349.09999999999997</v>
      </c>
      <c r="I27" s="93" t="str">
        <f t="shared" si="1"/>
        <v>Sunday</v>
      </c>
      <c r="J27" s="93" t="str">
        <f t="shared" si="2"/>
        <v>March</v>
      </c>
      <c r="K27" s="93" t="str">
        <f t="shared" si="3"/>
        <v>2024</v>
      </c>
      <c r="L27" s="6"/>
      <c r="M27" s="6"/>
      <c r="N27" s="6"/>
    </row>
    <row r="28" spans="1:27" x14ac:dyDescent="0.3">
      <c r="A28" s="87">
        <v>45354</v>
      </c>
      <c r="B28" s="87" t="str">
        <f t="shared" si="0"/>
        <v>Sunday</v>
      </c>
      <c r="C28" s="88" t="s">
        <v>1381</v>
      </c>
      <c r="D28" s="88" t="s">
        <v>30</v>
      </c>
      <c r="E28" s="89">
        <v>33.799999999999997</v>
      </c>
      <c r="F28" s="88" t="s">
        <v>12</v>
      </c>
      <c r="G28" s="87">
        <f>Table1[[#This Row],[date]]</f>
        <v>45354</v>
      </c>
      <c r="H28" s="89">
        <f>SUMIF($A$2:A3663,G28,$E$2:E3663)</f>
        <v>349.09999999999997</v>
      </c>
      <c r="I28" s="88" t="str">
        <f t="shared" si="1"/>
        <v>Sunday</v>
      </c>
      <c r="J28" s="88" t="str">
        <f t="shared" si="2"/>
        <v>March</v>
      </c>
      <c r="K28" s="88" t="str">
        <f t="shared" si="3"/>
        <v>2024</v>
      </c>
      <c r="L28" s="6"/>
      <c r="M28" s="6"/>
      <c r="N28" s="6"/>
    </row>
    <row r="29" spans="1:27" x14ac:dyDescent="0.3">
      <c r="A29" s="92">
        <v>45354</v>
      </c>
      <c r="B29" s="92" t="str">
        <f t="shared" si="0"/>
        <v>Sunday</v>
      </c>
      <c r="C29" s="93" t="s">
        <v>1381</v>
      </c>
      <c r="D29" s="93" t="s">
        <v>30</v>
      </c>
      <c r="E29" s="94">
        <v>38.700000000000003</v>
      </c>
      <c r="F29" s="93" t="s">
        <v>7</v>
      </c>
      <c r="G29" s="87">
        <f>Table1[[#This Row],[date]]</f>
        <v>45354</v>
      </c>
      <c r="H29" s="94">
        <f>SUMIF($A$2:A3664,G29,$E$2:E3664)</f>
        <v>349.09999999999997</v>
      </c>
      <c r="I29" s="93" t="str">
        <f t="shared" si="1"/>
        <v>Sunday</v>
      </c>
      <c r="J29" s="93" t="str">
        <f t="shared" si="2"/>
        <v>March</v>
      </c>
      <c r="K29" s="93" t="str">
        <f t="shared" si="3"/>
        <v>2024</v>
      </c>
      <c r="L29" s="6"/>
      <c r="M29" s="6"/>
      <c r="N29" s="6"/>
    </row>
    <row r="30" spans="1:27" x14ac:dyDescent="0.3">
      <c r="A30" s="87">
        <v>45355</v>
      </c>
      <c r="B30" s="87" t="str">
        <f t="shared" si="0"/>
        <v>Monday</v>
      </c>
      <c r="C30" s="88" t="s">
        <v>1381</v>
      </c>
      <c r="D30" s="88" t="s">
        <v>4</v>
      </c>
      <c r="E30" s="89">
        <v>38.700000000000003</v>
      </c>
      <c r="F30" s="88" t="s">
        <v>5</v>
      </c>
      <c r="G30" s="87">
        <f>Table1[[#This Row],[date]]</f>
        <v>45355</v>
      </c>
      <c r="H30" s="89">
        <f>SUMIF($A$2:A3665,G30,$E$2:E3665)</f>
        <v>135.19999999999999</v>
      </c>
      <c r="I30" s="88" t="str">
        <f t="shared" si="1"/>
        <v>Monday</v>
      </c>
      <c r="J30" s="88" t="str">
        <f t="shared" si="2"/>
        <v>March</v>
      </c>
      <c r="K30" s="88" t="str">
        <f t="shared" si="3"/>
        <v>2024</v>
      </c>
      <c r="L30" s="6"/>
      <c r="M30" s="6"/>
      <c r="N30" s="6"/>
    </row>
    <row r="31" spans="1:27" x14ac:dyDescent="0.3">
      <c r="A31" s="92">
        <v>45355</v>
      </c>
      <c r="B31" s="92" t="str">
        <f t="shared" si="0"/>
        <v>Monday</v>
      </c>
      <c r="C31" s="93" t="s">
        <v>1381</v>
      </c>
      <c r="D31" s="93" t="s">
        <v>31</v>
      </c>
      <c r="E31" s="94">
        <v>38.700000000000003</v>
      </c>
      <c r="F31" s="93" t="s">
        <v>5</v>
      </c>
      <c r="G31" s="87">
        <f>Table1[[#This Row],[date]]</f>
        <v>45355</v>
      </c>
      <c r="H31" s="94">
        <f>SUMIF($A$2:A3666,G31,$E$2:E3666)</f>
        <v>135.19999999999999</v>
      </c>
      <c r="I31" s="93" t="str">
        <f t="shared" si="1"/>
        <v>Monday</v>
      </c>
      <c r="J31" s="93" t="str">
        <f t="shared" si="2"/>
        <v>March</v>
      </c>
      <c r="K31" s="93" t="str">
        <f t="shared" si="3"/>
        <v>2024</v>
      </c>
      <c r="L31" s="6"/>
      <c r="M31" s="6"/>
      <c r="N31" s="6"/>
    </row>
    <row r="32" spans="1:27" x14ac:dyDescent="0.3">
      <c r="A32" s="87">
        <v>45355</v>
      </c>
      <c r="B32" s="87" t="str">
        <f t="shared" si="0"/>
        <v>Monday</v>
      </c>
      <c r="C32" s="88" t="s">
        <v>1381</v>
      </c>
      <c r="D32" s="88" t="s">
        <v>21</v>
      </c>
      <c r="E32" s="89">
        <v>33.799999999999997</v>
      </c>
      <c r="F32" s="88" t="s">
        <v>12</v>
      </c>
      <c r="G32" s="87">
        <f>Table1[[#This Row],[date]]</f>
        <v>45355</v>
      </c>
      <c r="H32" s="89">
        <f>SUMIF($A$2:A3667,G32,$E$2:E3667)</f>
        <v>135.19999999999999</v>
      </c>
      <c r="I32" s="88" t="str">
        <f t="shared" si="1"/>
        <v>Monday</v>
      </c>
      <c r="J32" s="88" t="str">
        <f t="shared" si="2"/>
        <v>March</v>
      </c>
      <c r="K32" s="88" t="str">
        <f t="shared" si="3"/>
        <v>2024</v>
      </c>
      <c r="L32" s="6"/>
      <c r="M32" s="6"/>
      <c r="N32" s="6"/>
    </row>
    <row r="33" spans="1:14" x14ac:dyDescent="0.3">
      <c r="A33" s="92">
        <v>45355</v>
      </c>
      <c r="B33" s="92" t="str">
        <f t="shared" si="0"/>
        <v>Monday</v>
      </c>
      <c r="C33" s="93" t="s">
        <v>1381</v>
      </c>
      <c r="D33" s="93" t="s">
        <v>32</v>
      </c>
      <c r="E33" s="94">
        <v>24</v>
      </c>
      <c r="F33" s="93" t="s">
        <v>33</v>
      </c>
      <c r="G33" s="87">
        <f>Table1[[#This Row],[date]]</f>
        <v>45355</v>
      </c>
      <c r="H33" s="94">
        <f>SUMIF($A$2:A3668,G33,$E$2:E3668)</f>
        <v>135.19999999999999</v>
      </c>
      <c r="I33" s="93" t="str">
        <f t="shared" si="1"/>
        <v>Monday</v>
      </c>
      <c r="J33" s="93" t="str">
        <f t="shared" si="2"/>
        <v>March</v>
      </c>
      <c r="K33" s="93" t="str">
        <f t="shared" si="3"/>
        <v>2024</v>
      </c>
      <c r="L33" s="6"/>
      <c r="M33" s="6"/>
      <c r="N33" s="6"/>
    </row>
    <row r="34" spans="1:14" x14ac:dyDescent="0.3">
      <c r="A34" s="87">
        <v>45356</v>
      </c>
      <c r="B34" s="87" t="str">
        <f t="shared" si="0"/>
        <v>Tuesday</v>
      </c>
      <c r="C34" s="88" t="s">
        <v>1381</v>
      </c>
      <c r="D34" s="88" t="s">
        <v>4</v>
      </c>
      <c r="E34" s="89">
        <v>38.700000000000003</v>
      </c>
      <c r="F34" s="88" t="s">
        <v>5</v>
      </c>
      <c r="G34" s="87">
        <f>Table1[[#This Row],[date]]</f>
        <v>45356</v>
      </c>
      <c r="H34" s="89">
        <f>SUMIF($A$2:A3669,G34,$E$2:E3669)</f>
        <v>338.49999999999994</v>
      </c>
      <c r="I34" s="88" t="str">
        <f t="shared" si="1"/>
        <v>Tuesday</v>
      </c>
      <c r="J34" s="88" t="str">
        <f t="shared" si="2"/>
        <v>March</v>
      </c>
      <c r="K34" s="88" t="str">
        <f t="shared" si="3"/>
        <v>2024</v>
      </c>
      <c r="L34" s="6"/>
      <c r="M34" s="6"/>
      <c r="N34" s="6"/>
    </row>
    <row r="35" spans="1:14" x14ac:dyDescent="0.3">
      <c r="A35" s="92">
        <v>45356</v>
      </c>
      <c r="B35" s="92" t="str">
        <f t="shared" si="0"/>
        <v>Tuesday</v>
      </c>
      <c r="C35" s="93" t="s">
        <v>1381</v>
      </c>
      <c r="D35" s="93" t="s">
        <v>34</v>
      </c>
      <c r="E35" s="94">
        <v>38.700000000000003</v>
      </c>
      <c r="F35" s="93" t="s">
        <v>5</v>
      </c>
      <c r="G35" s="87">
        <f>Table1[[#This Row],[date]]</f>
        <v>45356</v>
      </c>
      <c r="H35" s="94">
        <f>SUMIF($A$2:A3670,G35,$E$2:E3670)</f>
        <v>338.49999999999994</v>
      </c>
      <c r="I35" s="93" t="str">
        <f t="shared" si="1"/>
        <v>Tuesday</v>
      </c>
      <c r="J35" s="93" t="str">
        <f t="shared" si="2"/>
        <v>March</v>
      </c>
      <c r="K35" s="93" t="str">
        <f t="shared" si="3"/>
        <v>2024</v>
      </c>
      <c r="L35" s="6"/>
      <c r="M35" s="6"/>
      <c r="N35" s="6"/>
    </row>
    <row r="36" spans="1:14" x14ac:dyDescent="0.3">
      <c r="A36" s="87">
        <v>45356</v>
      </c>
      <c r="B36" s="87" t="str">
        <f t="shared" si="0"/>
        <v>Tuesday</v>
      </c>
      <c r="C36" s="88" t="s">
        <v>1381</v>
      </c>
      <c r="D36" s="88" t="s">
        <v>35</v>
      </c>
      <c r="E36" s="89">
        <v>38.700000000000003</v>
      </c>
      <c r="F36" s="88" t="s">
        <v>5</v>
      </c>
      <c r="G36" s="87">
        <f>Table1[[#This Row],[date]]</f>
        <v>45356</v>
      </c>
      <c r="H36" s="89">
        <f>SUMIF($A$2:A3671,G36,$E$2:E3671)</f>
        <v>338.49999999999994</v>
      </c>
      <c r="I36" s="88" t="str">
        <f t="shared" si="1"/>
        <v>Tuesday</v>
      </c>
      <c r="J36" s="88" t="str">
        <f t="shared" si="2"/>
        <v>March</v>
      </c>
      <c r="K36" s="88" t="str">
        <f t="shared" si="3"/>
        <v>2024</v>
      </c>
      <c r="L36" s="6"/>
      <c r="M36" s="6"/>
      <c r="N36" s="6"/>
    </row>
    <row r="37" spans="1:14" x14ac:dyDescent="0.3">
      <c r="A37" s="92">
        <v>45356</v>
      </c>
      <c r="B37" s="92" t="str">
        <f t="shared" si="0"/>
        <v>Tuesday</v>
      </c>
      <c r="C37" s="93" t="s">
        <v>1381</v>
      </c>
      <c r="D37" s="93" t="s">
        <v>36</v>
      </c>
      <c r="E37" s="94">
        <v>38.700000000000003</v>
      </c>
      <c r="F37" s="93" t="s">
        <v>7</v>
      </c>
      <c r="G37" s="87">
        <f>Table1[[#This Row],[date]]</f>
        <v>45356</v>
      </c>
      <c r="H37" s="94">
        <f>SUMIF($A$2:A3672,G37,$E$2:E3672)</f>
        <v>338.49999999999994</v>
      </c>
      <c r="I37" s="93" t="str">
        <f t="shared" si="1"/>
        <v>Tuesday</v>
      </c>
      <c r="J37" s="93" t="str">
        <f t="shared" si="2"/>
        <v>March</v>
      </c>
      <c r="K37" s="93" t="str">
        <f t="shared" si="3"/>
        <v>2024</v>
      </c>
      <c r="L37" s="6"/>
      <c r="M37" s="6"/>
      <c r="N37" s="6"/>
    </row>
    <row r="38" spans="1:14" x14ac:dyDescent="0.3">
      <c r="A38" s="87">
        <v>45356</v>
      </c>
      <c r="B38" s="87" t="str">
        <f t="shared" si="0"/>
        <v>Tuesday</v>
      </c>
      <c r="C38" s="88" t="s">
        <v>1381</v>
      </c>
      <c r="D38" s="88" t="s">
        <v>37</v>
      </c>
      <c r="E38" s="89">
        <v>38.700000000000003</v>
      </c>
      <c r="F38" s="88" t="s">
        <v>16</v>
      </c>
      <c r="G38" s="87">
        <f>Table1[[#This Row],[date]]</f>
        <v>45356</v>
      </c>
      <c r="H38" s="89">
        <f>SUMIF($A$2:A3673,G38,$E$2:E3673)</f>
        <v>338.49999999999994</v>
      </c>
      <c r="I38" s="88" t="str">
        <f t="shared" si="1"/>
        <v>Tuesday</v>
      </c>
      <c r="J38" s="88" t="str">
        <f t="shared" si="2"/>
        <v>March</v>
      </c>
      <c r="K38" s="88" t="str">
        <f t="shared" si="3"/>
        <v>2024</v>
      </c>
      <c r="L38" s="6"/>
      <c r="M38" s="6"/>
      <c r="N38" s="6"/>
    </row>
    <row r="39" spans="1:14" x14ac:dyDescent="0.3">
      <c r="A39" s="92">
        <v>45356</v>
      </c>
      <c r="B39" s="92" t="str">
        <f t="shared" si="0"/>
        <v>Tuesday</v>
      </c>
      <c r="C39" s="93" t="s">
        <v>1381</v>
      </c>
      <c r="D39" s="93" t="s">
        <v>38</v>
      </c>
      <c r="E39" s="94">
        <v>38.700000000000003</v>
      </c>
      <c r="F39" s="93" t="s">
        <v>7</v>
      </c>
      <c r="G39" s="87">
        <f>Table1[[#This Row],[date]]</f>
        <v>45356</v>
      </c>
      <c r="H39" s="94">
        <f>SUMIF($A$2:A3674,G39,$E$2:E3674)</f>
        <v>338.49999999999994</v>
      </c>
      <c r="I39" s="93" t="str">
        <f t="shared" si="1"/>
        <v>Tuesday</v>
      </c>
      <c r="J39" s="93" t="str">
        <f t="shared" si="2"/>
        <v>March</v>
      </c>
      <c r="K39" s="93" t="str">
        <f t="shared" si="3"/>
        <v>2024</v>
      </c>
      <c r="L39" s="6"/>
      <c r="M39" s="6"/>
      <c r="N39" s="6"/>
    </row>
    <row r="40" spans="1:14" x14ac:dyDescent="0.3">
      <c r="A40" s="87">
        <v>45356</v>
      </c>
      <c r="B40" s="87" t="str">
        <f t="shared" si="0"/>
        <v>Tuesday</v>
      </c>
      <c r="C40" s="88" t="s">
        <v>1381</v>
      </c>
      <c r="D40" s="88" t="s">
        <v>17</v>
      </c>
      <c r="E40" s="89">
        <v>38.700000000000003</v>
      </c>
      <c r="F40" s="88" t="s">
        <v>7</v>
      </c>
      <c r="G40" s="87">
        <f>Table1[[#This Row],[date]]</f>
        <v>45356</v>
      </c>
      <c r="H40" s="89">
        <f>SUMIF($A$2:A3675,G40,$E$2:E3675)</f>
        <v>338.49999999999994</v>
      </c>
      <c r="I40" s="88" t="str">
        <f t="shared" si="1"/>
        <v>Tuesday</v>
      </c>
      <c r="J40" s="88" t="str">
        <f t="shared" si="2"/>
        <v>March</v>
      </c>
      <c r="K40" s="88" t="str">
        <f t="shared" si="3"/>
        <v>2024</v>
      </c>
      <c r="L40" s="6"/>
      <c r="M40" s="6"/>
      <c r="N40" s="6"/>
    </row>
    <row r="41" spans="1:14" x14ac:dyDescent="0.3">
      <c r="A41" s="92">
        <v>45356</v>
      </c>
      <c r="B41" s="92" t="str">
        <f t="shared" si="0"/>
        <v>Tuesday</v>
      </c>
      <c r="C41" s="93" t="s">
        <v>1381</v>
      </c>
      <c r="D41" s="93" t="s">
        <v>39</v>
      </c>
      <c r="E41" s="94">
        <v>28.9</v>
      </c>
      <c r="F41" s="93" t="s">
        <v>26</v>
      </c>
      <c r="G41" s="87">
        <f>Table1[[#This Row],[date]]</f>
        <v>45356</v>
      </c>
      <c r="H41" s="94">
        <f>SUMIF($A$2:A3676,G41,$E$2:E3676)</f>
        <v>338.49999999999994</v>
      </c>
      <c r="I41" s="93" t="str">
        <f t="shared" si="1"/>
        <v>Tuesday</v>
      </c>
      <c r="J41" s="93" t="str">
        <f t="shared" si="2"/>
        <v>March</v>
      </c>
      <c r="K41" s="93" t="str">
        <f t="shared" si="3"/>
        <v>2024</v>
      </c>
      <c r="L41" s="6"/>
      <c r="M41" s="6"/>
      <c r="N41" s="6"/>
    </row>
    <row r="42" spans="1:14" x14ac:dyDescent="0.3">
      <c r="A42" s="87">
        <v>45356</v>
      </c>
      <c r="B42" s="87" t="str">
        <f t="shared" si="0"/>
        <v>Tuesday</v>
      </c>
      <c r="C42" s="88" t="s">
        <v>1381</v>
      </c>
      <c r="D42" s="88" t="s">
        <v>39</v>
      </c>
      <c r="E42" s="89">
        <v>38.700000000000003</v>
      </c>
      <c r="F42" s="88" t="s">
        <v>7</v>
      </c>
      <c r="G42" s="87">
        <f>Table1[[#This Row],[date]]</f>
        <v>45356</v>
      </c>
      <c r="H42" s="89">
        <f>SUMIF($A$2:A3677,G42,$E$2:E3677)</f>
        <v>338.49999999999994</v>
      </c>
      <c r="I42" s="88" t="str">
        <f t="shared" si="1"/>
        <v>Tuesday</v>
      </c>
      <c r="J42" s="88" t="str">
        <f t="shared" si="2"/>
        <v>March</v>
      </c>
      <c r="K42" s="88" t="str">
        <f t="shared" si="3"/>
        <v>2024</v>
      </c>
      <c r="L42" s="6"/>
      <c r="M42" s="6"/>
      <c r="N42" s="6"/>
    </row>
    <row r="43" spans="1:14" x14ac:dyDescent="0.3">
      <c r="A43" s="92">
        <v>45357</v>
      </c>
      <c r="B43" s="92" t="str">
        <f t="shared" si="0"/>
        <v>Wednesday</v>
      </c>
      <c r="C43" s="93" t="s">
        <v>1383</v>
      </c>
      <c r="D43" s="93"/>
      <c r="E43" s="94">
        <v>35</v>
      </c>
      <c r="F43" s="93" t="s">
        <v>12</v>
      </c>
      <c r="G43" s="87">
        <f>Table1[[#This Row],[date]]</f>
        <v>45357</v>
      </c>
      <c r="H43" s="94">
        <f>SUMIF($A$2:A3678,G43,$E$2:E3678)</f>
        <v>170.2</v>
      </c>
      <c r="I43" s="93" t="str">
        <f t="shared" si="1"/>
        <v>Wednesday</v>
      </c>
      <c r="J43" s="93" t="str">
        <f t="shared" si="2"/>
        <v>March</v>
      </c>
      <c r="K43" s="93" t="str">
        <f t="shared" si="3"/>
        <v>2024</v>
      </c>
      <c r="L43" s="6"/>
      <c r="M43" s="6"/>
      <c r="N43" s="6"/>
    </row>
    <row r="44" spans="1:14" x14ac:dyDescent="0.3">
      <c r="A44" s="87">
        <v>45357</v>
      </c>
      <c r="B44" s="87" t="str">
        <f t="shared" si="0"/>
        <v>Wednesday</v>
      </c>
      <c r="C44" s="88" t="s">
        <v>1381</v>
      </c>
      <c r="D44" s="88" t="s">
        <v>21</v>
      </c>
      <c r="E44" s="89">
        <v>28.9</v>
      </c>
      <c r="F44" s="88" t="s">
        <v>9</v>
      </c>
      <c r="G44" s="87">
        <f>Table1[[#This Row],[date]]</f>
        <v>45357</v>
      </c>
      <c r="H44" s="89">
        <f>SUMIF($A$2:A3679,G44,$E$2:E3679)</f>
        <v>170.2</v>
      </c>
      <c r="I44" s="88" t="str">
        <f t="shared" si="1"/>
        <v>Wednesday</v>
      </c>
      <c r="J44" s="88" t="str">
        <f t="shared" si="2"/>
        <v>March</v>
      </c>
      <c r="K44" s="88" t="str">
        <f t="shared" si="3"/>
        <v>2024</v>
      </c>
      <c r="L44" s="6"/>
      <c r="M44" s="6"/>
      <c r="N44" s="6"/>
    </row>
    <row r="45" spans="1:14" x14ac:dyDescent="0.3">
      <c r="A45" s="92">
        <v>45357</v>
      </c>
      <c r="B45" s="92" t="str">
        <f t="shared" si="0"/>
        <v>Wednesday</v>
      </c>
      <c r="C45" s="93" t="s">
        <v>1381</v>
      </c>
      <c r="D45" s="93" t="s">
        <v>21</v>
      </c>
      <c r="E45" s="94">
        <v>28.9</v>
      </c>
      <c r="F45" s="93" t="s">
        <v>26</v>
      </c>
      <c r="G45" s="87">
        <f>Table1[[#This Row],[date]]</f>
        <v>45357</v>
      </c>
      <c r="H45" s="94">
        <f>SUMIF($A$2:A3680,G45,$E$2:E3680)</f>
        <v>170.2</v>
      </c>
      <c r="I45" s="93" t="str">
        <f t="shared" si="1"/>
        <v>Wednesday</v>
      </c>
      <c r="J45" s="93" t="str">
        <f t="shared" si="2"/>
        <v>March</v>
      </c>
      <c r="K45" s="93" t="str">
        <f t="shared" si="3"/>
        <v>2024</v>
      </c>
      <c r="L45" s="6"/>
      <c r="M45" s="6"/>
      <c r="N45" s="6"/>
    </row>
    <row r="46" spans="1:14" x14ac:dyDescent="0.3">
      <c r="A46" s="87">
        <v>45357</v>
      </c>
      <c r="B46" s="87" t="str">
        <f t="shared" si="0"/>
        <v>Wednesday</v>
      </c>
      <c r="C46" s="88" t="s">
        <v>1381</v>
      </c>
      <c r="D46" s="88" t="s">
        <v>40</v>
      </c>
      <c r="E46" s="89">
        <v>38.700000000000003</v>
      </c>
      <c r="F46" s="88" t="s">
        <v>41</v>
      </c>
      <c r="G46" s="87">
        <f>Table1[[#This Row],[date]]</f>
        <v>45357</v>
      </c>
      <c r="H46" s="89">
        <f>SUMIF($A$2:A3681,G46,$E$2:E3681)</f>
        <v>170.2</v>
      </c>
      <c r="I46" s="88" t="str">
        <f t="shared" si="1"/>
        <v>Wednesday</v>
      </c>
      <c r="J46" s="88" t="str">
        <f t="shared" si="2"/>
        <v>March</v>
      </c>
      <c r="K46" s="88" t="str">
        <f t="shared" si="3"/>
        <v>2024</v>
      </c>
      <c r="L46" s="6"/>
      <c r="M46" s="6"/>
      <c r="N46" s="6"/>
    </row>
    <row r="47" spans="1:14" x14ac:dyDescent="0.3">
      <c r="A47" s="92">
        <v>45357</v>
      </c>
      <c r="B47" s="92" t="str">
        <f t="shared" si="0"/>
        <v>Wednesday</v>
      </c>
      <c r="C47" s="93" t="s">
        <v>1381</v>
      </c>
      <c r="D47" s="93" t="s">
        <v>40</v>
      </c>
      <c r="E47" s="94">
        <v>38.700000000000003</v>
      </c>
      <c r="F47" s="93" t="s">
        <v>41</v>
      </c>
      <c r="G47" s="87">
        <f>Table1[[#This Row],[date]]</f>
        <v>45357</v>
      </c>
      <c r="H47" s="94">
        <f>SUMIF($A$2:A3682,G47,$E$2:E3682)</f>
        <v>170.2</v>
      </c>
      <c r="I47" s="93" t="str">
        <f t="shared" si="1"/>
        <v>Wednesday</v>
      </c>
      <c r="J47" s="93" t="str">
        <f t="shared" si="2"/>
        <v>March</v>
      </c>
      <c r="K47" s="93" t="str">
        <f t="shared" si="3"/>
        <v>2024</v>
      </c>
      <c r="L47" s="6"/>
      <c r="M47" s="6"/>
      <c r="N47" s="6"/>
    </row>
    <row r="48" spans="1:14" x14ac:dyDescent="0.3">
      <c r="A48" s="87">
        <v>45358</v>
      </c>
      <c r="B48" s="87" t="str">
        <f t="shared" si="0"/>
        <v>Thursday</v>
      </c>
      <c r="C48" s="88" t="s">
        <v>1383</v>
      </c>
      <c r="D48" s="88"/>
      <c r="E48" s="89">
        <v>40</v>
      </c>
      <c r="F48" s="88" t="s">
        <v>5</v>
      </c>
      <c r="G48" s="87">
        <f>Table1[[#This Row],[date]]</f>
        <v>45358</v>
      </c>
      <c r="H48" s="89">
        <f>SUMIF($A$2:A3683,G48,$E$2:E3683)</f>
        <v>220.10000000000002</v>
      </c>
      <c r="I48" s="88" t="str">
        <f t="shared" si="1"/>
        <v>Thursday</v>
      </c>
      <c r="J48" s="88" t="str">
        <f t="shared" si="2"/>
        <v>March</v>
      </c>
      <c r="K48" s="88" t="str">
        <f t="shared" si="3"/>
        <v>2024</v>
      </c>
      <c r="L48" s="6"/>
      <c r="M48" s="6"/>
      <c r="N48" s="6"/>
    </row>
    <row r="49" spans="1:14" x14ac:dyDescent="0.3">
      <c r="A49" s="92">
        <v>45358</v>
      </c>
      <c r="B49" s="92" t="str">
        <f t="shared" si="0"/>
        <v>Thursday</v>
      </c>
      <c r="C49" s="93" t="s">
        <v>1381</v>
      </c>
      <c r="D49" s="93" t="s">
        <v>42</v>
      </c>
      <c r="E49" s="94">
        <v>38.700000000000003</v>
      </c>
      <c r="F49" s="93" t="s">
        <v>7</v>
      </c>
      <c r="G49" s="87">
        <f>Table1[[#This Row],[date]]</f>
        <v>45358</v>
      </c>
      <c r="H49" s="94">
        <f>SUMIF($A$2:A3684,G49,$E$2:E3684)</f>
        <v>220.10000000000002</v>
      </c>
      <c r="I49" s="93" t="str">
        <f t="shared" si="1"/>
        <v>Thursday</v>
      </c>
      <c r="J49" s="93" t="str">
        <f t="shared" si="2"/>
        <v>March</v>
      </c>
      <c r="K49" s="93" t="str">
        <f t="shared" si="3"/>
        <v>2024</v>
      </c>
      <c r="L49" s="6"/>
      <c r="M49" s="6"/>
      <c r="N49" s="6"/>
    </row>
    <row r="50" spans="1:14" x14ac:dyDescent="0.3">
      <c r="A50" s="87">
        <v>45358</v>
      </c>
      <c r="B50" s="87" t="str">
        <f t="shared" si="0"/>
        <v>Thursday</v>
      </c>
      <c r="C50" s="88" t="s">
        <v>1381</v>
      </c>
      <c r="D50" s="88" t="s">
        <v>43</v>
      </c>
      <c r="E50" s="89">
        <v>38.700000000000003</v>
      </c>
      <c r="F50" s="88" t="s">
        <v>5</v>
      </c>
      <c r="G50" s="87">
        <f>Table1[[#This Row],[date]]</f>
        <v>45358</v>
      </c>
      <c r="H50" s="89">
        <f>SUMIF($A$2:A3685,G50,$E$2:E3685)</f>
        <v>220.10000000000002</v>
      </c>
      <c r="I50" s="88" t="str">
        <f t="shared" si="1"/>
        <v>Thursday</v>
      </c>
      <c r="J50" s="88" t="str">
        <f t="shared" si="2"/>
        <v>March</v>
      </c>
      <c r="K50" s="88" t="str">
        <f t="shared" si="3"/>
        <v>2024</v>
      </c>
      <c r="L50" s="6"/>
      <c r="M50" s="6"/>
      <c r="N50" s="6"/>
    </row>
    <row r="51" spans="1:14" x14ac:dyDescent="0.3">
      <c r="A51" s="92">
        <v>45358</v>
      </c>
      <c r="B51" s="92" t="str">
        <f t="shared" si="0"/>
        <v>Thursday</v>
      </c>
      <c r="C51" s="93" t="s">
        <v>1383</v>
      </c>
      <c r="D51" s="93"/>
      <c r="E51" s="94">
        <v>40</v>
      </c>
      <c r="F51" s="93" t="s">
        <v>5</v>
      </c>
      <c r="G51" s="87">
        <f>Table1[[#This Row],[date]]</f>
        <v>45358</v>
      </c>
      <c r="H51" s="94">
        <f>SUMIF($A$2:A3686,G51,$E$2:E3686)</f>
        <v>220.10000000000002</v>
      </c>
      <c r="I51" s="93" t="str">
        <f t="shared" si="1"/>
        <v>Thursday</v>
      </c>
      <c r="J51" s="93" t="str">
        <f t="shared" si="2"/>
        <v>March</v>
      </c>
      <c r="K51" s="93" t="str">
        <f t="shared" si="3"/>
        <v>2024</v>
      </c>
      <c r="L51" s="6"/>
      <c r="M51" s="6"/>
      <c r="N51" s="6"/>
    </row>
    <row r="52" spans="1:14" x14ac:dyDescent="0.3">
      <c r="A52" s="87">
        <v>45358</v>
      </c>
      <c r="B52" s="87" t="str">
        <f t="shared" si="0"/>
        <v>Thursday</v>
      </c>
      <c r="C52" s="88" t="s">
        <v>1381</v>
      </c>
      <c r="D52" s="88" t="s">
        <v>44</v>
      </c>
      <c r="E52" s="89">
        <v>28.9</v>
      </c>
      <c r="F52" s="88" t="s">
        <v>9</v>
      </c>
      <c r="G52" s="87">
        <f>Table1[[#This Row],[date]]</f>
        <v>45358</v>
      </c>
      <c r="H52" s="89">
        <f>SUMIF($A$2:A3687,G52,$E$2:E3687)</f>
        <v>220.10000000000002</v>
      </c>
      <c r="I52" s="88" t="str">
        <f t="shared" si="1"/>
        <v>Thursday</v>
      </c>
      <c r="J52" s="88" t="str">
        <f t="shared" si="2"/>
        <v>March</v>
      </c>
      <c r="K52" s="88" t="str">
        <f t="shared" si="3"/>
        <v>2024</v>
      </c>
      <c r="L52" s="6"/>
      <c r="M52" s="6"/>
      <c r="N52" s="6"/>
    </row>
    <row r="53" spans="1:14" x14ac:dyDescent="0.3">
      <c r="A53" s="92">
        <v>45358</v>
      </c>
      <c r="B53" s="92" t="str">
        <f t="shared" si="0"/>
        <v>Thursday</v>
      </c>
      <c r="C53" s="93" t="s">
        <v>1381</v>
      </c>
      <c r="D53" s="93" t="s">
        <v>45</v>
      </c>
      <c r="E53" s="94">
        <v>33.799999999999997</v>
      </c>
      <c r="F53" s="93" t="s">
        <v>12</v>
      </c>
      <c r="G53" s="87">
        <f>Table1[[#This Row],[date]]</f>
        <v>45358</v>
      </c>
      <c r="H53" s="94">
        <f>SUMIF($A$2:A3688,G53,$E$2:E3688)</f>
        <v>220.10000000000002</v>
      </c>
      <c r="I53" s="93" t="str">
        <f t="shared" si="1"/>
        <v>Thursday</v>
      </c>
      <c r="J53" s="93" t="str">
        <f t="shared" si="2"/>
        <v>March</v>
      </c>
      <c r="K53" s="93" t="str">
        <f t="shared" si="3"/>
        <v>2024</v>
      </c>
      <c r="L53" s="6"/>
      <c r="M53" s="6"/>
      <c r="N53" s="6"/>
    </row>
    <row r="54" spans="1:14" x14ac:dyDescent="0.3">
      <c r="A54" s="87">
        <v>45359</v>
      </c>
      <c r="B54" s="87" t="str">
        <f t="shared" si="0"/>
        <v>Friday</v>
      </c>
      <c r="C54" s="88" t="s">
        <v>1381</v>
      </c>
      <c r="D54" s="88" t="s">
        <v>21</v>
      </c>
      <c r="E54" s="89">
        <v>28.9</v>
      </c>
      <c r="F54" s="88" t="s">
        <v>26</v>
      </c>
      <c r="G54" s="87">
        <f>Table1[[#This Row],[date]]</f>
        <v>45359</v>
      </c>
      <c r="H54" s="89">
        <f>SUMIF($A$2:A3689,G54,$E$2:E3689)</f>
        <v>265.5</v>
      </c>
      <c r="I54" s="88" t="str">
        <f t="shared" si="1"/>
        <v>Friday</v>
      </c>
      <c r="J54" s="88" t="str">
        <f t="shared" si="2"/>
        <v>March</v>
      </c>
      <c r="K54" s="88" t="str">
        <f t="shared" si="3"/>
        <v>2024</v>
      </c>
      <c r="L54" s="6"/>
      <c r="M54" s="6"/>
      <c r="N54" s="6"/>
    </row>
    <row r="55" spans="1:14" x14ac:dyDescent="0.3">
      <c r="A55" s="92">
        <v>45359</v>
      </c>
      <c r="B55" s="92" t="str">
        <f t="shared" si="0"/>
        <v>Friday</v>
      </c>
      <c r="C55" s="93" t="s">
        <v>1381</v>
      </c>
      <c r="D55" s="93" t="s">
        <v>46</v>
      </c>
      <c r="E55" s="94">
        <v>38.700000000000003</v>
      </c>
      <c r="F55" s="93" t="s">
        <v>41</v>
      </c>
      <c r="G55" s="87">
        <f>Table1[[#This Row],[date]]</f>
        <v>45359</v>
      </c>
      <c r="H55" s="94">
        <f>SUMIF($A$2:A3690,G55,$E$2:E3690)</f>
        <v>265.5</v>
      </c>
      <c r="I55" s="93" t="str">
        <f t="shared" si="1"/>
        <v>Friday</v>
      </c>
      <c r="J55" s="93" t="str">
        <f t="shared" si="2"/>
        <v>March</v>
      </c>
      <c r="K55" s="93" t="str">
        <f t="shared" si="3"/>
        <v>2024</v>
      </c>
      <c r="L55" s="6"/>
      <c r="M55" s="6"/>
      <c r="N55" s="6"/>
    </row>
    <row r="56" spans="1:14" x14ac:dyDescent="0.3">
      <c r="A56" s="87">
        <v>45359</v>
      </c>
      <c r="B56" s="87" t="str">
        <f t="shared" si="0"/>
        <v>Friday</v>
      </c>
      <c r="C56" s="88" t="s">
        <v>1381</v>
      </c>
      <c r="D56" s="88" t="s">
        <v>47</v>
      </c>
      <c r="E56" s="89">
        <v>28.9</v>
      </c>
      <c r="F56" s="88" t="s">
        <v>9</v>
      </c>
      <c r="G56" s="87">
        <f>Table1[[#This Row],[date]]</f>
        <v>45359</v>
      </c>
      <c r="H56" s="89">
        <f>SUMIF($A$2:A3691,G56,$E$2:E3691)</f>
        <v>265.5</v>
      </c>
      <c r="I56" s="88" t="str">
        <f t="shared" si="1"/>
        <v>Friday</v>
      </c>
      <c r="J56" s="88" t="str">
        <f t="shared" si="2"/>
        <v>March</v>
      </c>
      <c r="K56" s="88" t="str">
        <f t="shared" si="3"/>
        <v>2024</v>
      </c>
      <c r="L56" s="6"/>
      <c r="M56" s="6"/>
      <c r="N56" s="6"/>
    </row>
    <row r="57" spans="1:14" x14ac:dyDescent="0.3">
      <c r="A57" s="92">
        <v>45359</v>
      </c>
      <c r="B57" s="92" t="str">
        <f t="shared" si="0"/>
        <v>Friday</v>
      </c>
      <c r="C57" s="93" t="s">
        <v>1381</v>
      </c>
      <c r="D57" s="93" t="s">
        <v>21</v>
      </c>
      <c r="E57" s="94">
        <v>28.9</v>
      </c>
      <c r="F57" s="93" t="s">
        <v>9</v>
      </c>
      <c r="G57" s="87">
        <f>Table1[[#This Row],[date]]</f>
        <v>45359</v>
      </c>
      <c r="H57" s="94">
        <f>SUMIF($A$2:A3692,G57,$E$2:E3692)</f>
        <v>265.5</v>
      </c>
      <c r="I57" s="93" t="str">
        <f t="shared" si="1"/>
        <v>Friday</v>
      </c>
      <c r="J57" s="93" t="str">
        <f t="shared" si="2"/>
        <v>March</v>
      </c>
      <c r="K57" s="93" t="str">
        <f t="shared" si="3"/>
        <v>2024</v>
      </c>
      <c r="L57" s="6"/>
      <c r="M57" s="6"/>
      <c r="N57" s="6"/>
    </row>
    <row r="58" spans="1:14" x14ac:dyDescent="0.3">
      <c r="A58" s="87">
        <v>45359</v>
      </c>
      <c r="B58" s="87" t="str">
        <f t="shared" si="0"/>
        <v>Friday</v>
      </c>
      <c r="C58" s="88" t="s">
        <v>1381</v>
      </c>
      <c r="D58" s="88" t="s">
        <v>45</v>
      </c>
      <c r="E58" s="89">
        <v>28.9</v>
      </c>
      <c r="F58" s="88" t="s">
        <v>9</v>
      </c>
      <c r="G58" s="87">
        <f>Table1[[#This Row],[date]]</f>
        <v>45359</v>
      </c>
      <c r="H58" s="89">
        <f>SUMIF($A$2:A3693,G58,$E$2:E3693)</f>
        <v>265.5</v>
      </c>
      <c r="I58" s="88" t="str">
        <f t="shared" si="1"/>
        <v>Friday</v>
      </c>
      <c r="J58" s="88" t="str">
        <f t="shared" si="2"/>
        <v>March</v>
      </c>
      <c r="K58" s="88" t="str">
        <f t="shared" si="3"/>
        <v>2024</v>
      </c>
      <c r="L58" s="6"/>
      <c r="M58" s="6"/>
      <c r="N58" s="6"/>
    </row>
    <row r="59" spans="1:14" x14ac:dyDescent="0.3">
      <c r="A59" s="92">
        <v>45359</v>
      </c>
      <c r="B59" s="92" t="str">
        <f t="shared" si="0"/>
        <v>Friday</v>
      </c>
      <c r="C59" s="93" t="s">
        <v>1381</v>
      </c>
      <c r="D59" s="93" t="s">
        <v>21</v>
      </c>
      <c r="E59" s="94">
        <v>33.799999999999997</v>
      </c>
      <c r="F59" s="93" t="s">
        <v>12</v>
      </c>
      <c r="G59" s="87">
        <f>Table1[[#This Row],[date]]</f>
        <v>45359</v>
      </c>
      <c r="H59" s="94">
        <f>SUMIF($A$2:A3694,G59,$E$2:E3694)</f>
        <v>265.5</v>
      </c>
      <c r="I59" s="93" t="str">
        <f t="shared" si="1"/>
        <v>Friday</v>
      </c>
      <c r="J59" s="93" t="str">
        <f t="shared" si="2"/>
        <v>March</v>
      </c>
      <c r="K59" s="93" t="str">
        <f t="shared" si="3"/>
        <v>2024</v>
      </c>
      <c r="L59" s="6"/>
      <c r="M59" s="6"/>
      <c r="N59" s="6"/>
    </row>
    <row r="60" spans="1:14" x14ac:dyDescent="0.3">
      <c r="A60" s="87">
        <v>45359</v>
      </c>
      <c r="B60" s="87" t="str">
        <f t="shared" si="0"/>
        <v>Friday</v>
      </c>
      <c r="C60" s="88" t="s">
        <v>1381</v>
      </c>
      <c r="D60" s="88" t="s">
        <v>48</v>
      </c>
      <c r="E60" s="89">
        <v>38.700000000000003</v>
      </c>
      <c r="F60" s="88" t="s">
        <v>5</v>
      </c>
      <c r="G60" s="87">
        <f>Table1[[#This Row],[date]]</f>
        <v>45359</v>
      </c>
      <c r="H60" s="89">
        <f>SUMIF($A$2:A3695,G60,$E$2:E3695)</f>
        <v>265.5</v>
      </c>
      <c r="I60" s="88" t="str">
        <f t="shared" si="1"/>
        <v>Friday</v>
      </c>
      <c r="J60" s="88" t="str">
        <f t="shared" si="2"/>
        <v>March</v>
      </c>
      <c r="K60" s="88" t="str">
        <f t="shared" si="3"/>
        <v>2024</v>
      </c>
      <c r="L60" s="6"/>
      <c r="M60" s="6"/>
      <c r="N60" s="6"/>
    </row>
    <row r="61" spans="1:14" x14ac:dyDescent="0.3">
      <c r="A61" s="92">
        <v>45359</v>
      </c>
      <c r="B61" s="92" t="str">
        <f t="shared" si="0"/>
        <v>Friday</v>
      </c>
      <c r="C61" s="93" t="s">
        <v>1381</v>
      </c>
      <c r="D61" s="93" t="s">
        <v>49</v>
      </c>
      <c r="E61" s="94">
        <v>38.700000000000003</v>
      </c>
      <c r="F61" s="93" t="s">
        <v>5</v>
      </c>
      <c r="G61" s="87">
        <f>Table1[[#This Row],[date]]</f>
        <v>45359</v>
      </c>
      <c r="H61" s="94">
        <f>SUMIF($A$2:A3696,G61,$E$2:E3696)</f>
        <v>265.5</v>
      </c>
      <c r="I61" s="93" t="str">
        <f t="shared" si="1"/>
        <v>Friday</v>
      </c>
      <c r="J61" s="93" t="str">
        <f t="shared" si="2"/>
        <v>March</v>
      </c>
      <c r="K61" s="93" t="str">
        <f t="shared" si="3"/>
        <v>2024</v>
      </c>
      <c r="L61" s="6"/>
      <c r="M61" s="6"/>
      <c r="N61" s="6"/>
    </row>
    <row r="62" spans="1:14" x14ac:dyDescent="0.3">
      <c r="A62" s="87">
        <v>45360</v>
      </c>
      <c r="B62" s="87" t="str">
        <f t="shared" si="0"/>
        <v>Saturday</v>
      </c>
      <c r="C62" s="88" t="s">
        <v>1383</v>
      </c>
      <c r="D62" s="88"/>
      <c r="E62" s="89">
        <v>40</v>
      </c>
      <c r="F62" s="88" t="s">
        <v>7</v>
      </c>
      <c r="G62" s="87">
        <f>Table1[[#This Row],[date]]</f>
        <v>45360</v>
      </c>
      <c r="H62" s="89">
        <f>SUMIF($A$2:A3697,G62,$E$2:E3697)</f>
        <v>479.4</v>
      </c>
      <c r="I62" s="88" t="str">
        <f t="shared" si="1"/>
        <v>Saturday</v>
      </c>
      <c r="J62" s="88" t="str">
        <f t="shared" si="2"/>
        <v>March</v>
      </c>
      <c r="K62" s="88" t="str">
        <f t="shared" si="3"/>
        <v>2024</v>
      </c>
      <c r="L62" s="6"/>
      <c r="M62" s="6"/>
      <c r="N62" s="6"/>
    </row>
    <row r="63" spans="1:14" x14ac:dyDescent="0.3">
      <c r="A63" s="92">
        <v>45360</v>
      </c>
      <c r="B63" s="92" t="str">
        <f t="shared" si="0"/>
        <v>Saturday</v>
      </c>
      <c r="C63" s="93" t="s">
        <v>1381</v>
      </c>
      <c r="D63" s="93" t="s">
        <v>50</v>
      </c>
      <c r="E63" s="94">
        <v>24</v>
      </c>
      <c r="F63" s="93" t="s">
        <v>33</v>
      </c>
      <c r="G63" s="87">
        <f>Table1[[#This Row],[date]]</f>
        <v>45360</v>
      </c>
      <c r="H63" s="94">
        <f>SUMIF($A$2:A3698,G63,$E$2:E3698)</f>
        <v>479.4</v>
      </c>
      <c r="I63" s="93" t="str">
        <f t="shared" si="1"/>
        <v>Saturday</v>
      </c>
      <c r="J63" s="93" t="str">
        <f t="shared" si="2"/>
        <v>March</v>
      </c>
      <c r="K63" s="93" t="str">
        <f t="shared" si="3"/>
        <v>2024</v>
      </c>
      <c r="L63" s="6"/>
      <c r="M63" s="6"/>
      <c r="N63" s="6"/>
    </row>
    <row r="64" spans="1:14" x14ac:dyDescent="0.3">
      <c r="A64" s="87">
        <v>45360</v>
      </c>
      <c r="B64" s="87" t="str">
        <f t="shared" si="0"/>
        <v>Saturday</v>
      </c>
      <c r="C64" s="88" t="s">
        <v>1381</v>
      </c>
      <c r="D64" s="88" t="s">
        <v>51</v>
      </c>
      <c r="E64" s="89">
        <v>28.9</v>
      </c>
      <c r="F64" s="88" t="s">
        <v>9</v>
      </c>
      <c r="G64" s="87">
        <f>Table1[[#This Row],[date]]</f>
        <v>45360</v>
      </c>
      <c r="H64" s="89">
        <f>SUMIF($A$2:A3699,G64,$E$2:E3699)</f>
        <v>479.4</v>
      </c>
      <c r="I64" s="88" t="str">
        <f t="shared" si="1"/>
        <v>Saturday</v>
      </c>
      <c r="J64" s="88" t="str">
        <f t="shared" si="2"/>
        <v>March</v>
      </c>
      <c r="K64" s="88" t="str">
        <f t="shared" si="3"/>
        <v>2024</v>
      </c>
      <c r="L64" s="6"/>
      <c r="M64" s="6"/>
      <c r="N64" s="6"/>
    </row>
    <row r="65" spans="1:14" x14ac:dyDescent="0.3">
      <c r="A65" s="92">
        <v>45360</v>
      </c>
      <c r="B65" s="92" t="str">
        <f t="shared" si="0"/>
        <v>Saturday</v>
      </c>
      <c r="C65" s="93" t="s">
        <v>1381</v>
      </c>
      <c r="D65" s="93" t="s">
        <v>21</v>
      </c>
      <c r="E65" s="94">
        <v>38.700000000000003</v>
      </c>
      <c r="F65" s="93" t="s">
        <v>41</v>
      </c>
      <c r="G65" s="87">
        <f>Table1[[#This Row],[date]]</f>
        <v>45360</v>
      </c>
      <c r="H65" s="94">
        <f>SUMIF($A$2:A3700,G65,$E$2:E3700)</f>
        <v>479.4</v>
      </c>
      <c r="I65" s="93" t="str">
        <f t="shared" si="1"/>
        <v>Saturday</v>
      </c>
      <c r="J65" s="93" t="str">
        <f t="shared" si="2"/>
        <v>March</v>
      </c>
      <c r="K65" s="93" t="str">
        <f t="shared" si="3"/>
        <v>2024</v>
      </c>
      <c r="L65" s="6"/>
      <c r="M65" s="6"/>
      <c r="N65" s="6"/>
    </row>
    <row r="66" spans="1:14" x14ac:dyDescent="0.3">
      <c r="A66" s="87">
        <v>45360</v>
      </c>
      <c r="B66" s="87" t="str">
        <f t="shared" ref="B66:B129" si="4">TEXT(A66,"dddd")</f>
        <v>Saturday</v>
      </c>
      <c r="C66" s="88" t="s">
        <v>1381</v>
      </c>
      <c r="D66" s="88" t="s">
        <v>52</v>
      </c>
      <c r="E66" s="89">
        <v>28.9</v>
      </c>
      <c r="F66" s="88" t="s">
        <v>9</v>
      </c>
      <c r="G66" s="87">
        <f>Table1[[#This Row],[date]]</f>
        <v>45360</v>
      </c>
      <c r="H66" s="89">
        <f>SUMIF($A$2:A3701,G66,$E$2:E3701)</f>
        <v>479.4</v>
      </c>
      <c r="I66" s="88" t="str">
        <f t="shared" ref="I66:I129" si="5">TEXT(G66,"dddd")</f>
        <v>Saturday</v>
      </c>
      <c r="J66" s="88" t="str">
        <f t="shared" ref="J66:J129" si="6">TEXT(G66,"mmmm")</f>
        <v>March</v>
      </c>
      <c r="K66" s="88" t="str">
        <f t="shared" ref="K66:K129" si="7">TEXT(G66,"yyyy")</f>
        <v>2024</v>
      </c>
      <c r="L66" s="6"/>
      <c r="M66" s="6"/>
      <c r="N66" s="6"/>
    </row>
    <row r="67" spans="1:14" x14ac:dyDescent="0.3">
      <c r="A67" s="92">
        <v>45360</v>
      </c>
      <c r="B67" s="92" t="str">
        <f t="shared" si="4"/>
        <v>Saturday</v>
      </c>
      <c r="C67" s="93" t="s">
        <v>1381</v>
      </c>
      <c r="D67" s="93" t="s">
        <v>52</v>
      </c>
      <c r="E67" s="94">
        <v>28.9</v>
      </c>
      <c r="F67" s="93" t="s">
        <v>9</v>
      </c>
      <c r="G67" s="87">
        <f>Table1[[#This Row],[date]]</f>
        <v>45360</v>
      </c>
      <c r="H67" s="94">
        <f>SUMIF($A$2:A3702,G67,$E$2:E3702)</f>
        <v>479.4</v>
      </c>
      <c r="I67" s="93" t="str">
        <f t="shared" si="5"/>
        <v>Saturday</v>
      </c>
      <c r="J67" s="93" t="str">
        <f t="shared" si="6"/>
        <v>March</v>
      </c>
      <c r="K67" s="93" t="str">
        <f t="shared" si="7"/>
        <v>2024</v>
      </c>
      <c r="L67" s="6"/>
      <c r="M67" s="6"/>
      <c r="N67" s="6"/>
    </row>
    <row r="68" spans="1:14" x14ac:dyDescent="0.3">
      <c r="A68" s="87">
        <v>45360</v>
      </c>
      <c r="B68" s="87" t="str">
        <f t="shared" si="4"/>
        <v>Saturday</v>
      </c>
      <c r="C68" s="88" t="s">
        <v>1381</v>
      </c>
      <c r="D68" s="88" t="s">
        <v>53</v>
      </c>
      <c r="E68" s="89">
        <v>38.700000000000003</v>
      </c>
      <c r="F68" s="88" t="s">
        <v>5</v>
      </c>
      <c r="G68" s="87">
        <f>Table1[[#This Row],[date]]</f>
        <v>45360</v>
      </c>
      <c r="H68" s="89">
        <f>SUMIF($A$2:A3703,G68,$E$2:E3703)</f>
        <v>479.4</v>
      </c>
      <c r="I68" s="88" t="str">
        <f t="shared" si="5"/>
        <v>Saturday</v>
      </c>
      <c r="J68" s="88" t="str">
        <f t="shared" si="6"/>
        <v>March</v>
      </c>
      <c r="K68" s="88" t="str">
        <f t="shared" si="7"/>
        <v>2024</v>
      </c>
      <c r="L68" s="6"/>
      <c r="M68" s="6"/>
      <c r="N68" s="6"/>
    </row>
    <row r="69" spans="1:14" x14ac:dyDescent="0.3">
      <c r="A69" s="92">
        <v>45360</v>
      </c>
      <c r="B69" s="92" t="str">
        <f t="shared" si="4"/>
        <v>Saturday</v>
      </c>
      <c r="C69" s="93" t="s">
        <v>1381</v>
      </c>
      <c r="D69" s="93" t="s">
        <v>54</v>
      </c>
      <c r="E69" s="94">
        <v>33.799999999999997</v>
      </c>
      <c r="F69" s="93" t="s">
        <v>12</v>
      </c>
      <c r="G69" s="87">
        <f>Table1[[#This Row],[date]]</f>
        <v>45360</v>
      </c>
      <c r="H69" s="94">
        <f>SUMIF($A$2:A3704,G69,$E$2:E3704)</f>
        <v>479.4</v>
      </c>
      <c r="I69" s="93" t="str">
        <f t="shared" si="5"/>
        <v>Saturday</v>
      </c>
      <c r="J69" s="93" t="str">
        <f t="shared" si="6"/>
        <v>March</v>
      </c>
      <c r="K69" s="93" t="str">
        <f t="shared" si="7"/>
        <v>2024</v>
      </c>
      <c r="L69" s="6"/>
      <c r="M69" s="6"/>
      <c r="N69" s="6"/>
    </row>
    <row r="70" spans="1:14" x14ac:dyDescent="0.3">
      <c r="A70" s="87">
        <v>45360</v>
      </c>
      <c r="B70" s="87" t="str">
        <f t="shared" si="4"/>
        <v>Saturday</v>
      </c>
      <c r="C70" s="88" t="s">
        <v>1381</v>
      </c>
      <c r="D70" s="88" t="s">
        <v>55</v>
      </c>
      <c r="E70" s="89">
        <v>28.9</v>
      </c>
      <c r="F70" s="88" t="s">
        <v>26</v>
      </c>
      <c r="G70" s="87">
        <f>Table1[[#This Row],[date]]</f>
        <v>45360</v>
      </c>
      <c r="H70" s="89">
        <f>SUMIF($A$2:A3705,G70,$E$2:E3705)</f>
        <v>479.4</v>
      </c>
      <c r="I70" s="88" t="str">
        <f t="shared" si="5"/>
        <v>Saturday</v>
      </c>
      <c r="J70" s="88" t="str">
        <f t="shared" si="6"/>
        <v>March</v>
      </c>
      <c r="K70" s="88" t="str">
        <f t="shared" si="7"/>
        <v>2024</v>
      </c>
      <c r="L70" s="6"/>
      <c r="M70" s="6"/>
      <c r="N70" s="6"/>
    </row>
    <row r="71" spans="1:14" x14ac:dyDescent="0.3">
      <c r="A71" s="92">
        <v>45360</v>
      </c>
      <c r="B71" s="92" t="str">
        <f t="shared" si="4"/>
        <v>Saturday</v>
      </c>
      <c r="C71" s="93" t="s">
        <v>1381</v>
      </c>
      <c r="D71" s="93" t="s">
        <v>55</v>
      </c>
      <c r="E71" s="94">
        <v>38.700000000000003</v>
      </c>
      <c r="F71" s="93" t="s">
        <v>41</v>
      </c>
      <c r="G71" s="87">
        <f>Table1[[#This Row],[date]]</f>
        <v>45360</v>
      </c>
      <c r="H71" s="94">
        <f>SUMIF($A$2:A3706,G71,$E$2:E3706)</f>
        <v>479.4</v>
      </c>
      <c r="I71" s="93" t="str">
        <f t="shared" si="5"/>
        <v>Saturday</v>
      </c>
      <c r="J71" s="93" t="str">
        <f t="shared" si="6"/>
        <v>March</v>
      </c>
      <c r="K71" s="93" t="str">
        <f t="shared" si="7"/>
        <v>2024</v>
      </c>
      <c r="L71" s="6"/>
      <c r="M71" s="6"/>
      <c r="N71" s="6"/>
    </row>
    <row r="72" spans="1:14" x14ac:dyDescent="0.3">
      <c r="A72" s="87">
        <v>45360</v>
      </c>
      <c r="B72" s="87" t="str">
        <f t="shared" si="4"/>
        <v>Saturday</v>
      </c>
      <c r="C72" s="88" t="s">
        <v>1381</v>
      </c>
      <c r="D72" s="88" t="s">
        <v>17</v>
      </c>
      <c r="E72" s="89">
        <v>33.799999999999997</v>
      </c>
      <c r="F72" s="88" t="s">
        <v>12</v>
      </c>
      <c r="G72" s="87">
        <f>Table1[[#This Row],[date]]</f>
        <v>45360</v>
      </c>
      <c r="H72" s="89">
        <f>SUMIF($A$2:A3707,G72,$E$2:E3707)</f>
        <v>479.4</v>
      </c>
      <c r="I72" s="88" t="str">
        <f t="shared" si="5"/>
        <v>Saturday</v>
      </c>
      <c r="J72" s="88" t="str">
        <f t="shared" si="6"/>
        <v>March</v>
      </c>
      <c r="K72" s="88" t="str">
        <f t="shared" si="7"/>
        <v>2024</v>
      </c>
      <c r="L72" s="6"/>
      <c r="M72" s="6"/>
      <c r="N72" s="6"/>
    </row>
    <row r="73" spans="1:14" x14ac:dyDescent="0.3">
      <c r="A73" s="92">
        <v>45360</v>
      </c>
      <c r="B73" s="92" t="str">
        <f t="shared" si="4"/>
        <v>Saturday</v>
      </c>
      <c r="C73" s="93" t="s">
        <v>1381</v>
      </c>
      <c r="D73" s="93" t="s">
        <v>56</v>
      </c>
      <c r="E73" s="94">
        <v>38.700000000000003</v>
      </c>
      <c r="F73" s="93" t="s">
        <v>7</v>
      </c>
      <c r="G73" s="87">
        <f>Table1[[#This Row],[date]]</f>
        <v>45360</v>
      </c>
      <c r="H73" s="94">
        <f>SUMIF($A$2:A3708,G73,$E$2:E3708)</f>
        <v>479.4</v>
      </c>
      <c r="I73" s="93" t="str">
        <f t="shared" si="5"/>
        <v>Saturday</v>
      </c>
      <c r="J73" s="93" t="str">
        <f t="shared" si="6"/>
        <v>March</v>
      </c>
      <c r="K73" s="93" t="str">
        <f t="shared" si="7"/>
        <v>2024</v>
      </c>
      <c r="L73" s="6"/>
      <c r="M73" s="6"/>
      <c r="N73" s="6"/>
    </row>
    <row r="74" spans="1:14" x14ac:dyDescent="0.3">
      <c r="A74" s="87">
        <v>45360</v>
      </c>
      <c r="B74" s="87" t="str">
        <f t="shared" si="4"/>
        <v>Saturday</v>
      </c>
      <c r="C74" s="88" t="s">
        <v>1381</v>
      </c>
      <c r="D74" s="88" t="s">
        <v>17</v>
      </c>
      <c r="E74" s="89">
        <v>38.700000000000003</v>
      </c>
      <c r="F74" s="88" t="s">
        <v>41</v>
      </c>
      <c r="G74" s="87">
        <f>Table1[[#This Row],[date]]</f>
        <v>45360</v>
      </c>
      <c r="H74" s="89">
        <f>SUMIF($A$2:A3709,G74,$E$2:E3709)</f>
        <v>479.4</v>
      </c>
      <c r="I74" s="88" t="str">
        <f t="shared" si="5"/>
        <v>Saturday</v>
      </c>
      <c r="J74" s="88" t="str">
        <f t="shared" si="6"/>
        <v>March</v>
      </c>
      <c r="K74" s="88" t="str">
        <f t="shared" si="7"/>
        <v>2024</v>
      </c>
      <c r="L74" s="6"/>
      <c r="M74" s="6"/>
      <c r="N74" s="6"/>
    </row>
    <row r="75" spans="1:14" x14ac:dyDescent="0.3">
      <c r="A75" s="92">
        <v>45360</v>
      </c>
      <c r="B75" s="92" t="str">
        <f t="shared" si="4"/>
        <v>Saturday</v>
      </c>
      <c r="C75" s="93" t="s">
        <v>1381</v>
      </c>
      <c r="D75" s="93" t="s">
        <v>17</v>
      </c>
      <c r="E75" s="94">
        <v>38.700000000000003</v>
      </c>
      <c r="F75" s="93" t="s">
        <v>7</v>
      </c>
      <c r="G75" s="87">
        <f>Table1[[#This Row],[date]]</f>
        <v>45360</v>
      </c>
      <c r="H75" s="94">
        <f>SUMIF($A$2:A3710,G75,$E$2:E3710)</f>
        <v>479.4</v>
      </c>
      <c r="I75" s="93" t="str">
        <f t="shared" si="5"/>
        <v>Saturday</v>
      </c>
      <c r="J75" s="93" t="str">
        <f t="shared" si="6"/>
        <v>March</v>
      </c>
      <c r="K75" s="93" t="str">
        <f t="shared" si="7"/>
        <v>2024</v>
      </c>
      <c r="L75" s="6"/>
      <c r="M75" s="6"/>
      <c r="N75" s="6"/>
    </row>
    <row r="76" spans="1:14" x14ac:dyDescent="0.3">
      <c r="A76" s="87">
        <v>45361</v>
      </c>
      <c r="B76" s="87" t="str">
        <f t="shared" si="4"/>
        <v>Sunday</v>
      </c>
      <c r="C76" s="88" t="s">
        <v>1383</v>
      </c>
      <c r="D76" s="88"/>
      <c r="E76" s="89">
        <v>30</v>
      </c>
      <c r="F76" s="88" t="s">
        <v>9</v>
      </c>
      <c r="G76" s="87">
        <f>Table1[[#This Row],[date]]</f>
        <v>45361</v>
      </c>
      <c r="H76" s="89">
        <f>SUMIF($A$2:A3711,G76,$E$2:E3711)</f>
        <v>231.6</v>
      </c>
      <c r="I76" s="88" t="str">
        <f t="shared" si="5"/>
        <v>Sunday</v>
      </c>
      <c r="J76" s="88" t="str">
        <f t="shared" si="6"/>
        <v>March</v>
      </c>
      <c r="K76" s="88" t="str">
        <f t="shared" si="7"/>
        <v>2024</v>
      </c>
      <c r="L76" s="6"/>
      <c r="M76" s="6"/>
      <c r="N76" s="6"/>
    </row>
    <row r="77" spans="1:14" x14ac:dyDescent="0.3">
      <c r="A77" s="92">
        <v>45361</v>
      </c>
      <c r="B77" s="92" t="str">
        <f t="shared" si="4"/>
        <v>Sunday</v>
      </c>
      <c r="C77" s="93" t="s">
        <v>1383</v>
      </c>
      <c r="D77" s="93"/>
      <c r="E77" s="94">
        <v>35</v>
      </c>
      <c r="F77" s="93" t="s">
        <v>12</v>
      </c>
      <c r="G77" s="87">
        <f>Table1[[#This Row],[date]]</f>
        <v>45361</v>
      </c>
      <c r="H77" s="94">
        <f>SUMIF($A$2:A3712,G77,$E$2:E3712)</f>
        <v>231.6</v>
      </c>
      <c r="I77" s="93" t="str">
        <f t="shared" si="5"/>
        <v>Sunday</v>
      </c>
      <c r="J77" s="93" t="str">
        <f t="shared" si="6"/>
        <v>March</v>
      </c>
      <c r="K77" s="93" t="str">
        <f t="shared" si="7"/>
        <v>2024</v>
      </c>
      <c r="L77" s="6"/>
      <c r="M77" s="6"/>
      <c r="N77" s="6"/>
    </row>
    <row r="78" spans="1:14" x14ac:dyDescent="0.3">
      <c r="A78" s="87">
        <v>45361</v>
      </c>
      <c r="B78" s="87" t="str">
        <f t="shared" si="4"/>
        <v>Sunday</v>
      </c>
      <c r="C78" s="88" t="s">
        <v>1383</v>
      </c>
      <c r="D78" s="88"/>
      <c r="E78" s="89">
        <v>40</v>
      </c>
      <c r="F78" s="88" t="s">
        <v>5</v>
      </c>
      <c r="G78" s="87">
        <f>Table1[[#This Row],[date]]</f>
        <v>45361</v>
      </c>
      <c r="H78" s="89">
        <f>SUMIF($A$2:A3713,G78,$E$2:E3713)</f>
        <v>231.6</v>
      </c>
      <c r="I78" s="88" t="str">
        <f t="shared" si="5"/>
        <v>Sunday</v>
      </c>
      <c r="J78" s="88" t="str">
        <f t="shared" si="6"/>
        <v>March</v>
      </c>
      <c r="K78" s="88" t="str">
        <f t="shared" si="7"/>
        <v>2024</v>
      </c>
      <c r="L78" s="6"/>
      <c r="M78" s="6"/>
      <c r="N78" s="6"/>
    </row>
    <row r="79" spans="1:14" x14ac:dyDescent="0.3">
      <c r="A79" s="92">
        <v>45361</v>
      </c>
      <c r="B79" s="92" t="str">
        <f t="shared" si="4"/>
        <v>Sunday</v>
      </c>
      <c r="C79" s="93" t="s">
        <v>1381</v>
      </c>
      <c r="D79" s="93" t="s">
        <v>57</v>
      </c>
      <c r="E79" s="94">
        <v>24</v>
      </c>
      <c r="F79" s="93" t="s">
        <v>33</v>
      </c>
      <c r="G79" s="87">
        <f>Table1[[#This Row],[date]]</f>
        <v>45361</v>
      </c>
      <c r="H79" s="94">
        <f>SUMIF($A$2:A3714,G79,$E$2:E3714)</f>
        <v>231.6</v>
      </c>
      <c r="I79" s="93" t="str">
        <f t="shared" si="5"/>
        <v>Sunday</v>
      </c>
      <c r="J79" s="93" t="str">
        <f t="shared" si="6"/>
        <v>March</v>
      </c>
      <c r="K79" s="93" t="str">
        <f t="shared" si="7"/>
        <v>2024</v>
      </c>
      <c r="L79" s="6"/>
      <c r="M79" s="6"/>
      <c r="N79" s="6"/>
    </row>
    <row r="80" spans="1:14" x14ac:dyDescent="0.3">
      <c r="A80" s="87">
        <v>45361</v>
      </c>
      <c r="B80" s="87" t="str">
        <f t="shared" si="4"/>
        <v>Sunday</v>
      </c>
      <c r="C80" s="88" t="s">
        <v>1383</v>
      </c>
      <c r="D80" s="88"/>
      <c r="E80" s="89">
        <v>35</v>
      </c>
      <c r="F80" s="88" t="s">
        <v>12</v>
      </c>
      <c r="G80" s="87">
        <f>Table1[[#This Row],[date]]</f>
        <v>45361</v>
      </c>
      <c r="H80" s="89">
        <f>SUMIF($A$2:A3715,G80,$E$2:E3715)</f>
        <v>231.6</v>
      </c>
      <c r="I80" s="88" t="str">
        <f t="shared" si="5"/>
        <v>Sunday</v>
      </c>
      <c r="J80" s="88" t="str">
        <f t="shared" si="6"/>
        <v>March</v>
      </c>
      <c r="K80" s="88" t="str">
        <f t="shared" si="7"/>
        <v>2024</v>
      </c>
      <c r="L80" s="6"/>
      <c r="M80" s="6"/>
      <c r="N80" s="6"/>
    </row>
    <row r="81" spans="1:14" x14ac:dyDescent="0.3">
      <c r="A81" s="92">
        <v>45361</v>
      </c>
      <c r="B81" s="92" t="str">
        <f t="shared" si="4"/>
        <v>Sunday</v>
      </c>
      <c r="C81" s="93" t="s">
        <v>1381</v>
      </c>
      <c r="D81" s="93" t="s">
        <v>58</v>
      </c>
      <c r="E81" s="94">
        <v>38.700000000000003</v>
      </c>
      <c r="F81" s="93" t="s">
        <v>5</v>
      </c>
      <c r="G81" s="87">
        <f>Table1[[#This Row],[date]]</f>
        <v>45361</v>
      </c>
      <c r="H81" s="94">
        <f>SUMIF($A$2:A3716,G81,$E$2:E3716)</f>
        <v>231.6</v>
      </c>
      <c r="I81" s="93" t="str">
        <f t="shared" si="5"/>
        <v>Sunday</v>
      </c>
      <c r="J81" s="93" t="str">
        <f t="shared" si="6"/>
        <v>March</v>
      </c>
      <c r="K81" s="93" t="str">
        <f t="shared" si="7"/>
        <v>2024</v>
      </c>
      <c r="L81" s="6"/>
      <c r="M81" s="6"/>
      <c r="N81" s="6"/>
    </row>
    <row r="82" spans="1:14" x14ac:dyDescent="0.3">
      <c r="A82" s="87">
        <v>45361</v>
      </c>
      <c r="B82" s="87" t="str">
        <f t="shared" si="4"/>
        <v>Sunday</v>
      </c>
      <c r="C82" s="88" t="s">
        <v>1381</v>
      </c>
      <c r="D82" s="88" t="s">
        <v>58</v>
      </c>
      <c r="E82" s="89">
        <v>28.9</v>
      </c>
      <c r="F82" s="88" t="s">
        <v>26</v>
      </c>
      <c r="G82" s="87">
        <f>Table1[[#This Row],[date]]</f>
        <v>45361</v>
      </c>
      <c r="H82" s="89">
        <f>SUMIF($A$2:A3717,G82,$E$2:E3717)</f>
        <v>231.6</v>
      </c>
      <c r="I82" s="88" t="str">
        <f t="shared" si="5"/>
        <v>Sunday</v>
      </c>
      <c r="J82" s="88" t="str">
        <f t="shared" si="6"/>
        <v>March</v>
      </c>
      <c r="K82" s="88" t="str">
        <f t="shared" si="7"/>
        <v>2024</v>
      </c>
      <c r="L82" s="6"/>
      <c r="M82" s="6"/>
      <c r="N82" s="6"/>
    </row>
    <row r="83" spans="1:14" x14ac:dyDescent="0.3">
      <c r="A83" s="92">
        <v>45362</v>
      </c>
      <c r="B83" s="92" t="str">
        <f t="shared" si="4"/>
        <v>Monday</v>
      </c>
      <c r="C83" s="93" t="s">
        <v>1383</v>
      </c>
      <c r="D83" s="93"/>
      <c r="E83" s="94">
        <v>40</v>
      </c>
      <c r="F83" s="93" t="s">
        <v>5</v>
      </c>
      <c r="G83" s="87">
        <f>Table1[[#This Row],[date]]</f>
        <v>45362</v>
      </c>
      <c r="H83" s="94">
        <f>SUMIF($A$2:A3718,G83,$E$2:E3718)</f>
        <v>275.2</v>
      </c>
      <c r="I83" s="93" t="str">
        <f t="shared" si="5"/>
        <v>Monday</v>
      </c>
      <c r="J83" s="93" t="str">
        <f t="shared" si="6"/>
        <v>March</v>
      </c>
      <c r="K83" s="93" t="str">
        <f t="shared" si="7"/>
        <v>2024</v>
      </c>
      <c r="L83" s="6"/>
      <c r="M83" s="6"/>
      <c r="N83" s="6"/>
    </row>
    <row r="84" spans="1:14" x14ac:dyDescent="0.3">
      <c r="A84" s="87">
        <v>45362</v>
      </c>
      <c r="B84" s="87" t="str">
        <f t="shared" si="4"/>
        <v>Monday</v>
      </c>
      <c r="C84" s="88" t="s">
        <v>1383</v>
      </c>
      <c r="D84" s="88"/>
      <c r="E84" s="89">
        <v>40</v>
      </c>
      <c r="F84" s="88" t="s">
        <v>41</v>
      </c>
      <c r="G84" s="87">
        <f>Table1[[#This Row],[date]]</f>
        <v>45362</v>
      </c>
      <c r="H84" s="89">
        <f>SUMIF($A$2:A3719,G84,$E$2:E3719)</f>
        <v>275.2</v>
      </c>
      <c r="I84" s="88" t="str">
        <f t="shared" si="5"/>
        <v>Monday</v>
      </c>
      <c r="J84" s="88" t="str">
        <f t="shared" si="6"/>
        <v>March</v>
      </c>
      <c r="K84" s="88" t="str">
        <f t="shared" si="7"/>
        <v>2024</v>
      </c>
      <c r="L84" s="6"/>
      <c r="M84" s="6"/>
      <c r="N84" s="6"/>
    </row>
    <row r="85" spans="1:14" x14ac:dyDescent="0.3">
      <c r="A85" s="92">
        <v>45362</v>
      </c>
      <c r="B85" s="92" t="str">
        <f t="shared" si="4"/>
        <v>Monday</v>
      </c>
      <c r="C85" s="93" t="s">
        <v>1383</v>
      </c>
      <c r="D85" s="93"/>
      <c r="E85" s="94">
        <v>30</v>
      </c>
      <c r="F85" s="93" t="s">
        <v>26</v>
      </c>
      <c r="G85" s="87">
        <f>Table1[[#This Row],[date]]</f>
        <v>45362</v>
      </c>
      <c r="H85" s="94">
        <f>SUMIF($A$2:A3720,G85,$E$2:E3720)</f>
        <v>275.2</v>
      </c>
      <c r="I85" s="93" t="str">
        <f t="shared" si="5"/>
        <v>Monday</v>
      </c>
      <c r="J85" s="93" t="str">
        <f t="shared" si="6"/>
        <v>March</v>
      </c>
      <c r="K85" s="93" t="str">
        <f t="shared" si="7"/>
        <v>2024</v>
      </c>
      <c r="L85" s="6"/>
      <c r="M85" s="6"/>
      <c r="N85" s="6"/>
    </row>
    <row r="86" spans="1:14" x14ac:dyDescent="0.3">
      <c r="A86" s="87">
        <v>45362</v>
      </c>
      <c r="B86" s="87" t="str">
        <f t="shared" si="4"/>
        <v>Monday</v>
      </c>
      <c r="C86" s="88" t="s">
        <v>1383</v>
      </c>
      <c r="D86" s="88"/>
      <c r="E86" s="89">
        <v>30</v>
      </c>
      <c r="F86" s="88" t="s">
        <v>9</v>
      </c>
      <c r="G86" s="87">
        <f>Table1[[#This Row],[date]]</f>
        <v>45362</v>
      </c>
      <c r="H86" s="89">
        <f>SUMIF($A$2:A3721,G86,$E$2:E3721)</f>
        <v>275.2</v>
      </c>
      <c r="I86" s="88" t="str">
        <f t="shared" si="5"/>
        <v>Monday</v>
      </c>
      <c r="J86" s="88" t="str">
        <f t="shared" si="6"/>
        <v>March</v>
      </c>
      <c r="K86" s="88" t="str">
        <f t="shared" si="7"/>
        <v>2024</v>
      </c>
      <c r="L86" s="6"/>
      <c r="M86" s="6"/>
      <c r="N86" s="6"/>
    </row>
    <row r="87" spans="1:14" x14ac:dyDescent="0.3">
      <c r="A87" s="92">
        <v>45362</v>
      </c>
      <c r="B87" s="92" t="str">
        <f t="shared" si="4"/>
        <v>Monday</v>
      </c>
      <c r="C87" s="93" t="s">
        <v>1381</v>
      </c>
      <c r="D87" s="93" t="s">
        <v>47</v>
      </c>
      <c r="E87" s="94">
        <v>38.700000000000003</v>
      </c>
      <c r="F87" s="93" t="s">
        <v>41</v>
      </c>
      <c r="G87" s="87">
        <f>Table1[[#This Row],[date]]</f>
        <v>45362</v>
      </c>
      <c r="H87" s="94">
        <f>SUMIF($A$2:A3722,G87,$E$2:E3722)</f>
        <v>275.2</v>
      </c>
      <c r="I87" s="93" t="str">
        <f t="shared" si="5"/>
        <v>Monday</v>
      </c>
      <c r="J87" s="93" t="str">
        <f t="shared" si="6"/>
        <v>March</v>
      </c>
      <c r="K87" s="93" t="str">
        <f t="shared" si="7"/>
        <v>2024</v>
      </c>
      <c r="L87" s="6"/>
      <c r="M87" s="6"/>
      <c r="N87" s="6"/>
    </row>
    <row r="88" spans="1:14" x14ac:dyDescent="0.3">
      <c r="A88" s="87">
        <v>45362</v>
      </c>
      <c r="B88" s="87" t="str">
        <f t="shared" si="4"/>
        <v>Monday</v>
      </c>
      <c r="C88" s="88" t="s">
        <v>1381</v>
      </c>
      <c r="D88" s="88" t="s">
        <v>59</v>
      </c>
      <c r="E88" s="89">
        <v>28.9</v>
      </c>
      <c r="F88" s="88" t="s">
        <v>9</v>
      </c>
      <c r="G88" s="87">
        <f>Table1[[#This Row],[date]]</f>
        <v>45362</v>
      </c>
      <c r="H88" s="89">
        <f>SUMIF($A$2:A3723,G88,$E$2:E3723)</f>
        <v>275.2</v>
      </c>
      <c r="I88" s="88" t="str">
        <f t="shared" si="5"/>
        <v>Monday</v>
      </c>
      <c r="J88" s="88" t="str">
        <f t="shared" si="6"/>
        <v>March</v>
      </c>
      <c r="K88" s="88" t="str">
        <f t="shared" si="7"/>
        <v>2024</v>
      </c>
      <c r="L88" s="6"/>
      <c r="M88" s="6"/>
      <c r="N88" s="6"/>
    </row>
    <row r="89" spans="1:14" x14ac:dyDescent="0.3">
      <c r="A89" s="92">
        <v>45362</v>
      </c>
      <c r="B89" s="92" t="str">
        <f t="shared" si="4"/>
        <v>Monday</v>
      </c>
      <c r="C89" s="93" t="s">
        <v>1381</v>
      </c>
      <c r="D89" s="93" t="s">
        <v>59</v>
      </c>
      <c r="E89" s="94">
        <v>38.700000000000003</v>
      </c>
      <c r="F89" s="93" t="s">
        <v>5</v>
      </c>
      <c r="G89" s="87">
        <f>Table1[[#This Row],[date]]</f>
        <v>45362</v>
      </c>
      <c r="H89" s="94">
        <f>SUMIF($A$2:A3724,G89,$E$2:E3724)</f>
        <v>275.2</v>
      </c>
      <c r="I89" s="93" t="str">
        <f t="shared" si="5"/>
        <v>Monday</v>
      </c>
      <c r="J89" s="93" t="str">
        <f t="shared" si="6"/>
        <v>March</v>
      </c>
      <c r="K89" s="93" t="str">
        <f t="shared" si="7"/>
        <v>2024</v>
      </c>
      <c r="L89" s="6"/>
      <c r="M89" s="6"/>
      <c r="N89" s="6"/>
    </row>
    <row r="90" spans="1:14" x14ac:dyDescent="0.3">
      <c r="A90" s="87">
        <v>45362</v>
      </c>
      <c r="B90" s="87" t="str">
        <f t="shared" si="4"/>
        <v>Monday</v>
      </c>
      <c r="C90" s="88" t="s">
        <v>1381</v>
      </c>
      <c r="D90" s="88" t="s">
        <v>60</v>
      </c>
      <c r="E90" s="89">
        <v>28.9</v>
      </c>
      <c r="F90" s="88" t="s">
        <v>26</v>
      </c>
      <c r="G90" s="87">
        <f>Table1[[#This Row],[date]]</f>
        <v>45362</v>
      </c>
      <c r="H90" s="89">
        <f>SUMIF($A$2:A3725,G90,$E$2:E3725)</f>
        <v>275.2</v>
      </c>
      <c r="I90" s="88" t="str">
        <f t="shared" si="5"/>
        <v>Monday</v>
      </c>
      <c r="J90" s="88" t="str">
        <f t="shared" si="6"/>
        <v>March</v>
      </c>
      <c r="K90" s="88" t="str">
        <f t="shared" si="7"/>
        <v>2024</v>
      </c>
      <c r="L90" s="6"/>
      <c r="M90" s="6"/>
      <c r="N90" s="6"/>
    </row>
    <row r="91" spans="1:14" x14ac:dyDescent="0.3">
      <c r="A91" s="92">
        <v>45363</v>
      </c>
      <c r="B91" s="92" t="str">
        <f t="shared" si="4"/>
        <v>Tuesday</v>
      </c>
      <c r="C91" s="93" t="s">
        <v>1383</v>
      </c>
      <c r="D91" s="93"/>
      <c r="E91" s="94">
        <v>40</v>
      </c>
      <c r="F91" s="93" t="s">
        <v>5</v>
      </c>
      <c r="G91" s="87">
        <f>Table1[[#This Row],[date]]</f>
        <v>45363</v>
      </c>
      <c r="H91" s="94">
        <f>SUMIF($A$2:A3726,G91,$E$2:E3726)</f>
        <v>228.10000000000002</v>
      </c>
      <c r="I91" s="93" t="str">
        <f t="shared" si="5"/>
        <v>Tuesday</v>
      </c>
      <c r="J91" s="93" t="str">
        <f t="shared" si="6"/>
        <v>March</v>
      </c>
      <c r="K91" s="93" t="str">
        <f t="shared" si="7"/>
        <v>2024</v>
      </c>
      <c r="L91" s="6"/>
      <c r="M91" s="6"/>
      <c r="N91" s="6"/>
    </row>
    <row r="92" spans="1:14" x14ac:dyDescent="0.3">
      <c r="A92" s="87">
        <v>45363</v>
      </c>
      <c r="B92" s="87" t="str">
        <f t="shared" si="4"/>
        <v>Tuesday</v>
      </c>
      <c r="C92" s="88" t="s">
        <v>1381</v>
      </c>
      <c r="D92" s="88" t="s">
        <v>45</v>
      </c>
      <c r="E92" s="89">
        <v>28.9</v>
      </c>
      <c r="F92" s="88" t="s">
        <v>9</v>
      </c>
      <c r="G92" s="87">
        <f>Table1[[#This Row],[date]]</f>
        <v>45363</v>
      </c>
      <c r="H92" s="89">
        <f>SUMIF($A$2:A3727,G92,$E$2:E3727)</f>
        <v>228.10000000000002</v>
      </c>
      <c r="I92" s="88" t="str">
        <f t="shared" si="5"/>
        <v>Tuesday</v>
      </c>
      <c r="J92" s="88" t="str">
        <f t="shared" si="6"/>
        <v>March</v>
      </c>
      <c r="K92" s="88" t="str">
        <f t="shared" si="7"/>
        <v>2024</v>
      </c>
      <c r="L92" s="6"/>
      <c r="M92" s="6"/>
      <c r="N92" s="6"/>
    </row>
    <row r="93" spans="1:14" x14ac:dyDescent="0.3">
      <c r="A93" s="92">
        <v>45363</v>
      </c>
      <c r="B93" s="92" t="str">
        <f t="shared" si="4"/>
        <v>Tuesday</v>
      </c>
      <c r="C93" s="93" t="s">
        <v>1381</v>
      </c>
      <c r="D93" s="93" t="s">
        <v>45</v>
      </c>
      <c r="E93" s="94">
        <v>28.9</v>
      </c>
      <c r="F93" s="93" t="s">
        <v>26</v>
      </c>
      <c r="G93" s="87">
        <f>Table1[[#This Row],[date]]</f>
        <v>45363</v>
      </c>
      <c r="H93" s="94">
        <f>SUMIF($A$2:A3728,G93,$E$2:E3728)</f>
        <v>228.10000000000002</v>
      </c>
      <c r="I93" s="93" t="str">
        <f t="shared" si="5"/>
        <v>Tuesday</v>
      </c>
      <c r="J93" s="93" t="str">
        <f t="shared" si="6"/>
        <v>March</v>
      </c>
      <c r="K93" s="93" t="str">
        <f t="shared" si="7"/>
        <v>2024</v>
      </c>
      <c r="L93" s="6"/>
      <c r="M93" s="6"/>
      <c r="N93" s="6"/>
    </row>
    <row r="94" spans="1:14" x14ac:dyDescent="0.3">
      <c r="A94" s="87">
        <v>45363</v>
      </c>
      <c r="B94" s="87" t="str">
        <f t="shared" si="4"/>
        <v>Tuesday</v>
      </c>
      <c r="C94" s="88" t="s">
        <v>1381</v>
      </c>
      <c r="D94" s="88" t="s">
        <v>61</v>
      </c>
      <c r="E94" s="89">
        <v>38.700000000000003</v>
      </c>
      <c r="F94" s="88" t="s">
        <v>7</v>
      </c>
      <c r="G94" s="87">
        <f>Table1[[#This Row],[date]]</f>
        <v>45363</v>
      </c>
      <c r="H94" s="89">
        <f>SUMIF($A$2:A3729,G94,$E$2:E3729)</f>
        <v>228.10000000000002</v>
      </c>
      <c r="I94" s="88" t="str">
        <f t="shared" si="5"/>
        <v>Tuesday</v>
      </c>
      <c r="J94" s="88" t="str">
        <f t="shared" si="6"/>
        <v>March</v>
      </c>
      <c r="K94" s="88" t="str">
        <f t="shared" si="7"/>
        <v>2024</v>
      </c>
      <c r="L94" s="6"/>
      <c r="M94" s="6"/>
      <c r="N94" s="6"/>
    </row>
    <row r="95" spans="1:14" x14ac:dyDescent="0.3">
      <c r="A95" s="92">
        <v>45363</v>
      </c>
      <c r="B95" s="92" t="str">
        <f t="shared" si="4"/>
        <v>Tuesday</v>
      </c>
      <c r="C95" s="93" t="s">
        <v>1381</v>
      </c>
      <c r="D95" s="93" t="s">
        <v>10</v>
      </c>
      <c r="E95" s="94">
        <v>33.799999999999997</v>
      </c>
      <c r="F95" s="93" t="s">
        <v>12</v>
      </c>
      <c r="G95" s="87">
        <f>Table1[[#This Row],[date]]</f>
        <v>45363</v>
      </c>
      <c r="H95" s="94">
        <f>SUMIF($A$2:A3730,G95,$E$2:E3730)</f>
        <v>228.10000000000002</v>
      </c>
      <c r="I95" s="93" t="str">
        <f t="shared" si="5"/>
        <v>Tuesday</v>
      </c>
      <c r="J95" s="93" t="str">
        <f t="shared" si="6"/>
        <v>March</v>
      </c>
      <c r="K95" s="93" t="str">
        <f t="shared" si="7"/>
        <v>2024</v>
      </c>
      <c r="L95" s="6"/>
      <c r="M95" s="6"/>
      <c r="N95" s="6"/>
    </row>
    <row r="96" spans="1:14" x14ac:dyDescent="0.3">
      <c r="A96" s="87">
        <v>45363</v>
      </c>
      <c r="B96" s="87" t="str">
        <f t="shared" si="4"/>
        <v>Tuesday</v>
      </c>
      <c r="C96" s="88" t="s">
        <v>1381</v>
      </c>
      <c r="D96" s="88" t="s">
        <v>10</v>
      </c>
      <c r="E96" s="89">
        <v>28.9</v>
      </c>
      <c r="F96" s="88" t="s">
        <v>9</v>
      </c>
      <c r="G96" s="87">
        <f>Table1[[#This Row],[date]]</f>
        <v>45363</v>
      </c>
      <c r="H96" s="89">
        <f>SUMIF($A$2:A3731,G96,$E$2:E3731)</f>
        <v>228.10000000000002</v>
      </c>
      <c r="I96" s="88" t="str">
        <f t="shared" si="5"/>
        <v>Tuesday</v>
      </c>
      <c r="J96" s="88" t="str">
        <f t="shared" si="6"/>
        <v>March</v>
      </c>
      <c r="K96" s="88" t="str">
        <f t="shared" si="7"/>
        <v>2024</v>
      </c>
      <c r="L96" s="6"/>
      <c r="M96" s="6"/>
      <c r="N96" s="6"/>
    </row>
    <row r="97" spans="1:14" x14ac:dyDescent="0.3">
      <c r="A97" s="92">
        <v>45363</v>
      </c>
      <c r="B97" s="92" t="str">
        <f t="shared" si="4"/>
        <v>Tuesday</v>
      </c>
      <c r="C97" s="93" t="s">
        <v>1381</v>
      </c>
      <c r="D97" s="93" t="s">
        <v>62</v>
      </c>
      <c r="E97" s="94">
        <v>28.9</v>
      </c>
      <c r="F97" s="93" t="s">
        <v>9</v>
      </c>
      <c r="G97" s="87">
        <f>Table1[[#This Row],[date]]</f>
        <v>45363</v>
      </c>
      <c r="H97" s="94">
        <f>SUMIF($A$2:A3732,G97,$E$2:E3732)</f>
        <v>228.10000000000002</v>
      </c>
      <c r="I97" s="93" t="str">
        <f t="shared" si="5"/>
        <v>Tuesday</v>
      </c>
      <c r="J97" s="93" t="str">
        <f t="shared" si="6"/>
        <v>March</v>
      </c>
      <c r="K97" s="93" t="str">
        <f t="shared" si="7"/>
        <v>2024</v>
      </c>
      <c r="L97" s="6"/>
      <c r="M97" s="6"/>
      <c r="N97" s="6"/>
    </row>
    <row r="98" spans="1:14" x14ac:dyDescent="0.3">
      <c r="A98" s="87">
        <v>45364</v>
      </c>
      <c r="B98" s="87" t="str">
        <f t="shared" si="4"/>
        <v>Wednesday</v>
      </c>
      <c r="C98" s="88" t="s">
        <v>1381</v>
      </c>
      <c r="D98" s="88" t="s">
        <v>60</v>
      </c>
      <c r="E98" s="89">
        <v>38.700000000000003</v>
      </c>
      <c r="F98" s="88" t="s">
        <v>7</v>
      </c>
      <c r="G98" s="87">
        <f>Table1[[#This Row],[date]]</f>
        <v>45364</v>
      </c>
      <c r="H98" s="89">
        <f>SUMIF($A$2:A3733,G98,$E$2:E3733)</f>
        <v>256.2</v>
      </c>
      <c r="I98" s="88" t="str">
        <f t="shared" si="5"/>
        <v>Wednesday</v>
      </c>
      <c r="J98" s="88" t="str">
        <f t="shared" si="6"/>
        <v>March</v>
      </c>
      <c r="K98" s="88" t="str">
        <f t="shared" si="7"/>
        <v>2024</v>
      </c>
      <c r="L98" s="6"/>
      <c r="M98" s="6"/>
      <c r="N98" s="6"/>
    </row>
    <row r="99" spans="1:14" x14ac:dyDescent="0.3">
      <c r="A99" s="92">
        <v>45364</v>
      </c>
      <c r="B99" s="92" t="str">
        <f t="shared" si="4"/>
        <v>Wednesday</v>
      </c>
      <c r="C99" s="93" t="s">
        <v>1381</v>
      </c>
      <c r="D99" s="93" t="s">
        <v>10</v>
      </c>
      <c r="E99" s="94">
        <v>28.9</v>
      </c>
      <c r="F99" s="93" t="s">
        <v>9</v>
      </c>
      <c r="G99" s="87">
        <f>Table1[[#This Row],[date]]</f>
        <v>45364</v>
      </c>
      <c r="H99" s="94">
        <f>SUMIF($A$2:A3734,G99,$E$2:E3734)</f>
        <v>256.2</v>
      </c>
      <c r="I99" s="93" t="str">
        <f t="shared" si="5"/>
        <v>Wednesday</v>
      </c>
      <c r="J99" s="93" t="str">
        <f t="shared" si="6"/>
        <v>March</v>
      </c>
      <c r="K99" s="93" t="str">
        <f t="shared" si="7"/>
        <v>2024</v>
      </c>
      <c r="L99" s="6"/>
      <c r="M99" s="6"/>
      <c r="N99" s="6"/>
    </row>
    <row r="100" spans="1:14" x14ac:dyDescent="0.3">
      <c r="A100" s="87">
        <v>45364</v>
      </c>
      <c r="B100" s="87" t="str">
        <f t="shared" si="4"/>
        <v>Wednesday</v>
      </c>
      <c r="C100" s="88" t="s">
        <v>1381</v>
      </c>
      <c r="D100" s="88" t="s">
        <v>63</v>
      </c>
      <c r="E100" s="89">
        <v>28.9</v>
      </c>
      <c r="F100" s="88" t="s">
        <v>9</v>
      </c>
      <c r="G100" s="87">
        <f>Table1[[#This Row],[date]]</f>
        <v>45364</v>
      </c>
      <c r="H100" s="89">
        <f>SUMIF($A$2:A3735,G100,$E$2:E3735)</f>
        <v>256.2</v>
      </c>
      <c r="I100" s="88" t="str">
        <f t="shared" si="5"/>
        <v>Wednesday</v>
      </c>
      <c r="J100" s="88" t="str">
        <f t="shared" si="6"/>
        <v>March</v>
      </c>
      <c r="K100" s="88" t="str">
        <f t="shared" si="7"/>
        <v>2024</v>
      </c>
      <c r="L100" s="6"/>
      <c r="M100" s="6"/>
      <c r="N100" s="6"/>
    </row>
    <row r="101" spans="1:14" x14ac:dyDescent="0.3">
      <c r="A101" s="92">
        <v>45364</v>
      </c>
      <c r="B101" s="92" t="str">
        <f t="shared" si="4"/>
        <v>Wednesday</v>
      </c>
      <c r="C101" s="93" t="s">
        <v>1381</v>
      </c>
      <c r="D101" s="93" t="s">
        <v>63</v>
      </c>
      <c r="E101" s="94">
        <v>28.9</v>
      </c>
      <c r="F101" s="93" t="s">
        <v>9</v>
      </c>
      <c r="G101" s="87">
        <f>Table1[[#This Row],[date]]</f>
        <v>45364</v>
      </c>
      <c r="H101" s="94">
        <f>SUMIF($A$2:A3736,G101,$E$2:E3736)</f>
        <v>256.2</v>
      </c>
      <c r="I101" s="93" t="str">
        <f t="shared" si="5"/>
        <v>Wednesday</v>
      </c>
      <c r="J101" s="93" t="str">
        <f t="shared" si="6"/>
        <v>March</v>
      </c>
      <c r="K101" s="93" t="str">
        <f t="shared" si="7"/>
        <v>2024</v>
      </c>
      <c r="L101" s="6"/>
      <c r="M101" s="6"/>
      <c r="N101" s="6"/>
    </row>
    <row r="102" spans="1:14" x14ac:dyDescent="0.3">
      <c r="A102" s="87">
        <v>45364</v>
      </c>
      <c r="B102" s="87" t="str">
        <f t="shared" si="4"/>
        <v>Wednesday</v>
      </c>
      <c r="C102" s="88" t="s">
        <v>1383</v>
      </c>
      <c r="D102" s="88"/>
      <c r="E102" s="89">
        <v>25</v>
      </c>
      <c r="F102" s="88" t="s">
        <v>33</v>
      </c>
      <c r="G102" s="87">
        <f>Table1[[#This Row],[date]]</f>
        <v>45364</v>
      </c>
      <c r="H102" s="89">
        <f>SUMIF($A$2:A3737,G102,$E$2:E3737)</f>
        <v>256.2</v>
      </c>
      <c r="I102" s="88" t="str">
        <f t="shared" si="5"/>
        <v>Wednesday</v>
      </c>
      <c r="J102" s="88" t="str">
        <f t="shared" si="6"/>
        <v>March</v>
      </c>
      <c r="K102" s="88" t="str">
        <f t="shared" si="7"/>
        <v>2024</v>
      </c>
      <c r="L102" s="6"/>
      <c r="M102" s="6"/>
      <c r="N102" s="6"/>
    </row>
    <row r="103" spans="1:14" x14ac:dyDescent="0.3">
      <c r="A103" s="92">
        <v>45364</v>
      </c>
      <c r="B103" s="92" t="str">
        <f t="shared" si="4"/>
        <v>Wednesday</v>
      </c>
      <c r="C103" s="93" t="s">
        <v>1381</v>
      </c>
      <c r="D103" s="93" t="s">
        <v>64</v>
      </c>
      <c r="E103" s="94">
        <v>33.799999999999997</v>
      </c>
      <c r="F103" s="93" t="s">
        <v>12</v>
      </c>
      <c r="G103" s="87">
        <f>Table1[[#This Row],[date]]</f>
        <v>45364</v>
      </c>
      <c r="H103" s="94">
        <f>SUMIF($A$2:A3738,G103,$E$2:E3738)</f>
        <v>256.2</v>
      </c>
      <c r="I103" s="93" t="str">
        <f t="shared" si="5"/>
        <v>Wednesday</v>
      </c>
      <c r="J103" s="93" t="str">
        <f t="shared" si="6"/>
        <v>March</v>
      </c>
      <c r="K103" s="93" t="str">
        <f t="shared" si="7"/>
        <v>2024</v>
      </c>
      <c r="L103" s="6"/>
      <c r="M103" s="6"/>
      <c r="N103" s="6"/>
    </row>
    <row r="104" spans="1:14" x14ac:dyDescent="0.3">
      <c r="A104" s="87">
        <v>45364</v>
      </c>
      <c r="B104" s="87" t="str">
        <f t="shared" si="4"/>
        <v>Wednesday</v>
      </c>
      <c r="C104" s="88" t="s">
        <v>1381</v>
      </c>
      <c r="D104" s="88" t="s">
        <v>65</v>
      </c>
      <c r="E104" s="89">
        <v>24</v>
      </c>
      <c r="F104" s="88" t="s">
        <v>33</v>
      </c>
      <c r="G104" s="87">
        <f>Table1[[#This Row],[date]]</f>
        <v>45364</v>
      </c>
      <c r="H104" s="89">
        <f>SUMIF($A$2:A3739,G104,$E$2:E3739)</f>
        <v>256.2</v>
      </c>
      <c r="I104" s="88" t="str">
        <f t="shared" si="5"/>
        <v>Wednesday</v>
      </c>
      <c r="J104" s="88" t="str">
        <f t="shared" si="6"/>
        <v>March</v>
      </c>
      <c r="K104" s="88" t="str">
        <f t="shared" si="7"/>
        <v>2024</v>
      </c>
      <c r="L104" s="6"/>
      <c r="M104" s="6"/>
      <c r="N104" s="6"/>
    </row>
    <row r="105" spans="1:14" x14ac:dyDescent="0.3">
      <c r="A105" s="92">
        <v>45364</v>
      </c>
      <c r="B105" s="92" t="str">
        <f t="shared" si="4"/>
        <v>Wednesday</v>
      </c>
      <c r="C105" s="93" t="s">
        <v>1381</v>
      </c>
      <c r="D105" s="93" t="s">
        <v>65</v>
      </c>
      <c r="E105" s="94">
        <v>24</v>
      </c>
      <c r="F105" s="93" t="s">
        <v>33</v>
      </c>
      <c r="G105" s="87">
        <f>Table1[[#This Row],[date]]</f>
        <v>45364</v>
      </c>
      <c r="H105" s="94">
        <f>SUMIF($A$2:A3740,G105,$E$2:E3740)</f>
        <v>256.2</v>
      </c>
      <c r="I105" s="93" t="str">
        <f t="shared" si="5"/>
        <v>Wednesday</v>
      </c>
      <c r="J105" s="93" t="str">
        <f t="shared" si="6"/>
        <v>March</v>
      </c>
      <c r="K105" s="93" t="str">
        <f t="shared" si="7"/>
        <v>2024</v>
      </c>
      <c r="L105" s="6"/>
      <c r="M105" s="6"/>
      <c r="N105" s="6"/>
    </row>
    <row r="106" spans="1:14" x14ac:dyDescent="0.3">
      <c r="A106" s="87">
        <v>45364</v>
      </c>
      <c r="B106" s="87" t="str">
        <f t="shared" si="4"/>
        <v>Wednesday</v>
      </c>
      <c r="C106" s="88" t="s">
        <v>1381</v>
      </c>
      <c r="D106" s="88" t="s">
        <v>66</v>
      </c>
      <c r="E106" s="89">
        <v>24</v>
      </c>
      <c r="F106" s="88" t="s">
        <v>33</v>
      </c>
      <c r="G106" s="87">
        <f>Table1[[#This Row],[date]]</f>
        <v>45364</v>
      </c>
      <c r="H106" s="89">
        <f>SUMIF($A$2:A3741,G106,$E$2:E3741)</f>
        <v>256.2</v>
      </c>
      <c r="I106" s="88" t="str">
        <f t="shared" si="5"/>
        <v>Wednesday</v>
      </c>
      <c r="J106" s="88" t="str">
        <f t="shared" si="6"/>
        <v>March</v>
      </c>
      <c r="K106" s="88" t="str">
        <f t="shared" si="7"/>
        <v>2024</v>
      </c>
      <c r="L106" s="6"/>
      <c r="M106" s="6"/>
      <c r="N106" s="6"/>
    </row>
    <row r="107" spans="1:14" x14ac:dyDescent="0.3">
      <c r="A107" s="92">
        <v>45365</v>
      </c>
      <c r="B107" s="92" t="str">
        <f t="shared" si="4"/>
        <v>Thursday</v>
      </c>
      <c r="C107" s="93" t="s">
        <v>1383</v>
      </c>
      <c r="D107" s="93"/>
      <c r="E107" s="94">
        <v>40</v>
      </c>
      <c r="F107" s="93" t="s">
        <v>5</v>
      </c>
      <c r="G107" s="87">
        <f>Table1[[#This Row],[date]]</f>
        <v>45365</v>
      </c>
      <c r="H107" s="94">
        <f>SUMIF($A$2:A3742,G107,$E$2:E3742)</f>
        <v>397.09999999999997</v>
      </c>
      <c r="I107" s="93" t="str">
        <f t="shared" si="5"/>
        <v>Thursday</v>
      </c>
      <c r="J107" s="93" t="str">
        <f t="shared" si="6"/>
        <v>March</v>
      </c>
      <c r="K107" s="93" t="str">
        <f t="shared" si="7"/>
        <v>2024</v>
      </c>
      <c r="L107" s="6"/>
      <c r="M107" s="6"/>
      <c r="N107" s="6"/>
    </row>
    <row r="108" spans="1:14" x14ac:dyDescent="0.3">
      <c r="A108" s="87">
        <v>45365</v>
      </c>
      <c r="B108" s="87" t="str">
        <f t="shared" si="4"/>
        <v>Thursday</v>
      </c>
      <c r="C108" s="88" t="s">
        <v>1381</v>
      </c>
      <c r="D108" s="88" t="s">
        <v>67</v>
      </c>
      <c r="E108" s="89">
        <v>38.700000000000003</v>
      </c>
      <c r="F108" s="88" t="s">
        <v>5</v>
      </c>
      <c r="G108" s="87">
        <f>Table1[[#This Row],[date]]</f>
        <v>45365</v>
      </c>
      <c r="H108" s="89">
        <f>SUMIF($A$2:A3743,G108,$E$2:E3743)</f>
        <v>397.09999999999997</v>
      </c>
      <c r="I108" s="88" t="str">
        <f t="shared" si="5"/>
        <v>Thursday</v>
      </c>
      <c r="J108" s="88" t="str">
        <f t="shared" si="6"/>
        <v>March</v>
      </c>
      <c r="K108" s="88" t="str">
        <f t="shared" si="7"/>
        <v>2024</v>
      </c>
      <c r="L108" s="6"/>
      <c r="M108" s="6"/>
      <c r="N108" s="6"/>
    </row>
    <row r="109" spans="1:14" x14ac:dyDescent="0.3">
      <c r="A109" s="92">
        <v>45365</v>
      </c>
      <c r="B109" s="92" t="str">
        <f t="shared" si="4"/>
        <v>Thursday</v>
      </c>
      <c r="C109" s="93" t="s">
        <v>1381</v>
      </c>
      <c r="D109" s="93" t="s">
        <v>67</v>
      </c>
      <c r="E109" s="94">
        <v>38.700000000000003</v>
      </c>
      <c r="F109" s="93" t="s">
        <v>7</v>
      </c>
      <c r="G109" s="87">
        <f>Table1[[#This Row],[date]]</f>
        <v>45365</v>
      </c>
      <c r="H109" s="94">
        <f>SUMIF($A$2:A3744,G109,$E$2:E3744)</f>
        <v>397.09999999999997</v>
      </c>
      <c r="I109" s="93" t="str">
        <f t="shared" si="5"/>
        <v>Thursday</v>
      </c>
      <c r="J109" s="93" t="str">
        <f t="shared" si="6"/>
        <v>March</v>
      </c>
      <c r="K109" s="93" t="str">
        <f t="shared" si="7"/>
        <v>2024</v>
      </c>
      <c r="L109" s="6"/>
      <c r="M109" s="6"/>
      <c r="N109" s="6"/>
    </row>
    <row r="110" spans="1:14" x14ac:dyDescent="0.3">
      <c r="A110" s="87">
        <v>45365</v>
      </c>
      <c r="B110" s="87" t="str">
        <f t="shared" si="4"/>
        <v>Thursday</v>
      </c>
      <c r="C110" s="88" t="s">
        <v>1381</v>
      </c>
      <c r="D110" s="88" t="s">
        <v>21</v>
      </c>
      <c r="E110" s="89">
        <v>28.9</v>
      </c>
      <c r="F110" s="88" t="s">
        <v>26</v>
      </c>
      <c r="G110" s="87">
        <f>Table1[[#This Row],[date]]</f>
        <v>45365</v>
      </c>
      <c r="H110" s="89">
        <f>SUMIF($A$2:A3745,G110,$E$2:E3745)</f>
        <v>397.09999999999997</v>
      </c>
      <c r="I110" s="88" t="str">
        <f t="shared" si="5"/>
        <v>Thursday</v>
      </c>
      <c r="J110" s="88" t="str">
        <f t="shared" si="6"/>
        <v>March</v>
      </c>
      <c r="K110" s="88" t="str">
        <f t="shared" si="7"/>
        <v>2024</v>
      </c>
      <c r="L110" s="6"/>
      <c r="M110" s="6"/>
      <c r="N110" s="6"/>
    </row>
    <row r="111" spans="1:14" x14ac:dyDescent="0.3">
      <c r="A111" s="92">
        <v>45365</v>
      </c>
      <c r="B111" s="92" t="str">
        <f t="shared" si="4"/>
        <v>Thursday</v>
      </c>
      <c r="C111" s="93" t="s">
        <v>1381</v>
      </c>
      <c r="D111" s="93" t="s">
        <v>21</v>
      </c>
      <c r="E111" s="94">
        <v>28.9</v>
      </c>
      <c r="F111" s="93" t="s">
        <v>9</v>
      </c>
      <c r="G111" s="87">
        <f>Table1[[#This Row],[date]]</f>
        <v>45365</v>
      </c>
      <c r="H111" s="94">
        <f>SUMIF($A$2:A3746,G111,$E$2:E3746)</f>
        <v>397.09999999999997</v>
      </c>
      <c r="I111" s="93" t="str">
        <f t="shared" si="5"/>
        <v>Thursday</v>
      </c>
      <c r="J111" s="93" t="str">
        <f t="shared" si="6"/>
        <v>March</v>
      </c>
      <c r="K111" s="93" t="str">
        <f t="shared" si="7"/>
        <v>2024</v>
      </c>
      <c r="L111" s="6"/>
      <c r="M111" s="6"/>
      <c r="N111" s="6"/>
    </row>
    <row r="112" spans="1:14" x14ac:dyDescent="0.3">
      <c r="A112" s="87">
        <v>45365</v>
      </c>
      <c r="B112" s="87" t="str">
        <f t="shared" si="4"/>
        <v>Thursday</v>
      </c>
      <c r="C112" s="88" t="s">
        <v>1381</v>
      </c>
      <c r="D112" s="88" t="s">
        <v>68</v>
      </c>
      <c r="E112" s="89">
        <v>33.799999999999997</v>
      </c>
      <c r="F112" s="88" t="s">
        <v>12</v>
      </c>
      <c r="G112" s="87">
        <f>Table1[[#This Row],[date]]</f>
        <v>45365</v>
      </c>
      <c r="H112" s="89">
        <f>SUMIF($A$2:A3747,G112,$E$2:E3747)</f>
        <v>397.09999999999997</v>
      </c>
      <c r="I112" s="88" t="str">
        <f t="shared" si="5"/>
        <v>Thursday</v>
      </c>
      <c r="J112" s="88" t="str">
        <f t="shared" si="6"/>
        <v>March</v>
      </c>
      <c r="K112" s="88" t="str">
        <f t="shared" si="7"/>
        <v>2024</v>
      </c>
      <c r="L112" s="6"/>
      <c r="M112" s="6"/>
      <c r="N112" s="6"/>
    </row>
    <row r="113" spans="1:14" x14ac:dyDescent="0.3">
      <c r="A113" s="92">
        <v>45365</v>
      </c>
      <c r="B113" s="92" t="str">
        <f t="shared" si="4"/>
        <v>Thursday</v>
      </c>
      <c r="C113" s="93" t="s">
        <v>1381</v>
      </c>
      <c r="D113" s="93" t="s">
        <v>69</v>
      </c>
      <c r="E113" s="94">
        <v>24</v>
      </c>
      <c r="F113" s="93" t="s">
        <v>33</v>
      </c>
      <c r="G113" s="87">
        <f>Table1[[#This Row],[date]]</f>
        <v>45365</v>
      </c>
      <c r="H113" s="94">
        <f>SUMIF($A$2:A3748,G113,$E$2:E3748)</f>
        <v>397.09999999999997</v>
      </c>
      <c r="I113" s="93" t="str">
        <f t="shared" si="5"/>
        <v>Thursday</v>
      </c>
      <c r="J113" s="93" t="str">
        <f t="shared" si="6"/>
        <v>March</v>
      </c>
      <c r="K113" s="93" t="str">
        <f t="shared" si="7"/>
        <v>2024</v>
      </c>
      <c r="L113" s="6"/>
      <c r="M113" s="6"/>
      <c r="N113" s="6"/>
    </row>
    <row r="114" spans="1:14" x14ac:dyDescent="0.3">
      <c r="A114" s="87">
        <v>45365</v>
      </c>
      <c r="B114" s="87" t="str">
        <f t="shared" si="4"/>
        <v>Thursday</v>
      </c>
      <c r="C114" s="88" t="s">
        <v>1381</v>
      </c>
      <c r="D114" s="88" t="s">
        <v>70</v>
      </c>
      <c r="E114" s="89">
        <v>38.700000000000003</v>
      </c>
      <c r="F114" s="88" t="s">
        <v>5</v>
      </c>
      <c r="G114" s="87">
        <f>Table1[[#This Row],[date]]</f>
        <v>45365</v>
      </c>
      <c r="H114" s="89">
        <f>SUMIF($A$2:A3749,G114,$E$2:E3749)</f>
        <v>397.09999999999997</v>
      </c>
      <c r="I114" s="88" t="str">
        <f t="shared" si="5"/>
        <v>Thursday</v>
      </c>
      <c r="J114" s="88" t="str">
        <f t="shared" si="6"/>
        <v>March</v>
      </c>
      <c r="K114" s="88" t="str">
        <f t="shared" si="7"/>
        <v>2024</v>
      </c>
      <c r="L114" s="6"/>
      <c r="M114" s="6"/>
      <c r="N114" s="6"/>
    </row>
    <row r="115" spans="1:14" x14ac:dyDescent="0.3">
      <c r="A115" s="92">
        <v>45365</v>
      </c>
      <c r="B115" s="92" t="str">
        <f t="shared" si="4"/>
        <v>Thursday</v>
      </c>
      <c r="C115" s="93" t="s">
        <v>1381</v>
      </c>
      <c r="D115" s="93" t="s">
        <v>71</v>
      </c>
      <c r="E115" s="94">
        <v>33.799999999999997</v>
      </c>
      <c r="F115" s="93" t="s">
        <v>12</v>
      </c>
      <c r="G115" s="87">
        <f>Table1[[#This Row],[date]]</f>
        <v>45365</v>
      </c>
      <c r="H115" s="94">
        <f>SUMIF($A$2:A3750,G115,$E$2:E3750)</f>
        <v>397.09999999999997</v>
      </c>
      <c r="I115" s="93" t="str">
        <f t="shared" si="5"/>
        <v>Thursday</v>
      </c>
      <c r="J115" s="93" t="str">
        <f t="shared" si="6"/>
        <v>March</v>
      </c>
      <c r="K115" s="93" t="str">
        <f t="shared" si="7"/>
        <v>2024</v>
      </c>
      <c r="L115" s="6"/>
      <c r="M115" s="6"/>
      <c r="N115" s="6"/>
    </row>
    <row r="116" spans="1:14" x14ac:dyDescent="0.3">
      <c r="A116" s="87">
        <v>45365</v>
      </c>
      <c r="B116" s="87" t="str">
        <f t="shared" si="4"/>
        <v>Thursday</v>
      </c>
      <c r="C116" s="88" t="s">
        <v>1381</v>
      </c>
      <c r="D116" s="88" t="s">
        <v>62</v>
      </c>
      <c r="E116" s="89">
        <v>24</v>
      </c>
      <c r="F116" s="88" t="s">
        <v>33</v>
      </c>
      <c r="G116" s="87">
        <f>Table1[[#This Row],[date]]</f>
        <v>45365</v>
      </c>
      <c r="H116" s="89">
        <f>SUMIF($A$2:A3751,G116,$E$2:E3751)</f>
        <v>397.09999999999997</v>
      </c>
      <c r="I116" s="88" t="str">
        <f t="shared" si="5"/>
        <v>Thursday</v>
      </c>
      <c r="J116" s="88" t="str">
        <f t="shared" si="6"/>
        <v>March</v>
      </c>
      <c r="K116" s="88" t="str">
        <f t="shared" si="7"/>
        <v>2024</v>
      </c>
      <c r="L116" s="6"/>
      <c r="M116" s="6"/>
      <c r="N116" s="6"/>
    </row>
    <row r="117" spans="1:14" x14ac:dyDescent="0.3">
      <c r="A117" s="92">
        <v>45365</v>
      </c>
      <c r="B117" s="92" t="str">
        <f t="shared" si="4"/>
        <v>Thursday</v>
      </c>
      <c r="C117" s="93" t="s">
        <v>1381</v>
      </c>
      <c r="D117" s="93" t="s">
        <v>29</v>
      </c>
      <c r="E117" s="94">
        <v>38.700000000000003</v>
      </c>
      <c r="F117" s="93" t="s">
        <v>7</v>
      </c>
      <c r="G117" s="87">
        <f>Table1[[#This Row],[date]]</f>
        <v>45365</v>
      </c>
      <c r="H117" s="94">
        <f>SUMIF($A$2:A3752,G117,$E$2:E3752)</f>
        <v>397.09999999999997</v>
      </c>
      <c r="I117" s="93" t="str">
        <f t="shared" si="5"/>
        <v>Thursday</v>
      </c>
      <c r="J117" s="93" t="str">
        <f t="shared" si="6"/>
        <v>March</v>
      </c>
      <c r="K117" s="93" t="str">
        <f t="shared" si="7"/>
        <v>2024</v>
      </c>
      <c r="L117" s="6"/>
      <c r="M117" s="6"/>
      <c r="N117" s="6"/>
    </row>
    <row r="118" spans="1:14" x14ac:dyDescent="0.3">
      <c r="A118" s="87">
        <v>45365</v>
      </c>
      <c r="B118" s="87" t="str">
        <f t="shared" si="4"/>
        <v>Thursday</v>
      </c>
      <c r="C118" s="88" t="s">
        <v>1381</v>
      </c>
      <c r="D118" s="88" t="s">
        <v>21</v>
      </c>
      <c r="E118" s="89">
        <v>28.9</v>
      </c>
      <c r="F118" s="88" t="s">
        <v>26</v>
      </c>
      <c r="G118" s="87">
        <f>Table1[[#This Row],[date]]</f>
        <v>45365</v>
      </c>
      <c r="H118" s="89">
        <f>SUMIF($A$2:A3753,G118,$E$2:E3753)</f>
        <v>397.09999999999997</v>
      </c>
      <c r="I118" s="88" t="str">
        <f t="shared" si="5"/>
        <v>Thursday</v>
      </c>
      <c r="J118" s="88" t="str">
        <f t="shared" si="6"/>
        <v>March</v>
      </c>
      <c r="K118" s="88" t="str">
        <f t="shared" si="7"/>
        <v>2024</v>
      </c>
      <c r="L118" s="6"/>
      <c r="M118" s="6"/>
      <c r="N118" s="6"/>
    </row>
    <row r="119" spans="1:14" x14ac:dyDescent="0.3">
      <c r="A119" s="92">
        <v>45366</v>
      </c>
      <c r="B119" s="92" t="str">
        <f t="shared" si="4"/>
        <v>Friday</v>
      </c>
      <c r="C119" s="93" t="s">
        <v>1383</v>
      </c>
      <c r="D119" s="93"/>
      <c r="E119" s="94">
        <v>40</v>
      </c>
      <c r="F119" s="93" t="s">
        <v>5</v>
      </c>
      <c r="G119" s="87">
        <f>Table1[[#This Row],[date]]</f>
        <v>45366</v>
      </c>
      <c r="H119" s="94">
        <f>SUMIF($A$2:A3754,G119,$E$2:E3754)</f>
        <v>107.6</v>
      </c>
      <c r="I119" s="93" t="str">
        <f t="shared" si="5"/>
        <v>Friday</v>
      </c>
      <c r="J119" s="93" t="str">
        <f t="shared" si="6"/>
        <v>March</v>
      </c>
      <c r="K119" s="93" t="str">
        <f t="shared" si="7"/>
        <v>2024</v>
      </c>
      <c r="L119" s="6"/>
      <c r="M119" s="6"/>
      <c r="N119" s="6"/>
    </row>
    <row r="120" spans="1:14" x14ac:dyDescent="0.3">
      <c r="A120" s="87">
        <v>45366</v>
      </c>
      <c r="B120" s="87" t="str">
        <f t="shared" si="4"/>
        <v>Friday</v>
      </c>
      <c r="C120" s="88" t="s">
        <v>1381</v>
      </c>
      <c r="D120" s="88" t="s">
        <v>72</v>
      </c>
      <c r="E120" s="89">
        <v>38.700000000000003</v>
      </c>
      <c r="F120" s="88" t="s">
        <v>7</v>
      </c>
      <c r="G120" s="87">
        <f>Table1[[#This Row],[date]]</f>
        <v>45366</v>
      </c>
      <c r="H120" s="89">
        <f>SUMIF($A$2:A3755,G120,$E$2:E3755)</f>
        <v>107.6</v>
      </c>
      <c r="I120" s="88" t="str">
        <f t="shared" si="5"/>
        <v>Friday</v>
      </c>
      <c r="J120" s="88" t="str">
        <f t="shared" si="6"/>
        <v>March</v>
      </c>
      <c r="K120" s="88" t="str">
        <f t="shared" si="7"/>
        <v>2024</v>
      </c>
      <c r="L120" s="6"/>
      <c r="M120" s="6"/>
      <c r="N120" s="6"/>
    </row>
    <row r="121" spans="1:14" x14ac:dyDescent="0.3">
      <c r="A121" s="92">
        <v>45366</v>
      </c>
      <c r="B121" s="92" t="str">
        <f t="shared" si="4"/>
        <v>Friday</v>
      </c>
      <c r="C121" s="93" t="s">
        <v>1381</v>
      </c>
      <c r="D121" s="93" t="s">
        <v>21</v>
      </c>
      <c r="E121" s="94">
        <v>28.9</v>
      </c>
      <c r="F121" s="93" t="s">
        <v>9</v>
      </c>
      <c r="G121" s="87">
        <f>Table1[[#This Row],[date]]</f>
        <v>45366</v>
      </c>
      <c r="H121" s="94">
        <f>SUMIF($A$2:A3756,G121,$E$2:E3756)</f>
        <v>107.6</v>
      </c>
      <c r="I121" s="93" t="str">
        <f t="shared" si="5"/>
        <v>Friday</v>
      </c>
      <c r="J121" s="93" t="str">
        <f t="shared" si="6"/>
        <v>March</v>
      </c>
      <c r="K121" s="93" t="str">
        <f t="shared" si="7"/>
        <v>2024</v>
      </c>
      <c r="L121" s="6"/>
      <c r="M121" s="6"/>
      <c r="N121" s="6"/>
    </row>
    <row r="122" spans="1:14" x14ac:dyDescent="0.3">
      <c r="A122" s="87">
        <v>45367</v>
      </c>
      <c r="B122" s="87" t="str">
        <f t="shared" si="4"/>
        <v>Saturday</v>
      </c>
      <c r="C122" s="88" t="s">
        <v>1381</v>
      </c>
      <c r="D122" s="88" t="s">
        <v>73</v>
      </c>
      <c r="E122" s="89">
        <v>33.799999999999997</v>
      </c>
      <c r="F122" s="88" t="s">
        <v>12</v>
      </c>
      <c r="G122" s="87">
        <f>Table1[[#This Row],[date]]</f>
        <v>45367</v>
      </c>
      <c r="H122" s="89">
        <f>SUMIF($A$2:A3757,G122,$E$2:E3757)</f>
        <v>183.2</v>
      </c>
      <c r="I122" s="88" t="str">
        <f t="shared" si="5"/>
        <v>Saturday</v>
      </c>
      <c r="J122" s="88" t="str">
        <f t="shared" si="6"/>
        <v>March</v>
      </c>
      <c r="K122" s="88" t="str">
        <f t="shared" si="7"/>
        <v>2024</v>
      </c>
      <c r="L122" s="6"/>
      <c r="M122" s="6"/>
      <c r="N122" s="6"/>
    </row>
    <row r="123" spans="1:14" x14ac:dyDescent="0.3">
      <c r="A123" s="92">
        <v>45367</v>
      </c>
      <c r="B123" s="92" t="str">
        <f t="shared" si="4"/>
        <v>Saturday</v>
      </c>
      <c r="C123" s="93" t="s">
        <v>1381</v>
      </c>
      <c r="D123" s="93" t="s">
        <v>73</v>
      </c>
      <c r="E123" s="94">
        <v>28.9</v>
      </c>
      <c r="F123" s="93" t="s">
        <v>9</v>
      </c>
      <c r="G123" s="87">
        <f>Table1[[#This Row],[date]]</f>
        <v>45367</v>
      </c>
      <c r="H123" s="94">
        <f>SUMIF($A$2:A3758,G123,$E$2:E3758)</f>
        <v>183.2</v>
      </c>
      <c r="I123" s="93" t="str">
        <f t="shared" si="5"/>
        <v>Saturday</v>
      </c>
      <c r="J123" s="93" t="str">
        <f t="shared" si="6"/>
        <v>March</v>
      </c>
      <c r="K123" s="93" t="str">
        <f t="shared" si="7"/>
        <v>2024</v>
      </c>
      <c r="L123" s="6"/>
      <c r="M123" s="6"/>
      <c r="N123" s="6"/>
    </row>
    <row r="124" spans="1:14" x14ac:dyDescent="0.3">
      <c r="A124" s="87">
        <v>45367</v>
      </c>
      <c r="B124" s="87" t="str">
        <f t="shared" si="4"/>
        <v>Saturday</v>
      </c>
      <c r="C124" s="88" t="s">
        <v>1381</v>
      </c>
      <c r="D124" s="88" t="s">
        <v>17</v>
      </c>
      <c r="E124" s="89">
        <v>28.9</v>
      </c>
      <c r="F124" s="88" t="s">
        <v>26</v>
      </c>
      <c r="G124" s="87">
        <f>Table1[[#This Row],[date]]</f>
        <v>45367</v>
      </c>
      <c r="H124" s="89">
        <f>SUMIF($A$2:A3759,G124,$E$2:E3759)</f>
        <v>183.2</v>
      </c>
      <c r="I124" s="88" t="str">
        <f t="shared" si="5"/>
        <v>Saturday</v>
      </c>
      <c r="J124" s="88" t="str">
        <f t="shared" si="6"/>
        <v>March</v>
      </c>
      <c r="K124" s="88" t="str">
        <f t="shared" si="7"/>
        <v>2024</v>
      </c>
      <c r="L124" s="6"/>
      <c r="M124" s="6"/>
      <c r="N124" s="6"/>
    </row>
    <row r="125" spans="1:14" x14ac:dyDescent="0.3">
      <c r="A125" s="92">
        <v>45367</v>
      </c>
      <c r="B125" s="92" t="str">
        <f t="shared" si="4"/>
        <v>Saturday</v>
      </c>
      <c r="C125" s="93" t="s">
        <v>1381</v>
      </c>
      <c r="D125" s="93" t="s">
        <v>17</v>
      </c>
      <c r="E125" s="94">
        <v>28.9</v>
      </c>
      <c r="F125" s="93" t="s">
        <v>26</v>
      </c>
      <c r="G125" s="87">
        <f>Table1[[#This Row],[date]]</f>
        <v>45367</v>
      </c>
      <c r="H125" s="94">
        <f>SUMIF($A$2:A3760,G125,$E$2:E3760)</f>
        <v>183.2</v>
      </c>
      <c r="I125" s="93" t="str">
        <f t="shared" si="5"/>
        <v>Saturday</v>
      </c>
      <c r="J125" s="93" t="str">
        <f t="shared" si="6"/>
        <v>March</v>
      </c>
      <c r="K125" s="93" t="str">
        <f t="shared" si="7"/>
        <v>2024</v>
      </c>
      <c r="L125" s="6"/>
      <c r="M125" s="6"/>
      <c r="N125" s="6"/>
    </row>
    <row r="126" spans="1:14" x14ac:dyDescent="0.3">
      <c r="A126" s="87">
        <v>45367</v>
      </c>
      <c r="B126" s="87" t="str">
        <f t="shared" si="4"/>
        <v>Saturday</v>
      </c>
      <c r="C126" s="88" t="s">
        <v>1381</v>
      </c>
      <c r="D126" s="88" t="s">
        <v>21</v>
      </c>
      <c r="E126" s="89">
        <v>28.9</v>
      </c>
      <c r="F126" s="88" t="s">
        <v>26</v>
      </c>
      <c r="G126" s="87">
        <f>Table1[[#This Row],[date]]</f>
        <v>45367</v>
      </c>
      <c r="H126" s="89">
        <f>SUMIF($A$2:A3761,G126,$E$2:E3761)</f>
        <v>183.2</v>
      </c>
      <c r="I126" s="88" t="str">
        <f t="shared" si="5"/>
        <v>Saturday</v>
      </c>
      <c r="J126" s="88" t="str">
        <f t="shared" si="6"/>
        <v>March</v>
      </c>
      <c r="K126" s="88" t="str">
        <f t="shared" si="7"/>
        <v>2024</v>
      </c>
      <c r="L126" s="6"/>
      <c r="M126" s="6"/>
      <c r="N126" s="6"/>
    </row>
    <row r="127" spans="1:14" x14ac:dyDescent="0.3">
      <c r="A127" s="92">
        <v>45367</v>
      </c>
      <c r="B127" s="92" t="str">
        <f t="shared" si="4"/>
        <v>Saturday</v>
      </c>
      <c r="C127" s="93" t="s">
        <v>1381</v>
      </c>
      <c r="D127" s="93" t="s">
        <v>74</v>
      </c>
      <c r="E127" s="94">
        <v>33.799999999999997</v>
      </c>
      <c r="F127" s="93" t="s">
        <v>12</v>
      </c>
      <c r="G127" s="87">
        <f>Table1[[#This Row],[date]]</f>
        <v>45367</v>
      </c>
      <c r="H127" s="94">
        <f>SUMIF($A$2:A3762,G127,$E$2:E3762)</f>
        <v>183.2</v>
      </c>
      <c r="I127" s="93" t="str">
        <f t="shared" si="5"/>
        <v>Saturday</v>
      </c>
      <c r="J127" s="93" t="str">
        <f t="shared" si="6"/>
        <v>March</v>
      </c>
      <c r="K127" s="93" t="str">
        <f t="shared" si="7"/>
        <v>2024</v>
      </c>
      <c r="L127" s="6"/>
      <c r="M127" s="6"/>
      <c r="N127" s="6"/>
    </row>
    <row r="128" spans="1:14" x14ac:dyDescent="0.3">
      <c r="A128" s="87">
        <v>45368</v>
      </c>
      <c r="B128" s="87" t="str">
        <f t="shared" si="4"/>
        <v>Sunday</v>
      </c>
      <c r="C128" s="88" t="s">
        <v>1383</v>
      </c>
      <c r="D128" s="88"/>
      <c r="E128" s="89">
        <v>40</v>
      </c>
      <c r="F128" s="88" t="s">
        <v>5</v>
      </c>
      <c r="G128" s="87">
        <f>Table1[[#This Row],[date]]</f>
        <v>45368</v>
      </c>
      <c r="H128" s="89">
        <f>SUMIF($A$2:A3763,G128,$E$2:E3763)</f>
        <v>68.900000000000006</v>
      </c>
      <c r="I128" s="88" t="str">
        <f t="shared" si="5"/>
        <v>Sunday</v>
      </c>
      <c r="J128" s="88" t="str">
        <f t="shared" si="6"/>
        <v>March</v>
      </c>
      <c r="K128" s="88" t="str">
        <f t="shared" si="7"/>
        <v>2024</v>
      </c>
      <c r="L128" s="6"/>
      <c r="M128" s="6"/>
      <c r="N128" s="6"/>
    </row>
    <row r="129" spans="1:14" x14ac:dyDescent="0.3">
      <c r="A129" s="92">
        <v>45368</v>
      </c>
      <c r="B129" s="92" t="str">
        <f t="shared" si="4"/>
        <v>Sunday</v>
      </c>
      <c r="C129" s="93" t="s">
        <v>1381</v>
      </c>
      <c r="D129" s="93" t="s">
        <v>75</v>
      </c>
      <c r="E129" s="94">
        <v>28.9</v>
      </c>
      <c r="F129" s="93" t="s">
        <v>26</v>
      </c>
      <c r="G129" s="87">
        <f>Table1[[#This Row],[date]]</f>
        <v>45368</v>
      </c>
      <c r="H129" s="94">
        <f>SUMIF($A$2:A3764,G129,$E$2:E3764)</f>
        <v>68.900000000000006</v>
      </c>
      <c r="I129" s="93" t="str">
        <f t="shared" si="5"/>
        <v>Sunday</v>
      </c>
      <c r="J129" s="93" t="str">
        <f t="shared" si="6"/>
        <v>March</v>
      </c>
      <c r="K129" s="93" t="str">
        <f t="shared" si="7"/>
        <v>2024</v>
      </c>
      <c r="L129" s="6"/>
      <c r="M129" s="6"/>
      <c r="N129" s="6"/>
    </row>
    <row r="130" spans="1:14" x14ac:dyDescent="0.3">
      <c r="A130" s="87">
        <v>45369</v>
      </c>
      <c r="B130" s="87" t="str">
        <f t="shared" ref="B130:B193" si="8">TEXT(A130,"dddd")</f>
        <v>Monday</v>
      </c>
      <c r="C130" s="88" t="s">
        <v>1381</v>
      </c>
      <c r="D130" s="88" t="s">
        <v>76</v>
      </c>
      <c r="E130" s="89">
        <v>28.9</v>
      </c>
      <c r="F130" s="88" t="s">
        <v>26</v>
      </c>
      <c r="G130" s="87">
        <f>Table1[[#This Row],[date]]</f>
        <v>45369</v>
      </c>
      <c r="H130" s="89">
        <f>SUMIF($A$2:A3765,G130,$E$2:E3765)</f>
        <v>115.6</v>
      </c>
      <c r="I130" s="88" t="str">
        <f t="shared" ref="I130:I193" si="9">TEXT(G130,"dddd")</f>
        <v>Monday</v>
      </c>
      <c r="J130" s="88" t="str">
        <f t="shared" ref="J130:J193" si="10">TEXT(G130,"mmmm")</f>
        <v>March</v>
      </c>
      <c r="K130" s="88" t="str">
        <f t="shared" ref="K130:K193" si="11">TEXT(G130,"yyyy")</f>
        <v>2024</v>
      </c>
      <c r="L130" s="6"/>
      <c r="M130" s="6"/>
      <c r="N130" s="6"/>
    </row>
    <row r="131" spans="1:14" x14ac:dyDescent="0.3">
      <c r="A131" s="92">
        <v>45369</v>
      </c>
      <c r="B131" s="92" t="str">
        <f t="shared" si="8"/>
        <v>Monday</v>
      </c>
      <c r="C131" s="93" t="s">
        <v>1381</v>
      </c>
      <c r="D131" s="93" t="s">
        <v>8</v>
      </c>
      <c r="E131" s="94">
        <v>28.9</v>
      </c>
      <c r="F131" s="93" t="s">
        <v>9</v>
      </c>
      <c r="G131" s="87">
        <f>Table1[[#This Row],[date]]</f>
        <v>45369</v>
      </c>
      <c r="H131" s="94">
        <f>SUMIF($A$2:A3766,G131,$E$2:E3766)</f>
        <v>115.6</v>
      </c>
      <c r="I131" s="93" t="str">
        <f t="shared" si="9"/>
        <v>Monday</v>
      </c>
      <c r="J131" s="93" t="str">
        <f t="shared" si="10"/>
        <v>March</v>
      </c>
      <c r="K131" s="93" t="str">
        <f t="shared" si="11"/>
        <v>2024</v>
      </c>
      <c r="L131" s="6"/>
      <c r="M131" s="6"/>
      <c r="N131" s="6"/>
    </row>
    <row r="132" spans="1:14" x14ac:dyDescent="0.3">
      <c r="A132" s="87">
        <v>45369</v>
      </c>
      <c r="B132" s="87" t="str">
        <f t="shared" si="8"/>
        <v>Monday</v>
      </c>
      <c r="C132" s="88" t="s">
        <v>1381</v>
      </c>
      <c r="D132" s="88" t="s">
        <v>8</v>
      </c>
      <c r="E132" s="89">
        <v>28.9</v>
      </c>
      <c r="F132" s="88" t="s">
        <v>9</v>
      </c>
      <c r="G132" s="87">
        <f>Table1[[#This Row],[date]]</f>
        <v>45369</v>
      </c>
      <c r="H132" s="89">
        <f>SUMIF($A$2:A3767,G132,$E$2:E3767)</f>
        <v>115.6</v>
      </c>
      <c r="I132" s="88" t="str">
        <f t="shared" si="9"/>
        <v>Monday</v>
      </c>
      <c r="J132" s="88" t="str">
        <f t="shared" si="10"/>
        <v>March</v>
      </c>
      <c r="K132" s="88" t="str">
        <f t="shared" si="11"/>
        <v>2024</v>
      </c>
      <c r="L132" s="6"/>
      <c r="M132" s="6"/>
      <c r="N132" s="6"/>
    </row>
    <row r="133" spans="1:14" x14ac:dyDescent="0.3">
      <c r="A133" s="92">
        <v>45369</v>
      </c>
      <c r="B133" s="92" t="str">
        <f t="shared" si="8"/>
        <v>Monday</v>
      </c>
      <c r="C133" s="93" t="s">
        <v>1381</v>
      </c>
      <c r="D133" s="93" t="s">
        <v>8</v>
      </c>
      <c r="E133" s="94">
        <v>28.9</v>
      </c>
      <c r="F133" s="93" t="s">
        <v>9</v>
      </c>
      <c r="G133" s="87">
        <f>Table1[[#This Row],[date]]</f>
        <v>45369</v>
      </c>
      <c r="H133" s="94">
        <f>SUMIF($A$2:A3768,G133,$E$2:E3768)</f>
        <v>115.6</v>
      </c>
      <c r="I133" s="93" t="str">
        <f t="shared" si="9"/>
        <v>Monday</v>
      </c>
      <c r="J133" s="93" t="str">
        <f t="shared" si="10"/>
        <v>March</v>
      </c>
      <c r="K133" s="93" t="str">
        <f t="shared" si="11"/>
        <v>2024</v>
      </c>
      <c r="L133" s="6"/>
      <c r="M133" s="6"/>
      <c r="N133" s="6"/>
    </row>
    <row r="134" spans="1:14" x14ac:dyDescent="0.3">
      <c r="A134" s="87">
        <v>45370</v>
      </c>
      <c r="B134" s="87" t="str">
        <f t="shared" si="8"/>
        <v>Tuesday</v>
      </c>
      <c r="C134" s="88" t="s">
        <v>1383</v>
      </c>
      <c r="D134" s="88"/>
      <c r="E134" s="89">
        <v>30</v>
      </c>
      <c r="F134" s="88" t="s">
        <v>26</v>
      </c>
      <c r="G134" s="87">
        <f>Table1[[#This Row],[date]]</f>
        <v>45370</v>
      </c>
      <c r="H134" s="89">
        <f>SUMIF($A$2:A3769,G134,$E$2:E3769)</f>
        <v>219.90000000000003</v>
      </c>
      <c r="I134" s="88" t="str">
        <f t="shared" si="9"/>
        <v>Tuesday</v>
      </c>
      <c r="J134" s="88" t="str">
        <f t="shared" si="10"/>
        <v>March</v>
      </c>
      <c r="K134" s="88" t="str">
        <f t="shared" si="11"/>
        <v>2024</v>
      </c>
      <c r="L134" s="6"/>
      <c r="M134" s="6"/>
      <c r="N134" s="6"/>
    </row>
    <row r="135" spans="1:14" x14ac:dyDescent="0.3">
      <c r="A135" s="92">
        <v>45370</v>
      </c>
      <c r="B135" s="92" t="str">
        <f t="shared" si="8"/>
        <v>Tuesday</v>
      </c>
      <c r="C135" s="93" t="s">
        <v>1381</v>
      </c>
      <c r="D135" s="93" t="s">
        <v>77</v>
      </c>
      <c r="E135" s="94">
        <v>38.700000000000003</v>
      </c>
      <c r="F135" s="93" t="s">
        <v>5</v>
      </c>
      <c r="G135" s="87">
        <f>Table1[[#This Row],[date]]</f>
        <v>45370</v>
      </c>
      <c r="H135" s="94">
        <f>SUMIF($A$2:A3770,G135,$E$2:E3770)</f>
        <v>219.90000000000003</v>
      </c>
      <c r="I135" s="93" t="str">
        <f t="shared" si="9"/>
        <v>Tuesday</v>
      </c>
      <c r="J135" s="93" t="str">
        <f t="shared" si="10"/>
        <v>March</v>
      </c>
      <c r="K135" s="93" t="str">
        <f t="shared" si="11"/>
        <v>2024</v>
      </c>
      <c r="L135" s="6"/>
      <c r="M135" s="6"/>
      <c r="N135" s="6"/>
    </row>
    <row r="136" spans="1:14" x14ac:dyDescent="0.3">
      <c r="A136" s="87">
        <v>45370</v>
      </c>
      <c r="B136" s="87" t="str">
        <f t="shared" si="8"/>
        <v>Tuesday</v>
      </c>
      <c r="C136" s="88" t="s">
        <v>1381</v>
      </c>
      <c r="D136" s="88" t="s">
        <v>77</v>
      </c>
      <c r="E136" s="89">
        <v>38.700000000000003</v>
      </c>
      <c r="F136" s="88" t="s">
        <v>5</v>
      </c>
      <c r="G136" s="87">
        <f>Table1[[#This Row],[date]]</f>
        <v>45370</v>
      </c>
      <c r="H136" s="89">
        <f>SUMIF($A$2:A3771,G136,$E$2:E3771)</f>
        <v>219.90000000000003</v>
      </c>
      <c r="I136" s="88" t="str">
        <f t="shared" si="9"/>
        <v>Tuesday</v>
      </c>
      <c r="J136" s="88" t="str">
        <f t="shared" si="10"/>
        <v>March</v>
      </c>
      <c r="K136" s="88" t="str">
        <f t="shared" si="11"/>
        <v>2024</v>
      </c>
      <c r="L136" s="6"/>
      <c r="M136" s="6"/>
      <c r="N136" s="6"/>
    </row>
    <row r="137" spans="1:14" x14ac:dyDescent="0.3">
      <c r="A137" s="92">
        <v>45370</v>
      </c>
      <c r="B137" s="92" t="str">
        <f t="shared" si="8"/>
        <v>Tuesday</v>
      </c>
      <c r="C137" s="93" t="s">
        <v>1381</v>
      </c>
      <c r="D137" s="93" t="s">
        <v>61</v>
      </c>
      <c r="E137" s="94">
        <v>38.700000000000003</v>
      </c>
      <c r="F137" s="93" t="s">
        <v>7</v>
      </c>
      <c r="G137" s="87">
        <f>Table1[[#This Row],[date]]</f>
        <v>45370</v>
      </c>
      <c r="H137" s="94">
        <f>SUMIF($A$2:A3772,G137,$E$2:E3772)</f>
        <v>219.90000000000003</v>
      </c>
      <c r="I137" s="93" t="str">
        <f t="shared" si="9"/>
        <v>Tuesday</v>
      </c>
      <c r="J137" s="93" t="str">
        <f t="shared" si="10"/>
        <v>March</v>
      </c>
      <c r="K137" s="93" t="str">
        <f t="shared" si="11"/>
        <v>2024</v>
      </c>
      <c r="L137" s="6"/>
      <c r="M137" s="6"/>
      <c r="N137" s="6"/>
    </row>
    <row r="138" spans="1:14" x14ac:dyDescent="0.3">
      <c r="A138" s="87">
        <v>45370</v>
      </c>
      <c r="B138" s="87" t="str">
        <f t="shared" si="8"/>
        <v>Tuesday</v>
      </c>
      <c r="C138" s="88" t="s">
        <v>1381</v>
      </c>
      <c r="D138" s="88" t="s">
        <v>78</v>
      </c>
      <c r="E138" s="89">
        <v>33.799999999999997</v>
      </c>
      <c r="F138" s="88" t="s">
        <v>12</v>
      </c>
      <c r="G138" s="87">
        <f>Table1[[#This Row],[date]]</f>
        <v>45370</v>
      </c>
      <c r="H138" s="89">
        <f>SUMIF($A$2:A3773,G138,$E$2:E3773)</f>
        <v>219.90000000000003</v>
      </c>
      <c r="I138" s="88" t="str">
        <f t="shared" si="9"/>
        <v>Tuesday</v>
      </c>
      <c r="J138" s="88" t="str">
        <f t="shared" si="10"/>
        <v>March</v>
      </c>
      <c r="K138" s="88" t="str">
        <f t="shared" si="11"/>
        <v>2024</v>
      </c>
      <c r="L138" s="6"/>
      <c r="M138" s="6"/>
      <c r="N138" s="6"/>
    </row>
    <row r="139" spans="1:14" x14ac:dyDescent="0.3">
      <c r="A139" s="92">
        <v>45370</v>
      </c>
      <c r="B139" s="92" t="str">
        <f t="shared" si="8"/>
        <v>Tuesday</v>
      </c>
      <c r="C139" s="93" t="s">
        <v>1383</v>
      </c>
      <c r="D139" s="93"/>
      <c r="E139" s="94">
        <v>40</v>
      </c>
      <c r="F139" s="93" t="s">
        <v>7</v>
      </c>
      <c r="G139" s="87">
        <f>Table1[[#This Row],[date]]</f>
        <v>45370</v>
      </c>
      <c r="H139" s="94">
        <f>SUMIF($A$2:A3774,G139,$E$2:E3774)</f>
        <v>219.90000000000003</v>
      </c>
      <c r="I139" s="93" t="str">
        <f t="shared" si="9"/>
        <v>Tuesday</v>
      </c>
      <c r="J139" s="93" t="str">
        <f t="shared" si="10"/>
        <v>March</v>
      </c>
      <c r="K139" s="93" t="str">
        <f t="shared" si="11"/>
        <v>2024</v>
      </c>
      <c r="L139" s="6"/>
      <c r="M139" s="6"/>
      <c r="N139" s="6"/>
    </row>
    <row r="140" spans="1:14" x14ac:dyDescent="0.3">
      <c r="A140" s="87">
        <v>45371</v>
      </c>
      <c r="B140" s="87" t="str">
        <f t="shared" si="8"/>
        <v>Wednesday</v>
      </c>
      <c r="C140" s="88" t="s">
        <v>1381</v>
      </c>
      <c r="D140" s="88" t="s">
        <v>21</v>
      </c>
      <c r="E140" s="89">
        <v>28.9</v>
      </c>
      <c r="F140" s="88" t="s">
        <v>26</v>
      </c>
      <c r="G140" s="87">
        <f>Table1[[#This Row],[date]]</f>
        <v>45371</v>
      </c>
      <c r="H140" s="89">
        <f>SUMIF($A$2:A3775,G140,$E$2:E3775)</f>
        <v>213.89999999999998</v>
      </c>
      <c r="I140" s="88" t="str">
        <f t="shared" si="9"/>
        <v>Wednesday</v>
      </c>
      <c r="J140" s="88" t="str">
        <f t="shared" si="10"/>
        <v>March</v>
      </c>
      <c r="K140" s="88" t="str">
        <f t="shared" si="11"/>
        <v>2024</v>
      </c>
      <c r="L140" s="6"/>
      <c r="M140" s="6"/>
      <c r="N140" s="6"/>
    </row>
    <row r="141" spans="1:14" x14ac:dyDescent="0.3">
      <c r="A141" s="92">
        <v>45371</v>
      </c>
      <c r="B141" s="92" t="str">
        <f t="shared" si="8"/>
        <v>Wednesday</v>
      </c>
      <c r="C141" s="93" t="s">
        <v>1383</v>
      </c>
      <c r="D141" s="93"/>
      <c r="E141" s="94">
        <v>40</v>
      </c>
      <c r="F141" s="93" t="s">
        <v>5</v>
      </c>
      <c r="G141" s="87">
        <f>Table1[[#This Row],[date]]</f>
        <v>45371</v>
      </c>
      <c r="H141" s="94">
        <f>SUMIF($A$2:A3776,G141,$E$2:E3776)</f>
        <v>213.89999999999998</v>
      </c>
      <c r="I141" s="93" t="str">
        <f t="shared" si="9"/>
        <v>Wednesday</v>
      </c>
      <c r="J141" s="93" t="str">
        <f t="shared" si="10"/>
        <v>March</v>
      </c>
      <c r="K141" s="93" t="str">
        <f t="shared" si="11"/>
        <v>2024</v>
      </c>
      <c r="L141" s="6"/>
      <c r="M141" s="6"/>
      <c r="N141" s="6"/>
    </row>
    <row r="142" spans="1:14" x14ac:dyDescent="0.3">
      <c r="A142" s="87">
        <v>45371</v>
      </c>
      <c r="B142" s="87" t="str">
        <f t="shared" si="8"/>
        <v>Wednesday</v>
      </c>
      <c r="C142" s="88" t="s">
        <v>1381</v>
      </c>
      <c r="D142" s="88" t="s">
        <v>61</v>
      </c>
      <c r="E142" s="89">
        <v>28.9</v>
      </c>
      <c r="F142" s="88" t="s">
        <v>26</v>
      </c>
      <c r="G142" s="87">
        <f>Table1[[#This Row],[date]]</f>
        <v>45371</v>
      </c>
      <c r="H142" s="89">
        <f>SUMIF($A$2:A3777,G142,$E$2:E3777)</f>
        <v>213.89999999999998</v>
      </c>
      <c r="I142" s="88" t="str">
        <f t="shared" si="9"/>
        <v>Wednesday</v>
      </c>
      <c r="J142" s="88" t="str">
        <f t="shared" si="10"/>
        <v>March</v>
      </c>
      <c r="K142" s="88" t="str">
        <f t="shared" si="11"/>
        <v>2024</v>
      </c>
      <c r="L142" s="6"/>
      <c r="M142" s="6"/>
      <c r="N142" s="6"/>
    </row>
    <row r="143" spans="1:14" x14ac:dyDescent="0.3">
      <c r="A143" s="92">
        <v>45371</v>
      </c>
      <c r="B143" s="92" t="str">
        <f t="shared" si="8"/>
        <v>Wednesday</v>
      </c>
      <c r="C143" s="93" t="s">
        <v>1381</v>
      </c>
      <c r="D143" s="93" t="s">
        <v>79</v>
      </c>
      <c r="E143" s="94">
        <v>38.700000000000003</v>
      </c>
      <c r="F143" s="93" t="s">
        <v>41</v>
      </c>
      <c r="G143" s="87">
        <f>Table1[[#This Row],[date]]</f>
        <v>45371</v>
      </c>
      <c r="H143" s="94">
        <f>SUMIF($A$2:A3778,G143,$E$2:E3778)</f>
        <v>213.89999999999998</v>
      </c>
      <c r="I143" s="93" t="str">
        <f t="shared" si="9"/>
        <v>Wednesday</v>
      </c>
      <c r="J143" s="93" t="str">
        <f t="shared" si="10"/>
        <v>March</v>
      </c>
      <c r="K143" s="93" t="str">
        <f t="shared" si="11"/>
        <v>2024</v>
      </c>
      <c r="L143" s="6"/>
      <c r="M143" s="6"/>
      <c r="N143" s="6"/>
    </row>
    <row r="144" spans="1:14" x14ac:dyDescent="0.3">
      <c r="A144" s="87">
        <v>45371</v>
      </c>
      <c r="B144" s="87" t="str">
        <f t="shared" si="8"/>
        <v>Wednesday</v>
      </c>
      <c r="C144" s="88" t="s">
        <v>1381</v>
      </c>
      <c r="D144" s="88" t="s">
        <v>62</v>
      </c>
      <c r="E144" s="89">
        <v>38.700000000000003</v>
      </c>
      <c r="F144" s="88" t="s">
        <v>16</v>
      </c>
      <c r="G144" s="87">
        <f>Table1[[#This Row],[date]]</f>
        <v>45371</v>
      </c>
      <c r="H144" s="89">
        <f>SUMIF($A$2:A3779,G144,$E$2:E3779)</f>
        <v>213.89999999999998</v>
      </c>
      <c r="I144" s="88" t="str">
        <f t="shared" si="9"/>
        <v>Wednesday</v>
      </c>
      <c r="J144" s="88" t="str">
        <f t="shared" si="10"/>
        <v>March</v>
      </c>
      <c r="K144" s="88" t="str">
        <f t="shared" si="11"/>
        <v>2024</v>
      </c>
      <c r="L144" s="6"/>
      <c r="M144" s="6"/>
      <c r="N144" s="6"/>
    </row>
    <row r="145" spans="1:14" x14ac:dyDescent="0.3">
      <c r="A145" s="92">
        <v>45371</v>
      </c>
      <c r="B145" s="92" t="str">
        <f t="shared" si="8"/>
        <v>Wednesday</v>
      </c>
      <c r="C145" s="93" t="s">
        <v>1381</v>
      </c>
      <c r="D145" s="93" t="s">
        <v>80</v>
      </c>
      <c r="E145" s="94">
        <v>38.700000000000003</v>
      </c>
      <c r="F145" s="93" t="s">
        <v>5</v>
      </c>
      <c r="G145" s="87">
        <f>Table1[[#This Row],[date]]</f>
        <v>45371</v>
      </c>
      <c r="H145" s="94">
        <f>SUMIF($A$2:A3780,G145,$E$2:E3780)</f>
        <v>213.89999999999998</v>
      </c>
      <c r="I145" s="93" t="str">
        <f t="shared" si="9"/>
        <v>Wednesday</v>
      </c>
      <c r="J145" s="93" t="str">
        <f t="shared" si="10"/>
        <v>March</v>
      </c>
      <c r="K145" s="93" t="str">
        <f t="shared" si="11"/>
        <v>2024</v>
      </c>
      <c r="L145" s="6"/>
      <c r="M145" s="6"/>
      <c r="N145" s="6"/>
    </row>
    <row r="146" spans="1:14" x14ac:dyDescent="0.3">
      <c r="A146" s="87">
        <v>45372</v>
      </c>
      <c r="B146" s="87" t="str">
        <f t="shared" si="8"/>
        <v>Thursday</v>
      </c>
      <c r="C146" s="88" t="s">
        <v>1383</v>
      </c>
      <c r="D146" s="88"/>
      <c r="E146" s="89">
        <v>40</v>
      </c>
      <c r="F146" s="88" t="s">
        <v>41</v>
      </c>
      <c r="G146" s="87">
        <f>Table1[[#This Row],[date]]</f>
        <v>45372</v>
      </c>
      <c r="H146" s="89">
        <f>SUMIF($A$2:A3781,G146,$E$2:E3781)</f>
        <v>205.20000000000005</v>
      </c>
      <c r="I146" s="88" t="str">
        <f t="shared" si="9"/>
        <v>Thursday</v>
      </c>
      <c r="J146" s="88" t="str">
        <f t="shared" si="10"/>
        <v>March</v>
      </c>
      <c r="K146" s="88" t="str">
        <f t="shared" si="11"/>
        <v>2024</v>
      </c>
      <c r="L146" s="6"/>
      <c r="M146" s="6"/>
      <c r="N146" s="6"/>
    </row>
    <row r="147" spans="1:14" x14ac:dyDescent="0.3">
      <c r="A147" s="92">
        <v>45372</v>
      </c>
      <c r="B147" s="92" t="str">
        <f t="shared" si="8"/>
        <v>Thursday</v>
      </c>
      <c r="C147" s="93" t="s">
        <v>1381</v>
      </c>
      <c r="D147" s="93" t="s">
        <v>21</v>
      </c>
      <c r="E147" s="94">
        <v>28.9</v>
      </c>
      <c r="F147" s="93" t="s">
        <v>26</v>
      </c>
      <c r="G147" s="87">
        <f>Table1[[#This Row],[date]]</f>
        <v>45372</v>
      </c>
      <c r="H147" s="94">
        <f>SUMIF($A$2:A3782,G147,$E$2:E3782)</f>
        <v>205.20000000000005</v>
      </c>
      <c r="I147" s="93" t="str">
        <f t="shared" si="9"/>
        <v>Thursday</v>
      </c>
      <c r="J147" s="93" t="str">
        <f t="shared" si="10"/>
        <v>March</v>
      </c>
      <c r="K147" s="93" t="str">
        <f t="shared" si="11"/>
        <v>2024</v>
      </c>
      <c r="L147" s="6"/>
      <c r="M147" s="6"/>
      <c r="N147" s="6"/>
    </row>
    <row r="148" spans="1:14" x14ac:dyDescent="0.3">
      <c r="A148" s="87">
        <v>45372</v>
      </c>
      <c r="B148" s="87" t="str">
        <f t="shared" si="8"/>
        <v>Thursday</v>
      </c>
      <c r="C148" s="88" t="s">
        <v>1381</v>
      </c>
      <c r="D148" s="88" t="s">
        <v>21</v>
      </c>
      <c r="E148" s="89">
        <v>38.700000000000003</v>
      </c>
      <c r="F148" s="88" t="s">
        <v>41</v>
      </c>
      <c r="G148" s="87">
        <f>Table1[[#This Row],[date]]</f>
        <v>45372</v>
      </c>
      <c r="H148" s="89">
        <f>SUMIF($A$2:A3783,G148,$E$2:E3783)</f>
        <v>205.20000000000005</v>
      </c>
      <c r="I148" s="88" t="str">
        <f t="shared" si="9"/>
        <v>Thursday</v>
      </c>
      <c r="J148" s="88" t="str">
        <f t="shared" si="10"/>
        <v>March</v>
      </c>
      <c r="K148" s="88" t="str">
        <f t="shared" si="11"/>
        <v>2024</v>
      </c>
      <c r="L148" s="6"/>
      <c r="M148" s="6"/>
      <c r="N148" s="6"/>
    </row>
    <row r="149" spans="1:14" x14ac:dyDescent="0.3">
      <c r="A149" s="92">
        <v>45372</v>
      </c>
      <c r="B149" s="92" t="str">
        <f t="shared" si="8"/>
        <v>Thursday</v>
      </c>
      <c r="C149" s="93" t="s">
        <v>1383</v>
      </c>
      <c r="D149" s="93"/>
      <c r="E149" s="94">
        <v>30</v>
      </c>
      <c r="F149" s="93" t="s">
        <v>9</v>
      </c>
      <c r="G149" s="87">
        <f>Table1[[#This Row],[date]]</f>
        <v>45372</v>
      </c>
      <c r="H149" s="94">
        <f>SUMIF($A$2:A3784,G149,$E$2:E3784)</f>
        <v>205.20000000000005</v>
      </c>
      <c r="I149" s="93" t="str">
        <f t="shared" si="9"/>
        <v>Thursday</v>
      </c>
      <c r="J149" s="93" t="str">
        <f t="shared" si="10"/>
        <v>March</v>
      </c>
      <c r="K149" s="93" t="str">
        <f t="shared" si="11"/>
        <v>2024</v>
      </c>
      <c r="L149" s="6"/>
      <c r="M149" s="6"/>
      <c r="N149" s="6"/>
    </row>
    <row r="150" spans="1:14" x14ac:dyDescent="0.3">
      <c r="A150" s="87">
        <v>45372</v>
      </c>
      <c r="B150" s="87" t="str">
        <f t="shared" si="8"/>
        <v>Thursday</v>
      </c>
      <c r="C150" s="88" t="s">
        <v>1381</v>
      </c>
      <c r="D150" s="88" t="s">
        <v>21</v>
      </c>
      <c r="E150" s="89">
        <v>28.9</v>
      </c>
      <c r="F150" s="88" t="s">
        <v>26</v>
      </c>
      <c r="G150" s="87">
        <f>Table1[[#This Row],[date]]</f>
        <v>45372</v>
      </c>
      <c r="H150" s="89">
        <f>SUMIF($A$2:A3785,G150,$E$2:E3785)</f>
        <v>205.20000000000005</v>
      </c>
      <c r="I150" s="88" t="str">
        <f t="shared" si="9"/>
        <v>Thursday</v>
      </c>
      <c r="J150" s="88" t="str">
        <f t="shared" si="10"/>
        <v>March</v>
      </c>
      <c r="K150" s="88" t="str">
        <f t="shared" si="11"/>
        <v>2024</v>
      </c>
      <c r="L150" s="6"/>
      <c r="M150" s="6"/>
      <c r="N150" s="6"/>
    </row>
    <row r="151" spans="1:14" x14ac:dyDescent="0.3">
      <c r="A151" s="92">
        <v>45372</v>
      </c>
      <c r="B151" s="92" t="str">
        <f t="shared" si="8"/>
        <v>Thursday</v>
      </c>
      <c r="C151" s="93" t="s">
        <v>1381</v>
      </c>
      <c r="D151" s="93" t="s">
        <v>81</v>
      </c>
      <c r="E151" s="94">
        <v>38.700000000000003</v>
      </c>
      <c r="F151" s="93" t="s">
        <v>5</v>
      </c>
      <c r="G151" s="87">
        <f>Table1[[#This Row],[date]]</f>
        <v>45372</v>
      </c>
      <c r="H151" s="94">
        <f>SUMIF($A$2:A3786,G151,$E$2:E3786)</f>
        <v>205.20000000000005</v>
      </c>
      <c r="I151" s="93" t="str">
        <f t="shared" si="9"/>
        <v>Thursday</v>
      </c>
      <c r="J151" s="93" t="str">
        <f t="shared" si="10"/>
        <v>March</v>
      </c>
      <c r="K151" s="93" t="str">
        <f t="shared" si="11"/>
        <v>2024</v>
      </c>
      <c r="L151" s="6"/>
      <c r="M151" s="6"/>
      <c r="N151" s="6"/>
    </row>
    <row r="152" spans="1:14" x14ac:dyDescent="0.3">
      <c r="A152" s="87">
        <v>45373</v>
      </c>
      <c r="B152" s="87" t="str">
        <f t="shared" si="8"/>
        <v>Friday</v>
      </c>
      <c r="C152" s="88" t="s">
        <v>1381</v>
      </c>
      <c r="D152" s="88" t="s">
        <v>82</v>
      </c>
      <c r="E152" s="89">
        <v>33.799999999999997</v>
      </c>
      <c r="F152" s="88" t="s">
        <v>12</v>
      </c>
      <c r="G152" s="87">
        <f>Table1[[#This Row],[date]]</f>
        <v>45373</v>
      </c>
      <c r="H152" s="89">
        <f>SUMIF($A$2:A3787,G152,$E$2:E3787)</f>
        <v>189.4</v>
      </c>
      <c r="I152" s="88" t="str">
        <f t="shared" si="9"/>
        <v>Friday</v>
      </c>
      <c r="J152" s="88" t="str">
        <f t="shared" si="10"/>
        <v>March</v>
      </c>
      <c r="K152" s="88" t="str">
        <f t="shared" si="11"/>
        <v>2024</v>
      </c>
      <c r="L152" s="6"/>
      <c r="M152" s="6"/>
      <c r="N152" s="6"/>
    </row>
    <row r="153" spans="1:14" x14ac:dyDescent="0.3">
      <c r="A153" s="92">
        <v>45373</v>
      </c>
      <c r="B153" s="92" t="str">
        <f t="shared" si="8"/>
        <v>Friday</v>
      </c>
      <c r="C153" s="93" t="s">
        <v>1381</v>
      </c>
      <c r="D153" s="93" t="s">
        <v>83</v>
      </c>
      <c r="E153" s="94">
        <v>33.799999999999997</v>
      </c>
      <c r="F153" s="93" t="s">
        <v>12</v>
      </c>
      <c r="G153" s="87">
        <f>Table1[[#This Row],[date]]</f>
        <v>45373</v>
      </c>
      <c r="H153" s="94">
        <f>SUMIF($A$2:A3788,G153,$E$2:E3788)</f>
        <v>189.4</v>
      </c>
      <c r="I153" s="93" t="str">
        <f t="shared" si="9"/>
        <v>Friday</v>
      </c>
      <c r="J153" s="93" t="str">
        <f t="shared" si="10"/>
        <v>March</v>
      </c>
      <c r="K153" s="93" t="str">
        <f t="shared" si="11"/>
        <v>2024</v>
      </c>
      <c r="L153" s="6"/>
      <c r="M153" s="6"/>
      <c r="N153" s="6"/>
    </row>
    <row r="154" spans="1:14" x14ac:dyDescent="0.3">
      <c r="A154" s="87">
        <v>45373</v>
      </c>
      <c r="B154" s="87" t="str">
        <f t="shared" si="8"/>
        <v>Friday</v>
      </c>
      <c r="C154" s="88" t="s">
        <v>1383</v>
      </c>
      <c r="D154" s="88"/>
      <c r="E154" s="89">
        <v>40</v>
      </c>
      <c r="F154" s="88" t="s">
        <v>41</v>
      </c>
      <c r="G154" s="87">
        <f>Table1[[#This Row],[date]]</f>
        <v>45373</v>
      </c>
      <c r="H154" s="89">
        <f>SUMIF($A$2:A3789,G154,$E$2:E3789)</f>
        <v>189.4</v>
      </c>
      <c r="I154" s="88" t="str">
        <f t="shared" si="9"/>
        <v>Friday</v>
      </c>
      <c r="J154" s="88" t="str">
        <f t="shared" si="10"/>
        <v>March</v>
      </c>
      <c r="K154" s="88" t="str">
        <f t="shared" si="11"/>
        <v>2024</v>
      </c>
      <c r="L154" s="6"/>
      <c r="M154" s="6"/>
      <c r="N154" s="6"/>
    </row>
    <row r="155" spans="1:14" x14ac:dyDescent="0.3">
      <c r="A155" s="92">
        <v>45373</v>
      </c>
      <c r="B155" s="92" t="str">
        <f t="shared" si="8"/>
        <v>Friday</v>
      </c>
      <c r="C155" s="93" t="s">
        <v>1381</v>
      </c>
      <c r="D155" s="93" t="s">
        <v>21</v>
      </c>
      <c r="E155" s="94">
        <v>28.9</v>
      </c>
      <c r="F155" s="93" t="s">
        <v>9</v>
      </c>
      <c r="G155" s="87">
        <f>Table1[[#This Row],[date]]</f>
        <v>45373</v>
      </c>
      <c r="H155" s="94">
        <f>SUMIF($A$2:A3790,G155,$E$2:E3790)</f>
        <v>189.4</v>
      </c>
      <c r="I155" s="93" t="str">
        <f t="shared" si="9"/>
        <v>Friday</v>
      </c>
      <c r="J155" s="93" t="str">
        <f t="shared" si="10"/>
        <v>March</v>
      </c>
      <c r="K155" s="93" t="str">
        <f t="shared" si="11"/>
        <v>2024</v>
      </c>
      <c r="L155" s="6"/>
      <c r="M155" s="6"/>
      <c r="N155" s="6"/>
    </row>
    <row r="156" spans="1:14" x14ac:dyDescent="0.3">
      <c r="A156" s="87">
        <v>45373</v>
      </c>
      <c r="B156" s="87" t="str">
        <f t="shared" si="8"/>
        <v>Friday</v>
      </c>
      <c r="C156" s="88" t="s">
        <v>1381</v>
      </c>
      <c r="D156" s="88" t="s">
        <v>21</v>
      </c>
      <c r="E156" s="89">
        <v>24</v>
      </c>
      <c r="F156" s="88" t="s">
        <v>33</v>
      </c>
      <c r="G156" s="87">
        <f>Table1[[#This Row],[date]]</f>
        <v>45373</v>
      </c>
      <c r="H156" s="89">
        <f>SUMIF($A$2:A3791,G156,$E$2:E3791)</f>
        <v>189.4</v>
      </c>
      <c r="I156" s="88" t="str">
        <f t="shared" si="9"/>
        <v>Friday</v>
      </c>
      <c r="J156" s="88" t="str">
        <f t="shared" si="10"/>
        <v>March</v>
      </c>
      <c r="K156" s="88" t="str">
        <f t="shared" si="11"/>
        <v>2024</v>
      </c>
      <c r="L156" s="6"/>
      <c r="M156" s="6"/>
      <c r="N156" s="6"/>
    </row>
    <row r="157" spans="1:14" x14ac:dyDescent="0.3">
      <c r="A157" s="92">
        <v>45373</v>
      </c>
      <c r="B157" s="92" t="str">
        <f t="shared" si="8"/>
        <v>Friday</v>
      </c>
      <c r="C157" s="93" t="s">
        <v>1381</v>
      </c>
      <c r="D157" s="93" t="s">
        <v>62</v>
      </c>
      <c r="E157" s="94">
        <v>28.9</v>
      </c>
      <c r="F157" s="93" t="s">
        <v>9</v>
      </c>
      <c r="G157" s="87">
        <f>Table1[[#This Row],[date]]</f>
        <v>45373</v>
      </c>
      <c r="H157" s="94">
        <f>SUMIF($A$2:A3792,G157,$E$2:E3792)</f>
        <v>189.4</v>
      </c>
      <c r="I157" s="93" t="str">
        <f t="shared" si="9"/>
        <v>Friday</v>
      </c>
      <c r="J157" s="93" t="str">
        <f t="shared" si="10"/>
        <v>March</v>
      </c>
      <c r="K157" s="93" t="str">
        <f t="shared" si="11"/>
        <v>2024</v>
      </c>
      <c r="L157" s="6"/>
      <c r="M157" s="6"/>
      <c r="N157" s="6"/>
    </row>
    <row r="158" spans="1:14" x14ac:dyDescent="0.3">
      <c r="A158" s="87">
        <v>45374</v>
      </c>
      <c r="B158" s="87" t="str">
        <f t="shared" si="8"/>
        <v>Saturday</v>
      </c>
      <c r="C158" s="88" t="s">
        <v>1381</v>
      </c>
      <c r="D158" s="88" t="s">
        <v>84</v>
      </c>
      <c r="E158" s="89">
        <v>38.700000000000003</v>
      </c>
      <c r="F158" s="88" t="s">
        <v>5</v>
      </c>
      <c r="G158" s="87">
        <f>Table1[[#This Row],[date]]</f>
        <v>45374</v>
      </c>
      <c r="H158" s="89">
        <f>SUMIF($A$2:A3793,G158,$E$2:E3793)</f>
        <v>285.09999999999997</v>
      </c>
      <c r="I158" s="88" t="str">
        <f t="shared" si="9"/>
        <v>Saturday</v>
      </c>
      <c r="J158" s="88" t="str">
        <f t="shared" si="10"/>
        <v>March</v>
      </c>
      <c r="K158" s="88" t="str">
        <f t="shared" si="11"/>
        <v>2024</v>
      </c>
      <c r="L158" s="6"/>
      <c r="M158" s="6"/>
      <c r="N158" s="6"/>
    </row>
    <row r="159" spans="1:14" x14ac:dyDescent="0.3">
      <c r="A159" s="92">
        <v>45374</v>
      </c>
      <c r="B159" s="92" t="str">
        <f t="shared" si="8"/>
        <v>Saturday</v>
      </c>
      <c r="C159" s="93" t="s">
        <v>1381</v>
      </c>
      <c r="D159" s="93" t="s">
        <v>85</v>
      </c>
      <c r="E159" s="94">
        <v>33.799999999999997</v>
      </c>
      <c r="F159" s="93" t="s">
        <v>12</v>
      </c>
      <c r="G159" s="87">
        <f>Table1[[#This Row],[date]]</f>
        <v>45374</v>
      </c>
      <c r="H159" s="94">
        <f>SUMIF($A$2:A3794,G159,$E$2:E3794)</f>
        <v>285.09999999999997</v>
      </c>
      <c r="I159" s="93" t="str">
        <f t="shared" si="9"/>
        <v>Saturday</v>
      </c>
      <c r="J159" s="93" t="str">
        <f t="shared" si="10"/>
        <v>March</v>
      </c>
      <c r="K159" s="93" t="str">
        <f t="shared" si="11"/>
        <v>2024</v>
      </c>
      <c r="L159" s="6"/>
      <c r="M159" s="6"/>
      <c r="N159" s="6"/>
    </row>
    <row r="160" spans="1:14" x14ac:dyDescent="0.3">
      <c r="A160" s="87">
        <v>45374</v>
      </c>
      <c r="B160" s="87" t="str">
        <f t="shared" si="8"/>
        <v>Saturday</v>
      </c>
      <c r="C160" s="88" t="s">
        <v>1381</v>
      </c>
      <c r="D160" s="88" t="s">
        <v>86</v>
      </c>
      <c r="E160" s="89">
        <v>38.700000000000003</v>
      </c>
      <c r="F160" s="88" t="s">
        <v>41</v>
      </c>
      <c r="G160" s="87">
        <f>Table1[[#This Row],[date]]</f>
        <v>45374</v>
      </c>
      <c r="H160" s="89">
        <f>SUMIF($A$2:A3795,G160,$E$2:E3795)</f>
        <v>285.09999999999997</v>
      </c>
      <c r="I160" s="88" t="str">
        <f t="shared" si="9"/>
        <v>Saturday</v>
      </c>
      <c r="J160" s="88" t="str">
        <f t="shared" si="10"/>
        <v>March</v>
      </c>
      <c r="K160" s="88" t="str">
        <f t="shared" si="11"/>
        <v>2024</v>
      </c>
      <c r="L160" s="6"/>
      <c r="M160" s="6"/>
      <c r="N160" s="6"/>
    </row>
    <row r="161" spans="1:14" x14ac:dyDescent="0.3">
      <c r="A161" s="92">
        <v>45374</v>
      </c>
      <c r="B161" s="92" t="str">
        <f t="shared" si="8"/>
        <v>Saturday</v>
      </c>
      <c r="C161" s="93" t="s">
        <v>1381</v>
      </c>
      <c r="D161" s="93" t="s">
        <v>86</v>
      </c>
      <c r="E161" s="94">
        <v>38.700000000000003</v>
      </c>
      <c r="F161" s="93" t="s">
        <v>16</v>
      </c>
      <c r="G161" s="87">
        <f>Table1[[#This Row],[date]]</f>
        <v>45374</v>
      </c>
      <c r="H161" s="94">
        <f>SUMIF($A$2:A3796,G161,$E$2:E3796)</f>
        <v>285.09999999999997</v>
      </c>
      <c r="I161" s="93" t="str">
        <f t="shared" si="9"/>
        <v>Saturday</v>
      </c>
      <c r="J161" s="93" t="str">
        <f t="shared" si="10"/>
        <v>March</v>
      </c>
      <c r="K161" s="93" t="str">
        <f t="shared" si="11"/>
        <v>2024</v>
      </c>
      <c r="L161" s="6"/>
      <c r="M161" s="6"/>
      <c r="N161" s="6"/>
    </row>
    <row r="162" spans="1:14" x14ac:dyDescent="0.3">
      <c r="A162" s="87">
        <v>45374</v>
      </c>
      <c r="B162" s="87" t="str">
        <f t="shared" si="8"/>
        <v>Saturday</v>
      </c>
      <c r="C162" s="88" t="s">
        <v>1381</v>
      </c>
      <c r="D162" s="88" t="s">
        <v>87</v>
      </c>
      <c r="E162" s="89">
        <v>33.799999999999997</v>
      </c>
      <c r="F162" s="88" t="s">
        <v>12</v>
      </c>
      <c r="G162" s="87">
        <f>Table1[[#This Row],[date]]</f>
        <v>45374</v>
      </c>
      <c r="H162" s="89">
        <f>SUMIF($A$2:A3797,G162,$E$2:E3797)</f>
        <v>285.09999999999997</v>
      </c>
      <c r="I162" s="88" t="str">
        <f t="shared" si="9"/>
        <v>Saturday</v>
      </c>
      <c r="J162" s="88" t="str">
        <f t="shared" si="10"/>
        <v>March</v>
      </c>
      <c r="K162" s="88" t="str">
        <f t="shared" si="11"/>
        <v>2024</v>
      </c>
      <c r="L162" s="6"/>
      <c r="M162" s="6"/>
      <c r="N162" s="6"/>
    </row>
    <row r="163" spans="1:14" x14ac:dyDescent="0.3">
      <c r="A163" s="92">
        <v>45374</v>
      </c>
      <c r="B163" s="92" t="str">
        <f t="shared" si="8"/>
        <v>Saturday</v>
      </c>
      <c r="C163" s="93" t="s">
        <v>1381</v>
      </c>
      <c r="D163" s="93" t="s">
        <v>88</v>
      </c>
      <c r="E163" s="94">
        <v>38.700000000000003</v>
      </c>
      <c r="F163" s="93" t="s">
        <v>5</v>
      </c>
      <c r="G163" s="87">
        <f>Table1[[#This Row],[date]]</f>
        <v>45374</v>
      </c>
      <c r="H163" s="94">
        <f>SUMIF($A$2:A3798,G163,$E$2:E3798)</f>
        <v>285.09999999999997</v>
      </c>
      <c r="I163" s="93" t="str">
        <f t="shared" si="9"/>
        <v>Saturday</v>
      </c>
      <c r="J163" s="93" t="str">
        <f t="shared" si="10"/>
        <v>March</v>
      </c>
      <c r="K163" s="93" t="str">
        <f t="shared" si="11"/>
        <v>2024</v>
      </c>
      <c r="L163" s="6"/>
      <c r="M163" s="6"/>
      <c r="N163" s="6"/>
    </row>
    <row r="164" spans="1:14" x14ac:dyDescent="0.3">
      <c r="A164" s="87">
        <v>45374</v>
      </c>
      <c r="B164" s="87" t="str">
        <f t="shared" si="8"/>
        <v>Saturday</v>
      </c>
      <c r="C164" s="88" t="s">
        <v>1381</v>
      </c>
      <c r="D164" s="88" t="s">
        <v>88</v>
      </c>
      <c r="E164" s="89">
        <v>33.799999999999997</v>
      </c>
      <c r="F164" s="88" t="s">
        <v>12</v>
      </c>
      <c r="G164" s="87">
        <f>Table1[[#This Row],[date]]</f>
        <v>45374</v>
      </c>
      <c r="H164" s="89">
        <f>SUMIF($A$2:A3799,G164,$E$2:E3799)</f>
        <v>285.09999999999997</v>
      </c>
      <c r="I164" s="88" t="str">
        <f t="shared" si="9"/>
        <v>Saturday</v>
      </c>
      <c r="J164" s="88" t="str">
        <f t="shared" si="10"/>
        <v>March</v>
      </c>
      <c r="K164" s="88" t="str">
        <f t="shared" si="11"/>
        <v>2024</v>
      </c>
      <c r="L164" s="6"/>
      <c r="M164" s="6"/>
      <c r="N164" s="6"/>
    </row>
    <row r="165" spans="1:14" x14ac:dyDescent="0.3">
      <c r="A165" s="92">
        <v>45374</v>
      </c>
      <c r="B165" s="92" t="str">
        <f t="shared" si="8"/>
        <v>Saturday</v>
      </c>
      <c r="C165" s="93" t="s">
        <v>1381</v>
      </c>
      <c r="D165" s="93" t="s">
        <v>17</v>
      </c>
      <c r="E165" s="94">
        <v>28.9</v>
      </c>
      <c r="F165" s="93" t="s">
        <v>26</v>
      </c>
      <c r="G165" s="87">
        <f>Table1[[#This Row],[date]]</f>
        <v>45374</v>
      </c>
      <c r="H165" s="94">
        <f>SUMIF($A$2:A3800,G165,$E$2:E3800)</f>
        <v>285.09999999999997</v>
      </c>
      <c r="I165" s="93" t="str">
        <f t="shared" si="9"/>
        <v>Saturday</v>
      </c>
      <c r="J165" s="93" t="str">
        <f t="shared" si="10"/>
        <v>March</v>
      </c>
      <c r="K165" s="93" t="str">
        <f t="shared" si="11"/>
        <v>2024</v>
      </c>
      <c r="L165" s="6"/>
      <c r="M165" s="6"/>
      <c r="N165" s="6"/>
    </row>
    <row r="166" spans="1:14" x14ac:dyDescent="0.3">
      <c r="A166" s="87">
        <v>45375</v>
      </c>
      <c r="B166" s="87" t="str">
        <f t="shared" si="8"/>
        <v>Sunday</v>
      </c>
      <c r="C166" s="88" t="s">
        <v>1383</v>
      </c>
      <c r="D166" s="88"/>
      <c r="E166" s="89">
        <v>40</v>
      </c>
      <c r="F166" s="88" t="s">
        <v>5</v>
      </c>
      <c r="G166" s="87">
        <f>Table1[[#This Row],[date]]</f>
        <v>45375</v>
      </c>
      <c r="H166" s="89">
        <f>SUMIF($A$2:A3801,G166,$E$2:E3801)</f>
        <v>78.7</v>
      </c>
      <c r="I166" s="88" t="str">
        <f t="shared" si="9"/>
        <v>Sunday</v>
      </c>
      <c r="J166" s="88" t="str">
        <f t="shared" si="10"/>
        <v>March</v>
      </c>
      <c r="K166" s="88" t="str">
        <f t="shared" si="11"/>
        <v>2024</v>
      </c>
      <c r="L166" s="6"/>
      <c r="M166" s="6"/>
      <c r="N166" s="6"/>
    </row>
    <row r="167" spans="1:14" x14ac:dyDescent="0.3">
      <c r="A167" s="92">
        <v>45375</v>
      </c>
      <c r="B167" s="92" t="str">
        <f t="shared" si="8"/>
        <v>Sunday</v>
      </c>
      <c r="C167" s="93" t="s">
        <v>1381</v>
      </c>
      <c r="D167" s="93" t="s">
        <v>89</v>
      </c>
      <c r="E167" s="94">
        <v>38.700000000000003</v>
      </c>
      <c r="F167" s="93" t="s">
        <v>5</v>
      </c>
      <c r="G167" s="87">
        <f>Table1[[#This Row],[date]]</f>
        <v>45375</v>
      </c>
      <c r="H167" s="94">
        <f>SUMIF($A$2:A3802,G167,$E$2:E3802)</f>
        <v>78.7</v>
      </c>
      <c r="I167" s="93" t="str">
        <f t="shared" si="9"/>
        <v>Sunday</v>
      </c>
      <c r="J167" s="93" t="str">
        <f t="shared" si="10"/>
        <v>March</v>
      </c>
      <c r="K167" s="93" t="str">
        <f t="shared" si="11"/>
        <v>2024</v>
      </c>
      <c r="L167" s="6"/>
      <c r="M167" s="6"/>
      <c r="N167" s="6"/>
    </row>
    <row r="168" spans="1:14" x14ac:dyDescent="0.3">
      <c r="A168" s="87">
        <v>45376</v>
      </c>
      <c r="B168" s="87" t="str">
        <f t="shared" si="8"/>
        <v>Monday</v>
      </c>
      <c r="C168" s="88" t="s">
        <v>1381</v>
      </c>
      <c r="D168" s="88" t="s">
        <v>17</v>
      </c>
      <c r="E168" s="89">
        <v>38.700000000000003</v>
      </c>
      <c r="F168" s="88" t="s">
        <v>5</v>
      </c>
      <c r="G168" s="87">
        <f>Table1[[#This Row],[date]]</f>
        <v>45376</v>
      </c>
      <c r="H168" s="89">
        <f>SUMIF($A$2:A3803,G168,$E$2:E3803)</f>
        <v>223.60000000000002</v>
      </c>
      <c r="I168" s="88" t="str">
        <f t="shared" si="9"/>
        <v>Monday</v>
      </c>
      <c r="J168" s="88" t="str">
        <f t="shared" si="10"/>
        <v>March</v>
      </c>
      <c r="K168" s="88" t="str">
        <f t="shared" si="11"/>
        <v>2024</v>
      </c>
      <c r="L168" s="6"/>
      <c r="M168" s="6"/>
      <c r="N168" s="6"/>
    </row>
    <row r="169" spans="1:14" x14ac:dyDescent="0.3">
      <c r="A169" s="92">
        <v>45376</v>
      </c>
      <c r="B169" s="92" t="str">
        <f t="shared" si="8"/>
        <v>Monday</v>
      </c>
      <c r="C169" s="93" t="s">
        <v>1383</v>
      </c>
      <c r="D169" s="93"/>
      <c r="E169" s="94">
        <v>35</v>
      </c>
      <c r="F169" s="93" t="s">
        <v>12</v>
      </c>
      <c r="G169" s="87">
        <f>Table1[[#This Row],[date]]</f>
        <v>45376</v>
      </c>
      <c r="H169" s="94">
        <f>SUMIF($A$2:A3804,G169,$E$2:E3804)</f>
        <v>223.60000000000002</v>
      </c>
      <c r="I169" s="93" t="str">
        <f t="shared" si="9"/>
        <v>Monday</v>
      </c>
      <c r="J169" s="93" t="str">
        <f t="shared" si="10"/>
        <v>March</v>
      </c>
      <c r="K169" s="93" t="str">
        <f t="shared" si="11"/>
        <v>2024</v>
      </c>
      <c r="L169" s="6"/>
      <c r="M169" s="6"/>
      <c r="N169" s="6"/>
    </row>
    <row r="170" spans="1:14" x14ac:dyDescent="0.3">
      <c r="A170" s="87">
        <v>45376</v>
      </c>
      <c r="B170" s="87" t="str">
        <f t="shared" si="8"/>
        <v>Monday</v>
      </c>
      <c r="C170" s="88" t="s">
        <v>1381</v>
      </c>
      <c r="D170" s="88" t="s">
        <v>90</v>
      </c>
      <c r="E170" s="89">
        <v>38.700000000000003</v>
      </c>
      <c r="F170" s="88" t="s">
        <v>5</v>
      </c>
      <c r="G170" s="87">
        <f>Table1[[#This Row],[date]]</f>
        <v>45376</v>
      </c>
      <c r="H170" s="89">
        <f>SUMIF($A$2:A3805,G170,$E$2:E3805)</f>
        <v>223.60000000000002</v>
      </c>
      <c r="I170" s="88" t="str">
        <f t="shared" si="9"/>
        <v>Monday</v>
      </c>
      <c r="J170" s="88" t="str">
        <f t="shared" si="10"/>
        <v>March</v>
      </c>
      <c r="K170" s="88" t="str">
        <f t="shared" si="11"/>
        <v>2024</v>
      </c>
      <c r="L170" s="6"/>
      <c r="M170" s="6"/>
      <c r="N170" s="6"/>
    </row>
    <row r="171" spans="1:14" x14ac:dyDescent="0.3">
      <c r="A171" s="92">
        <v>45376</v>
      </c>
      <c r="B171" s="92" t="str">
        <f t="shared" si="8"/>
        <v>Monday</v>
      </c>
      <c r="C171" s="93" t="s">
        <v>1381</v>
      </c>
      <c r="D171" s="93" t="s">
        <v>27</v>
      </c>
      <c r="E171" s="94">
        <v>38.700000000000003</v>
      </c>
      <c r="F171" s="93" t="s">
        <v>5</v>
      </c>
      <c r="G171" s="87">
        <f>Table1[[#This Row],[date]]</f>
        <v>45376</v>
      </c>
      <c r="H171" s="94">
        <f>SUMIF($A$2:A3806,G171,$E$2:E3806)</f>
        <v>223.60000000000002</v>
      </c>
      <c r="I171" s="93" t="str">
        <f t="shared" si="9"/>
        <v>Monday</v>
      </c>
      <c r="J171" s="93" t="str">
        <f t="shared" si="10"/>
        <v>March</v>
      </c>
      <c r="K171" s="93" t="str">
        <f t="shared" si="11"/>
        <v>2024</v>
      </c>
      <c r="L171" s="6"/>
      <c r="M171" s="6"/>
      <c r="N171" s="6"/>
    </row>
    <row r="172" spans="1:14" x14ac:dyDescent="0.3">
      <c r="A172" s="87">
        <v>45376</v>
      </c>
      <c r="B172" s="87" t="str">
        <f t="shared" si="8"/>
        <v>Monday</v>
      </c>
      <c r="C172" s="88" t="s">
        <v>1381</v>
      </c>
      <c r="D172" s="88" t="s">
        <v>35</v>
      </c>
      <c r="E172" s="89">
        <v>33.799999999999997</v>
      </c>
      <c r="F172" s="88" t="s">
        <v>12</v>
      </c>
      <c r="G172" s="87">
        <f>Table1[[#This Row],[date]]</f>
        <v>45376</v>
      </c>
      <c r="H172" s="89">
        <f>SUMIF($A$2:A3807,G172,$E$2:E3807)</f>
        <v>223.60000000000002</v>
      </c>
      <c r="I172" s="88" t="str">
        <f t="shared" si="9"/>
        <v>Monday</v>
      </c>
      <c r="J172" s="88" t="str">
        <f t="shared" si="10"/>
        <v>March</v>
      </c>
      <c r="K172" s="88" t="str">
        <f t="shared" si="11"/>
        <v>2024</v>
      </c>
      <c r="L172" s="6"/>
      <c r="M172" s="6"/>
      <c r="N172" s="6"/>
    </row>
    <row r="173" spans="1:14" x14ac:dyDescent="0.3">
      <c r="A173" s="92">
        <v>45376</v>
      </c>
      <c r="B173" s="92" t="str">
        <f t="shared" si="8"/>
        <v>Monday</v>
      </c>
      <c r="C173" s="93" t="s">
        <v>1381</v>
      </c>
      <c r="D173" s="93" t="s">
        <v>91</v>
      </c>
      <c r="E173" s="94">
        <v>38.700000000000003</v>
      </c>
      <c r="F173" s="93" t="s">
        <v>41</v>
      </c>
      <c r="G173" s="87">
        <f>Table1[[#This Row],[date]]</f>
        <v>45376</v>
      </c>
      <c r="H173" s="94">
        <f>SUMIF($A$2:A3808,G173,$E$2:E3808)</f>
        <v>223.60000000000002</v>
      </c>
      <c r="I173" s="93" t="str">
        <f t="shared" si="9"/>
        <v>Monday</v>
      </c>
      <c r="J173" s="93" t="str">
        <f t="shared" si="10"/>
        <v>March</v>
      </c>
      <c r="K173" s="93" t="str">
        <f t="shared" si="11"/>
        <v>2024</v>
      </c>
      <c r="L173" s="6"/>
      <c r="M173" s="6"/>
      <c r="N173" s="6"/>
    </row>
    <row r="174" spans="1:14" x14ac:dyDescent="0.3">
      <c r="A174" s="87">
        <v>45377</v>
      </c>
      <c r="B174" s="87" t="str">
        <f t="shared" si="8"/>
        <v>Tuesday</v>
      </c>
      <c r="C174" s="88" t="s">
        <v>1381</v>
      </c>
      <c r="D174" s="88" t="s">
        <v>67</v>
      </c>
      <c r="E174" s="89">
        <v>38.700000000000003</v>
      </c>
      <c r="F174" s="88" t="s">
        <v>16</v>
      </c>
      <c r="G174" s="87">
        <f>Table1[[#This Row],[date]]</f>
        <v>45377</v>
      </c>
      <c r="H174" s="89">
        <f>SUMIF($A$2:A3809,G174,$E$2:E3809)</f>
        <v>376.7</v>
      </c>
      <c r="I174" s="88" t="str">
        <f t="shared" si="9"/>
        <v>Tuesday</v>
      </c>
      <c r="J174" s="88" t="str">
        <f t="shared" si="10"/>
        <v>March</v>
      </c>
      <c r="K174" s="88" t="str">
        <f t="shared" si="11"/>
        <v>2024</v>
      </c>
      <c r="L174" s="6"/>
      <c r="M174" s="6"/>
      <c r="N174" s="6"/>
    </row>
    <row r="175" spans="1:14" x14ac:dyDescent="0.3">
      <c r="A175" s="92">
        <v>45377</v>
      </c>
      <c r="B175" s="92" t="str">
        <f t="shared" si="8"/>
        <v>Tuesday</v>
      </c>
      <c r="C175" s="93" t="s">
        <v>1381</v>
      </c>
      <c r="D175" s="93" t="s">
        <v>67</v>
      </c>
      <c r="E175" s="94">
        <v>38.700000000000003</v>
      </c>
      <c r="F175" s="93" t="s">
        <v>5</v>
      </c>
      <c r="G175" s="87">
        <f>Table1[[#This Row],[date]]</f>
        <v>45377</v>
      </c>
      <c r="H175" s="94">
        <f>SUMIF($A$2:A3810,G175,$E$2:E3810)</f>
        <v>376.7</v>
      </c>
      <c r="I175" s="93" t="str">
        <f t="shared" si="9"/>
        <v>Tuesday</v>
      </c>
      <c r="J175" s="93" t="str">
        <f t="shared" si="10"/>
        <v>March</v>
      </c>
      <c r="K175" s="93" t="str">
        <f t="shared" si="11"/>
        <v>2024</v>
      </c>
      <c r="L175" s="6"/>
      <c r="M175" s="6"/>
      <c r="N175" s="6"/>
    </row>
    <row r="176" spans="1:14" x14ac:dyDescent="0.3">
      <c r="A176" s="87">
        <v>45377</v>
      </c>
      <c r="B176" s="87" t="str">
        <f t="shared" si="8"/>
        <v>Tuesday</v>
      </c>
      <c r="C176" s="88" t="s">
        <v>1381</v>
      </c>
      <c r="D176" s="88" t="s">
        <v>92</v>
      </c>
      <c r="E176" s="89">
        <v>38.700000000000003</v>
      </c>
      <c r="F176" s="88" t="s">
        <v>5</v>
      </c>
      <c r="G176" s="87">
        <f>Table1[[#This Row],[date]]</f>
        <v>45377</v>
      </c>
      <c r="H176" s="89">
        <f>SUMIF($A$2:A3811,G176,$E$2:E3811)</f>
        <v>376.7</v>
      </c>
      <c r="I176" s="88" t="str">
        <f t="shared" si="9"/>
        <v>Tuesday</v>
      </c>
      <c r="J176" s="88" t="str">
        <f t="shared" si="10"/>
        <v>March</v>
      </c>
      <c r="K176" s="88" t="str">
        <f t="shared" si="11"/>
        <v>2024</v>
      </c>
      <c r="L176" s="6"/>
      <c r="M176" s="6"/>
      <c r="N176" s="6"/>
    </row>
    <row r="177" spans="1:14" x14ac:dyDescent="0.3">
      <c r="A177" s="92">
        <v>45377</v>
      </c>
      <c r="B177" s="92" t="str">
        <f t="shared" si="8"/>
        <v>Tuesday</v>
      </c>
      <c r="C177" s="93" t="s">
        <v>1381</v>
      </c>
      <c r="D177" s="93" t="s">
        <v>17</v>
      </c>
      <c r="E177" s="94">
        <v>28.9</v>
      </c>
      <c r="F177" s="93" t="s">
        <v>26</v>
      </c>
      <c r="G177" s="87">
        <f>Table1[[#This Row],[date]]</f>
        <v>45377</v>
      </c>
      <c r="H177" s="94">
        <f>SUMIF($A$2:A3812,G177,$E$2:E3812)</f>
        <v>376.7</v>
      </c>
      <c r="I177" s="93" t="str">
        <f t="shared" si="9"/>
        <v>Tuesday</v>
      </c>
      <c r="J177" s="93" t="str">
        <f t="shared" si="10"/>
        <v>March</v>
      </c>
      <c r="K177" s="93" t="str">
        <f t="shared" si="11"/>
        <v>2024</v>
      </c>
      <c r="L177" s="6"/>
      <c r="M177" s="6"/>
      <c r="N177" s="6"/>
    </row>
    <row r="178" spans="1:14" x14ac:dyDescent="0.3">
      <c r="A178" s="87">
        <v>45377</v>
      </c>
      <c r="B178" s="87" t="str">
        <f t="shared" si="8"/>
        <v>Tuesday</v>
      </c>
      <c r="C178" s="88" t="s">
        <v>1381</v>
      </c>
      <c r="D178" s="88" t="s">
        <v>8</v>
      </c>
      <c r="E178" s="89">
        <v>28.9</v>
      </c>
      <c r="F178" s="88" t="s">
        <v>9</v>
      </c>
      <c r="G178" s="87">
        <f>Table1[[#This Row],[date]]</f>
        <v>45377</v>
      </c>
      <c r="H178" s="89">
        <f>SUMIF($A$2:A3813,G178,$E$2:E3813)</f>
        <v>376.7</v>
      </c>
      <c r="I178" s="88" t="str">
        <f t="shared" si="9"/>
        <v>Tuesday</v>
      </c>
      <c r="J178" s="88" t="str">
        <f t="shared" si="10"/>
        <v>March</v>
      </c>
      <c r="K178" s="88" t="str">
        <f t="shared" si="11"/>
        <v>2024</v>
      </c>
      <c r="L178" s="6"/>
      <c r="M178" s="6"/>
      <c r="N178" s="6"/>
    </row>
    <row r="179" spans="1:14" x14ac:dyDescent="0.3">
      <c r="A179" s="92">
        <v>45377</v>
      </c>
      <c r="B179" s="92" t="str">
        <f t="shared" si="8"/>
        <v>Tuesday</v>
      </c>
      <c r="C179" s="93" t="s">
        <v>1381</v>
      </c>
      <c r="D179" s="93" t="s">
        <v>44</v>
      </c>
      <c r="E179" s="94">
        <v>28.9</v>
      </c>
      <c r="F179" s="93" t="s">
        <v>26</v>
      </c>
      <c r="G179" s="87">
        <f>Table1[[#This Row],[date]]</f>
        <v>45377</v>
      </c>
      <c r="H179" s="94">
        <f>SUMIF($A$2:A3814,G179,$E$2:E3814)</f>
        <v>376.7</v>
      </c>
      <c r="I179" s="93" t="str">
        <f t="shared" si="9"/>
        <v>Tuesday</v>
      </c>
      <c r="J179" s="93" t="str">
        <f t="shared" si="10"/>
        <v>March</v>
      </c>
      <c r="K179" s="93" t="str">
        <f t="shared" si="11"/>
        <v>2024</v>
      </c>
      <c r="L179" s="6"/>
      <c r="M179" s="6"/>
      <c r="N179" s="6"/>
    </row>
    <row r="180" spans="1:14" x14ac:dyDescent="0.3">
      <c r="A180" s="87">
        <v>45377</v>
      </c>
      <c r="B180" s="87" t="str">
        <f t="shared" si="8"/>
        <v>Tuesday</v>
      </c>
      <c r="C180" s="88" t="s">
        <v>1381</v>
      </c>
      <c r="D180" s="88" t="s">
        <v>71</v>
      </c>
      <c r="E180" s="89">
        <v>28.9</v>
      </c>
      <c r="F180" s="88" t="s">
        <v>26</v>
      </c>
      <c r="G180" s="87">
        <f>Table1[[#This Row],[date]]</f>
        <v>45377</v>
      </c>
      <c r="H180" s="89">
        <f>SUMIF($A$2:A3815,G180,$E$2:E3815)</f>
        <v>376.7</v>
      </c>
      <c r="I180" s="88" t="str">
        <f t="shared" si="9"/>
        <v>Tuesday</v>
      </c>
      <c r="J180" s="88" t="str">
        <f t="shared" si="10"/>
        <v>March</v>
      </c>
      <c r="K180" s="88" t="str">
        <f t="shared" si="11"/>
        <v>2024</v>
      </c>
      <c r="L180" s="6"/>
      <c r="M180" s="6"/>
      <c r="N180" s="6"/>
    </row>
    <row r="181" spans="1:14" x14ac:dyDescent="0.3">
      <c r="A181" s="92">
        <v>45377</v>
      </c>
      <c r="B181" s="92" t="str">
        <f t="shared" si="8"/>
        <v>Tuesday</v>
      </c>
      <c r="C181" s="93" t="s">
        <v>1381</v>
      </c>
      <c r="D181" s="93" t="s">
        <v>62</v>
      </c>
      <c r="E181" s="94">
        <v>28.9</v>
      </c>
      <c r="F181" s="93" t="s">
        <v>9</v>
      </c>
      <c r="G181" s="87">
        <f>Table1[[#This Row],[date]]</f>
        <v>45377</v>
      </c>
      <c r="H181" s="94">
        <f>SUMIF($A$2:A3816,G181,$E$2:E3816)</f>
        <v>376.7</v>
      </c>
      <c r="I181" s="93" t="str">
        <f t="shared" si="9"/>
        <v>Tuesday</v>
      </c>
      <c r="J181" s="93" t="str">
        <f t="shared" si="10"/>
        <v>March</v>
      </c>
      <c r="K181" s="93" t="str">
        <f t="shared" si="11"/>
        <v>2024</v>
      </c>
      <c r="L181" s="6"/>
      <c r="M181" s="6"/>
      <c r="N181" s="6"/>
    </row>
    <row r="182" spans="1:14" x14ac:dyDescent="0.3">
      <c r="A182" s="87">
        <v>45377</v>
      </c>
      <c r="B182" s="87" t="str">
        <f t="shared" si="8"/>
        <v>Tuesday</v>
      </c>
      <c r="C182" s="88" t="s">
        <v>1381</v>
      </c>
      <c r="D182" s="88" t="s">
        <v>93</v>
      </c>
      <c r="E182" s="89">
        <v>38.700000000000003</v>
      </c>
      <c r="F182" s="88" t="s">
        <v>5</v>
      </c>
      <c r="G182" s="87">
        <f>Table1[[#This Row],[date]]</f>
        <v>45377</v>
      </c>
      <c r="H182" s="89">
        <f>SUMIF($A$2:A3817,G182,$E$2:E3817)</f>
        <v>376.7</v>
      </c>
      <c r="I182" s="88" t="str">
        <f t="shared" si="9"/>
        <v>Tuesday</v>
      </c>
      <c r="J182" s="88" t="str">
        <f t="shared" si="10"/>
        <v>March</v>
      </c>
      <c r="K182" s="88" t="str">
        <f t="shared" si="11"/>
        <v>2024</v>
      </c>
      <c r="L182" s="6"/>
      <c r="M182" s="6"/>
      <c r="N182" s="6"/>
    </row>
    <row r="183" spans="1:14" x14ac:dyDescent="0.3">
      <c r="A183" s="92">
        <v>45377</v>
      </c>
      <c r="B183" s="92" t="str">
        <f t="shared" si="8"/>
        <v>Tuesday</v>
      </c>
      <c r="C183" s="93" t="s">
        <v>1381</v>
      </c>
      <c r="D183" s="93" t="s">
        <v>35</v>
      </c>
      <c r="E183" s="94">
        <v>38.700000000000003</v>
      </c>
      <c r="F183" s="93" t="s">
        <v>5</v>
      </c>
      <c r="G183" s="87">
        <f>Table1[[#This Row],[date]]</f>
        <v>45377</v>
      </c>
      <c r="H183" s="94">
        <f>SUMIF($A$2:A3818,G183,$E$2:E3818)</f>
        <v>376.7</v>
      </c>
      <c r="I183" s="93" t="str">
        <f t="shared" si="9"/>
        <v>Tuesday</v>
      </c>
      <c r="J183" s="93" t="str">
        <f t="shared" si="10"/>
        <v>March</v>
      </c>
      <c r="K183" s="93" t="str">
        <f t="shared" si="11"/>
        <v>2024</v>
      </c>
      <c r="L183" s="6"/>
      <c r="M183" s="6"/>
      <c r="N183" s="6"/>
    </row>
    <row r="184" spans="1:14" x14ac:dyDescent="0.3">
      <c r="A184" s="87">
        <v>45377</v>
      </c>
      <c r="B184" s="87" t="str">
        <f t="shared" si="8"/>
        <v>Tuesday</v>
      </c>
      <c r="C184" s="88" t="s">
        <v>1381</v>
      </c>
      <c r="D184" s="88" t="s">
        <v>17</v>
      </c>
      <c r="E184" s="89">
        <v>38.700000000000003</v>
      </c>
      <c r="F184" s="88" t="s">
        <v>7</v>
      </c>
      <c r="G184" s="87">
        <f>Table1[[#This Row],[date]]</f>
        <v>45377</v>
      </c>
      <c r="H184" s="89">
        <f>SUMIF($A$2:A3819,G184,$E$2:E3819)</f>
        <v>376.7</v>
      </c>
      <c r="I184" s="88" t="str">
        <f t="shared" si="9"/>
        <v>Tuesday</v>
      </c>
      <c r="J184" s="88" t="str">
        <f t="shared" si="10"/>
        <v>March</v>
      </c>
      <c r="K184" s="88" t="str">
        <f t="shared" si="11"/>
        <v>2024</v>
      </c>
      <c r="L184" s="6"/>
      <c r="M184" s="6"/>
      <c r="N184" s="6"/>
    </row>
    <row r="185" spans="1:14" x14ac:dyDescent="0.3">
      <c r="A185" s="92">
        <v>45378</v>
      </c>
      <c r="B185" s="92" t="str">
        <f t="shared" si="8"/>
        <v>Wednesday</v>
      </c>
      <c r="C185" s="93" t="s">
        <v>1381</v>
      </c>
      <c r="D185" s="93" t="s">
        <v>8</v>
      </c>
      <c r="E185" s="94">
        <v>28.9</v>
      </c>
      <c r="F185" s="93" t="s">
        <v>26</v>
      </c>
      <c r="G185" s="87">
        <f>Table1[[#This Row],[date]]</f>
        <v>45378</v>
      </c>
      <c r="H185" s="94">
        <f>SUMIF($A$2:A3820,G185,$E$2:E3820)</f>
        <v>271.7</v>
      </c>
      <c r="I185" s="93" t="str">
        <f t="shared" si="9"/>
        <v>Wednesday</v>
      </c>
      <c r="J185" s="93" t="str">
        <f t="shared" si="10"/>
        <v>March</v>
      </c>
      <c r="K185" s="93" t="str">
        <f t="shared" si="11"/>
        <v>2024</v>
      </c>
      <c r="L185" s="6"/>
      <c r="M185" s="6"/>
      <c r="N185" s="6"/>
    </row>
    <row r="186" spans="1:14" x14ac:dyDescent="0.3">
      <c r="A186" s="87">
        <v>45378</v>
      </c>
      <c r="B186" s="87" t="str">
        <f t="shared" si="8"/>
        <v>Wednesday</v>
      </c>
      <c r="C186" s="88" t="s">
        <v>1381</v>
      </c>
      <c r="D186" s="88" t="s">
        <v>8</v>
      </c>
      <c r="E186" s="89">
        <v>33.799999999999997</v>
      </c>
      <c r="F186" s="88" t="s">
        <v>12</v>
      </c>
      <c r="G186" s="87">
        <f>Table1[[#This Row],[date]]</f>
        <v>45378</v>
      </c>
      <c r="H186" s="89">
        <f>SUMIF($A$2:A3821,G186,$E$2:E3821)</f>
        <v>271.7</v>
      </c>
      <c r="I186" s="88" t="str">
        <f t="shared" si="9"/>
        <v>Wednesday</v>
      </c>
      <c r="J186" s="88" t="str">
        <f t="shared" si="10"/>
        <v>March</v>
      </c>
      <c r="K186" s="88" t="str">
        <f t="shared" si="11"/>
        <v>2024</v>
      </c>
      <c r="L186" s="6"/>
      <c r="M186" s="6"/>
      <c r="N186" s="6"/>
    </row>
    <row r="187" spans="1:14" x14ac:dyDescent="0.3">
      <c r="A187" s="92">
        <v>45378</v>
      </c>
      <c r="B187" s="92" t="str">
        <f t="shared" si="8"/>
        <v>Wednesday</v>
      </c>
      <c r="C187" s="93" t="s">
        <v>1381</v>
      </c>
      <c r="D187" s="93" t="s">
        <v>94</v>
      </c>
      <c r="E187" s="94">
        <v>33.799999999999997</v>
      </c>
      <c r="F187" s="93" t="s">
        <v>12</v>
      </c>
      <c r="G187" s="87">
        <f>Table1[[#This Row],[date]]</f>
        <v>45378</v>
      </c>
      <c r="H187" s="94">
        <f>SUMIF($A$2:A3822,G187,$E$2:E3822)</f>
        <v>271.7</v>
      </c>
      <c r="I187" s="93" t="str">
        <f t="shared" si="9"/>
        <v>Wednesday</v>
      </c>
      <c r="J187" s="93" t="str">
        <f t="shared" si="10"/>
        <v>March</v>
      </c>
      <c r="K187" s="93" t="str">
        <f t="shared" si="11"/>
        <v>2024</v>
      </c>
      <c r="L187" s="6"/>
      <c r="M187" s="6"/>
      <c r="N187" s="6"/>
    </row>
    <row r="188" spans="1:14" x14ac:dyDescent="0.3">
      <c r="A188" s="87">
        <v>45378</v>
      </c>
      <c r="B188" s="87" t="str">
        <f t="shared" si="8"/>
        <v>Wednesday</v>
      </c>
      <c r="C188" s="88" t="s">
        <v>1381</v>
      </c>
      <c r="D188" s="88" t="s">
        <v>95</v>
      </c>
      <c r="E188" s="89">
        <v>38.700000000000003</v>
      </c>
      <c r="F188" s="88" t="s">
        <v>7</v>
      </c>
      <c r="G188" s="87">
        <f>Table1[[#This Row],[date]]</f>
        <v>45378</v>
      </c>
      <c r="H188" s="89">
        <f>SUMIF($A$2:A3823,G188,$E$2:E3823)</f>
        <v>271.7</v>
      </c>
      <c r="I188" s="88" t="str">
        <f t="shared" si="9"/>
        <v>Wednesday</v>
      </c>
      <c r="J188" s="88" t="str">
        <f t="shared" si="10"/>
        <v>March</v>
      </c>
      <c r="K188" s="88" t="str">
        <f t="shared" si="11"/>
        <v>2024</v>
      </c>
      <c r="L188" s="6"/>
      <c r="M188" s="6"/>
      <c r="N188" s="6"/>
    </row>
    <row r="189" spans="1:14" x14ac:dyDescent="0.3">
      <c r="A189" s="92">
        <v>45378</v>
      </c>
      <c r="B189" s="92" t="str">
        <f t="shared" si="8"/>
        <v>Wednesday</v>
      </c>
      <c r="C189" s="93" t="s">
        <v>1381</v>
      </c>
      <c r="D189" s="93" t="s">
        <v>21</v>
      </c>
      <c r="E189" s="94">
        <v>38.700000000000003</v>
      </c>
      <c r="F189" s="93" t="s">
        <v>41</v>
      </c>
      <c r="G189" s="87">
        <f>Table1[[#This Row],[date]]</f>
        <v>45378</v>
      </c>
      <c r="H189" s="94">
        <f>SUMIF($A$2:A3824,G189,$E$2:E3824)</f>
        <v>271.7</v>
      </c>
      <c r="I189" s="93" t="str">
        <f t="shared" si="9"/>
        <v>Wednesday</v>
      </c>
      <c r="J189" s="93" t="str">
        <f t="shared" si="10"/>
        <v>March</v>
      </c>
      <c r="K189" s="93" t="str">
        <f t="shared" si="11"/>
        <v>2024</v>
      </c>
      <c r="L189" s="6"/>
      <c r="M189" s="6"/>
      <c r="N189" s="6"/>
    </row>
    <row r="190" spans="1:14" x14ac:dyDescent="0.3">
      <c r="A190" s="87">
        <v>45378</v>
      </c>
      <c r="B190" s="87" t="str">
        <f t="shared" si="8"/>
        <v>Wednesday</v>
      </c>
      <c r="C190" s="88" t="s">
        <v>1381</v>
      </c>
      <c r="D190" s="88" t="s">
        <v>21</v>
      </c>
      <c r="E190" s="89">
        <v>28.9</v>
      </c>
      <c r="F190" s="88" t="s">
        <v>9</v>
      </c>
      <c r="G190" s="87">
        <f>Table1[[#This Row],[date]]</f>
        <v>45378</v>
      </c>
      <c r="H190" s="89">
        <f>SUMIF($A$2:A3825,G190,$E$2:E3825)</f>
        <v>271.7</v>
      </c>
      <c r="I190" s="88" t="str">
        <f t="shared" si="9"/>
        <v>Wednesday</v>
      </c>
      <c r="J190" s="88" t="str">
        <f t="shared" si="10"/>
        <v>March</v>
      </c>
      <c r="K190" s="88" t="str">
        <f t="shared" si="11"/>
        <v>2024</v>
      </c>
      <c r="L190" s="6"/>
      <c r="M190" s="6"/>
      <c r="N190" s="6"/>
    </row>
    <row r="191" spans="1:14" x14ac:dyDescent="0.3">
      <c r="A191" s="92">
        <v>45378</v>
      </c>
      <c r="B191" s="92" t="str">
        <f t="shared" si="8"/>
        <v>Wednesday</v>
      </c>
      <c r="C191" s="93" t="s">
        <v>1381</v>
      </c>
      <c r="D191" s="93" t="s">
        <v>96</v>
      </c>
      <c r="E191" s="94">
        <v>28.9</v>
      </c>
      <c r="F191" s="93" t="s">
        <v>26</v>
      </c>
      <c r="G191" s="87">
        <f>Table1[[#This Row],[date]]</f>
        <v>45378</v>
      </c>
      <c r="H191" s="94">
        <f>SUMIF($A$2:A3826,G191,$E$2:E3826)</f>
        <v>271.7</v>
      </c>
      <c r="I191" s="93" t="str">
        <f t="shared" si="9"/>
        <v>Wednesday</v>
      </c>
      <c r="J191" s="93" t="str">
        <f t="shared" si="10"/>
        <v>March</v>
      </c>
      <c r="K191" s="93" t="str">
        <f t="shared" si="11"/>
        <v>2024</v>
      </c>
      <c r="L191" s="6"/>
      <c r="M191" s="6"/>
      <c r="N191" s="6"/>
    </row>
    <row r="192" spans="1:14" x14ac:dyDescent="0.3">
      <c r="A192" s="87">
        <v>45378</v>
      </c>
      <c r="B192" s="87" t="str">
        <f t="shared" si="8"/>
        <v>Wednesday</v>
      </c>
      <c r="C192" s="88" t="s">
        <v>1383</v>
      </c>
      <c r="D192" s="88"/>
      <c r="E192" s="89">
        <v>40</v>
      </c>
      <c r="F192" s="88" t="s">
        <v>5</v>
      </c>
      <c r="G192" s="87">
        <f>Table1[[#This Row],[date]]</f>
        <v>45378</v>
      </c>
      <c r="H192" s="89">
        <f>SUMIF($A$2:A3827,G192,$E$2:E3827)</f>
        <v>271.7</v>
      </c>
      <c r="I192" s="88" t="str">
        <f t="shared" si="9"/>
        <v>Wednesday</v>
      </c>
      <c r="J192" s="88" t="str">
        <f t="shared" si="10"/>
        <v>March</v>
      </c>
      <c r="K192" s="88" t="str">
        <f t="shared" si="11"/>
        <v>2024</v>
      </c>
      <c r="L192" s="6"/>
      <c r="M192" s="6"/>
      <c r="N192" s="6"/>
    </row>
    <row r="193" spans="1:14" x14ac:dyDescent="0.3">
      <c r="A193" s="92">
        <v>45379</v>
      </c>
      <c r="B193" s="92" t="str">
        <f t="shared" si="8"/>
        <v>Thursday</v>
      </c>
      <c r="C193" s="93" t="s">
        <v>1381</v>
      </c>
      <c r="D193" s="93" t="s">
        <v>97</v>
      </c>
      <c r="E193" s="94">
        <v>28.9</v>
      </c>
      <c r="F193" s="93" t="s">
        <v>26</v>
      </c>
      <c r="G193" s="87">
        <f>Table1[[#This Row],[date]]</f>
        <v>45379</v>
      </c>
      <c r="H193" s="94">
        <f>SUMIF($A$2:A3828,G193,$E$2:E3828)</f>
        <v>125.39999999999999</v>
      </c>
      <c r="I193" s="93" t="str">
        <f t="shared" si="9"/>
        <v>Thursday</v>
      </c>
      <c r="J193" s="93" t="str">
        <f t="shared" si="10"/>
        <v>March</v>
      </c>
      <c r="K193" s="93" t="str">
        <f t="shared" si="11"/>
        <v>2024</v>
      </c>
      <c r="L193" s="6"/>
      <c r="M193" s="6"/>
      <c r="N193" s="6"/>
    </row>
    <row r="194" spans="1:14" x14ac:dyDescent="0.3">
      <c r="A194" s="87">
        <v>45379</v>
      </c>
      <c r="B194" s="87" t="str">
        <f t="shared" ref="B194:B257" si="12">TEXT(A194,"dddd")</f>
        <v>Thursday</v>
      </c>
      <c r="C194" s="88" t="s">
        <v>1381</v>
      </c>
      <c r="D194" s="88" t="s">
        <v>21</v>
      </c>
      <c r="E194" s="89">
        <v>28.9</v>
      </c>
      <c r="F194" s="88" t="s">
        <v>26</v>
      </c>
      <c r="G194" s="87">
        <f>Table1[[#This Row],[date]]</f>
        <v>45379</v>
      </c>
      <c r="H194" s="89">
        <f>SUMIF($A$2:A3829,G194,$E$2:E3829)</f>
        <v>125.39999999999999</v>
      </c>
      <c r="I194" s="88" t="str">
        <f t="shared" ref="I194:I257" si="13">TEXT(G194,"dddd")</f>
        <v>Thursday</v>
      </c>
      <c r="J194" s="88" t="str">
        <f t="shared" ref="J194:J257" si="14">TEXT(G194,"mmmm")</f>
        <v>March</v>
      </c>
      <c r="K194" s="88" t="str">
        <f t="shared" ref="K194:K257" si="15">TEXT(G194,"yyyy")</f>
        <v>2024</v>
      </c>
      <c r="L194" s="6"/>
      <c r="M194" s="6"/>
      <c r="N194" s="6"/>
    </row>
    <row r="195" spans="1:14" x14ac:dyDescent="0.3">
      <c r="A195" s="92">
        <v>45379</v>
      </c>
      <c r="B195" s="92" t="str">
        <f t="shared" si="12"/>
        <v>Thursday</v>
      </c>
      <c r="C195" s="93" t="s">
        <v>1381</v>
      </c>
      <c r="D195" s="93" t="s">
        <v>21</v>
      </c>
      <c r="E195" s="94">
        <v>28.9</v>
      </c>
      <c r="F195" s="93" t="s">
        <v>9</v>
      </c>
      <c r="G195" s="87">
        <f>Table1[[#This Row],[date]]</f>
        <v>45379</v>
      </c>
      <c r="H195" s="94">
        <f>SUMIF($A$2:A3830,G195,$E$2:E3830)</f>
        <v>125.39999999999999</v>
      </c>
      <c r="I195" s="93" t="str">
        <f t="shared" si="13"/>
        <v>Thursday</v>
      </c>
      <c r="J195" s="93" t="str">
        <f t="shared" si="14"/>
        <v>March</v>
      </c>
      <c r="K195" s="93" t="str">
        <f t="shared" si="15"/>
        <v>2024</v>
      </c>
      <c r="L195" s="6"/>
      <c r="M195" s="6"/>
      <c r="N195" s="6"/>
    </row>
    <row r="196" spans="1:14" x14ac:dyDescent="0.3">
      <c r="A196" s="87">
        <v>45379</v>
      </c>
      <c r="B196" s="87" t="str">
        <f t="shared" si="12"/>
        <v>Thursday</v>
      </c>
      <c r="C196" s="88" t="s">
        <v>1381</v>
      </c>
      <c r="D196" s="88" t="s">
        <v>98</v>
      </c>
      <c r="E196" s="89">
        <v>38.700000000000003</v>
      </c>
      <c r="F196" s="88" t="s">
        <v>5</v>
      </c>
      <c r="G196" s="87">
        <f>Table1[[#This Row],[date]]</f>
        <v>45379</v>
      </c>
      <c r="H196" s="89">
        <f>SUMIF($A$2:A3831,G196,$E$2:E3831)</f>
        <v>125.39999999999999</v>
      </c>
      <c r="I196" s="88" t="str">
        <f t="shared" si="13"/>
        <v>Thursday</v>
      </c>
      <c r="J196" s="88" t="str">
        <f t="shared" si="14"/>
        <v>March</v>
      </c>
      <c r="K196" s="88" t="str">
        <f t="shared" si="15"/>
        <v>2024</v>
      </c>
      <c r="L196" s="6"/>
      <c r="M196" s="6"/>
      <c r="N196" s="6"/>
    </row>
    <row r="197" spans="1:14" x14ac:dyDescent="0.3">
      <c r="A197" s="92">
        <v>45380</v>
      </c>
      <c r="B197" s="92" t="str">
        <f t="shared" si="12"/>
        <v>Friday</v>
      </c>
      <c r="C197" s="93" t="s">
        <v>1381</v>
      </c>
      <c r="D197" s="93" t="s">
        <v>99</v>
      </c>
      <c r="E197" s="94">
        <v>38.700000000000003</v>
      </c>
      <c r="F197" s="93" t="s">
        <v>5</v>
      </c>
      <c r="G197" s="87">
        <f>Table1[[#This Row],[date]]</f>
        <v>45380</v>
      </c>
      <c r="H197" s="94">
        <f>SUMIF($A$2:A3832,G197,$E$2:E3832)</f>
        <v>156.10000000000002</v>
      </c>
      <c r="I197" s="93" t="str">
        <f t="shared" si="13"/>
        <v>Friday</v>
      </c>
      <c r="J197" s="93" t="str">
        <f t="shared" si="14"/>
        <v>March</v>
      </c>
      <c r="K197" s="93" t="str">
        <f t="shared" si="15"/>
        <v>2024</v>
      </c>
      <c r="L197" s="6"/>
      <c r="M197" s="6"/>
      <c r="N197" s="6"/>
    </row>
    <row r="198" spans="1:14" x14ac:dyDescent="0.3">
      <c r="A198" s="87">
        <v>45380</v>
      </c>
      <c r="B198" s="87" t="str">
        <f t="shared" si="12"/>
        <v>Friday</v>
      </c>
      <c r="C198" s="88" t="s">
        <v>1381</v>
      </c>
      <c r="D198" s="88" t="s">
        <v>100</v>
      </c>
      <c r="E198" s="89">
        <v>38.700000000000003</v>
      </c>
      <c r="F198" s="88" t="s">
        <v>41</v>
      </c>
      <c r="G198" s="87">
        <f>Table1[[#This Row],[date]]</f>
        <v>45380</v>
      </c>
      <c r="H198" s="89">
        <f>SUMIF($A$2:A3833,G198,$E$2:E3833)</f>
        <v>156.10000000000002</v>
      </c>
      <c r="I198" s="88" t="str">
        <f t="shared" si="13"/>
        <v>Friday</v>
      </c>
      <c r="J198" s="88" t="str">
        <f t="shared" si="14"/>
        <v>March</v>
      </c>
      <c r="K198" s="88" t="str">
        <f t="shared" si="15"/>
        <v>2024</v>
      </c>
      <c r="L198" s="6"/>
      <c r="M198" s="6"/>
      <c r="N198" s="6"/>
    </row>
    <row r="199" spans="1:14" x14ac:dyDescent="0.3">
      <c r="A199" s="92">
        <v>45380</v>
      </c>
      <c r="B199" s="92" t="str">
        <f t="shared" si="12"/>
        <v>Friday</v>
      </c>
      <c r="C199" s="93" t="s">
        <v>1381</v>
      </c>
      <c r="D199" s="93" t="s">
        <v>100</v>
      </c>
      <c r="E199" s="94">
        <v>38.700000000000003</v>
      </c>
      <c r="F199" s="93" t="s">
        <v>41</v>
      </c>
      <c r="G199" s="87">
        <f>Table1[[#This Row],[date]]</f>
        <v>45380</v>
      </c>
      <c r="H199" s="94">
        <f>SUMIF($A$2:A3834,G199,$E$2:E3834)</f>
        <v>156.10000000000002</v>
      </c>
      <c r="I199" s="93" t="str">
        <f t="shared" si="13"/>
        <v>Friday</v>
      </c>
      <c r="J199" s="93" t="str">
        <f t="shared" si="14"/>
        <v>March</v>
      </c>
      <c r="K199" s="93" t="str">
        <f t="shared" si="15"/>
        <v>2024</v>
      </c>
      <c r="L199" s="6"/>
      <c r="M199" s="6"/>
      <c r="N199" s="6"/>
    </row>
    <row r="200" spans="1:14" x14ac:dyDescent="0.3">
      <c r="A200" s="87">
        <v>45380</v>
      </c>
      <c r="B200" s="87" t="str">
        <f t="shared" si="12"/>
        <v>Friday</v>
      </c>
      <c r="C200" s="88" t="s">
        <v>1383</v>
      </c>
      <c r="D200" s="88"/>
      <c r="E200" s="89">
        <v>40</v>
      </c>
      <c r="F200" s="88" t="s">
        <v>41</v>
      </c>
      <c r="G200" s="87">
        <f>Table1[[#This Row],[date]]</f>
        <v>45380</v>
      </c>
      <c r="H200" s="89">
        <f>SUMIF($A$2:A3835,G200,$E$2:E3835)</f>
        <v>156.10000000000002</v>
      </c>
      <c r="I200" s="88" t="str">
        <f t="shared" si="13"/>
        <v>Friday</v>
      </c>
      <c r="J200" s="88" t="str">
        <f t="shared" si="14"/>
        <v>March</v>
      </c>
      <c r="K200" s="88" t="str">
        <f t="shared" si="15"/>
        <v>2024</v>
      </c>
      <c r="L200" s="6"/>
      <c r="M200" s="6"/>
      <c r="N200" s="6"/>
    </row>
    <row r="201" spans="1:14" x14ac:dyDescent="0.3">
      <c r="A201" s="92">
        <v>45381</v>
      </c>
      <c r="B201" s="92" t="str">
        <f t="shared" si="12"/>
        <v>Saturday</v>
      </c>
      <c r="C201" s="93" t="s">
        <v>1381</v>
      </c>
      <c r="D201" s="93" t="s">
        <v>81</v>
      </c>
      <c r="E201" s="94">
        <v>38.700000000000003</v>
      </c>
      <c r="F201" s="93" t="s">
        <v>5</v>
      </c>
      <c r="G201" s="87">
        <f>Table1[[#This Row],[date]]</f>
        <v>45381</v>
      </c>
      <c r="H201" s="94">
        <f>SUMIF($A$2:A3836,G201,$E$2:E3836)</f>
        <v>189.90000000000003</v>
      </c>
      <c r="I201" s="93" t="str">
        <f t="shared" si="13"/>
        <v>Saturday</v>
      </c>
      <c r="J201" s="93" t="str">
        <f t="shared" si="14"/>
        <v>March</v>
      </c>
      <c r="K201" s="93" t="str">
        <f t="shared" si="15"/>
        <v>2024</v>
      </c>
      <c r="L201" s="6"/>
      <c r="M201" s="6"/>
      <c r="N201" s="6"/>
    </row>
    <row r="202" spans="1:14" x14ac:dyDescent="0.3">
      <c r="A202" s="87">
        <v>45381</v>
      </c>
      <c r="B202" s="87" t="str">
        <f t="shared" si="12"/>
        <v>Saturday</v>
      </c>
      <c r="C202" s="88" t="s">
        <v>1383</v>
      </c>
      <c r="D202" s="88"/>
      <c r="E202" s="89">
        <v>40</v>
      </c>
      <c r="F202" s="88" t="s">
        <v>41</v>
      </c>
      <c r="G202" s="87">
        <f>Table1[[#This Row],[date]]</f>
        <v>45381</v>
      </c>
      <c r="H202" s="89">
        <f>SUMIF($A$2:A3837,G202,$E$2:E3837)</f>
        <v>189.90000000000003</v>
      </c>
      <c r="I202" s="88" t="str">
        <f t="shared" si="13"/>
        <v>Saturday</v>
      </c>
      <c r="J202" s="88" t="str">
        <f t="shared" si="14"/>
        <v>March</v>
      </c>
      <c r="K202" s="88" t="str">
        <f t="shared" si="15"/>
        <v>2024</v>
      </c>
      <c r="L202" s="6"/>
      <c r="M202" s="6"/>
      <c r="N202" s="6"/>
    </row>
    <row r="203" spans="1:14" x14ac:dyDescent="0.3">
      <c r="A203" s="92">
        <v>45381</v>
      </c>
      <c r="B203" s="92" t="str">
        <f t="shared" si="12"/>
        <v>Saturday</v>
      </c>
      <c r="C203" s="93" t="s">
        <v>1381</v>
      </c>
      <c r="D203" s="93" t="s">
        <v>27</v>
      </c>
      <c r="E203" s="94">
        <v>38.700000000000003</v>
      </c>
      <c r="F203" s="93" t="s">
        <v>5</v>
      </c>
      <c r="G203" s="87">
        <f>Table1[[#This Row],[date]]</f>
        <v>45381</v>
      </c>
      <c r="H203" s="94">
        <f>SUMIF($A$2:A3838,G203,$E$2:E3838)</f>
        <v>189.90000000000003</v>
      </c>
      <c r="I203" s="93" t="str">
        <f t="shared" si="13"/>
        <v>Saturday</v>
      </c>
      <c r="J203" s="93" t="str">
        <f t="shared" si="14"/>
        <v>March</v>
      </c>
      <c r="K203" s="93" t="str">
        <f t="shared" si="15"/>
        <v>2024</v>
      </c>
      <c r="L203" s="6"/>
      <c r="M203" s="6"/>
      <c r="N203" s="6"/>
    </row>
    <row r="204" spans="1:14" x14ac:dyDescent="0.3">
      <c r="A204" s="87">
        <v>45381</v>
      </c>
      <c r="B204" s="87" t="str">
        <f t="shared" si="12"/>
        <v>Saturday</v>
      </c>
      <c r="C204" s="88" t="s">
        <v>1381</v>
      </c>
      <c r="D204" s="88" t="s">
        <v>17</v>
      </c>
      <c r="E204" s="89">
        <v>38.700000000000003</v>
      </c>
      <c r="F204" s="88" t="s">
        <v>5</v>
      </c>
      <c r="G204" s="87">
        <f>Table1[[#This Row],[date]]</f>
        <v>45381</v>
      </c>
      <c r="H204" s="89">
        <f>SUMIF($A$2:A3839,G204,$E$2:E3839)</f>
        <v>189.90000000000003</v>
      </c>
      <c r="I204" s="88" t="str">
        <f t="shared" si="13"/>
        <v>Saturday</v>
      </c>
      <c r="J204" s="88" t="str">
        <f t="shared" si="14"/>
        <v>March</v>
      </c>
      <c r="K204" s="88" t="str">
        <f t="shared" si="15"/>
        <v>2024</v>
      </c>
      <c r="L204" s="6"/>
      <c r="M204" s="6"/>
      <c r="N204" s="6"/>
    </row>
    <row r="205" spans="1:14" x14ac:dyDescent="0.3">
      <c r="A205" s="92">
        <v>45381</v>
      </c>
      <c r="B205" s="92" t="str">
        <f t="shared" si="12"/>
        <v>Saturday</v>
      </c>
      <c r="C205" s="93" t="s">
        <v>1381</v>
      </c>
      <c r="D205" s="93" t="s">
        <v>17</v>
      </c>
      <c r="E205" s="94">
        <v>33.799999999999997</v>
      </c>
      <c r="F205" s="93" t="s">
        <v>12</v>
      </c>
      <c r="G205" s="87">
        <f>Table1[[#This Row],[date]]</f>
        <v>45381</v>
      </c>
      <c r="H205" s="94">
        <f>SUMIF($A$2:A3840,G205,$E$2:E3840)</f>
        <v>189.90000000000003</v>
      </c>
      <c r="I205" s="93" t="str">
        <f t="shared" si="13"/>
        <v>Saturday</v>
      </c>
      <c r="J205" s="93" t="str">
        <f t="shared" si="14"/>
        <v>March</v>
      </c>
      <c r="K205" s="93" t="str">
        <f t="shared" si="15"/>
        <v>2024</v>
      </c>
      <c r="L205" s="6"/>
      <c r="M205" s="6"/>
      <c r="N205" s="6"/>
    </row>
    <row r="206" spans="1:14" x14ac:dyDescent="0.3">
      <c r="A206" s="87">
        <v>45382</v>
      </c>
      <c r="B206" s="87" t="str">
        <f t="shared" si="12"/>
        <v>Sunday</v>
      </c>
      <c r="C206" s="88" t="s">
        <v>1381</v>
      </c>
      <c r="D206" s="88" t="s">
        <v>101</v>
      </c>
      <c r="E206" s="89">
        <v>38.700000000000003</v>
      </c>
      <c r="F206" s="88" t="s">
        <v>41</v>
      </c>
      <c r="G206" s="87">
        <f>Table1[[#This Row],[date]]</f>
        <v>45382</v>
      </c>
      <c r="H206" s="89">
        <f>SUMIF($A$2:A3841,G206,$E$2:E3841)</f>
        <v>68.7</v>
      </c>
      <c r="I206" s="88" t="str">
        <f t="shared" si="13"/>
        <v>Sunday</v>
      </c>
      <c r="J206" s="88" t="str">
        <f t="shared" si="14"/>
        <v>March</v>
      </c>
      <c r="K206" s="88" t="str">
        <f t="shared" si="15"/>
        <v>2024</v>
      </c>
      <c r="L206" s="6"/>
      <c r="M206" s="6"/>
      <c r="N206" s="6"/>
    </row>
    <row r="207" spans="1:14" x14ac:dyDescent="0.3">
      <c r="A207" s="92">
        <v>45382</v>
      </c>
      <c r="B207" s="92" t="str">
        <f t="shared" si="12"/>
        <v>Sunday</v>
      </c>
      <c r="C207" s="93" t="s">
        <v>1383</v>
      </c>
      <c r="D207" s="93"/>
      <c r="E207" s="94">
        <v>30</v>
      </c>
      <c r="F207" s="93" t="s">
        <v>9</v>
      </c>
      <c r="G207" s="87">
        <f>Table1[[#This Row],[date]]</f>
        <v>45382</v>
      </c>
      <c r="H207" s="94">
        <f>SUMIF($A$2:A3842,G207,$E$2:E3842)</f>
        <v>68.7</v>
      </c>
      <c r="I207" s="93" t="str">
        <f t="shared" si="13"/>
        <v>Sunday</v>
      </c>
      <c r="J207" s="93" t="str">
        <f t="shared" si="14"/>
        <v>March</v>
      </c>
      <c r="K207" s="93" t="str">
        <f t="shared" si="15"/>
        <v>2024</v>
      </c>
      <c r="L207" s="6"/>
      <c r="M207" s="6"/>
      <c r="N207" s="6"/>
    </row>
    <row r="208" spans="1:14" x14ac:dyDescent="0.3">
      <c r="A208" s="87">
        <v>45383</v>
      </c>
      <c r="B208" s="87" t="str">
        <f t="shared" si="12"/>
        <v>Monday</v>
      </c>
      <c r="C208" s="88" t="s">
        <v>1381</v>
      </c>
      <c r="D208" s="88" t="s">
        <v>10</v>
      </c>
      <c r="E208" s="89">
        <v>28.9</v>
      </c>
      <c r="F208" s="88" t="s">
        <v>9</v>
      </c>
      <c r="G208" s="87">
        <f>Table1[[#This Row],[date]]</f>
        <v>45383</v>
      </c>
      <c r="H208" s="89">
        <f>SUMIF($A$2:A3843,G208,$E$2:E3843)</f>
        <v>242.8</v>
      </c>
      <c r="I208" s="88" t="str">
        <f t="shared" si="13"/>
        <v>Monday</v>
      </c>
      <c r="J208" s="88" t="str">
        <f t="shared" si="14"/>
        <v>April</v>
      </c>
      <c r="K208" s="88" t="str">
        <f t="shared" si="15"/>
        <v>2024</v>
      </c>
      <c r="L208" s="6"/>
      <c r="M208" s="6"/>
      <c r="N208" s="6"/>
    </row>
    <row r="209" spans="1:14" x14ac:dyDescent="0.3">
      <c r="A209" s="92">
        <v>45383</v>
      </c>
      <c r="B209" s="92" t="str">
        <f t="shared" si="12"/>
        <v>Monday</v>
      </c>
      <c r="C209" s="93" t="s">
        <v>1381</v>
      </c>
      <c r="D209" s="93" t="s">
        <v>10</v>
      </c>
      <c r="E209" s="94">
        <v>33.799999999999997</v>
      </c>
      <c r="F209" s="93" t="s">
        <v>12</v>
      </c>
      <c r="G209" s="87">
        <f>Table1[[#This Row],[date]]</f>
        <v>45383</v>
      </c>
      <c r="H209" s="94">
        <f>SUMIF($A$2:A3844,G209,$E$2:E3844)</f>
        <v>242.8</v>
      </c>
      <c r="I209" s="93" t="str">
        <f t="shared" si="13"/>
        <v>Monday</v>
      </c>
      <c r="J209" s="93" t="str">
        <f t="shared" si="14"/>
        <v>April</v>
      </c>
      <c r="K209" s="93" t="str">
        <f t="shared" si="15"/>
        <v>2024</v>
      </c>
      <c r="L209" s="6"/>
      <c r="M209" s="6"/>
      <c r="N209" s="6"/>
    </row>
    <row r="210" spans="1:14" x14ac:dyDescent="0.3">
      <c r="A210" s="87">
        <v>45383</v>
      </c>
      <c r="B210" s="87" t="str">
        <f t="shared" si="12"/>
        <v>Monday</v>
      </c>
      <c r="C210" s="88" t="s">
        <v>1381</v>
      </c>
      <c r="D210" s="88" t="s">
        <v>10</v>
      </c>
      <c r="E210" s="89">
        <v>33.799999999999997</v>
      </c>
      <c r="F210" s="88" t="s">
        <v>12</v>
      </c>
      <c r="G210" s="87">
        <f>Table1[[#This Row],[date]]</f>
        <v>45383</v>
      </c>
      <c r="H210" s="89">
        <f>SUMIF($A$2:A3845,G210,$E$2:E3845)</f>
        <v>242.8</v>
      </c>
      <c r="I210" s="88" t="str">
        <f t="shared" si="13"/>
        <v>Monday</v>
      </c>
      <c r="J210" s="88" t="str">
        <f t="shared" si="14"/>
        <v>April</v>
      </c>
      <c r="K210" s="88" t="str">
        <f t="shared" si="15"/>
        <v>2024</v>
      </c>
      <c r="L210" s="6"/>
      <c r="M210" s="6"/>
      <c r="N210" s="6"/>
    </row>
    <row r="211" spans="1:14" x14ac:dyDescent="0.3">
      <c r="A211" s="92">
        <v>45383</v>
      </c>
      <c r="B211" s="92" t="str">
        <f t="shared" si="12"/>
        <v>Monday</v>
      </c>
      <c r="C211" s="93" t="s">
        <v>1381</v>
      </c>
      <c r="D211" s="93" t="s">
        <v>17</v>
      </c>
      <c r="E211" s="94">
        <v>33.799999999999997</v>
      </c>
      <c r="F211" s="93" t="s">
        <v>12</v>
      </c>
      <c r="G211" s="87">
        <f>Table1[[#This Row],[date]]</f>
        <v>45383</v>
      </c>
      <c r="H211" s="94">
        <f>SUMIF($A$2:A3846,G211,$E$2:E3846)</f>
        <v>242.8</v>
      </c>
      <c r="I211" s="93" t="str">
        <f t="shared" si="13"/>
        <v>Monday</v>
      </c>
      <c r="J211" s="93" t="str">
        <f t="shared" si="14"/>
        <v>April</v>
      </c>
      <c r="K211" s="93" t="str">
        <f t="shared" si="15"/>
        <v>2024</v>
      </c>
      <c r="L211" s="6"/>
      <c r="M211" s="6"/>
      <c r="N211" s="6"/>
    </row>
    <row r="212" spans="1:14" x14ac:dyDescent="0.3">
      <c r="A212" s="87">
        <v>45383</v>
      </c>
      <c r="B212" s="87" t="str">
        <f t="shared" si="12"/>
        <v>Monday</v>
      </c>
      <c r="C212" s="88" t="s">
        <v>1383</v>
      </c>
      <c r="D212" s="88"/>
      <c r="E212" s="89">
        <v>40</v>
      </c>
      <c r="F212" s="88" t="s">
        <v>41</v>
      </c>
      <c r="G212" s="87">
        <f>Table1[[#This Row],[date]]</f>
        <v>45383</v>
      </c>
      <c r="H212" s="89">
        <f>SUMIF($A$2:A3847,G212,$E$2:E3847)</f>
        <v>242.8</v>
      </c>
      <c r="I212" s="88" t="str">
        <f t="shared" si="13"/>
        <v>Monday</v>
      </c>
      <c r="J212" s="88" t="str">
        <f t="shared" si="14"/>
        <v>April</v>
      </c>
      <c r="K212" s="88" t="str">
        <f t="shared" si="15"/>
        <v>2024</v>
      </c>
      <c r="L212" s="6"/>
      <c r="M212" s="6"/>
      <c r="N212" s="6"/>
    </row>
    <row r="213" spans="1:14" x14ac:dyDescent="0.3">
      <c r="A213" s="92">
        <v>45383</v>
      </c>
      <c r="B213" s="92" t="str">
        <f t="shared" si="12"/>
        <v>Monday</v>
      </c>
      <c r="C213" s="93" t="s">
        <v>1381</v>
      </c>
      <c r="D213" s="93" t="s">
        <v>35</v>
      </c>
      <c r="E213" s="94">
        <v>33.799999999999997</v>
      </c>
      <c r="F213" s="93" t="s">
        <v>12</v>
      </c>
      <c r="G213" s="87">
        <f>Table1[[#This Row],[date]]</f>
        <v>45383</v>
      </c>
      <c r="H213" s="94">
        <f>SUMIF($A$2:A3848,G213,$E$2:E3848)</f>
        <v>242.8</v>
      </c>
      <c r="I213" s="93" t="str">
        <f t="shared" si="13"/>
        <v>Monday</v>
      </c>
      <c r="J213" s="93" t="str">
        <f t="shared" si="14"/>
        <v>April</v>
      </c>
      <c r="K213" s="93" t="str">
        <f t="shared" si="15"/>
        <v>2024</v>
      </c>
      <c r="L213" s="6"/>
      <c r="M213" s="6"/>
      <c r="N213" s="6"/>
    </row>
    <row r="214" spans="1:14" x14ac:dyDescent="0.3">
      <c r="A214" s="87">
        <v>45383</v>
      </c>
      <c r="B214" s="87" t="str">
        <f t="shared" si="12"/>
        <v>Monday</v>
      </c>
      <c r="C214" s="88" t="s">
        <v>1381</v>
      </c>
      <c r="D214" s="88" t="s">
        <v>102</v>
      </c>
      <c r="E214" s="89">
        <v>38.700000000000003</v>
      </c>
      <c r="F214" s="88" t="s">
        <v>7</v>
      </c>
      <c r="G214" s="87">
        <f>Table1[[#This Row],[date]]</f>
        <v>45383</v>
      </c>
      <c r="H214" s="89">
        <f>SUMIF($A$2:A3849,G214,$E$2:E3849)</f>
        <v>242.8</v>
      </c>
      <c r="I214" s="88" t="str">
        <f t="shared" si="13"/>
        <v>Monday</v>
      </c>
      <c r="J214" s="88" t="str">
        <f t="shared" si="14"/>
        <v>April</v>
      </c>
      <c r="K214" s="88" t="str">
        <f t="shared" si="15"/>
        <v>2024</v>
      </c>
      <c r="L214" s="6"/>
      <c r="M214" s="6"/>
      <c r="N214" s="6"/>
    </row>
    <row r="215" spans="1:14" x14ac:dyDescent="0.3">
      <c r="A215" s="92">
        <v>45384</v>
      </c>
      <c r="B215" s="92" t="str">
        <f t="shared" si="12"/>
        <v>Tuesday</v>
      </c>
      <c r="C215" s="93" t="s">
        <v>1381</v>
      </c>
      <c r="D215" s="93" t="s">
        <v>4</v>
      </c>
      <c r="E215" s="94">
        <v>38.700000000000003</v>
      </c>
      <c r="F215" s="93" t="s">
        <v>5</v>
      </c>
      <c r="G215" s="87">
        <f>Table1[[#This Row],[date]]</f>
        <v>45384</v>
      </c>
      <c r="H215" s="94">
        <f>SUMIF($A$2:A3850,G215,$E$2:E3850)</f>
        <v>136.5</v>
      </c>
      <c r="I215" s="93" t="str">
        <f t="shared" si="13"/>
        <v>Tuesday</v>
      </c>
      <c r="J215" s="93" t="str">
        <f t="shared" si="14"/>
        <v>April</v>
      </c>
      <c r="K215" s="93" t="str">
        <f t="shared" si="15"/>
        <v>2024</v>
      </c>
      <c r="L215" s="6"/>
      <c r="M215" s="6"/>
      <c r="N215" s="6"/>
    </row>
    <row r="216" spans="1:14" x14ac:dyDescent="0.3">
      <c r="A216" s="87">
        <v>45384</v>
      </c>
      <c r="B216" s="87" t="str">
        <f t="shared" si="12"/>
        <v>Tuesday</v>
      </c>
      <c r="C216" s="88" t="s">
        <v>1381</v>
      </c>
      <c r="D216" s="88" t="s">
        <v>8</v>
      </c>
      <c r="E216" s="89">
        <v>28.9</v>
      </c>
      <c r="F216" s="88" t="s">
        <v>9</v>
      </c>
      <c r="G216" s="87">
        <f>Table1[[#This Row],[date]]</f>
        <v>45384</v>
      </c>
      <c r="H216" s="89">
        <f>SUMIF($A$2:A3851,G216,$E$2:E3851)</f>
        <v>136.5</v>
      </c>
      <c r="I216" s="88" t="str">
        <f t="shared" si="13"/>
        <v>Tuesday</v>
      </c>
      <c r="J216" s="88" t="str">
        <f t="shared" si="14"/>
        <v>April</v>
      </c>
      <c r="K216" s="88" t="str">
        <f t="shared" si="15"/>
        <v>2024</v>
      </c>
      <c r="L216" s="6"/>
      <c r="M216" s="6"/>
      <c r="N216" s="6"/>
    </row>
    <row r="217" spans="1:14" x14ac:dyDescent="0.3">
      <c r="A217" s="92">
        <v>45384</v>
      </c>
      <c r="B217" s="92" t="str">
        <f t="shared" si="12"/>
        <v>Tuesday</v>
      </c>
      <c r="C217" s="93" t="s">
        <v>1381</v>
      </c>
      <c r="D217" s="93" t="s">
        <v>8</v>
      </c>
      <c r="E217" s="94">
        <v>28.9</v>
      </c>
      <c r="F217" s="93" t="s">
        <v>26</v>
      </c>
      <c r="G217" s="87">
        <f>Table1[[#This Row],[date]]</f>
        <v>45384</v>
      </c>
      <c r="H217" s="94">
        <f>SUMIF($A$2:A3852,G217,$E$2:E3852)</f>
        <v>136.5</v>
      </c>
      <c r="I217" s="93" t="str">
        <f t="shared" si="13"/>
        <v>Tuesday</v>
      </c>
      <c r="J217" s="93" t="str">
        <f t="shared" si="14"/>
        <v>April</v>
      </c>
      <c r="K217" s="93" t="str">
        <f t="shared" si="15"/>
        <v>2024</v>
      </c>
      <c r="L217" s="6"/>
      <c r="M217" s="6"/>
      <c r="N217" s="6"/>
    </row>
    <row r="218" spans="1:14" x14ac:dyDescent="0.3">
      <c r="A218" s="87">
        <v>45384</v>
      </c>
      <c r="B218" s="87" t="str">
        <f t="shared" si="12"/>
        <v>Tuesday</v>
      </c>
      <c r="C218" s="88" t="s">
        <v>1383</v>
      </c>
      <c r="D218" s="88"/>
      <c r="E218" s="89">
        <v>40</v>
      </c>
      <c r="F218" s="88" t="s">
        <v>41</v>
      </c>
      <c r="G218" s="87">
        <f>Table1[[#This Row],[date]]</f>
        <v>45384</v>
      </c>
      <c r="H218" s="89">
        <f>SUMIF($A$2:A3853,G218,$E$2:E3853)</f>
        <v>136.5</v>
      </c>
      <c r="I218" s="88" t="str">
        <f t="shared" si="13"/>
        <v>Tuesday</v>
      </c>
      <c r="J218" s="88" t="str">
        <f t="shared" si="14"/>
        <v>April</v>
      </c>
      <c r="K218" s="88" t="str">
        <f t="shared" si="15"/>
        <v>2024</v>
      </c>
      <c r="L218" s="6"/>
      <c r="M218" s="6"/>
      <c r="N218" s="6"/>
    </row>
    <row r="219" spans="1:14" x14ac:dyDescent="0.3">
      <c r="A219" s="92">
        <v>45385</v>
      </c>
      <c r="B219" s="92" t="str">
        <f t="shared" si="12"/>
        <v>Wednesday</v>
      </c>
      <c r="C219" s="93" t="s">
        <v>1381</v>
      </c>
      <c r="D219" s="93" t="s">
        <v>8</v>
      </c>
      <c r="E219" s="94">
        <v>28.9</v>
      </c>
      <c r="F219" s="93" t="s">
        <v>26</v>
      </c>
      <c r="G219" s="87">
        <f>Table1[[#This Row],[date]]</f>
        <v>45385</v>
      </c>
      <c r="H219" s="94">
        <f>SUMIF($A$2:A3854,G219,$E$2:E3854)</f>
        <v>126.5</v>
      </c>
      <c r="I219" s="93" t="str">
        <f t="shared" si="13"/>
        <v>Wednesday</v>
      </c>
      <c r="J219" s="93" t="str">
        <f t="shared" si="14"/>
        <v>April</v>
      </c>
      <c r="K219" s="93" t="str">
        <f t="shared" si="15"/>
        <v>2024</v>
      </c>
      <c r="L219" s="6"/>
      <c r="M219" s="6"/>
      <c r="N219" s="6"/>
    </row>
    <row r="220" spans="1:14" x14ac:dyDescent="0.3">
      <c r="A220" s="87">
        <v>45385</v>
      </c>
      <c r="B220" s="87" t="str">
        <f t="shared" si="12"/>
        <v>Wednesday</v>
      </c>
      <c r="C220" s="88" t="s">
        <v>1381</v>
      </c>
      <c r="D220" s="88" t="s">
        <v>8</v>
      </c>
      <c r="E220" s="89">
        <v>28.9</v>
      </c>
      <c r="F220" s="88" t="s">
        <v>9</v>
      </c>
      <c r="G220" s="87">
        <f>Table1[[#This Row],[date]]</f>
        <v>45385</v>
      </c>
      <c r="H220" s="89">
        <f>SUMIF($A$2:A3855,G220,$E$2:E3855)</f>
        <v>126.5</v>
      </c>
      <c r="I220" s="88" t="str">
        <f t="shared" si="13"/>
        <v>Wednesday</v>
      </c>
      <c r="J220" s="88" t="str">
        <f t="shared" si="14"/>
        <v>April</v>
      </c>
      <c r="K220" s="88" t="str">
        <f t="shared" si="15"/>
        <v>2024</v>
      </c>
      <c r="L220" s="6"/>
      <c r="M220" s="6"/>
      <c r="N220" s="6"/>
    </row>
    <row r="221" spans="1:14" x14ac:dyDescent="0.3">
      <c r="A221" s="92">
        <v>45385</v>
      </c>
      <c r="B221" s="92" t="str">
        <f t="shared" si="12"/>
        <v>Wednesday</v>
      </c>
      <c r="C221" s="93" t="s">
        <v>1381</v>
      </c>
      <c r="D221" s="93" t="s">
        <v>21</v>
      </c>
      <c r="E221" s="94">
        <v>38.700000000000003</v>
      </c>
      <c r="F221" s="93" t="s">
        <v>41</v>
      </c>
      <c r="G221" s="87">
        <f>Table1[[#This Row],[date]]</f>
        <v>45385</v>
      </c>
      <c r="H221" s="94">
        <f>SUMIF($A$2:A3856,G221,$E$2:E3856)</f>
        <v>126.5</v>
      </c>
      <c r="I221" s="93" t="str">
        <f t="shared" si="13"/>
        <v>Wednesday</v>
      </c>
      <c r="J221" s="93" t="str">
        <f t="shared" si="14"/>
        <v>April</v>
      </c>
      <c r="K221" s="93" t="str">
        <f t="shared" si="15"/>
        <v>2024</v>
      </c>
      <c r="L221" s="6"/>
      <c r="M221" s="6"/>
      <c r="N221" s="6"/>
    </row>
    <row r="222" spans="1:14" x14ac:dyDescent="0.3">
      <c r="A222" s="87">
        <v>45385</v>
      </c>
      <c r="B222" s="87" t="str">
        <f t="shared" si="12"/>
        <v>Wednesday</v>
      </c>
      <c r="C222" s="88" t="s">
        <v>1383</v>
      </c>
      <c r="D222" s="88"/>
      <c r="E222" s="89">
        <v>30</v>
      </c>
      <c r="F222" s="88" t="s">
        <v>26</v>
      </c>
      <c r="G222" s="87">
        <f>Table1[[#This Row],[date]]</f>
        <v>45385</v>
      </c>
      <c r="H222" s="89">
        <f>SUMIF($A$2:A3857,G222,$E$2:E3857)</f>
        <v>126.5</v>
      </c>
      <c r="I222" s="88" t="str">
        <f t="shared" si="13"/>
        <v>Wednesday</v>
      </c>
      <c r="J222" s="88" t="str">
        <f t="shared" si="14"/>
        <v>April</v>
      </c>
      <c r="K222" s="88" t="str">
        <f t="shared" si="15"/>
        <v>2024</v>
      </c>
      <c r="L222" s="6"/>
      <c r="M222" s="6"/>
      <c r="N222" s="6"/>
    </row>
    <row r="223" spans="1:14" x14ac:dyDescent="0.3">
      <c r="A223" s="92">
        <v>45386</v>
      </c>
      <c r="B223" s="92" t="str">
        <f t="shared" si="12"/>
        <v>Thursday</v>
      </c>
      <c r="C223" s="93" t="s">
        <v>1381</v>
      </c>
      <c r="D223" s="93" t="s">
        <v>103</v>
      </c>
      <c r="E223" s="94">
        <v>38.700000000000003</v>
      </c>
      <c r="F223" s="93" t="s">
        <v>5</v>
      </c>
      <c r="G223" s="87">
        <f>Table1[[#This Row],[date]]</f>
        <v>45386</v>
      </c>
      <c r="H223" s="94">
        <f>SUMIF($A$2:A3858,G223,$E$2:E3858)</f>
        <v>185</v>
      </c>
      <c r="I223" s="93" t="str">
        <f t="shared" si="13"/>
        <v>Thursday</v>
      </c>
      <c r="J223" s="93" t="str">
        <f t="shared" si="14"/>
        <v>April</v>
      </c>
      <c r="K223" s="93" t="str">
        <f t="shared" si="15"/>
        <v>2024</v>
      </c>
      <c r="L223" s="6"/>
      <c r="M223" s="6"/>
      <c r="N223" s="6"/>
    </row>
    <row r="224" spans="1:14" x14ac:dyDescent="0.3">
      <c r="A224" s="87">
        <v>45386</v>
      </c>
      <c r="B224" s="87" t="str">
        <f t="shared" si="12"/>
        <v>Thursday</v>
      </c>
      <c r="C224" s="88" t="s">
        <v>1381</v>
      </c>
      <c r="D224" s="88" t="s">
        <v>104</v>
      </c>
      <c r="E224" s="89">
        <v>38.700000000000003</v>
      </c>
      <c r="F224" s="88" t="s">
        <v>5</v>
      </c>
      <c r="G224" s="87">
        <f>Table1[[#This Row],[date]]</f>
        <v>45386</v>
      </c>
      <c r="H224" s="89">
        <f>SUMIF($A$2:A3859,G224,$E$2:E3859)</f>
        <v>185</v>
      </c>
      <c r="I224" s="88" t="str">
        <f t="shared" si="13"/>
        <v>Thursday</v>
      </c>
      <c r="J224" s="88" t="str">
        <f t="shared" si="14"/>
        <v>April</v>
      </c>
      <c r="K224" s="88" t="str">
        <f t="shared" si="15"/>
        <v>2024</v>
      </c>
      <c r="L224" s="6"/>
      <c r="M224" s="6"/>
      <c r="N224" s="6"/>
    </row>
    <row r="225" spans="1:14" x14ac:dyDescent="0.3">
      <c r="A225" s="92">
        <v>45386</v>
      </c>
      <c r="B225" s="92" t="str">
        <f t="shared" si="12"/>
        <v>Thursday</v>
      </c>
      <c r="C225" s="93" t="s">
        <v>1381</v>
      </c>
      <c r="D225" s="93" t="s">
        <v>105</v>
      </c>
      <c r="E225" s="94">
        <v>38.700000000000003</v>
      </c>
      <c r="F225" s="93" t="s">
        <v>41</v>
      </c>
      <c r="G225" s="87">
        <f>Table1[[#This Row],[date]]</f>
        <v>45386</v>
      </c>
      <c r="H225" s="94">
        <f>SUMIF($A$2:A3860,G225,$E$2:E3860)</f>
        <v>185</v>
      </c>
      <c r="I225" s="93" t="str">
        <f t="shared" si="13"/>
        <v>Thursday</v>
      </c>
      <c r="J225" s="93" t="str">
        <f t="shared" si="14"/>
        <v>April</v>
      </c>
      <c r="K225" s="93" t="str">
        <f t="shared" si="15"/>
        <v>2024</v>
      </c>
      <c r="L225" s="6"/>
      <c r="M225" s="6"/>
      <c r="N225" s="6"/>
    </row>
    <row r="226" spans="1:14" x14ac:dyDescent="0.3">
      <c r="A226" s="87">
        <v>45386</v>
      </c>
      <c r="B226" s="87" t="str">
        <f t="shared" si="12"/>
        <v>Thursday</v>
      </c>
      <c r="C226" s="88" t="s">
        <v>1381</v>
      </c>
      <c r="D226" s="88" t="s">
        <v>106</v>
      </c>
      <c r="E226" s="89">
        <v>28.9</v>
      </c>
      <c r="F226" s="88" t="s">
        <v>26</v>
      </c>
      <c r="G226" s="87">
        <f>Table1[[#This Row],[date]]</f>
        <v>45386</v>
      </c>
      <c r="H226" s="89">
        <f>SUMIF($A$2:A3861,G226,$E$2:E3861)</f>
        <v>185</v>
      </c>
      <c r="I226" s="88" t="str">
        <f t="shared" si="13"/>
        <v>Thursday</v>
      </c>
      <c r="J226" s="88" t="str">
        <f t="shared" si="14"/>
        <v>April</v>
      </c>
      <c r="K226" s="88" t="str">
        <f t="shared" si="15"/>
        <v>2024</v>
      </c>
      <c r="L226" s="6"/>
      <c r="M226" s="6"/>
      <c r="N226" s="6"/>
    </row>
    <row r="227" spans="1:14" x14ac:dyDescent="0.3">
      <c r="A227" s="92">
        <v>45386</v>
      </c>
      <c r="B227" s="92" t="str">
        <f t="shared" si="12"/>
        <v>Thursday</v>
      </c>
      <c r="C227" s="93" t="s">
        <v>1383</v>
      </c>
      <c r="D227" s="93"/>
      <c r="E227" s="94">
        <v>40</v>
      </c>
      <c r="F227" s="93" t="s">
        <v>5</v>
      </c>
      <c r="G227" s="87">
        <f>Table1[[#This Row],[date]]</f>
        <v>45386</v>
      </c>
      <c r="H227" s="94">
        <f>SUMIF($A$2:A3862,G227,$E$2:E3862)</f>
        <v>185</v>
      </c>
      <c r="I227" s="93" t="str">
        <f t="shared" si="13"/>
        <v>Thursday</v>
      </c>
      <c r="J227" s="93" t="str">
        <f t="shared" si="14"/>
        <v>April</v>
      </c>
      <c r="K227" s="93" t="str">
        <f t="shared" si="15"/>
        <v>2024</v>
      </c>
      <c r="L227" s="6"/>
      <c r="M227" s="6"/>
      <c r="N227" s="6"/>
    </row>
    <row r="228" spans="1:14" x14ac:dyDescent="0.3">
      <c r="A228" s="87">
        <v>45387</v>
      </c>
      <c r="B228" s="87" t="str">
        <f t="shared" si="12"/>
        <v>Friday</v>
      </c>
      <c r="C228" s="88" t="s">
        <v>1381</v>
      </c>
      <c r="D228" s="88" t="s">
        <v>107</v>
      </c>
      <c r="E228" s="89">
        <v>28.9</v>
      </c>
      <c r="F228" s="88" t="s">
        <v>9</v>
      </c>
      <c r="G228" s="87">
        <f>Table1[[#This Row],[date]]</f>
        <v>45387</v>
      </c>
      <c r="H228" s="89">
        <f>SUMIF($A$2:A3863,G228,$E$2:E3863)</f>
        <v>362.1</v>
      </c>
      <c r="I228" s="88" t="str">
        <f t="shared" si="13"/>
        <v>Friday</v>
      </c>
      <c r="J228" s="88" t="str">
        <f t="shared" si="14"/>
        <v>April</v>
      </c>
      <c r="K228" s="88" t="str">
        <f t="shared" si="15"/>
        <v>2024</v>
      </c>
      <c r="L228" s="6"/>
      <c r="M228" s="6"/>
      <c r="N228" s="6"/>
    </row>
    <row r="229" spans="1:14" x14ac:dyDescent="0.3">
      <c r="A229" s="92">
        <v>45387</v>
      </c>
      <c r="B229" s="92" t="str">
        <f t="shared" si="12"/>
        <v>Friday</v>
      </c>
      <c r="C229" s="93" t="s">
        <v>1381</v>
      </c>
      <c r="D229" s="93" t="s">
        <v>21</v>
      </c>
      <c r="E229" s="94">
        <v>28.9</v>
      </c>
      <c r="F229" s="93" t="s">
        <v>9</v>
      </c>
      <c r="G229" s="87">
        <f>Table1[[#This Row],[date]]</f>
        <v>45387</v>
      </c>
      <c r="H229" s="94">
        <f>SUMIF($A$2:A3864,G229,$E$2:E3864)</f>
        <v>362.1</v>
      </c>
      <c r="I229" s="93" t="str">
        <f t="shared" si="13"/>
        <v>Friday</v>
      </c>
      <c r="J229" s="93" t="str">
        <f t="shared" si="14"/>
        <v>April</v>
      </c>
      <c r="K229" s="93" t="str">
        <f t="shared" si="15"/>
        <v>2024</v>
      </c>
      <c r="L229" s="6"/>
      <c r="M229" s="6"/>
      <c r="N229" s="6"/>
    </row>
    <row r="230" spans="1:14" x14ac:dyDescent="0.3">
      <c r="A230" s="87">
        <v>45387</v>
      </c>
      <c r="B230" s="87" t="str">
        <f t="shared" si="12"/>
        <v>Friday</v>
      </c>
      <c r="C230" s="88" t="s">
        <v>1381</v>
      </c>
      <c r="D230" s="88" t="s">
        <v>108</v>
      </c>
      <c r="E230" s="89">
        <v>28.9</v>
      </c>
      <c r="F230" s="88" t="s">
        <v>26</v>
      </c>
      <c r="G230" s="87">
        <f>Table1[[#This Row],[date]]</f>
        <v>45387</v>
      </c>
      <c r="H230" s="89">
        <f>SUMIF($A$2:A3865,G230,$E$2:E3865)</f>
        <v>362.1</v>
      </c>
      <c r="I230" s="88" t="str">
        <f t="shared" si="13"/>
        <v>Friday</v>
      </c>
      <c r="J230" s="88" t="str">
        <f t="shared" si="14"/>
        <v>April</v>
      </c>
      <c r="K230" s="88" t="str">
        <f t="shared" si="15"/>
        <v>2024</v>
      </c>
      <c r="L230" s="6"/>
      <c r="M230" s="6"/>
      <c r="N230" s="6"/>
    </row>
    <row r="231" spans="1:14" x14ac:dyDescent="0.3">
      <c r="A231" s="92">
        <v>45387</v>
      </c>
      <c r="B231" s="92" t="str">
        <f t="shared" si="12"/>
        <v>Friday</v>
      </c>
      <c r="C231" s="93" t="s">
        <v>1381</v>
      </c>
      <c r="D231" s="93" t="s">
        <v>109</v>
      </c>
      <c r="E231" s="94">
        <v>33.799999999999997</v>
      </c>
      <c r="F231" s="93" t="s">
        <v>12</v>
      </c>
      <c r="G231" s="87">
        <f>Table1[[#This Row],[date]]</f>
        <v>45387</v>
      </c>
      <c r="H231" s="94">
        <f>SUMIF($A$2:A3866,G231,$E$2:E3866)</f>
        <v>362.1</v>
      </c>
      <c r="I231" s="93" t="str">
        <f t="shared" si="13"/>
        <v>Friday</v>
      </c>
      <c r="J231" s="93" t="str">
        <f t="shared" si="14"/>
        <v>April</v>
      </c>
      <c r="K231" s="93" t="str">
        <f t="shared" si="15"/>
        <v>2024</v>
      </c>
      <c r="L231" s="6"/>
      <c r="M231" s="6"/>
      <c r="N231" s="6"/>
    </row>
    <row r="232" spans="1:14" x14ac:dyDescent="0.3">
      <c r="A232" s="87">
        <v>45387</v>
      </c>
      <c r="B232" s="87" t="str">
        <f t="shared" si="12"/>
        <v>Friday</v>
      </c>
      <c r="C232" s="88" t="s">
        <v>1381</v>
      </c>
      <c r="D232" s="88" t="s">
        <v>110</v>
      </c>
      <c r="E232" s="89">
        <v>38.700000000000003</v>
      </c>
      <c r="F232" s="88" t="s">
        <v>5</v>
      </c>
      <c r="G232" s="87">
        <f>Table1[[#This Row],[date]]</f>
        <v>45387</v>
      </c>
      <c r="H232" s="89">
        <f>SUMIF($A$2:A3867,G232,$E$2:E3867)</f>
        <v>362.1</v>
      </c>
      <c r="I232" s="88" t="str">
        <f t="shared" si="13"/>
        <v>Friday</v>
      </c>
      <c r="J232" s="88" t="str">
        <f t="shared" si="14"/>
        <v>April</v>
      </c>
      <c r="K232" s="88" t="str">
        <f t="shared" si="15"/>
        <v>2024</v>
      </c>
      <c r="L232" s="6"/>
      <c r="M232" s="6"/>
      <c r="N232" s="6"/>
    </row>
    <row r="233" spans="1:14" x14ac:dyDescent="0.3">
      <c r="A233" s="92">
        <v>45387</v>
      </c>
      <c r="B233" s="92" t="str">
        <f t="shared" si="12"/>
        <v>Friday</v>
      </c>
      <c r="C233" s="93" t="s">
        <v>1381</v>
      </c>
      <c r="D233" s="93" t="s">
        <v>110</v>
      </c>
      <c r="E233" s="94">
        <v>28.9</v>
      </c>
      <c r="F233" s="93" t="s">
        <v>26</v>
      </c>
      <c r="G233" s="87">
        <f>Table1[[#This Row],[date]]</f>
        <v>45387</v>
      </c>
      <c r="H233" s="94">
        <f>SUMIF($A$2:A3868,G233,$E$2:E3868)</f>
        <v>362.1</v>
      </c>
      <c r="I233" s="93" t="str">
        <f t="shared" si="13"/>
        <v>Friday</v>
      </c>
      <c r="J233" s="93" t="str">
        <f t="shared" si="14"/>
        <v>April</v>
      </c>
      <c r="K233" s="93" t="str">
        <f t="shared" si="15"/>
        <v>2024</v>
      </c>
      <c r="L233" s="6"/>
      <c r="M233" s="6"/>
      <c r="N233" s="6"/>
    </row>
    <row r="234" spans="1:14" x14ac:dyDescent="0.3">
      <c r="A234" s="87">
        <v>45387</v>
      </c>
      <c r="B234" s="87" t="str">
        <f t="shared" si="12"/>
        <v>Friday</v>
      </c>
      <c r="C234" s="88" t="s">
        <v>1383</v>
      </c>
      <c r="D234" s="88"/>
      <c r="E234" s="89">
        <v>40</v>
      </c>
      <c r="F234" s="88" t="s">
        <v>5</v>
      </c>
      <c r="G234" s="87">
        <f>Table1[[#This Row],[date]]</f>
        <v>45387</v>
      </c>
      <c r="H234" s="89">
        <f>SUMIF($A$2:A3869,G234,$E$2:E3869)</f>
        <v>362.1</v>
      </c>
      <c r="I234" s="88" t="str">
        <f t="shared" si="13"/>
        <v>Friday</v>
      </c>
      <c r="J234" s="88" t="str">
        <f t="shared" si="14"/>
        <v>April</v>
      </c>
      <c r="K234" s="88" t="str">
        <f t="shared" si="15"/>
        <v>2024</v>
      </c>
      <c r="L234" s="6"/>
      <c r="M234" s="6"/>
      <c r="N234" s="6"/>
    </row>
    <row r="235" spans="1:14" x14ac:dyDescent="0.3">
      <c r="A235" s="92">
        <v>45387</v>
      </c>
      <c r="B235" s="92" t="str">
        <f t="shared" si="12"/>
        <v>Friday</v>
      </c>
      <c r="C235" s="93" t="s">
        <v>1383</v>
      </c>
      <c r="D235" s="93"/>
      <c r="E235" s="94">
        <v>40</v>
      </c>
      <c r="F235" s="93" t="s">
        <v>41</v>
      </c>
      <c r="G235" s="87">
        <f>Table1[[#This Row],[date]]</f>
        <v>45387</v>
      </c>
      <c r="H235" s="94">
        <f>SUMIF($A$2:A3870,G235,$E$2:E3870)</f>
        <v>362.1</v>
      </c>
      <c r="I235" s="93" t="str">
        <f t="shared" si="13"/>
        <v>Friday</v>
      </c>
      <c r="J235" s="93" t="str">
        <f t="shared" si="14"/>
        <v>April</v>
      </c>
      <c r="K235" s="93" t="str">
        <f t="shared" si="15"/>
        <v>2024</v>
      </c>
      <c r="L235" s="6"/>
      <c r="M235" s="6"/>
      <c r="N235" s="6"/>
    </row>
    <row r="236" spans="1:14" x14ac:dyDescent="0.3">
      <c r="A236" s="87">
        <v>45387</v>
      </c>
      <c r="B236" s="87" t="str">
        <f t="shared" si="12"/>
        <v>Friday</v>
      </c>
      <c r="C236" s="88" t="s">
        <v>1383</v>
      </c>
      <c r="D236" s="88"/>
      <c r="E236" s="89">
        <v>30</v>
      </c>
      <c r="F236" s="88" t="s">
        <v>9</v>
      </c>
      <c r="G236" s="87">
        <f>Table1[[#This Row],[date]]</f>
        <v>45387</v>
      </c>
      <c r="H236" s="89">
        <f>SUMIF($A$2:A3871,G236,$E$2:E3871)</f>
        <v>362.1</v>
      </c>
      <c r="I236" s="88" t="str">
        <f t="shared" si="13"/>
        <v>Friday</v>
      </c>
      <c r="J236" s="88" t="str">
        <f t="shared" si="14"/>
        <v>April</v>
      </c>
      <c r="K236" s="88" t="str">
        <f t="shared" si="15"/>
        <v>2024</v>
      </c>
      <c r="L236" s="6"/>
      <c r="M236" s="6"/>
      <c r="N236" s="6"/>
    </row>
    <row r="237" spans="1:14" x14ac:dyDescent="0.3">
      <c r="A237" s="92">
        <v>45387</v>
      </c>
      <c r="B237" s="92" t="str">
        <f t="shared" si="12"/>
        <v>Friday</v>
      </c>
      <c r="C237" s="93" t="s">
        <v>1383</v>
      </c>
      <c r="D237" s="93"/>
      <c r="E237" s="94">
        <v>40</v>
      </c>
      <c r="F237" s="93" t="s">
        <v>16</v>
      </c>
      <c r="G237" s="87">
        <f>Table1[[#This Row],[date]]</f>
        <v>45387</v>
      </c>
      <c r="H237" s="94">
        <f>SUMIF($A$2:A3872,G237,$E$2:E3872)</f>
        <v>362.1</v>
      </c>
      <c r="I237" s="93" t="str">
        <f t="shared" si="13"/>
        <v>Friday</v>
      </c>
      <c r="J237" s="93" t="str">
        <f t="shared" si="14"/>
        <v>April</v>
      </c>
      <c r="K237" s="93" t="str">
        <f t="shared" si="15"/>
        <v>2024</v>
      </c>
      <c r="L237" s="6"/>
      <c r="M237" s="6"/>
      <c r="N237" s="6"/>
    </row>
    <row r="238" spans="1:14" x14ac:dyDescent="0.3">
      <c r="A238" s="87">
        <v>45387</v>
      </c>
      <c r="B238" s="87" t="str">
        <f t="shared" si="12"/>
        <v>Friday</v>
      </c>
      <c r="C238" s="88" t="s">
        <v>1381</v>
      </c>
      <c r="D238" s="88" t="s">
        <v>8</v>
      </c>
      <c r="E238" s="89">
        <v>24</v>
      </c>
      <c r="F238" s="88" t="s">
        <v>33</v>
      </c>
      <c r="G238" s="87">
        <f>Table1[[#This Row],[date]]</f>
        <v>45387</v>
      </c>
      <c r="H238" s="89">
        <f>SUMIF($A$2:A3873,G238,$E$2:E3873)</f>
        <v>362.1</v>
      </c>
      <c r="I238" s="88" t="str">
        <f t="shared" si="13"/>
        <v>Friday</v>
      </c>
      <c r="J238" s="88" t="str">
        <f t="shared" si="14"/>
        <v>April</v>
      </c>
      <c r="K238" s="88" t="str">
        <f t="shared" si="15"/>
        <v>2024</v>
      </c>
      <c r="L238" s="6"/>
      <c r="M238" s="6"/>
      <c r="N238" s="6"/>
    </row>
    <row r="239" spans="1:14" x14ac:dyDescent="0.3">
      <c r="A239" s="92">
        <v>45388</v>
      </c>
      <c r="B239" s="92" t="str">
        <f t="shared" si="12"/>
        <v>Saturday</v>
      </c>
      <c r="C239" s="93" t="s">
        <v>1381</v>
      </c>
      <c r="D239" s="93" t="s">
        <v>111</v>
      </c>
      <c r="E239" s="94">
        <v>33.799999999999997</v>
      </c>
      <c r="F239" s="93" t="s">
        <v>12</v>
      </c>
      <c r="G239" s="87">
        <f>Table1[[#This Row],[date]]</f>
        <v>45388</v>
      </c>
      <c r="H239" s="94">
        <f>SUMIF($A$2:A3874,G239,$E$2:E3874)</f>
        <v>140.10000000000002</v>
      </c>
      <c r="I239" s="93" t="str">
        <f t="shared" si="13"/>
        <v>Saturday</v>
      </c>
      <c r="J239" s="93" t="str">
        <f t="shared" si="14"/>
        <v>April</v>
      </c>
      <c r="K239" s="93" t="str">
        <f t="shared" si="15"/>
        <v>2024</v>
      </c>
      <c r="L239" s="6"/>
      <c r="M239" s="6"/>
      <c r="N239" s="6"/>
    </row>
    <row r="240" spans="1:14" x14ac:dyDescent="0.3">
      <c r="A240" s="87">
        <v>45388</v>
      </c>
      <c r="B240" s="87" t="str">
        <f t="shared" si="12"/>
        <v>Saturday</v>
      </c>
      <c r="C240" s="88" t="s">
        <v>1381</v>
      </c>
      <c r="D240" s="88" t="s">
        <v>52</v>
      </c>
      <c r="E240" s="89">
        <v>38.700000000000003</v>
      </c>
      <c r="F240" s="88" t="s">
        <v>41</v>
      </c>
      <c r="G240" s="87">
        <f>Table1[[#This Row],[date]]</f>
        <v>45388</v>
      </c>
      <c r="H240" s="89">
        <f>SUMIF($A$2:A3875,G240,$E$2:E3875)</f>
        <v>140.10000000000002</v>
      </c>
      <c r="I240" s="88" t="str">
        <f t="shared" si="13"/>
        <v>Saturday</v>
      </c>
      <c r="J240" s="88" t="str">
        <f t="shared" si="14"/>
        <v>April</v>
      </c>
      <c r="K240" s="88" t="str">
        <f t="shared" si="15"/>
        <v>2024</v>
      </c>
      <c r="L240" s="6"/>
      <c r="M240" s="6"/>
      <c r="N240" s="6"/>
    </row>
    <row r="241" spans="1:14" x14ac:dyDescent="0.3">
      <c r="A241" s="92">
        <v>45388</v>
      </c>
      <c r="B241" s="92" t="str">
        <f t="shared" si="12"/>
        <v>Saturday</v>
      </c>
      <c r="C241" s="93" t="s">
        <v>1381</v>
      </c>
      <c r="D241" s="93" t="s">
        <v>52</v>
      </c>
      <c r="E241" s="94">
        <v>28.9</v>
      </c>
      <c r="F241" s="93" t="s">
        <v>9</v>
      </c>
      <c r="G241" s="87">
        <f>Table1[[#This Row],[date]]</f>
        <v>45388</v>
      </c>
      <c r="H241" s="94">
        <f>SUMIF($A$2:A3876,G241,$E$2:E3876)</f>
        <v>140.10000000000002</v>
      </c>
      <c r="I241" s="93" t="str">
        <f t="shared" si="13"/>
        <v>Saturday</v>
      </c>
      <c r="J241" s="93" t="str">
        <f t="shared" si="14"/>
        <v>April</v>
      </c>
      <c r="K241" s="93" t="str">
        <f t="shared" si="15"/>
        <v>2024</v>
      </c>
      <c r="L241" s="6"/>
      <c r="M241" s="6"/>
      <c r="N241" s="6"/>
    </row>
    <row r="242" spans="1:14" x14ac:dyDescent="0.3">
      <c r="A242" s="87">
        <v>45388</v>
      </c>
      <c r="B242" s="87" t="str">
        <f t="shared" si="12"/>
        <v>Saturday</v>
      </c>
      <c r="C242" s="88" t="s">
        <v>1381</v>
      </c>
      <c r="D242" s="88" t="s">
        <v>17</v>
      </c>
      <c r="E242" s="89">
        <v>38.700000000000003</v>
      </c>
      <c r="F242" s="88" t="s">
        <v>5</v>
      </c>
      <c r="G242" s="87">
        <f>Table1[[#This Row],[date]]</f>
        <v>45388</v>
      </c>
      <c r="H242" s="89">
        <f>SUMIF($A$2:A3877,G242,$E$2:E3877)</f>
        <v>140.10000000000002</v>
      </c>
      <c r="I242" s="88" t="str">
        <f t="shared" si="13"/>
        <v>Saturday</v>
      </c>
      <c r="J242" s="88" t="str">
        <f t="shared" si="14"/>
        <v>April</v>
      </c>
      <c r="K242" s="88" t="str">
        <f t="shared" si="15"/>
        <v>2024</v>
      </c>
      <c r="L242" s="6"/>
      <c r="M242" s="6"/>
      <c r="N242" s="6"/>
    </row>
    <row r="243" spans="1:14" x14ac:dyDescent="0.3">
      <c r="A243" s="92">
        <v>45389</v>
      </c>
      <c r="B243" s="92" t="str">
        <f t="shared" si="12"/>
        <v>Sunday</v>
      </c>
      <c r="C243" s="93" t="s">
        <v>1381</v>
      </c>
      <c r="D243" s="93" t="s">
        <v>103</v>
      </c>
      <c r="E243" s="94">
        <v>38.700000000000003</v>
      </c>
      <c r="F243" s="93" t="s">
        <v>5</v>
      </c>
      <c r="G243" s="87">
        <f>Table1[[#This Row],[date]]</f>
        <v>45389</v>
      </c>
      <c r="H243" s="94">
        <f>SUMIF($A$2:A3878,G243,$E$2:E3878)</f>
        <v>241.5</v>
      </c>
      <c r="I243" s="93" t="str">
        <f t="shared" si="13"/>
        <v>Sunday</v>
      </c>
      <c r="J243" s="93" t="str">
        <f t="shared" si="14"/>
        <v>April</v>
      </c>
      <c r="K243" s="93" t="str">
        <f t="shared" si="15"/>
        <v>2024</v>
      </c>
      <c r="L243" s="6"/>
      <c r="M243" s="6"/>
      <c r="N243" s="6"/>
    </row>
    <row r="244" spans="1:14" x14ac:dyDescent="0.3">
      <c r="A244" s="87">
        <v>45389</v>
      </c>
      <c r="B244" s="87" t="str">
        <f t="shared" si="12"/>
        <v>Sunday</v>
      </c>
      <c r="C244" s="88" t="s">
        <v>1381</v>
      </c>
      <c r="D244" s="88" t="s">
        <v>52</v>
      </c>
      <c r="E244" s="89">
        <v>38.700000000000003</v>
      </c>
      <c r="F244" s="88" t="s">
        <v>41</v>
      </c>
      <c r="G244" s="87">
        <f>Table1[[#This Row],[date]]</f>
        <v>45389</v>
      </c>
      <c r="H244" s="89">
        <f>SUMIF($A$2:A3879,G244,$E$2:E3879)</f>
        <v>241.5</v>
      </c>
      <c r="I244" s="88" t="str">
        <f t="shared" si="13"/>
        <v>Sunday</v>
      </c>
      <c r="J244" s="88" t="str">
        <f t="shared" si="14"/>
        <v>April</v>
      </c>
      <c r="K244" s="88" t="str">
        <f t="shared" si="15"/>
        <v>2024</v>
      </c>
      <c r="L244" s="6"/>
      <c r="M244" s="6"/>
      <c r="N244" s="6"/>
    </row>
    <row r="245" spans="1:14" x14ac:dyDescent="0.3">
      <c r="A245" s="92">
        <v>45389</v>
      </c>
      <c r="B245" s="92" t="str">
        <f t="shared" si="12"/>
        <v>Sunday</v>
      </c>
      <c r="C245" s="93" t="s">
        <v>1381</v>
      </c>
      <c r="D245" s="93" t="s">
        <v>52</v>
      </c>
      <c r="E245" s="94">
        <v>38.700000000000003</v>
      </c>
      <c r="F245" s="93" t="s">
        <v>41</v>
      </c>
      <c r="G245" s="87">
        <f>Table1[[#This Row],[date]]</f>
        <v>45389</v>
      </c>
      <c r="H245" s="94">
        <f>SUMIF($A$2:A3880,G245,$E$2:E3880)</f>
        <v>241.5</v>
      </c>
      <c r="I245" s="93" t="str">
        <f t="shared" si="13"/>
        <v>Sunday</v>
      </c>
      <c r="J245" s="93" t="str">
        <f t="shared" si="14"/>
        <v>April</v>
      </c>
      <c r="K245" s="93" t="str">
        <f t="shared" si="15"/>
        <v>2024</v>
      </c>
      <c r="L245" s="6"/>
      <c r="M245" s="6"/>
      <c r="N245" s="6"/>
    </row>
    <row r="246" spans="1:14" x14ac:dyDescent="0.3">
      <c r="A246" s="87">
        <v>45389</v>
      </c>
      <c r="B246" s="87" t="str">
        <f t="shared" si="12"/>
        <v>Sunday</v>
      </c>
      <c r="C246" s="88" t="s">
        <v>1381</v>
      </c>
      <c r="D246" s="88" t="s">
        <v>112</v>
      </c>
      <c r="E246" s="89">
        <v>28.9</v>
      </c>
      <c r="F246" s="88" t="s">
        <v>26</v>
      </c>
      <c r="G246" s="87">
        <f>Table1[[#This Row],[date]]</f>
        <v>45389</v>
      </c>
      <c r="H246" s="89">
        <f>SUMIF($A$2:A3881,G246,$E$2:E3881)</f>
        <v>241.5</v>
      </c>
      <c r="I246" s="88" t="str">
        <f t="shared" si="13"/>
        <v>Sunday</v>
      </c>
      <c r="J246" s="88" t="str">
        <f t="shared" si="14"/>
        <v>April</v>
      </c>
      <c r="K246" s="88" t="str">
        <f t="shared" si="15"/>
        <v>2024</v>
      </c>
      <c r="L246" s="6"/>
      <c r="M246" s="6"/>
      <c r="N246" s="6"/>
    </row>
    <row r="247" spans="1:14" x14ac:dyDescent="0.3">
      <c r="A247" s="92">
        <v>45389</v>
      </c>
      <c r="B247" s="92" t="str">
        <f t="shared" si="12"/>
        <v>Sunday</v>
      </c>
      <c r="C247" s="93" t="s">
        <v>1381</v>
      </c>
      <c r="D247" s="93" t="s">
        <v>112</v>
      </c>
      <c r="E247" s="94">
        <v>24</v>
      </c>
      <c r="F247" s="93" t="s">
        <v>33</v>
      </c>
      <c r="G247" s="87">
        <f>Table1[[#This Row],[date]]</f>
        <v>45389</v>
      </c>
      <c r="H247" s="94">
        <f>SUMIF($A$2:A3882,G247,$E$2:E3882)</f>
        <v>241.5</v>
      </c>
      <c r="I247" s="93" t="str">
        <f t="shared" si="13"/>
        <v>Sunday</v>
      </c>
      <c r="J247" s="93" t="str">
        <f t="shared" si="14"/>
        <v>April</v>
      </c>
      <c r="K247" s="93" t="str">
        <f t="shared" si="15"/>
        <v>2024</v>
      </c>
      <c r="L247" s="6"/>
      <c r="M247" s="6"/>
      <c r="N247" s="6"/>
    </row>
    <row r="248" spans="1:14" x14ac:dyDescent="0.3">
      <c r="A248" s="87">
        <v>45389</v>
      </c>
      <c r="B248" s="87" t="str">
        <f t="shared" si="12"/>
        <v>Sunday</v>
      </c>
      <c r="C248" s="88" t="s">
        <v>1381</v>
      </c>
      <c r="D248" s="88" t="s">
        <v>113</v>
      </c>
      <c r="E248" s="89">
        <v>38.700000000000003</v>
      </c>
      <c r="F248" s="88" t="s">
        <v>7</v>
      </c>
      <c r="G248" s="87">
        <f>Table1[[#This Row],[date]]</f>
        <v>45389</v>
      </c>
      <c r="H248" s="89">
        <f>SUMIF($A$2:A3883,G248,$E$2:E3883)</f>
        <v>241.5</v>
      </c>
      <c r="I248" s="88" t="str">
        <f t="shared" si="13"/>
        <v>Sunday</v>
      </c>
      <c r="J248" s="88" t="str">
        <f t="shared" si="14"/>
        <v>April</v>
      </c>
      <c r="K248" s="88" t="str">
        <f t="shared" si="15"/>
        <v>2024</v>
      </c>
      <c r="L248" s="6"/>
      <c r="M248" s="6"/>
      <c r="N248" s="6"/>
    </row>
    <row r="249" spans="1:14" x14ac:dyDescent="0.3">
      <c r="A249" s="92">
        <v>45389</v>
      </c>
      <c r="B249" s="92" t="str">
        <f t="shared" si="12"/>
        <v>Sunday</v>
      </c>
      <c r="C249" s="93" t="s">
        <v>1381</v>
      </c>
      <c r="D249" s="93" t="s">
        <v>113</v>
      </c>
      <c r="E249" s="94">
        <v>33.799999999999997</v>
      </c>
      <c r="F249" s="93" t="s">
        <v>12</v>
      </c>
      <c r="G249" s="87">
        <f>Table1[[#This Row],[date]]</f>
        <v>45389</v>
      </c>
      <c r="H249" s="94">
        <f>SUMIF($A$2:A3884,G249,$E$2:E3884)</f>
        <v>241.5</v>
      </c>
      <c r="I249" s="93" t="str">
        <f t="shared" si="13"/>
        <v>Sunday</v>
      </c>
      <c r="J249" s="93" t="str">
        <f t="shared" si="14"/>
        <v>April</v>
      </c>
      <c r="K249" s="93" t="str">
        <f t="shared" si="15"/>
        <v>2024</v>
      </c>
      <c r="L249" s="6"/>
      <c r="M249" s="6"/>
      <c r="N249" s="6"/>
    </row>
    <row r="250" spans="1:14" x14ac:dyDescent="0.3">
      <c r="A250" s="87">
        <v>45390</v>
      </c>
      <c r="B250" s="87" t="str">
        <f t="shared" si="12"/>
        <v>Monday</v>
      </c>
      <c r="C250" s="88" t="s">
        <v>1381</v>
      </c>
      <c r="D250" s="88" t="s">
        <v>114</v>
      </c>
      <c r="E250" s="89">
        <v>33.799999999999997</v>
      </c>
      <c r="F250" s="88" t="s">
        <v>12</v>
      </c>
      <c r="G250" s="87">
        <f>Table1[[#This Row],[date]]</f>
        <v>45390</v>
      </c>
      <c r="H250" s="89">
        <f>SUMIF($A$2:A3885,G250,$E$2:E3885)</f>
        <v>340.2</v>
      </c>
      <c r="I250" s="88" t="str">
        <f t="shared" si="13"/>
        <v>Monday</v>
      </c>
      <c r="J250" s="88" t="str">
        <f t="shared" si="14"/>
        <v>April</v>
      </c>
      <c r="K250" s="88" t="str">
        <f t="shared" si="15"/>
        <v>2024</v>
      </c>
      <c r="L250" s="6"/>
      <c r="M250" s="6"/>
      <c r="N250" s="6"/>
    </row>
    <row r="251" spans="1:14" x14ac:dyDescent="0.3">
      <c r="A251" s="92">
        <v>45390</v>
      </c>
      <c r="B251" s="92" t="str">
        <f t="shared" si="12"/>
        <v>Monday</v>
      </c>
      <c r="C251" s="93" t="s">
        <v>1381</v>
      </c>
      <c r="D251" s="93" t="s">
        <v>115</v>
      </c>
      <c r="E251" s="94">
        <v>38.700000000000003</v>
      </c>
      <c r="F251" s="93" t="s">
        <v>41</v>
      </c>
      <c r="G251" s="87">
        <f>Table1[[#This Row],[date]]</f>
        <v>45390</v>
      </c>
      <c r="H251" s="94">
        <f>SUMIF($A$2:A3886,G251,$E$2:E3886)</f>
        <v>340.2</v>
      </c>
      <c r="I251" s="93" t="str">
        <f t="shared" si="13"/>
        <v>Monday</v>
      </c>
      <c r="J251" s="93" t="str">
        <f t="shared" si="14"/>
        <v>April</v>
      </c>
      <c r="K251" s="93" t="str">
        <f t="shared" si="15"/>
        <v>2024</v>
      </c>
      <c r="L251" s="6"/>
      <c r="M251" s="6"/>
      <c r="N251" s="6"/>
    </row>
    <row r="252" spans="1:14" x14ac:dyDescent="0.3">
      <c r="A252" s="87">
        <v>45390</v>
      </c>
      <c r="B252" s="87" t="str">
        <f t="shared" si="12"/>
        <v>Monday</v>
      </c>
      <c r="C252" s="88" t="s">
        <v>1381</v>
      </c>
      <c r="D252" s="88" t="s">
        <v>21</v>
      </c>
      <c r="E252" s="89">
        <v>28.9</v>
      </c>
      <c r="F252" s="88" t="s">
        <v>9</v>
      </c>
      <c r="G252" s="87">
        <f>Table1[[#This Row],[date]]</f>
        <v>45390</v>
      </c>
      <c r="H252" s="89">
        <f>SUMIF($A$2:A3887,G252,$E$2:E3887)</f>
        <v>340.2</v>
      </c>
      <c r="I252" s="88" t="str">
        <f t="shared" si="13"/>
        <v>Monday</v>
      </c>
      <c r="J252" s="88" t="str">
        <f t="shared" si="14"/>
        <v>April</v>
      </c>
      <c r="K252" s="88" t="str">
        <f t="shared" si="15"/>
        <v>2024</v>
      </c>
      <c r="L252" s="6"/>
      <c r="M252" s="6"/>
      <c r="N252" s="6"/>
    </row>
    <row r="253" spans="1:14" x14ac:dyDescent="0.3">
      <c r="A253" s="92">
        <v>45390</v>
      </c>
      <c r="B253" s="92" t="str">
        <f t="shared" si="12"/>
        <v>Monday</v>
      </c>
      <c r="C253" s="93" t="s">
        <v>1381</v>
      </c>
      <c r="D253" s="93" t="s">
        <v>116</v>
      </c>
      <c r="E253" s="94">
        <v>38.700000000000003</v>
      </c>
      <c r="F253" s="93" t="s">
        <v>41</v>
      </c>
      <c r="G253" s="87">
        <f>Table1[[#This Row],[date]]</f>
        <v>45390</v>
      </c>
      <c r="H253" s="94">
        <f>SUMIF($A$2:A3888,G253,$E$2:E3888)</f>
        <v>340.2</v>
      </c>
      <c r="I253" s="93" t="str">
        <f t="shared" si="13"/>
        <v>Monday</v>
      </c>
      <c r="J253" s="93" t="str">
        <f t="shared" si="14"/>
        <v>April</v>
      </c>
      <c r="K253" s="93" t="str">
        <f t="shared" si="15"/>
        <v>2024</v>
      </c>
      <c r="L253" s="6"/>
      <c r="M253" s="6"/>
      <c r="N253" s="6"/>
    </row>
    <row r="254" spans="1:14" x14ac:dyDescent="0.3">
      <c r="A254" s="87">
        <v>45390</v>
      </c>
      <c r="B254" s="87" t="str">
        <f t="shared" si="12"/>
        <v>Monday</v>
      </c>
      <c r="C254" s="88" t="s">
        <v>1383</v>
      </c>
      <c r="D254" s="88"/>
      <c r="E254" s="89">
        <v>25</v>
      </c>
      <c r="F254" s="88" t="s">
        <v>33</v>
      </c>
      <c r="G254" s="87">
        <f>Table1[[#This Row],[date]]</f>
        <v>45390</v>
      </c>
      <c r="H254" s="89">
        <f>SUMIF($A$2:A3889,G254,$E$2:E3889)</f>
        <v>340.2</v>
      </c>
      <c r="I254" s="88" t="str">
        <f t="shared" si="13"/>
        <v>Monday</v>
      </c>
      <c r="J254" s="88" t="str">
        <f t="shared" si="14"/>
        <v>April</v>
      </c>
      <c r="K254" s="88" t="str">
        <f t="shared" si="15"/>
        <v>2024</v>
      </c>
      <c r="L254" s="6"/>
      <c r="M254" s="6"/>
      <c r="N254" s="6"/>
    </row>
    <row r="255" spans="1:14" x14ac:dyDescent="0.3">
      <c r="A255" s="92">
        <v>45390</v>
      </c>
      <c r="B255" s="92" t="str">
        <f t="shared" si="12"/>
        <v>Monday</v>
      </c>
      <c r="C255" s="93" t="s">
        <v>1383</v>
      </c>
      <c r="D255" s="93"/>
      <c r="E255" s="94">
        <v>35</v>
      </c>
      <c r="F255" s="93" t="s">
        <v>12</v>
      </c>
      <c r="G255" s="87">
        <f>Table1[[#This Row],[date]]</f>
        <v>45390</v>
      </c>
      <c r="H255" s="94">
        <f>SUMIF($A$2:A3890,G255,$E$2:E3890)</f>
        <v>340.2</v>
      </c>
      <c r="I255" s="93" t="str">
        <f t="shared" si="13"/>
        <v>Monday</v>
      </c>
      <c r="J255" s="93" t="str">
        <f t="shared" si="14"/>
        <v>April</v>
      </c>
      <c r="K255" s="93" t="str">
        <f t="shared" si="15"/>
        <v>2024</v>
      </c>
      <c r="L255" s="6"/>
      <c r="M255" s="6"/>
      <c r="N255" s="6"/>
    </row>
    <row r="256" spans="1:14" x14ac:dyDescent="0.3">
      <c r="A256" s="87">
        <v>45390</v>
      </c>
      <c r="B256" s="87" t="str">
        <f t="shared" si="12"/>
        <v>Monday</v>
      </c>
      <c r="C256" s="88" t="s">
        <v>1381</v>
      </c>
      <c r="D256" s="88" t="s">
        <v>27</v>
      </c>
      <c r="E256" s="89">
        <v>38.700000000000003</v>
      </c>
      <c r="F256" s="88" t="s">
        <v>5</v>
      </c>
      <c r="G256" s="87">
        <f>Table1[[#This Row],[date]]</f>
        <v>45390</v>
      </c>
      <c r="H256" s="89">
        <f>SUMIF($A$2:A3891,G256,$E$2:E3891)</f>
        <v>340.2</v>
      </c>
      <c r="I256" s="88" t="str">
        <f t="shared" si="13"/>
        <v>Monday</v>
      </c>
      <c r="J256" s="88" t="str">
        <f t="shared" si="14"/>
        <v>April</v>
      </c>
      <c r="K256" s="88" t="str">
        <f t="shared" si="15"/>
        <v>2024</v>
      </c>
      <c r="L256" s="6"/>
      <c r="M256" s="6"/>
      <c r="N256" s="6"/>
    </row>
    <row r="257" spans="1:14" x14ac:dyDescent="0.3">
      <c r="A257" s="92">
        <v>45390</v>
      </c>
      <c r="B257" s="92" t="str">
        <f t="shared" si="12"/>
        <v>Monday</v>
      </c>
      <c r="C257" s="93" t="s">
        <v>1381</v>
      </c>
      <c r="D257" s="93" t="s">
        <v>117</v>
      </c>
      <c r="E257" s="94">
        <v>28.9</v>
      </c>
      <c r="F257" s="93" t="s">
        <v>9</v>
      </c>
      <c r="G257" s="87">
        <f>Table1[[#This Row],[date]]</f>
        <v>45390</v>
      </c>
      <c r="H257" s="94">
        <f>SUMIF($A$2:A3892,G257,$E$2:E3892)</f>
        <v>340.2</v>
      </c>
      <c r="I257" s="93" t="str">
        <f t="shared" si="13"/>
        <v>Monday</v>
      </c>
      <c r="J257" s="93" t="str">
        <f t="shared" si="14"/>
        <v>April</v>
      </c>
      <c r="K257" s="93" t="str">
        <f t="shared" si="15"/>
        <v>2024</v>
      </c>
      <c r="L257" s="6"/>
      <c r="M257" s="6"/>
      <c r="N257" s="6"/>
    </row>
    <row r="258" spans="1:14" x14ac:dyDescent="0.3">
      <c r="A258" s="87">
        <v>45390</v>
      </c>
      <c r="B258" s="87" t="str">
        <f t="shared" ref="B258:B321" si="16">TEXT(A258,"dddd")</f>
        <v>Monday</v>
      </c>
      <c r="C258" s="88" t="s">
        <v>1381</v>
      </c>
      <c r="D258" s="88" t="s">
        <v>35</v>
      </c>
      <c r="E258" s="89">
        <v>33.799999999999997</v>
      </c>
      <c r="F258" s="88" t="s">
        <v>12</v>
      </c>
      <c r="G258" s="87">
        <f>Table1[[#This Row],[date]]</f>
        <v>45390</v>
      </c>
      <c r="H258" s="89">
        <f>SUMIF($A$2:A3893,G258,$E$2:E3893)</f>
        <v>340.2</v>
      </c>
      <c r="I258" s="88" t="str">
        <f t="shared" ref="I258:I321" si="17">TEXT(G258,"dddd")</f>
        <v>Monday</v>
      </c>
      <c r="J258" s="88" t="str">
        <f t="shared" ref="J258:J321" si="18">TEXT(G258,"mmmm")</f>
        <v>April</v>
      </c>
      <c r="K258" s="88" t="str">
        <f t="shared" ref="K258:K321" si="19">TEXT(G258,"yyyy")</f>
        <v>2024</v>
      </c>
      <c r="L258" s="6"/>
      <c r="M258" s="6"/>
      <c r="N258" s="6"/>
    </row>
    <row r="259" spans="1:14" x14ac:dyDescent="0.3">
      <c r="A259" s="92">
        <v>45390</v>
      </c>
      <c r="B259" s="92" t="str">
        <f t="shared" si="16"/>
        <v>Monday</v>
      </c>
      <c r="C259" s="93" t="s">
        <v>1381</v>
      </c>
      <c r="D259" s="93" t="s">
        <v>118</v>
      </c>
      <c r="E259" s="94">
        <v>38.700000000000003</v>
      </c>
      <c r="F259" s="93" t="s">
        <v>41</v>
      </c>
      <c r="G259" s="87">
        <f>Table1[[#This Row],[date]]</f>
        <v>45390</v>
      </c>
      <c r="H259" s="94">
        <f>SUMIF($A$2:A3894,G259,$E$2:E3894)</f>
        <v>340.2</v>
      </c>
      <c r="I259" s="93" t="str">
        <f t="shared" si="17"/>
        <v>Monday</v>
      </c>
      <c r="J259" s="93" t="str">
        <f t="shared" si="18"/>
        <v>April</v>
      </c>
      <c r="K259" s="93" t="str">
        <f t="shared" si="19"/>
        <v>2024</v>
      </c>
      <c r="L259" s="6"/>
      <c r="M259" s="6"/>
      <c r="N259" s="6"/>
    </row>
    <row r="260" spans="1:14" x14ac:dyDescent="0.3">
      <c r="A260" s="87">
        <v>45391</v>
      </c>
      <c r="B260" s="87" t="str">
        <f t="shared" si="16"/>
        <v>Tuesday</v>
      </c>
      <c r="C260" s="88" t="s">
        <v>1383</v>
      </c>
      <c r="D260" s="88"/>
      <c r="E260" s="89">
        <v>40</v>
      </c>
      <c r="F260" s="88" t="s">
        <v>41</v>
      </c>
      <c r="G260" s="87">
        <f>Table1[[#This Row],[date]]</f>
        <v>45391</v>
      </c>
      <c r="H260" s="89">
        <f>SUMIF($A$2:A3895,G260,$E$2:E3895)</f>
        <v>186.10000000000002</v>
      </c>
      <c r="I260" s="88" t="str">
        <f t="shared" si="17"/>
        <v>Tuesday</v>
      </c>
      <c r="J260" s="88" t="str">
        <f t="shared" si="18"/>
        <v>April</v>
      </c>
      <c r="K260" s="88" t="str">
        <f t="shared" si="19"/>
        <v>2024</v>
      </c>
      <c r="L260" s="6"/>
      <c r="M260" s="6"/>
      <c r="N260" s="6"/>
    </row>
    <row r="261" spans="1:14" x14ac:dyDescent="0.3">
      <c r="A261" s="92">
        <v>45391</v>
      </c>
      <c r="B261" s="92" t="str">
        <f t="shared" si="16"/>
        <v>Tuesday</v>
      </c>
      <c r="C261" s="93" t="s">
        <v>1383</v>
      </c>
      <c r="D261" s="93"/>
      <c r="E261" s="94">
        <v>30</v>
      </c>
      <c r="F261" s="93" t="s">
        <v>9</v>
      </c>
      <c r="G261" s="87">
        <f>Table1[[#This Row],[date]]</f>
        <v>45391</v>
      </c>
      <c r="H261" s="94">
        <f>SUMIF($A$2:A3896,G261,$E$2:E3896)</f>
        <v>186.10000000000002</v>
      </c>
      <c r="I261" s="93" t="str">
        <f t="shared" si="17"/>
        <v>Tuesday</v>
      </c>
      <c r="J261" s="93" t="str">
        <f t="shared" si="18"/>
        <v>April</v>
      </c>
      <c r="K261" s="93" t="str">
        <f t="shared" si="19"/>
        <v>2024</v>
      </c>
      <c r="L261" s="6"/>
      <c r="M261" s="6"/>
      <c r="N261" s="6"/>
    </row>
    <row r="262" spans="1:14" x14ac:dyDescent="0.3">
      <c r="A262" s="87">
        <v>45391</v>
      </c>
      <c r="B262" s="87" t="str">
        <f t="shared" si="16"/>
        <v>Tuesday</v>
      </c>
      <c r="C262" s="88" t="s">
        <v>1381</v>
      </c>
      <c r="D262" s="88" t="s">
        <v>103</v>
      </c>
      <c r="E262" s="89">
        <v>38.700000000000003</v>
      </c>
      <c r="F262" s="88" t="s">
        <v>5</v>
      </c>
      <c r="G262" s="87">
        <f>Table1[[#This Row],[date]]</f>
        <v>45391</v>
      </c>
      <c r="H262" s="89">
        <f>SUMIF($A$2:A3897,G262,$E$2:E3897)</f>
        <v>186.10000000000002</v>
      </c>
      <c r="I262" s="88" t="str">
        <f t="shared" si="17"/>
        <v>Tuesday</v>
      </c>
      <c r="J262" s="88" t="str">
        <f t="shared" si="18"/>
        <v>April</v>
      </c>
      <c r="K262" s="88" t="str">
        <f t="shared" si="19"/>
        <v>2024</v>
      </c>
      <c r="L262" s="6"/>
      <c r="M262" s="6"/>
      <c r="N262" s="6"/>
    </row>
    <row r="263" spans="1:14" x14ac:dyDescent="0.3">
      <c r="A263" s="92">
        <v>45391</v>
      </c>
      <c r="B263" s="92" t="str">
        <f t="shared" si="16"/>
        <v>Tuesday</v>
      </c>
      <c r="C263" s="93" t="s">
        <v>1381</v>
      </c>
      <c r="D263" s="93" t="s">
        <v>119</v>
      </c>
      <c r="E263" s="94">
        <v>38.700000000000003</v>
      </c>
      <c r="F263" s="93" t="s">
        <v>7</v>
      </c>
      <c r="G263" s="87">
        <f>Table1[[#This Row],[date]]</f>
        <v>45391</v>
      </c>
      <c r="H263" s="94">
        <f>SUMIF($A$2:A3898,G263,$E$2:E3898)</f>
        <v>186.10000000000002</v>
      </c>
      <c r="I263" s="93" t="str">
        <f t="shared" si="17"/>
        <v>Tuesday</v>
      </c>
      <c r="J263" s="93" t="str">
        <f t="shared" si="18"/>
        <v>April</v>
      </c>
      <c r="K263" s="93" t="str">
        <f t="shared" si="19"/>
        <v>2024</v>
      </c>
      <c r="L263" s="6"/>
      <c r="M263" s="6"/>
      <c r="N263" s="6"/>
    </row>
    <row r="264" spans="1:14" x14ac:dyDescent="0.3">
      <c r="A264" s="87">
        <v>45391</v>
      </c>
      <c r="B264" s="87" t="str">
        <f t="shared" si="16"/>
        <v>Tuesday</v>
      </c>
      <c r="C264" s="88" t="s">
        <v>1381</v>
      </c>
      <c r="D264" s="88" t="s">
        <v>61</v>
      </c>
      <c r="E264" s="89">
        <v>38.700000000000003</v>
      </c>
      <c r="F264" s="88" t="s">
        <v>7</v>
      </c>
      <c r="G264" s="87">
        <f>Table1[[#This Row],[date]]</f>
        <v>45391</v>
      </c>
      <c r="H264" s="89">
        <f>SUMIF($A$2:A3899,G264,$E$2:E3899)</f>
        <v>186.10000000000002</v>
      </c>
      <c r="I264" s="88" t="str">
        <f t="shared" si="17"/>
        <v>Tuesday</v>
      </c>
      <c r="J264" s="88" t="str">
        <f t="shared" si="18"/>
        <v>April</v>
      </c>
      <c r="K264" s="88" t="str">
        <f t="shared" si="19"/>
        <v>2024</v>
      </c>
      <c r="L264" s="6"/>
      <c r="M264" s="6"/>
      <c r="N264" s="6"/>
    </row>
    <row r="265" spans="1:14" x14ac:dyDescent="0.3">
      <c r="A265" s="92">
        <v>45392</v>
      </c>
      <c r="B265" s="92" t="str">
        <f t="shared" si="16"/>
        <v>Wednesday</v>
      </c>
      <c r="C265" s="93" t="s">
        <v>1383</v>
      </c>
      <c r="D265" s="93"/>
      <c r="E265" s="94">
        <v>25</v>
      </c>
      <c r="F265" s="93" t="s">
        <v>33</v>
      </c>
      <c r="G265" s="87">
        <f>Table1[[#This Row],[date]]</f>
        <v>45392</v>
      </c>
      <c r="H265" s="94">
        <f>SUMIF($A$2:A3900,G265,$E$2:E3900)</f>
        <v>166.4</v>
      </c>
      <c r="I265" s="93" t="str">
        <f t="shared" si="17"/>
        <v>Wednesday</v>
      </c>
      <c r="J265" s="93" t="str">
        <f t="shared" si="18"/>
        <v>April</v>
      </c>
      <c r="K265" s="93" t="str">
        <f t="shared" si="19"/>
        <v>2024</v>
      </c>
      <c r="L265" s="6"/>
      <c r="M265" s="6"/>
      <c r="N265" s="6"/>
    </row>
    <row r="266" spans="1:14" x14ac:dyDescent="0.3">
      <c r="A266" s="87">
        <v>45392</v>
      </c>
      <c r="B266" s="87" t="str">
        <f t="shared" si="16"/>
        <v>Wednesday</v>
      </c>
      <c r="C266" s="88" t="s">
        <v>1383</v>
      </c>
      <c r="D266" s="88"/>
      <c r="E266" s="89">
        <v>40</v>
      </c>
      <c r="F266" s="88" t="s">
        <v>7</v>
      </c>
      <c r="G266" s="87">
        <f>Table1[[#This Row],[date]]</f>
        <v>45392</v>
      </c>
      <c r="H266" s="89">
        <f>SUMIF($A$2:A3901,G266,$E$2:E3901)</f>
        <v>166.4</v>
      </c>
      <c r="I266" s="88" t="str">
        <f t="shared" si="17"/>
        <v>Wednesday</v>
      </c>
      <c r="J266" s="88" t="str">
        <f t="shared" si="18"/>
        <v>April</v>
      </c>
      <c r="K266" s="88" t="str">
        <f t="shared" si="19"/>
        <v>2024</v>
      </c>
      <c r="L266" s="6"/>
      <c r="M266" s="6"/>
      <c r="N266" s="6"/>
    </row>
    <row r="267" spans="1:14" x14ac:dyDescent="0.3">
      <c r="A267" s="92">
        <v>45392</v>
      </c>
      <c r="B267" s="92" t="str">
        <f t="shared" si="16"/>
        <v>Wednesday</v>
      </c>
      <c r="C267" s="93" t="s">
        <v>1381</v>
      </c>
      <c r="D267" s="93" t="s">
        <v>120</v>
      </c>
      <c r="E267" s="94">
        <v>24</v>
      </c>
      <c r="F267" s="93" t="s">
        <v>33</v>
      </c>
      <c r="G267" s="87">
        <f>Table1[[#This Row],[date]]</f>
        <v>45392</v>
      </c>
      <c r="H267" s="94">
        <f>SUMIF($A$2:A3902,G267,$E$2:E3902)</f>
        <v>166.4</v>
      </c>
      <c r="I267" s="93" t="str">
        <f t="shared" si="17"/>
        <v>Wednesday</v>
      </c>
      <c r="J267" s="93" t="str">
        <f t="shared" si="18"/>
        <v>April</v>
      </c>
      <c r="K267" s="93" t="str">
        <f t="shared" si="19"/>
        <v>2024</v>
      </c>
      <c r="L267" s="6"/>
      <c r="M267" s="6"/>
      <c r="N267" s="6"/>
    </row>
    <row r="268" spans="1:14" x14ac:dyDescent="0.3">
      <c r="A268" s="87">
        <v>45392</v>
      </c>
      <c r="B268" s="87" t="str">
        <f t="shared" si="16"/>
        <v>Wednesday</v>
      </c>
      <c r="C268" s="88" t="s">
        <v>1381</v>
      </c>
      <c r="D268" s="88" t="s">
        <v>17</v>
      </c>
      <c r="E268" s="89">
        <v>38.700000000000003</v>
      </c>
      <c r="F268" s="88" t="s">
        <v>41</v>
      </c>
      <c r="G268" s="87">
        <f>Table1[[#This Row],[date]]</f>
        <v>45392</v>
      </c>
      <c r="H268" s="89">
        <f>SUMIF($A$2:A3903,G268,$E$2:E3903)</f>
        <v>166.4</v>
      </c>
      <c r="I268" s="88" t="str">
        <f t="shared" si="17"/>
        <v>Wednesday</v>
      </c>
      <c r="J268" s="88" t="str">
        <f t="shared" si="18"/>
        <v>April</v>
      </c>
      <c r="K268" s="88" t="str">
        <f t="shared" si="19"/>
        <v>2024</v>
      </c>
      <c r="L268" s="6"/>
      <c r="M268" s="6"/>
      <c r="N268" s="6"/>
    </row>
    <row r="269" spans="1:14" x14ac:dyDescent="0.3">
      <c r="A269" s="92">
        <v>45392</v>
      </c>
      <c r="B269" s="92" t="str">
        <f t="shared" si="16"/>
        <v>Wednesday</v>
      </c>
      <c r="C269" s="93" t="s">
        <v>1381</v>
      </c>
      <c r="D269" s="93" t="s">
        <v>121</v>
      </c>
      <c r="E269" s="94">
        <v>38.700000000000003</v>
      </c>
      <c r="F269" s="93" t="s">
        <v>5</v>
      </c>
      <c r="G269" s="87">
        <f>Table1[[#This Row],[date]]</f>
        <v>45392</v>
      </c>
      <c r="H269" s="94">
        <f>SUMIF($A$2:A3904,G269,$E$2:E3904)</f>
        <v>166.4</v>
      </c>
      <c r="I269" s="93" t="str">
        <f t="shared" si="17"/>
        <v>Wednesday</v>
      </c>
      <c r="J269" s="93" t="str">
        <f t="shared" si="18"/>
        <v>April</v>
      </c>
      <c r="K269" s="93" t="str">
        <f t="shared" si="19"/>
        <v>2024</v>
      </c>
      <c r="L269" s="6"/>
      <c r="M269" s="6"/>
      <c r="N269" s="6"/>
    </row>
    <row r="270" spans="1:14" x14ac:dyDescent="0.3">
      <c r="A270" s="87">
        <v>45393</v>
      </c>
      <c r="B270" s="87" t="str">
        <f t="shared" si="16"/>
        <v>Thursday</v>
      </c>
      <c r="C270" s="88" t="s">
        <v>1381</v>
      </c>
      <c r="D270" s="88" t="s">
        <v>122</v>
      </c>
      <c r="E270" s="89">
        <v>28.9</v>
      </c>
      <c r="F270" s="88" t="s">
        <v>9</v>
      </c>
      <c r="G270" s="87">
        <f>Table1[[#This Row],[date]]</f>
        <v>45393</v>
      </c>
      <c r="H270" s="89">
        <f>SUMIF($A$2:A3905,G270,$E$2:E3905)</f>
        <v>169</v>
      </c>
      <c r="I270" s="88" t="str">
        <f t="shared" si="17"/>
        <v>Thursday</v>
      </c>
      <c r="J270" s="88" t="str">
        <f t="shared" si="18"/>
        <v>April</v>
      </c>
      <c r="K270" s="88" t="str">
        <f t="shared" si="19"/>
        <v>2024</v>
      </c>
      <c r="L270" s="6"/>
      <c r="M270" s="6"/>
      <c r="N270" s="6"/>
    </row>
    <row r="271" spans="1:14" x14ac:dyDescent="0.3">
      <c r="A271" s="92">
        <v>45393</v>
      </c>
      <c r="B271" s="92" t="str">
        <f t="shared" si="16"/>
        <v>Thursday</v>
      </c>
      <c r="C271" s="93" t="s">
        <v>1381</v>
      </c>
      <c r="D271" s="93" t="s">
        <v>122</v>
      </c>
      <c r="E271" s="94">
        <v>28.9</v>
      </c>
      <c r="F271" s="93" t="s">
        <v>9</v>
      </c>
      <c r="G271" s="87">
        <f>Table1[[#This Row],[date]]</f>
        <v>45393</v>
      </c>
      <c r="H271" s="94">
        <f>SUMIF($A$2:A3906,G271,$E$2:E3906)</f>
        <v>169</v>
      </c>
      <c r="I271" s="93" t="str">
        <f t="shared" si="17"/>
        <v>Thursday</v>
      </c>
      <c r="J271" s="93" t="str">
        <f t="shared" si="18"/>
        <v>April</v>
      </c>
      <c r="K271" s="93" t="str">
        <f t="shared" si="19"/>
        <v>2024</v>
      </c>
      <c r="L271" s="6"/>
      <c r="M271" s="6"/>
      <c r="N271" s="6"/>
    </row>
    <row r="272" spans="1:14" x14ac:dyDescent="0.3">
      <c r="A272" s="87">
        <v>45393</v>
      </c>
      <c r="B272" s="87" t="str">
        <f t="shared" si="16"/>
        <v>Thursday</v>
      </c>
      <c r="C272" s="88" t="s">
        <v>1381</v>
      </c>
      <c r="D272" s="88" t="s">
        <v>27</v>
      </c>
      <c r="E272" s="89">
        <v>38.700000000000003</v>
      </c>
      <c r="F272" s="88" t="s">
        <v>5</v>
      </c>
      <c r="G272" s="87">
        <f>Table1[[#This Row],[date]]</f>
        <v>45393</v>
      </c>
      <c r="H272" s="89">
        <f>SUMIF($A$2:A3907,G272,$E$2:E3907)</f>
        <v>169</v>
      </c>
      <c r="I272" s="88" t="str">
        <f t="shared" si="17"/>
        <v>Thursday</v>
      </c>
      <c r="J272" s="88" t="str">
        <f t="shared" si="18"/>
        <v>April</v>
      </c>
      <c r="K272" s="88" t="str">
        <f t="shared" si="19"/>
        <v>2024</v>
      </c>
      <c r="L272" s="6"/>
      <c r="M272" s="6"/>
      <c r="N272" s="6"/>
    </row>
    <row r="273" spans="1:14" x14ac:dyDescent="0.3">
      <c r="A273" s="92">
        <v>45393</v>
      </c>
      <c r="B273" s="92" t="str">
        <f t="shared" si="16"/>
        <v>Thursday</v>
      </c>
      <c r="C273" s="93" t="s">
        <v>1381</v>
      </c>
      <c r="D273" s="93" t="s">
        <v>118</v>
      </c>
      <c r="E273" s="94">
        <v>38.700000000000003</v>
      </c>
      <c r="F273" s="93" t="s">
        <v>41</v>
      </c>
      <c r="G273" s="87">
        <f>Table1[[#This Row],[date]]</f>
        <v>45393</v>
      </c>
      <c r="H273" s="94">
        <f>SUMIF($A$2:A3908,G273,$E$2:E3908)</f>
        <v>169</v>
      </c>
      <c r="I273" s="93" t="str">
        <f t="shared" si="17"/>
        <v>Thursday</v>
      </c>
      <c r="J273" s="93" t="str">
        <f t="shared" si="18"/>
        <v>April</v>
      </c>
      <c r="K273" s="93" t="str">
        <f t="shared" si="19"/>
        <v>2024</v>
      </c>
      <c r="L273" s="6"/>
      <c r="M273" s="6"/>
      <c r="N273" s="6"/>
    </row>
    <row r="274" spans="1:14" x14ac:dyDescent="0.3">
      <c r="A274" s="87">
        <v>45393</v>
      </c>
      <c r="B274" s="87" t="str">
        <f t="shared" si="16"/>
        <v>Thursday</v>
      </c>
      <c r="C274" s="88" t="s">
        <v>1381</v>
      </c>
      <c r="D274" s="88" t="s">
        <v>35</v>
      </c>
      <c r="E274" s="89">
        <v>33.799999999999997</v>
      </c>
      <c r="F274" s="88" t="s">
        <v>12</v>
      </c>
      <c r="G274" s="87">
        <f>Table1[[#This Row],[date]]</f>
        <v>45393</v>
      </c>
      <c r="H274" s="89">
        <f>SUMIF($A$2:A3909,G274,$E$2:E3909)</f>
        <v>169</v>
      </c>
      <c r="I274" s="88" t="str">
        <f t="shared" si="17"/>
        <v>Thursday</v>
      </c>
      <c r="J274" s="88" t="str">
        <f t="shared" si="18"/>
        <v>April</v>
      </c>
      <c r="K274" s="88" t="str">
        <f t="shared" si="19"/>
        <v>2024</v>
      </c>
      <c r="L274" s="6"/>
      <c r="M274" s="6"/>
      <c r="N274" s="6"/>
    </row>
    <row r="275" spans="1:14" x14ac:dyDescent="0.3">
      <c r="A275" s="92">
        <v>45394</v>
      </c>
      <c r="B275" s="92" t="str">
        <f t="shared" si="16"/>
        <v>Friday</v>
      </c>
      <c r="C275" s="93" t="s">
        <v>1381</v>
      </c>
      <c r="D275" s="93" t="s">
        <v>29</v>
      </c>
      <c r="E275" s="94">
        <v>38.700000000000003</v>
      </c>
      <c r="F275" s="93" t="s">
        <v>7</v>
      </c>
      <c r="G275" s="87">
        <f>Table1[[#This Row],[date]]</f>
        <v>45394</v>
      </c>
      <c r="H275" s="94">
        <f>SUMIF($A$2:A3910,G275,$E$2:E3910)</f>
        <v>67.599999999999994</v>
      </c>
      <c r="I275" s="93" t="str">
        <f t="shared" si="17"/>
        <v>Friday</v>
      </c>
      <c r="J275" s="93" t="str">
        <f t="shared" si="18"/>
        <v>April</v>
      </c>
      <c r="K275" s="93" t="str">
        <f t="shared" si="19"/>
        <v>2024</v>
      </c>
      <c r="L275" s="6"/>
      <c r="M275" s="6"/>
      <c r="N275" s="6"/>
    </row>
    <row r="276" spans="1:14" x14ac:dyDescent="0.3">
      <c r="A276" s="87">
        <v>45394</v>
      </c>
      <c r="B276" s="87" t="str">
        <f t="shared" si="16"/>
        <v>Friday</v>
      </c>
      <c r="C276" s="88" t="s">
        <v>1381</v>
      </c>
      <c r="D276" s="88" t="s">
        <v>17</v>
      </c>
      <c r="E276" s="89">
        <v>28.9</v>
      </c>
      <c r="F276" s="88" t="s">
        <v>26</v>
      </c>
      <c r="G276" s="87">
        <f>Table1[[#This Row],[date]]</f>
        <v>45394</v>
      </c>
      <c r="H276" s="89">
        <f>SUMIF($A$2:A3911,G276,$E$2:E3911)</f>
        <v>67.599999999999994</v>
      </c>
      <c r="I276" s="88" t="str">
        <f t="shared" si="17"/>
        <v>Friday</v>
      </c>
      <c r="J276" s="88" t="str">
        <f t="shared" si="18"/>
        <v>April</v>
      </c>
      <c r="K276" s="88" t="str">
        <f t="shared" si="19"/>
        <v>2024</v>
      </c>
      <c r="L276" s="6"/>
      <c r="M276" s="6"/>
      <c r="N276" s="6"/>
    </row>
    <row r="277" spans="1:14" x14ac:dyDescent="0.3">
      <c r="A277" s="92">
        <v>45395</v>
      </c>
      <c r="B277" s="92" t="str">
        <f t="shared" si="16"/>
        <v>Saturday</v>
      </c>
      <c r="C277" s="93" t="s">
        <v>1381</v>
      </c>
      <c r="D277" s="93" t="s">
        <v>17</v>
      </c>
      <c r="E277" s="94">
        <v>38.700000000000003</v>
      </c>
      <c r="F277" s="93" t="s">
        <v>5</v>
      </c>
      <c r="G277" s="87">
        <f>Table1[[#This Row],[date]]</f>
        <v>45395</v>
      </c>
      <c r="H277" s="94">
        <f>SUMIF($A$2:A3912,G277,$E$2:E3912)</f>
        <v>302.39999999999998</v>
      </c>
      <c r="I277" s="93" t="str">
        <f t="shared" si="17"/>
        <v>Saturday</v>
      </c>
      <c r="J277" s="93" t="str">
        <f t="shared" si="18"/>
        <v>April</v>
      </c>
      <c r="K277" s="93" t="str">
        <f t="shared" si="19"/>
        <v>2024</v>
      </c>
      <c r="L277" s="6"/>
      <c r="M277" s="6"/>
      <c r="N277" s="6"/>
    </row>
    <row r="278" spans="1:14" x14ac:dyDescent="0.3">
      <c r="A278" s="87">
        <v>45395</v>
      </c>
      <c r="B278" s="87" t="str">
        <f t="shared" si="16"/>
        <v>Saturday</v>
      </c>
      <c r="C278" s="88" t="s">
        <v>1381</v>
      </c>
      <c r="D278" s="88" t="s">
        <v>21</v>
      </c>
      <c r="E278" s="89">
        <v>28.9</v>
      </c>
      <c r="F278" s="88" t="s">
        <v>9</v>
      </c>
      <c r="G278" s="87">
        <f>Table1[[#This Row],[date]]</f>
        <v>45395</v>
      </c>
      <c r="H278" s="89">
        <f>SUMIF($A$2:A3913,G278,$E$2:E3913)</f>
        <v>302.39999999999998</v>
      </c>
      <c r="I278" s="88" t="str">
        <f t="shared" si="17"/>
        <v>Saturday</v>
      </c>
      <c r="J278" s="88" t="str">
        <f t="shared" si="18"/>
        <v>April</v>
      </c>
      <c r="K278" s="88" t="str">
        <f t="shared" si="19"/>
        <v>2024</v>
      </c>
      <c r="L278" s="6"/>
      <c r="M278" s="6"/>
      <c r="N278" s="6"/>
    </row>
    <row r="279" spans="1:14" x14ac:dyDescent="0.3">
      <c r="A279" s="92">
        <v>45395</v>
      </c>
      <c r="B279" s="92" t="str">
        <f t="shared" si="16"/>
        <v>Saturday</v>
      </c>
      <c r="C279" s="93" t="s">
        <v>1383</v>
      </c>
      <c r="D279" s="93"/>
      <c r="E279" s="94">
        <v>40</v>
      </c>
      <c r="F279" s="93" t="s">
        <v>7</v>
      </c>
      <c r="G279" s="87">
        <f>Table1[[#This Row],[date]]</f>
        <v>45395</v>
      </c>
      <c r="H279" s="94">
        <f>SUMIF($A$2:A3914,G279,$E$2:E3914)</f>
        <v>302.39999999999998</v>
      </c>
      <c r="I279" s="93" t="str">
        <f t="shared" si="17"/>
        <v>Saturday</v>
      </c>
      <c r="J279" s="93" t="str">
        <f t="shared" si="18"/>
        <v>April</v>
      </c>
      <c r="K279" s="93" t="str">
        <f t="shared" si="19"/>
        <v>2024</v>
      </c>
      <c r="L279" s="6"/>
      <c r="M279" s="6"/>
      <c r="N279" s="6"/>
    </row>
    <row r="280" spans="1:14" x14ac:dyDescent="0.3">
      <c r="A280" s="87">
        <v>45395</v>
      </c>
      <c r="B280" s="87" t="str">
        <f t="shared" si="16"/>
        <v>Saturday</v>
      </c>
      <c r="C280" s="88" t="s">
        <v>1383</v>
      </c>
      <c r="D280" s="88"/>
      <c r="E280" s="89">
        <v>40</v>
      </c>
      <c r="F280" s="88" t="s">
        <v>7</v>
      </c>
      <c r="G280" s="87">
        <f>Table1[[#This Row],[date]]</f>
        <v>45395</v>
      </c>
      <c r="H280" s="89">
        <f>SUMIF($A$2:A3915,G280,$E$2:E3915)</f>
        <v>302.39999999999998</v>
      </c>
      <c r="I280" s="88" t="str">
        <f t="shared" si="17"/>
        <v>Saturday</v>
      </c>
      <c r="J280" s="88" t="str">
        <f t="shared" si="18"/>
        <v>April</v>
      </c>
      <c r="K280" s="88" t="str">
        <f t="shared" si="19"/>
        <v>2024</v>
      </c>
      <c r="L280" s="6"/>
      <c r="M280" s="6"/>
      <c r="N280" s="6"/>
    </row>
    <row r="281" spans="1:14" x14ac:dyDescent="0.3">
      <c r="A281" s="92">
        <v>45395</v>
      </c>
      <c r="B281" s="92" t="str">
        <f t="shared" si="16"/>
        <v>Saturday</v>
      </c>
      <c r="C281" s="93" t="s">
        <v>1381</v>
      </c>
      <c r="D281" s="93" t="s">
        <v>123</v>
      </c>
      <c r="E281" s="94">
        <v>38.700000000000003</v>
      </c>
      <c r="F281" s="93" t="s">
        <v>41</v>
      </c>
      <c r="G281" s="87">
        <f>Table1[[#This Row],[date]]</f>
        <v>45395</v>
      </c>
      <c r="H281" s="94">
        <f>SUMIF($A$2:A3916,G281,$E$2:E3916)</f>
        <v>302.39999999999998</v>
      </c>
      <c r="I281" s="93" t="str">
        <f t="shared" si="17"/>
        <v>Saturday</v>
      </c>
      <c r="J281" s="93" t="str">
        <f t="shared" si="18"/>
        <v>April</v>
      </c>
      <c r="K281" s="93" t="str">
        <f t="shared" si="19"/>
        <v>2024</v>
      </c>
      <c r="L281" s="6"/>
      <c r="M281" s="6"/>
      <c r="N281" s="6"/>
    </row>
    <row r="282" spans="1:14" x14ac:dyDescent="0.3">
      <c r="A282" s="87">
        <v>45395</v>
      </c>
      <c r="B282" s="87" t="str">
        <f t="shared" si="16"/>
        <v>Saturday</v>
      </c>
      <c r="C282" s="88" t="s">
        <v>1381</v>
      </c>
      <c r="D282" s="88" t="s">
        <v>123</v>
      </c>
      <c r="E282" s="89">
        <v>38.700000000000003</v>
      </c>
      <c r="F282" s="88" t="s">
        <v>5</v>
      </c>
      <c r="G282" s="87">
        <f>Table1[[#This Row],[date]]</f>
        <v>45395</v>
      </c>
      <c r="H282" s="89">
        <f>SUMIF($A$2:A3917,G282,$E$2:E3917)</f>
        <v>302.39999999999998</v>
      </c>
      <c r="I282" s="88" t="str">
        <f t="shared" si="17"/>
        <v>Saturday</v>
      </c>
      <c r="J282" s="88" t="str">
        <f t="shared" si="18"/>
        <v>April</v>
      </c>
      <c r="K282" s="88" t="str">
        <f t="shared" si="19"/>
        <v>2024</v>
      </c>
      <c r="L282" s="6"/>
      <c r="M282" s="6"/>
      <c r="N282" s="6"/>
    </row>
    <row r="283" spans="1:14" x14ac:dyDescent="0.3">
      <c r="A283" s="92">
        <v>45395</v>
      </c>
      <c r="B283" s="92" t="str">
        <f t="shared" si="16"/>
        <v>Saturday</v>
      </c>
      <c r="C283" s="93" t="s">
        <v>1381</v>
      </c>
      <c r="D283" s="93" t="s">
        <v>124</v>
      </c>
      <c r="E283" s="94">
        <v>38.700000000000003</v>
      </c>
      <c r="F283" s="93" t="s">
        <v>41</v>
      </c>
      <c r="G283" s="87">
        <f>Table1[[#This Row],[date]]</f>
        <v>45395</v>
      </c>
      <c r="H283" s="94">
        <f>SUMIF($A$2:A3918,G283,$E$2:E3918)</f>
        <v>302.39999999999998</v>
      </c>
      <c r="I283" s="93" t="str">
        <f t="shared" si="17"/>
        <v>Saturday</v>
      </c>
      <c r="J283" s="93" t="str">
        <f t="shared" si="18"/>
        <v>April</v>
      </c>
      <c r="K283" s="93" t="str">
        <f t="shared" si="19"/>
        <v>2024</v>
      </c>
      <c r="L283" s="6"/>
      <c r="M283" s="6"/>
      <c r="N283" s="6"/>
    </row>
    <row r="284" spans="1:14" x14ac:dyDescent="0.3">
      <c r="A284" s="87">
        <v>45395</v>
      </c>
      <c r="B284" s="87" t="str">
        <f t="shared" si="16"/>
        <v>Saturday</v>
      </c>
      <c r="C284" s="88" t="s">
        <v>1381</v>
      </c>
      <c r="D284" s="88" t="s">
        <v>21</v>
      </c>
      <c r="E284" s="89">
        <v>38.700000000000003</v>
      </c>
      <c r="F284" s="88" t="s">
        <v>41</v>
      </c>
      <c r="G284" s="87">
        <f>Table1[[#This Row],[date]]</f>
        <v>45395</v>
      </c>
      <c r="H284" s="89">
        <f>SUMIF($A$2:A3919,G284,$E$2:E3919)</f>
        <v>302.39999999999998</v>
      </c>
      <c r="I284" s="88" t="str">
        <f t="shared" si="17"/>
        <v>Saturday</v>
      </c>
      <c r="J284" s="88" t="str">
        <f t="shared" si="18"/>
        <v>April</v>
      </c>
      <c r="K284" s="88" t="str">
        <f t="shared" si="19"/>
        <v>2024</v>
      </c>
      <c r="L284" s="6"/>
      <c r="M284" s="6"/>
      <c r="N284" s="6"/>
    </row>
    <row r="285" spans="1:14" x14ac:dyDescent="0.3">
      <c r="A285" s="92">
        <v>45396</v>
      </c>
      <c r="B285" s="92" t="str">
        <f t="shared" si="16"/>
        <v>Sunday</v>
      </c>
      <c r="C285" s="93" t="s">
        <v>1383</v>
      </c>
      <c r="D285" s="93"/>
      <c r="E285" s="94">
        <v>40</v>
      </c>
      <c r="F285" s="93" t="s">
        <v>5</v>
      </c>
      <c r="G285" s="87">
        <f>Table1[[#This Row],[date]]</f>
        <v>45396</v>
      </c>
      <c r="H285" s="94">
        <f>SUMIF($A$2:A3920,G285,$E$2:E3920)</f>
        <v>434.2999999999999</v>
      </c>
      <c r="I285" s="93" t="str">
        <f t="shared" si="17"/>
        <v>Sunday</v>
      </c>
      <c r="J285" s="93" t="str">
        <f t="shared" si="18"/>
        <v>April</v>
      </c>
      <c r="K285" s="93" t="str">
        <f t="shared" si="19"/>
        <v>2024</v>
      </c>
      <c r="L285" s="6"/>
      <c r="M285" s="6"/>
      <c r="N285" s="6"/>
    </row>
    <row r="286" spans="1:14" x14ac:dyDescent="0.3">
      <c r="A286" s="87">
        <v>45396</v>
      </c>
      <c r="B286" s="87" t="str">
        <f t="shared" si="16"/>
        <v>Sunday</v>
      </c>
      <c r="C286" s="88" t="s">
        <v>1381</v>
      </c>
      <c r="D286" s="88" t="s">
        <v>125</v>
      </c>
      <c r="E286" s="89">
        <v>38.700000000000003</v>
      </c>
      <c r="F286" s="88" t="s">
        <v>41</v>
      </c>
      <c r="G286" s="87">
        <f>Table1[[#This Row],[date]]</f>
        <v>45396</v>
      </c>
      <c r="H286" s="89">
        <f>SUMIF($A$2:A3921,G286,$E$2:E3921)</f>
        <v>434.2999999999999</v>
      </c>
      <c r="I286" s="88" t="str">
        <f t="shared" si="17"/>
        <v>Sunday</v>
      </c>
      <c r="J286" s="88" t="str">
        <f t="shared" si="18"/>
        <v>April</v>
      </c>
      <c r="K286" s="88" t="str">
        <f t="shared" si="19"/>
        <v>2024</v>
      </c>
      <c r="L286" s="6"/>
      <c r="M286" s="6"/>
      <c r="N286" s="6"/>
    </row>
    <row r="287" spans="1:14" x14ac:dyDescent="0.3">
      <c r="A287" s="92">
        <v>45396</v>
      </c>
      <c r="B287" s="92" t="str">
        <f t="shared" si="16"/>
        <v>Sunday</v>
      </c>
      <c r="C287" s="93" t="s">
        <v>1383</v>
      </c>
      <c r="D287" s="93"/>
      <c r="E287" s="94">
        <v>30</v>
      </c>
      <c r="F287" s="93" t="s">
        <v>26</v>
      </c>
      <c r="G287" s="87">
        <f>Table1[[#This Row],[date]]</f>
        <v>45396</v>
      </c>
      <c r="H287" s="94">
        <f>SUMIF($A$2:A3922,G287,$E$2:E3922)</f>
        <v>434.2999999999999</v>
      </c>
      <c r="I287" s="93" t="str">
        <f t="shared" si="17"/>
        <v>Sunday</v>
      </c>
      <c r="J287" s="93" t="str">
        <f t="shared" si="18"/>
        <v>April</v>
      </c>
      <c r="K287" s="93" t="str">
        <f t="shared" si="19"/>
        <v>2024</v>
      </c>
      <c r="L287" s="6"/>
      <c r="M287" s="6"/>
      <c r="N287" s="6"/>
    </row>
    <row r="288" spans="1:14" x14ac:dyDescent="0.3">
      <c r="A288" s="87">
        <v>45396</v>
      </c>
      <c r="B288" s="87" t="str">
        <f t="shared" si="16"/>
        <v>Sunday</v>
      </c>
      <c r="C288" s="88" t="s">
        <v>1383</v>
      </c>
      <c r="D288" s="88"/>
      <c r="E288" s="89">
        <v>30</v>
      </c>
      <c r="F288" s="88" t="s">
        <v>26</v>
      </c>
      <c r="G288" s="87">
        <f>Table1[[#This Row],[date]]</f>
        <v>45396</v>
      </c>
      <c r="H288" s="89">
        <f>SUMIF($A$2:A3923,G288,$E$2:E3923)</f>
        <v>434.2999999999999</v>
      </c>
      <c r="I288" s="88" t="str">
        <f t="shared" si="17"/>
        <v>Sunday</v>
      </c>
      <c r="J288" s="88" t="str">
        <f t="shared" si="18"/>
        <v>April</v>
      </c>
      <c r="K288" s="88" t="str">
        <f t="shared" si="19"/>
        <v>2024</v>
      </c>
      <c r="L288" s="6"/>
      <c r="M288" s="6"/>
      <c r="N288" s="6"/>
    </row>
    <row r="289" spans="1:14" x14ac:dyDescent="0.3">
      <c r="A289" s="92">
        <v>45396</v>
      </c>
      <c r="B289" s="92" t="str">
        <f t="shared" si="16"/>
        <v>Sunday</v>
      </c>
      <c r="C289" s="93" t="s">
        <v>1383</v>
      </c>
      <c r="D289" s="93"/>
      <c r="E289" s="94">
        <v>35</v>
      </c>
      <c r="F289" s="93" t="s">
        <v>12</v>
      </c>
      <c r="G289" s="87">
        <f>Table1[[#This Row],[date]]</f>
        <v>45396</v>
      </c>
      <c r="H289" s="94">
        <f>SUMIF($A$2:A3924,G289,$E$2:E3924)</f>
        <v>434.2999999999999</v>
      </c>
      <c r="I289" s="93" t="str">
        <f t="shared" si="17"/>
        <v>Sunday</v>
      </c>
      <c r="J289" s="93" t="str">
        <f t="shared" si="18"/>
        <v>April</v>
      </c>
      <c r="K289" s="93" t="str">
        <f t="shared" si="19"/>
        <v>2024</v>
      </c>
      <c r="L289" s="6"/>
      <c r="M289" s="6"/>
      <c r="N289" s="6"/>
    </row>
    <row r="290" spans="1:14" x14ac:dyDescent="0.3">
      <c r="A290" s="87">
        <v>45396</v>
      </c>
      <c r="B290" s="87" t="str">
        <f t="shared" si="16"/>
        <v>Sunday</v>
      </c>
      <c r="C290" s="88" t="s">
        <v>1381</v>
      </c>
      <c r="D290" s="88" t="s">
        <v>126</v>
      </c>
      <c r="E290" s="89">
        <v>28.9</v>
      </c>
      <c r="F290" s="88" t="s">
        <v>26</v>
      </c>
      <c r="G290" s="87">
        <f>Table1[[#This Row],[date]]</f>
        <v>45396</v>
      </c>
      <c r="H290" s="89">
        <f>SUMIF($A$2:A3925,G290,$E$2:E3925)</f>
        <v>434.2999999999999</v>
      </c>
      <c r="I290" s="88" t="str">
        <f t="shared" si="17"/>
        <v>Sunday</v>
      </c>
      <c r="J290" s="88" t="str">
        <f t="shared" si="18"/>
        <v>April</v>
      </c>
      <c r="K290" s="88" t="str">
        <f t="shared" si="19"/>
        <v>2024</v>
      </c>
      <c r="L290" s="6"/>
      <c r="M290" s="6"/>
      <c r="N290" s="6"/>
    </row>
    <row r="291" spans="1:14" x14ac:dyDescent="0.3">
      <c r="A291" s="92">
        <v>45396</v>
      </c>
      <c r="B291" s="92" t="str">
        <f t="shared" si="16"/>
        <v>Sunday</v>
      </c>
      <c r="C291" s="93" t="s">
        <v>1381</v>
      </c>
      <c r="D291" s="93" t="s">
        <v>21</v>
      </c>
      <c r="E291" s="94">
        <v>28.9</v>
      </c>
      <c r="F291" s="93" t="s">
        <v>9</v>
      </c>
      <c r="G291" s="87">
        <f>Table1[[#This Row],[date]]</f>
        <v>45396</v>
      </c>
      <c r="H291" s="94">
        <f>SUMIF($A$2:A3926,G291,$E$2:E3926)</f>
        <v>434.2999999999999</v>
      </c>
      <c r="I291" s="93" t="str">
        <f t="shared" si="17"/>
        <v>Sunday</v>
      </c>
      <c r="J291" s="93" t="str">
        <f t="shared" si="18"/>
        <v>April</v>
      </c>
      <c r="K291" s="93" t="str">
        <f t="shared" si="19"/>
        <v>2024</v>
      </c>
      <c r="L291" s="6"/>
      <c r="M291" s="6"/>
      <c r="N291" s="6"/>
    </row>
    <row r="292" spans="1:14" x14ac:dyDescent="0.3">
      <c r="A292" s="87">
        <v>45396</v>
      </c>
      <c r="B292" s="87" t="str">
        <f t="shared" si="16"/>
        <v>Sunday</v>
      </c>
      <c r="C292" s="88" t="s">
        <v>1381</v>
      </c>
      <c r="D292" s="88" t="s">
        <v>21</v>
      </c>
      <c r="E292" s="89">
        <v>28.9</v>
      </c>
      <c r="F292" s="88" t="s">
        <v>9</v>
      </c>
      <c r="G292" s="87">
        <f>Table1[[#This Row],[date]]</f>
        <v>45396</v>
      </c>
      <c r="H292" s="89">
        <f>SUMIF($A$2:A3927,G292,$E$2:E3927)</f>
        <v>434.2999999999999</v>
      </c>
      <c r="I292" s="88" t="str">
        <f t="shared" si="17"/>
        <v>Sunday</v>
      </c>
      <c r="J292" s="88" t="str">
        <f t="shared" si="18"/>
        <v>April</v>
      </c>
      <c r="K292" s="88" t="str">
        <f t="shared" si="19"/>
        <v>2024</v>
      </c>
      <c r="L292" s="6"/>
      <c r="M292" s="6"/>
      <c r="N292" s="6"/>
    </row>
    <row r="293" spans="1:14" x14ac:dyDescent="0.3">
      <c r="A293" s="92">
        <v>45396</v>
      </c>
      <c r="B293" s="92" t="str">
        <f t="shared" si="16"/>
        <v>Sunday</v>
      </c>
      <c r="C293" s="93" t="s">
        <v>1381</v>
      </c>
      <c r="D293" s="93" t="s">
        <v>21</v>
      </c>
      <c r="E293" s="94">
        <v>28.9</v>
      </c>
      <c r="F293" s="93" t="s">
        <v>9</v>
      </c>
      <c r="G293" s="87">
        <f>Table1[[#This Row],[date]]</f>
        <v>45396</v>
      </c>
      <c r="H293" s="94">
        <f>SUMIF($A$2:A3928,G293,$E$2:E3928)</f>
        <v>434.2999999999999</v>
      </c>
      <c r="I293" s="93" t="str">
        <f t="shared" si="17"/>
        <v>Sunday</v>
      </c>
      <c r="J293" s="93" t="str">
        <f t="shared" si="18"/>
        <v>April</v>
      </c>
      <c r="K293" s="93" t="str">
        <f t="shared" si="19"/>
        <v>2024</v>
      </c>
      <c r="L293" s="6"/>
      <c r="M293" s="6"/>
      <c r="N293" s="6"/>
    </row>
    <row r="294" spans="1:14" x14ac:dyDescent="0.3">
      <c r="A294" s="87">
        <v>45396</v>
      </c>
      <c r="B294" s="87" t="str">
        <f t="shared" si="16"/>
        <v>Sunday</v>
      </c>
      <c r="C294" s="88" t="s">
        <v>1381</v>
      </c>
      <c r="D294" s="88" t="s">
        <v>27</v>
      </c>
      <c r="E294" s="89">
        <v>38.700000000000003</v>
      </c>
      <c r="F294" s="88" t="s">
        <v>41</v>
      </c>
      <c r="G294" s="87">
        <f>Table1[[#This Row],[date]]</f>
        <v>45396</v>
      </c>
      <c r="H294" s="89">
        <f>SUMIF($A$2:A3929,G294,$E$2:E3929)</f>
        <v>434.2999999999999</v>
      </c>
      <c r="I294" s="88" t="str">
        <f t="shared" si="17"/>
        <v>Sunday</v>
      </c>
      <c r="J294" s="88" t="str">
        <f t="shared" si="18"/>
        <v>April</v>
      </c>
      <c r="K294" s="88" t="str">
        <f t="shared" si="19"/>
        <v>2024</v>
      </c>
      <c r="L294" s="6"/>
      <c r="M294" s="6"/>
      <c r="N294" s="6"/>
    </row>
    <row r="295" spans="1:14" x14ac:dyDescent="0.3">
      <c r="A295" s="92">
        <v>45396</v>
      </c>
      <c r="B295" s="92" t="str">
        <f t="shared" si="16"/>
        <v>Sunday</v>
      </c>
      <c r="C295" s="93" t="s">
        <v>1381</v>
      </c>
      <c r="D295" s="93" t="s">
        <v>21</v>
      </c>
      <c r="E295" s="94">
        <v>28.9</v>
      </c>
      <c r="F295" s="93" t="s">
        <v>26</v>
      </c>
      <c r="G295" s="87">
        <f>Table1[[#This Row],[date]]</f>
        <v>45396</v>
      </c>
      <c r="H295" s="94">
        <f>SUMIF($A$2:A3930,G295,$E$2:E3930)</f>
        <v>434.2999999999999</v>
      </c>
      <c r="I295" s="93" t="str">
        <f t="shared" si="17"/>
        <v>Sunday</v>
      </c>
      <c r="J295" s="93" t="str">
        <f t="shared" si="18"/>
        <v>April</v>
      </c>
      <c r="K295" s="93" t="str">
        <f t="shared" si="19"/>
        <v>2024</v>
      </c>
      <c r="L295" s="6"/>
      <c r="M295" s="6"/>
      <c r="N295" s="6"/>
    </row>
    <row r="296" spans="1:14" x14ac:dyDescent="0.3">
      <c r="A296" s="87">
        <v>45396</v>
      </c>
      <c r="B296" s="87" t="str">
        <f t="shared" si="16"/>
        <v>Sunday</v>
      </c>
      <c r="C296" s="88" t="s">
        <v>1381</v>
      </c>
      <c r="D296" s="88" t="s">
        <v>29</v>
      </c>
      <c r="E296" s="89">
        <v>38.700000000000003</v>
      </c>
      <c r="F296" s="88" t="s">
        <v>5</v>
      </c>
      <c r="G296" s="87">
        <f>Table1[[#This Row],[date]]</f>
        <v>45396</v>
      </c>
      <c r="H296" s="89">
        <f>SUMIF($A$2:A3931,G296,$E$2:E3931)</f>
        <v>434.2999999999999</v>
      </c>
      <c r="I296" s="88" t="str">
        <f t="shared" si="17"/>
        <v>Sunday</v>
      </c>
      <c r="J296" s="88" t="str">
        <f t="shared" si="18"/>
        <v>April</v>
      </c>
      <c r="K296" s="88" t="str">
        <f t="shared" si="19"/>
        <v>2024</v>
      </c>
      <c r="L296" s="6"/>
      <c r="M296" s="6"/>
      <c r="N296" s="6"/>
    </row>
    <row r="297" spans="1:14" x14ac:dyDescent="0.3">
      <c r="A297" s="92">
        <v>45396</v>
      </c>
      <c r="B297" s="92" t="str">
        <f t="shared" si="16"/>
        <v>Sunday</v>
      </c>
      <c r="C297" s="93" t="s">
        <v>1381</v>
      </c>
      <c r="D297" s="93" t="s">
        <v>127</v>
      </c>
      <c r="E297" s="94">
        <v>38.700000000000003</v>
      </c>
      <c r="F297" s="93" t="s">
        <v>41</v>
      </c>
      <c r="G297" s="87">
        <f>Table1[[#This Row],[date]]</f>
        <v>45396</v>
      </c>
      <c r="H297" s="94">
        <f>SUMIF($A$2:A3932,G297,$E$2:E3932)</f>
        <v>434.2999999999999</v>
      </c>
      <c r="I297" s="93" t="str">
        <f t="shared" si="17"/>
        <v>Sunday</v>
      </c>
      <c r="J297" s="93" t="str">
        <f t="shared" si="18"/>
        <v>April</v>
      </c>
      <c r="K297" s="93" t="str">
        <f t="shared" si="19"/>
        <v>2024</v>
      </c>
      <c r="L297" s="6"/>
      <c r="M297" s="6"/>
      <c r="N297" s="6"/>
    </row>
    <row r="298" spans="1:14" x14ac:dyDescent="0.3">
      <c r="A298" s="87">
        <v>45397</v>
      </c>
      <c r="B298" s="87" t="str">
        <f t="shared" si="16"/>
        <v>Monday</v>
      </c>
      <c r="C298" s="88" t="s">
        <v>1381</v>
      </c>
      <c r="D298" s="88" t="s">
        <v>76</v>
      </c>
      <c r="E298" s="89">
        <v>28.9</v>
      </c>
      <c r="F298" s="88" t="s">
        <v>9</v>
      </c>
      <c r="G298" s="87">
        <f>Table1[[#This Row],[date]]</f>
        <v>45397</v>
      </c>
      <c r="H298" s="89">
        <f>SUMIF($A$2:A3933,G298,$E$2:E3933)</f>
        <v>150.39999999999998</v>
      </c>
      <c r="I298" s="88" t="str">
        <f t="shared" si="17"/>
        <v>Monday</v>
      </c>
      <c r="J298" s="88" t="str">
        <f t="shared" si="18"/>
        <v>April</v>
      </c>
      <c r="K298" s="88" t="str">
        <f t="shared" si="19"/>
        <v>2024</v>
      </c>
      <c r="L298" s="6"/>
      <c r="M298" s="6"/>
      <c r="N298" s="6"/>
    </row>
    <row r="299" spans="1:14" x14ac:dyDescent="0.3">
      <c r="A299" s="92">
        <v>45397</v>
      </c>
      <c r="B299" s="92" t="str">
        <f t="shared" si="16"/>
        <v>Monday</v>
      </c>
      <c r="C299" s="93" t="s">
        <v>1381</v>
      </c>
      <c r="D299" s="93" t="s">
        <v>8</v>
      </c>
      <c r="E299" s="94">
        <v>28.9</v>
      </c>
      <c r="F299" s="93" t="s">
        <v>9</v>
      </c>
      <c r="G299" s="87">
        <f>Table1[[#This Row],[date]]</f>
        <v>45397</v>
      </c>
      <c r="H299" s="94">
        <f>SUMIF($A$2:A3934,G299,$E$2:E3934)</f>
        <v>150.39999999999998</v>
      </c>
      <c r="I299" s="93" t="str">
        <f t="shared" si="17"/>
        <v>Monday</v>
      </c>
      <c r="J299" s="93" t="str">
        <f t="shared" si="18"/>
        <v>April</v>
      </c>
      <c r="K299" s="93" t="str">
        <f t="shared" si="19"/>
        <v>2024</v>
      </c>
      <c r="L299" s="6"/>
      <c r="M299" s="6"/>
      <c r="N299" s="6"/>
    </row>
    <row r="300" spans="1:14" x14ac:dyDescent="0.3">
      <c r="A300" s="87">
        <v>45397</v>
      </c>
      <c r="B300" s="87" t="str">
        <f t="shared" si="16"/>
        <v>Monday</v>
      </c>
      <c r="C300" s="88" t="s">
        <v>1381</v>
      </c>
      <c r="D300" s="88" t="s">
        <v>10</v>
      </c>
      <c r="E300" s="89">
        <v>33.799999999999997</v>
      </c>
      <c r="F300" s="88" t="s">
        <v>12</v>
      </c>
      <c r="G300" s="87">
        <f>Table1[[#This Row],[date]]</f>
        <v>45397</v>
      </c>
      <c r="H300" s="89">
        <f>SUMIF($A$2:A3935,G300,$E$2:E3935)</f>
        <v>150.39999999999998</v>
      </c>
      <c r="I300" s="88" t="str">
        <f t="shared" si="17"/>
        <v>Monday</v>
      </c>
      <c r="J300" s="88" t="str">
        <f t="shared" si="18"/>
        <v>April</v>
      </c>
      <c r="K300" s="88" t="str">
        <f t="shared" si="19"/>
        <v>2024</v>
      </c>
      <c r="L300" s="6"/>
      <c r="M300" s="6"/>
      <c r="N300" s="6"/>
    </row>
    <row r="301" spans="1:14" x14ac:dyDescent="0.3">
      <c r="A301" s="92">
        <v>45397</v>
      </c>
      <c r="B301" s="92" t="str">
        <f t="shared" si="16"/>
        <v>Monday</v>
      </c>
      <c r="C301" s="93" t="s">
        <v>1381</v>
      </c>
      <c r="D301" s="93" t="s">
        <v>17</v>
      </c>
      <c r="E301" s="94">
        <v>33.799999999999997</v>
      </c>
      <c r="F301" s="93" t="s">
        <v>12</v>
      </c>
      <c r="G301" s="87">
        <f>Table1[[#This Row],[date]]</f>
        <v>45397</v>
      </c>
      <c r="H301" s="94">
        <f>SUMIF($A$2:A3936,G301,$E$2:E3936)</f>
        <v>150.39999999999998</v>
      </c>
      <c r="I301" s="93" t="str">
        <f t="shared" si="17"/>
        <v>Monday</v>
      </c>
      <c r="J301" s="93" t="str">
        <f t="shared" si="18"/>
        <v>April</v>
      </c>
      <c r="K301" s="93" t="str">
        <f t="shared" si="19"/>
        <v>2024</v>
      </c>
      <c r="L301" s="6"/>
      <c r="M301" s="6"/>
      <c r="N301" s="6"/>
    </row>
    <row r="302" spans="1:14" x14ac:dyDescent="0.3">
      <c r="A302" s="87">
        <v>45397</v>
      </c>
      <c r="B302" s="87" t="str">
        <f t="shared" si="16"/>
        <v>Monday</v>
      </c>
      <c r="C302" s="88" t="s">
        <v>1383</v>
      </c>
      <c r="D302" s="88"/>
      <c r="E302" s="89">
        <v>25</v>
      </c>
      <c r="F302" s="88" t="s">
        <v>33</v>
      </c>
      <c r="G302" s="87">
        <f>Table1[[#This Row],[date]]</f>
        <v>45397</v>
      </c>
      <c r="H302" s="89">
        <f>SUMIF($A$2:A3937,G302,$E$2:E3937)</f>
        <v>150.39999999999998</v>
      </c>
      <c r="I302" s="88" t="str">
        <f t="shared" si="17"/>
        <v>Monday</v>
      </c>
      <c r="J302" s="88" t="str">
        <f t="shared" si="18"/>
        <v>April</v>
      </c>
      <c r="K302" s="88" t="str">
        <f t="shared" si="19"/>
        <v>2024</v>
      </c>
      <c r="L302" s="6"/>
      <c r="M302" s="6"/>
      <c r="N302" s="6"/>
    </row>
    <row r="303" spans="1:14" x14ac:dyDescent="0.3">
      <c r="A303" s="92">
        <v>45398</v>
      </c>
      <c r="B303" s="92" t="str">
        <f t="shared" si="16"/>
        <v>Tuesday</v>
      </c>
      <c r="C303" s="93" t="s">
        <v>1383</v>
      </c>
      <c r="D303" s="93"/>
      <c r="E303" s="94">
        <v>35</v>
      </c>
      <c r="F303" s="93" t="s">
        <v>12</v>
      </c>
      <c r="G303" s="87">
        <f>Table1[[#This Row],[date]]</f>
        <v>45398</v>
      </c>
      <c r="H303" s="94">
        <f>SUMIF($A$2:A3938,G303,$E$2:E3938)</f>
        <v>276.5</v>
      </c>
      <c r="I303" s="93" t="str">
        <f t="shared" si="17"/>
        <v>Tuesday</v>
      </c>
      <c r="J303" s="93" t="str">
        <f t="shared" si="18"/>
        <v>April</v>
      </c>
      <c r="K303" s="93" t="str">
        <f t="shared" si="19"/>
        <v>2024</v>
      </c>
      <c r="L303" s="6"/>
      <c r="M303" s="6"/>
      <c r="N303" s="6"/>
    </row>
    <row r="304" spans="1:14" x14ac:dyDescent="0.3">
      <c r="A304" s="87">
        <v>45398</v>
      </c>
      <c r="B304" s="87" t="str">
        <f t="shared" si="16"/>
        <v>Tuesday</v>
      </c>
      <c r="C304" s="88" t="s">
        <v>1381</v>
      </c>
      <c r="D304" s="88" t="s">
        <v>128</v>
      </c>
      <c r="E304" s="89">
        <v>33.799999999999997</v>
      </c>
      <c r="F304" s="88" t="s">
        <v>12</v>
      </c>
      <c r="G304" s="87">
        <f>Table1[[#This Row],[date]]</f>
        <v>45398</v>
      </c>
      <c r="H304" s="89">
        <f>SUMIF($A$2:A3939,G304,$E$2:E3939)</f>
        <v>276.5</v>
      </c>
      <c r="I304" s="88" t="str">
        <f t="shared" si="17"/>
        <v>Tuesday</v>
      </c>
      <c r="J304" s="88" t="str">
        <f t="shared" si="18"/>
        <v>April</v>
      </c>
      <c r="K304" s="88" t="str">
        <f t="shared" si="19"/>
        <v>2024</v>
      </c>
      <c r="L304" s="6"/>
      <c r="M304" s="6"/>
      <c r="N304" s="6"/>
    </row>
    <row r="305" spans="1:14" x14ac:dyDescent="0.3">
      <c r="A305" s="92">
        <v>45398</v>
      </c>
      <c r="B305" s="92" t="str">
        <f t="shared" si="16"/>
        <v>Tuesday</v>
      </c>
      <c r="C305" s="93" t="s">
        <v>1381</v>
      </c>
      <c r="D305" s="93" t="s">
        <v>129</v>
      </c>
      <c r="E305" s="94">
        <v>38.700000000000003</v>
      </c>
      <c r="F305" s="93" t="s">
        <v>16</v>
      </c>
      <c r="G305" s="87">
        <f>Table1[[#This Row],[date]]</f>
        <v>45398</v>
      </c>
      <c r="H305" s="94">
        <f>SUMIF($A$2:A3940,G305,$E$2:E3940)</f>
        <v>276.5</v>
      </c>
      <c r="I305" s="93" t="str">
        <f t="shared" si="17"/>
        <v>Tuesday</v>
      </c>
      <c r="J305" s="93" t="str">
        <f t="shared" si="18"/>
        <v>April</v>
      </c>
      <c r="K305" s="93" t="str">
        <f t="shared" si="19"/>
        <v>2024</v>
      </c>
      <c r="L305" s="6"/>
      <c r="M305" s="6"/>
      <c r="N305" s="6"/>
    </row>
    <row r="306" spans="1:14" x14ac:dyDescent="0.3">
      <c r="A306" s="87">
        <v>45398</v>
      </c>
      <c r="B306" s="87" t="str">
        <f t="shared" si="16"/>
        <v>Tuesday</v>
      </c>
      <c r="C306" s="88" t="s">
        <v>1381</v>
      </c>
      <c r="D306" s="88" t="s">
        <v>76</v>
      </c>
      <c r="E306" s="89">
        <v>28.9</v>
      </c>
      <c r="F306" s="88" t="s">
        <v>26</v>
      </c>
      <c r="G306" s="87">
        <f>Table1[[#This Row],[date]]</f>
        <v>45398</v>
      </c>
      <c r="H306" s="89">
        <f>SUMIF($A$2:A3941,G306,$E$2:E3941)</f>
        <v>276.5</v>
      </c>
      <c r="I306" s="88" t="str">
        <f t="shared" si="17"/>
        <v>Tuesday</v>
      </c>
      <c r="J306" s="88" t="str">
        <f t="shared" si="18"/>
        <v>April</v>
      </c>
      <c r="K306" s="88" t="str">
        <f t="shared" si="19"/>
        <v>2024</v>
      </c>
      <c r="L306" s="6"/>
      <c r="M306" s="6"/>
      <c r="N306" s="6"/>
    </row>
    <row r="307" spans="1:14" x14ac:dyDescent="0.3">
      <c r="A307" s="92">
        <v>45398</v>
      </c>
      <c r="B307" s="92" t="str">
        <f t="shared" si="16"/>
        <v>Tuesday</v>
      </c>
      <c r="C307" s="93" t="s">
        <v>1381</v>
      </c>
      <c r="D307" s="93" t="s">
        <v>130</v>
      </c>
      <c r="E307" s="94">
        <v>28.9</v>
      </c>
      <c r="F307" s="93" t="s">
        <v>9</v>
      </c>
      <c r="G307" s="87">
        <f>Table1[[#This Row],[date]]</f>
        <v>45398</v>
      </c>
      <c r="H307" s="94">
        <f>SUMIF($A$2:A3942,G307,$E$2:E3942)</f>
        <v>276.5</v>
      </c>
      <c r="I307" s="93" t="str">
        <f t="shared" si="17"/>
        <v>Tuesday</v>
      </c>
      <c r="J307" s="93" t="str">
        <f t="shared" si="18"/>
        <v>April</v>
      </c>
      <c r="K307" s="93" t="str">
        <f t="shared" si="19"/>
        <v>2024</v>
      </c>
      <c r="L307" s="6"/>
      <c r="M307" s="6"/>
      <c r="N307" s="6"/>
    </row>
    <row r="308" spans="1:14" x14ac:dyDescent="0.3">
      <c r="A308" s="87">
        <v>45398</v>
      </c>
      <c r="B308" s="87" t="str">
        <f t="shared" si="16"/>
        <v>Tuesday</v>
      </c>
      <c r="C308" s="88" t="s">
        <v>1381</v>
      </c>
      <c r="D308" s="88" t="s">
        <v>35</v>
      </c>
      <c r="E308" s="89">
        <v>33.799999999999997</v>
      </c>
      <c r="F308" s="88" t="s">
        <v>12</v>
      </c>
      <c r="G308" s="87">
        <f>Table1[[#This Row],[date]]</f>
        <v>45398</v>
      </c>
      <c r="H308" s="89">
        <f>SUMIF($A$2:A3943,G308,$E$2:E3943)</f>
        <v>276.5</v>
      </c>
      <c r="I308" s="88" t="str">
        <f t="shared" si="17"/>
        <v>Tuesday</v>
      </c>
      <c r="J308" s="88" t="str">
        <f t="shared" si="18"/>
        <v>April</v>
      </c>
      <c r="K308" s="88" t="str">
        <f t="shared" si="19"/>
        <v>2024</v>
      </c>
      <c r="L308" s="6"/>
      <c r="M308" s="6"/>
      <c r="N308" s="6"/>
    </row>
    <row r="309" spans="1:14" x14ac:dyDescent="0.3">
      <c r="A309" s="92">
        <v>45398</v>
      </c>
      <c r="B309" s="92" t="str">
        <f t="shared" si="16"/>
        <v>Tuesday</v>
      </c>
      <c r="C309" s="93" t="s">
        <v>1381</v>
      </c>
      <c r="D309" s="93" t="s">
        <v>17</v>
      </c>
      <c r="E309" s="94">
        <v>38.700000000000003</v>
      </c>
      <c r="F309" s="93" t="s">
        <v>41</v>
      </c>
      <c r="G309" s="87">
        <f>Table1[[#This Row],[date]]</f>
        <v>45398</v>
      </c>
      <c r="H309" s="94">
        <f>SUMIF($A$2:A3944,G309,$E$2:E3944)</f>
        <v>276.5</v>
      </c>
      <c r="I309" s="93" t="str">
        <f t="shared" si="17"/>
        <v>Tuesday</v>
      </c>
      <c r="J309" s="93" t="str">
        <f t="shared" si="18"/>
        <v>April</v>
      </c>
      <c r="K309" s="93" t="str">
        <f t="shared" si="19"/>
        <v>2024</v>
      </c>
      <c r="L309" s="6"/>
      <c r="M309" s="6"/>
      <c r="N309" s="6"/>
    </row>
    <row r="310" spans="1:14" x14ac:dyDescent="0.3">
      <c r="A310" s="87">
        <v>45398</v>
      </c>
      <c r="B310" s="87" t="str">
        <f t="shared" si="16"/>
        <v>Tuesday</v>
      </c>
      <c r="C310" s="88" t="s">
        <v>1381</v>
      </c>
      <c r="D310" s="88" t="s">
        <v>62</v>
      </c>
      <c r="E310" s="89">
        <v>38.700000000000003</v>
      </c>
      <c r="F310" s="88" t="s">
        <v>16</v>
      </c>
      <c r="G310" s="87">
        <f>Table1[[#This Row],[date]]</f>
        <v>45398</v>
      </c>
      <c r="H310" s="89">
        <f>SUMIF($A$2:A3945,G310,$E$2:E3945)</f>
        <v>276.5</v>
      </c>
      <c r="I310" s="88" t="str">
        <f t="shared" si="17"/>
        <v>Tuesday</v>
      </c>
      <c r="J310" s="88" t="str">
        <f t="shared" si="18"/>
        <v>April</v>
      </c>
      <c r="K310" s="88" t="str">
        <f t="shared" si="19"/>
        <v>2024</v>
      </c>
      <c r="L310" s="6"/>
      <c r="M310" s="6"/>
      <c r="N310" s="6"/>
    </row>
    <row r="311" spans="1:14" x14ac:dyDescent="0.3">
      <c r="A311" s="92">
        <v>45399</v>
      </c>
      <c r="B311" s="92" t="str">
        <f t="shared" si="16"/>
        <v>Wednesday</v>
      </c>
      <c r="C311" s="93" t="s">
        <v>1381</v>
      </c>
      <c r="D311" s="93" t="s">
        <v>21</v>
      </c>
      <c r="E311" s="94">
        <v>28.9</v>
      </c>
      <c r="F311" s="93" t="s">
        <v>9</v>
      </c>
      <c r="G311" s="87">
        <f>Table1[[#This Row],[date]]</f>
        <v>45399</v>
      </c>
      <c r="H311" s="94">
        <f>SUMIF($A$2:A3946,G311,$E$2:E3946)</f>
        <v>199.20000000000002</v>
      </c>
      <c r="I311" s="93" t="str">
        <f t="shared" si="17"/>
        <v>Wednesday</v>
      </c>
      <c r="J311" s="93" t="str">
        <f t="shared" si="18"/>
        <v>April</v>
      </c>
      <c r="K311" s="93" t="str">
        <f t="shared" si="19"/>
        <v>2024</v>
      </c>
      <c r="L311" s="6"/>
      <c r="M311" s="6"/>
      <c r="N311" s="6"/>
    </row>
    <row r="312" spans="1:14" x14ac:dyDescent="0.3">
      <c r="A312" s="87">
        <v>45399</v>
      </c>
      <c r="B312" s="87" t="str">
        <f t="shared" si="16"/>
        <v>Wednesday</v>
      </c>
      <c r="C312" s="88" t="s">
        <v>1381</v>
      </c>
      <c r="D312" s="88" t="s">
        <v>131</v>
      </c>
      <c r="E312" s="89">
        <v>24</v>
      </c>
      <c r="F312" s="88" t="s">
        <v>33</v>
      </c>
      <c r="G312" s="87">
        <f>Table1[[#This Row],[date]]</f>
        <v>45399</v>
      </c>
      <c r="H312" s="89">
        <f>SUMIF($A$2:A3947,G312,$E$2:E3947)</f>
        <v>199.20000000000002</v>
      </c>
      <c r="I312" s="88" t="str">
        <f t="shared" si="17"/>
        <v>Wednesday</v>
      </c>
      <c r="J312" s="88" t="str">
        <f t="shared" si="18"/>
        <v>April</v>
      </c>
      <c r="K312" s="88" t="str">
        <f t="shared" si="19"/>
        <v>2024</v>
      </c>
      <c r="L312" s="6"/>
      <c r="M312" s="6"/>
      <c r="N312" s="6"/>
    </row>
    <row r="313" spans="1:14" x14ac:dyDescent="0.3">
      <c r="A313" s="92">
        <v>45399</v>
      </c>
      <c r="B313" s="92" t="str">
        <f t="shared" si="16"/>
        <v>Wednesday</v>
      </c>
      <c r="C313" s="93" t="s">
        <v>1383</v>
      </c>
      <c r="D313" s="93"/>
      <c r="E313" s="94">
        <v>40</v>
      </c>
      <c r="F313" s="93" t="s">
        <v>41</v>
      </c>
      <c r="G313" s="87">
        <f>Table1[[#This Row],[date]]</f>
        <v>45399</v>
      </c>
      <c r="H313" s="94">
        <f>SUMIF($A$2:A3948,G313,$E$2:E3948)</f>
        <v>199.20000000000002</v>
      </c>
      <c r="I313" s="93" t="str">
        <f t="shared" si="17"/>
        <v>Wednesday</v>
      </c>
      <c r="J313" s="93" t="str">
        <f t="shared" si="18"/>
        <v>April</v>
      </c>
      <c r="K313" s="93" t="str">
        <f t="shared" si="19"/>
        <v>2024</v>
      </c>
      <c r="L313" s="6"/>
      <c r="M313" s="6"/>
      <c r="N313" s="6"/>
    </row>
    <row r="314" spans="1:14" x14ac:dyDescent="0.3">
      <c r="A314" s="87">
        <v>45399</v>
      </c>
      <c r="B314" s="87" t="str">
        <f t="shared" si="16"/>
        <v>Wednesday</v>
      </c>
      <c r="C314" s="88" t="s">
        <v>1381</v>
      </c>
      <c r="D314" s="88" t="s">
        <v>132</v>
      </c>
      <c r="E314" s="89">
        <v>38.700000000000003</v>
      </c>
      <c r="F314" s="88" t="s">
        <v>41</v>
      </c>
      <c r="G314" s="87">
        <f>Table1[[#This Row],[date]]</f>
        <v>45399</v>
      </c>
      <c r="H314" s="89">
        <f>SUMIF($A$2:A3949,G314,$E$2:E3949)</f>
        <v>199.20000000000002</v>
      </c>
      <c r="I314" s="88" t="str">
        <f t="shared" si="17"/>
        <v>Wednesday</v>
      </c>
      <c r="J314" s="88" t="str">
        <f t="shared" si="18"/>
        <v>April</v>
      </c>
      <c r="K314" s="88" t="str">
        <f t="shared" si="19"/>
        <v>2024</v>
      </c>
      <c r="L314" s="6"/>
      <c r="M314" s="6"/>
      <c r="N314" s="6"/>
    </row>
    <row r="315" spans="1:14" x14ac:dyDescent="0.3">
      <c r="A315" s="92">
        <v>45399</v>
      </c>
      <c r="B315" s="92" t="str">
        <f t="shared" si="16"/>
        <v>Wednesday</v>
      </c>
      <c r="C315" s="93" t="s">
        <v>1381</v>
      </c>
      <c r="D315" s="93" t="s">
        <v>132</v>
      </c>
      <c r="E315" s="94">
        <v>38.700000000000003</v>
      </c>
      <c r="F315" s="93" t="s">
        <v>41</v>
      </c>
      <c r="G315" s="87">
        <f>Table1[[#This Row],[date]]</f>
        <v>45399</v>
      </c>
      <c r="H315" s="94">
        <f>SUMIF($A$2:A3950,G315,$E$2:E3950)</f>
        <v>199.20000000000002</v>
      </c>
      <c r="I315" s="93" t="str">
        <f t="shared" si="17"/>
        <v>Wednesday</v>
      </c>
      <c r="J315" s="93" t="str">
        <f t="shared" si="18"/>
        <v>April</v>
      </c>
      <c r="K315" s="93" t="str">
        <f t="shared" si="19"/>
        <v>2024</v>
      </c>
      <c r="L315" s="6"/>
      <c r="M315" s="6"/>
      <c r="N315" s="6"/>
    </row>
    <row r="316" spans="1:14" x14ac:dyDescent="0.3">
      <c r="A316" s="87">
        <v>45399</v>
      </c>
      <c r="B316" s="87" t="str">
        <f t="shared" si="16"/>
        <v>Wednesday</v>
      </c>
      <c r="C316" s="88" t="s">
        <v>1381</v>
      </c>
      <c r="D316" s="88" t="s">
        <v>133</v>
      </c>
      <c r="E316" s="89">
        <v>28.9</v>
      </c>
      <c r="F316" s="88" t="s">
        <v>26</v>
      </c>
      <c r="G316" s="87">
        <f>Table1[[#This Row],[date]]</f>
        <v>45399</v>
      </c>
      <c r="H316" s="89">
        <f>SUMIF($A$2:A3951,G316,$E$2:E3951)</f>
        <v>199.20000000000002</v>
      </c>
      <c r="I316" s="88" t="str">
        <f t="shared" si="17"/>
        <v>Wednesday</v>
      </c>
      <c r="J316" s="88" t="str">
        <f t="shared" si="18"/>
        <v>April</v>
      </c>
      <c r="K316" s="88" t="str">
        <f t="shared" si="19"/>
        <v>2024</v>
      </c>
      <c r="L316" s="6"/>
      <c r="M316" s="6"/>
      <c r="N316" s="6"/>
    </row>
    <row r="317" spans="1:14" x14ac:dyDescent="0.3">
      <c r="A317" s="92">
        <v>45400</v>
      </c>
      <c r="B317" s="92" t="str">
        <f t="shared" si="16"/>
        <v>Thursday</v>
      </c>
      <c r="C317" s="93" t="s">
        <v>1381</v>
      </c>
      <c r="D317" s="93" t="s">
        <v>8</v>
      </c>
      <c r="E317" s="94">
        <v>28.9</v>
      </c>
      <c r="F317" s="93" t="s">
        <v>9</v>
      </c>
      <c r="G317" s="87">
        <f>Table1[[#This Row],[date]]</f>
        <v>45400</v>
      </c>
      <c r="H317" s="94">
        <f>SUMIF($A$2:A3952,G317,$E$2:E3952)</f>
        <v>352.69999999999993</v>
      </c>
      <c r="I317" s="93" t="str">
        <f t="shared" si="17"/>
        <v>Thursday</v>
      </c>
      <c r="J317" s="93" t="str">
        <f t="shared" si="18"/>
        <v>April</v>
      </c>
      <c r="K317" s="93" t="str">
        <f t="shared" si="19"/>
        <v>2024</v>
      </c>
      <c r="L317" s="6"/>
      <c r="M317" s="6"/>
      <c r="N317" s="6"/>
    </row>
    <row r="318" spans="1:14" x14ac:dyDescent="0.3">
      <c r="A318" s="87">
        <v>45400</v>
      </c>
      <c r="B318" s="87" t="str">
        <f t="shared" si="16"/>
        <v>Thursday</v>
      </c>
      <c r="C318" s="88" t="s">
        <v>1381</v>
      </c>
      <c r="D318" s="88" t="s">
        <v>8</v>
      </c>
      <c r="E318" s="89">
        <v>28.9</v>
      </c>
      <c r="F318" s="88" t="s">
        <v>9</v>
      </c>
      <c r="G318" s="87">
        <f>Table1[[#This Row],[date]]</f>
        <v>45400</v>
      </c>
      <c r="H318" s="89">
        <f>SUMIF($A$2:A3953,G318,$E$2:E3953)</f>
        <v>352.69999999999993</v>
      </c>
      <c r="I318" s="88" t="str">
        <f t="shared" si="17"/>
        <v>Thursday</v>
      </c>
      <c r="J318" s="88" t="str">
        <f t="shared" si="18"/>
        <v>April</v>
      </c>
      <c r="K318" s="88" t="str">
        <f t="shared" si="19"/>
        <v>2024</v>
      </c>
      <c r="L318" s="6"/>
      <c r="M318" s="6"/>
      <c r="N318" s="6"/>
    </row>
    <row r="319" spans="1:14" x14ac:dyDescent="0.3">
      <c r="A319" s="92">
        <v>45400</v>
      </c>
      <c r="B319" s="92" t="str">
        <f t="shared" si="16"/>
        <v>Thursday</v>
      </c>
      <c r="C319" s="93" t="s">
        <v>1381</v>
      </c>
      <c r="D319" s="93" t="s">
        <v>134</v>
      </c>
      <c r="E319" s="94">
        <v>33.799999999999997</v>
      </c>
      <c r="F319" s="93" t="s">
        <v>12</v>
      </c>
      <c r="G319" s="87">
        <f>Table1[[#This Row],[date]]</f>
        <v>45400</v>
      </c>
      <c r="H319" s="94">
        <f>SUMIF($A$2:A3954,G319,$E$2:E3954)</f>
        <v>352.69999999999993</v>
      </c>
      <c r="I319" s="93" t="str">
        <f t="shared" si="17"/>
        <v>Thursday</v>
      </c>
      <c r="J319" s="93" t="str">
        <f t="shared" si="18"/>
        <v>April</v>
      </c>
      <c r="K319" s="93" t="str">
        <f t="shared" si="19"/>
        <v>2024</v>
      </c>
      <c r="L319" s="6"/>
      <c r="M319" s="6"/>
      <c r="N319" s="6"/>
    </row>
    <row r="320" spans="1:14" x14ac:dyDescent="0.3">
      <c r="A320" s="87">
        <v>45400</v>
      </c>
      <c r="B320" s="87" t="str">
        <f t="shared" si="16"/>
        <v>Thursday</v>
      </c>
      <c r="C320" s="88" t="s">
        <v>1381</v>
      </c>
      <c r="D320" s="88" t="s">
        <v>134</v>
      </c>
      <c r="E320" s="89">
        <v>28.9</v>
      </c>
      <c r="F320" s="88" t="s">
        <v>26</v>
      </c>
      <c r="G320" s="87">
        <f>Table1[[#This Row],[date]]</f>
        <v>45400</v>
      </c>
      <c r="H320" s="89">
        <f>SUMIF($A$2:A3955,G320,$E$2:E3955)</f>
        <v>352.69999999999993</v>
      </c>
      <c r="I320" s="88" t="str">
        <f t="shared" si="17"/>
        <v>Thursday</v>
      </c>
      <c r="J320" s="88" t="str">
        <f t="shared" si="18"/>
        <v>April</v>
      </c>
      <c r="K320" s="88" t="str">
        <f t="shared" si="19"/>
        <v>2024</v>
      </c>
      <c r="L320" s="6"/>
      <c r="M320" s="6"/>
      <c r="N320" s="6"/>
    </row>
    <row r="321" spans="1:14" x14ac:dyDescent="0.3">
      <c r="A321" s="92">
        <v>45400</v>
      </c>
      <c r="B321" s="92" t="str">
        <f t="shared" si="16"/>
        <v>Thursday</v>
      </c>
      <c r="C321" s="93" t="s">
        <v>1381</v>
      </c>
      <c r="D321" s="93" t="s">
        <v>135</v>
      </c>
      <c r="E321" s="94">
        <v>38.700000000000003</v>
      </c>
      <c r="F321" s="93" t="s">
        <v>41</v>
      </c>
      <c r="G321" s="87">
        <f>Table1[[#This Row],[date]]</f>
        <v>45400</v>
      </c>
      <c r="H321" s="94">
        <f>SUMIF($A$2:A3956,G321,$E$2:E3956)</f>
        <v>352.69999999999993</v>
      </c>
      <c r="I321" s="93" t="str">
        <f t="shared" si="17"/>
        <v>Thursday</v>
      </c>
      <c r="J321" s="93" t="str">
        <f t="shared" si="18"/>
        <v>April</v>
      </c>
      <c r="K321" s="93" t="str">
        <f t="shared" si="19"/>
        <v>2024</v>
      </c>
      <c r="L321" s="6"/>
      <c r="M321" s="6"/>
      <c r="N321" s="6"/>
    </row>
    <row r="322" spans="1:14" x14ac:dyDescent="0.3">
      <c r="A322" s="87">
        <v>45400</v>
      </c>
      <c r="B322" s="87" t="str">
        <f t="shared" ref="B322:B385" si="20">TEXT(A322,"dddd")</f>
        <v>Thursday</v>
      </c>
      <c r="C322" s="88" t="s">
        <v>1381</v>
      </c>
      <c r="D322" s="88" t="s">
        <v>135</v>
      </c>
      <c r="E322" s="89">
        <v>38.700000000000003</v>
      </c>
      <c r="F322" s="88" t="s">
        <v>5</v>
      </c>
      <c r="G322" s="87">
        <f>Table1[[#This Row],[date]]</f>
        <v>45400</v>
      </c>
      <c r="H322" s="89">
        <f>SUMIF($A$2:A3957,G322,$E$2:E3957)</f>
        <v>352.69999999999993</v>
      </c>
      <c r="I322" s="88" t="str">
        <f t="shared" ref="I322:I388" si="21">TEXT(G322,"dddd")</f>
        <v>Thursday</v>
      </c>
      <c r="J322" s="88" t="str">
        <f t="shared" ref="J322:J390" si="22">TEXT(G322,"mmmm")</f>
        <v>April</v>
      </c>
      <c r="K322" s="88" t="str">
        <f t="shared" ref="K322:K389" si="23">TEXT(G322,"yyyy")</f>
        <v>2024</v>
      </c>
      <c r="L322" s="6"/>
      <c r="M322" s="6"/>
      <c r="N322" s="6"/>
    </row>
    <row r="323" spans="1:14" x14ac:dyDescent="0.3">
      <c r="A323" s="92">
        <v>45400</v>
      </c>
      <c r="B323" s="92" t="str">
        <f t="shared" si="20"/>
        <v>Thursday</v>
      </c>
      <c r="C323" s="93" t="s">
        <v>1381</v>
      </c>
      <c r="D323" s="93" t="s">
        <v>81</v>
      </c>
      <c r="E323" s="94">
        <v>38.700000000000003</v>
      </c>
      <c r="F323" s="93" t="s">
        <v>5</v>
      </c>
      <c r="G323" s="87">
        <f>Table1[[#This Row],[date]]</f>
        <v>45400</v>
      </c>
      <c r="H323" s="94">
        <f>SUMIF($A$2:A3958,G323,$E$2:E3958)</f>
        <v>352.69999999999993</v>
      </c>
      <c r="I323" s="93" t="str">
        <f t="shared" si="21"/>
        <v>Thursday</v>
      </c>
      <c r="J323" s="93" t="str">
        <f t="shared" si="22"/>
        <v>April</v>
      </c>
      <c r="K323" s="93" t="str">
        <f t="shared" si="23"/>
        <v>2024</v>
      </c>
      <c r="L323" s="6"/>
      <c r="M323" s="6"/>
      <c r="N323" s="6"/>
    </row>
    <row r="324" spans="1:14" x14ac:dyDescent="0.3">
      <c r="A324" s="87">
        <v>45400</v>
      </c>
      <c r="B324" s="87" t="str">
        <f t="shared" si="20"/>
        <v>Thursday</v>
      </c>
      <c r="C324" s="88" t="s">
        <v>1381</v>
      </c>
      <c r="D324" s="88" t="s">
        <v>97</v>
      </c>
      <c r="E324" s="89">
        <v>38.700000000000003</v>
      </c>
      <c r="F324" s="88" t="s">
        <v>41</v>
      </c>
      <c r="G324" s="87">
        <f>Table1[[#This Row],[date]]</f>
        <v>45400</v>
      </c>
      <c r="H324" s="89">
        <f>SUMIF($A$2:A3959,G324,$E$2:E3959)</f>
        <v>352.69999999999993</v>
      </c>
      <c r="I324" s="88" t="str">
        <f t="shared" si="21"/>
        <v>Thursday</v>
      </c>
      <c r="J324" s="88" t="str">
        <f t="shared" si="22"/>
        <v>April</v>
      </c>
      <c r="K324" s="88" t="str">
        <f t="shared" si="23"/>
        <v>2024</v>
      </c>
      <c r="L324" s="6"/>
      <c r="M324" s="6"/>
      <c r="N324" s="6"/>
    </row>
    <row r="325" spans="1:14" x14ac:dyDescent="0.3">
      <c r="A325" s="92">
        <v>45400</v>
      </c>
      <c r="B325" s="92" t="str">
        <f t="shared" si="20"/>
        <v>Thursday</v>
      </c>
      <c r="C325" s="93" t="s">
        <v>1381</v>
      </c>
      <c r="D325" s="93" t="s">
        <v>35</v>
      </c>
      <c r="E325" s="94">
        <v>38.700000000000003</v>
      </c>
      <c r="F325" s="93" t="s">
        <v>7</v>
      </c>
      <c r="G325" s="87">
        <f>Table1[[#This Row],[date]]</f>
        <v>45400</v>
      </c>
      <c r="H325" s="94">
        <f>SUMIF($A$2:A3960,G325,$E$2:E3960)</f>
        <v>352.69999999999993</v>
      </c>
      <c r="I325" s="93" t="str">
        <f t="shared" si="21"/>
        <v>Thursday</v>
      </c>
      <c r="J325" s="93" t="str">
        <f t="shared" si="22"/>
        <v>April</v>
      </c>
      <c r="K325" s="93" t="str">
        <f t="shared" si="23"/>
        <v>2024</v>
      </c>
      <c r="L325" s="6"/>
      <c r="M325" s="6"/>
      <c r="N325" s="6"/>
    </row>
    <row r="326" spans="1:14" x14ac:dyDescent="0.3">
      <c r="A326" s="87">
        <v>45400</v>
      </c>
      <c r="B326" s="87" t="str">
        <f t="shared" si="20"/>
        <v>Thursday</v>
      </c>
      <c r="C326" s="88" t="s">
        <v>1381</v>
      </c>
      <c r="D326" s="88" t="s">
        <v>17</v>
      </c>
      <c r="E326" s="89">
        <v>38.700000000000003</v>
      </c>
      <c r="F326" s="88" t="s">
        <v>7</v>
      </c>
      <c r="G326" s="87">
        <f>Table1[[#This Row],[date]]</f>
        <v>45400</v>
      </c>
      <c r="H326" s="89">
        <f>SUMIF($A$2:A3961,G326,$E$2:E3961)</f>
        <v>352.69999999999993</v>
      </c>
      <c r="I326" s="88" t="str">
        <f t="shared" si="21"/>
        <v>Thursday</v>
      </c>
      <c r="J326" s="88" t="str">
        <f t="shared" si="22"/>
        <v>April</v>
      </c>
      <c r="K326" s="88" t="str">
        <f t="shared" si="23"/>
        <v>2024</v>
      </c>
      <c r="L326" s="6"/>
      <c r="M326" s="6"/>
      <c r="N326" s="6"/>
    </row>
    <row r="327" spans="1:14" x14ac:dyDescent="0.3">
      <c r="A327" s="92">
        <v>45401</v>
      </c>
      <c r="B327" s="92" t="str">
        <f t="shared" si="20"/>
        <v>Friday</v>
      </c>
      <c r="C327" s="93" t="s">
        <v>1381</v>
      </c>
      <c r="D327" s="93" t="s">
        <v>4</v>
      </c>
      <c r="E327" s="94">
        <v>38.700000000000003</v>
      </c>
      <c r="F327" s="93" t="s">
        <v>5</v>
      </c>
      <c r="G327" s="87">
        <f>Table1[[#This Row],[date]]</f>
        <v>45401</v>
      </c>
      <c r="H327" s="94">
        <f>SUMIF($A$2:A3962,G327,$E$2:E3962)</f>
        <v>261.10000000000002</v>
      </c>
      <c r="I327" s="93" t="str">
        <f t="shared" si="21"/>
        <v>Friday</v>
      </c>
      <c r="J327" s="93" t="str">
        <f t="shared" si="22"/>
        <v>April</v>
      </c>
      <c r="K327" s="93" t="str">
        <f t="shared" si="23"/>
        <v>2024</v>
      </c>
      <c r="L327" s="6"/>
      <c r="M327" s="6"/>
      <c r="N327" s="6"/>
    </row>
    <row r="328" spans="1:14" x14ac:dyDescent="0.3">
      <c r="A328" s="87">
        <v>45401</v>
      </c>
      <c r="B328" s="87" t="str">
        <f t="shared" si="20"/>
        <v>Friday</v>
      </c>
      <c r="C328" s="88" t="s">
        <v>1381</v>
      </c>
      <c r="D328" s="88" t="s">
        <v>52</v>
      </c>
      <c r="E328" s="89">
        <v>33.799999999999997</v>
      </c>
      <c r="F328" s="88" t="s">
        <v>12</v>
      </c>
      <c r="G328" s="87">
        <f>Table1[[#This Row],[date]]</f>
        <v>45401</v>
      </c>
      <c r="H328" s="89">
        <f>SUMIF($A$2:A3963,G328,$E$2:E3963)</f>
        <v>261.10000000000002</v>
      </c>
      <c r="I328" s="88" t="str">
        <f t="shared" si="21"/>
        <v>Friday</v>
      </c>
      <c r="J328" s="88" t="str">
        <f t="shared" si="22"/>
        <v>April</v>
      </c>
      <c r="K328" s="88" t="str">
        <f t="shared" si="23"/>
        <v>2024</v>
      </c>
      <c r="L328" s="6"/>
      <c r="M328" s="6"/>
      <c r="N328" s="6"/>
    </row>
    <row r="329" spans="1:14" x14ac:dyDescent="0.3">
      <c r="A329" s="92">
        <v>45401</v>
      </c>
      <c r="B329" s="92" t="str">
        <f t="shared" si="20"/>
        <v>Friday</v>
      </c>
      <c r="C329" s="93" t="s">
        <v>1381</v>
      </c>
      <c r="D329" s="93" t="s">
        <v>52</v>
      </c>
      <c r="E329" s="94">
        <v>38.700000000000003</v>
      </c>
      <c r="F329" s="93" t="s">
        <v>41</v>
      </c>
      <c r="G329" s="87">
        <f>Table1[[#This Row],[date]]</f>
        <v>45401</v>
      </c>
      <c r="H329" s="94">
        <f>SUMIF($A$2:A3964,G329,$E$2:E3964)</f>
        <v>261.10000000000002</v>
      </c>
      <c r="I329" s="93" t="str">
        <f t="shared" si="21"/>
        <v>Friday</v>
      </c>
      <c r="J329" s="93" t="str">
        <f t="shared" si="22"/>
        <v>April</v>
      </c>
      <c r="K329" s="93" t="str">
        <f t="shared" si="23"/>
        <v>2024</v>
      </c>
      <c r="L329" s="6"/>
      <c r="M329" s="6"/>
      <c r="N329" s="6"/>
    </row>
    <row r="330" spans="1:14" x14ac:dyDescent="0.3">
      <c r="A330" s="87">
        <v>45401</v>
      </c>
      <c r="B330" s="87" t="str">
        <f t="shared" si="20"/>
        <v>Friday</v>
      </c>
      <c r="C330" s="88" t="s">
        <v>1381</v>
      </c>
      <c r="D330" s="88" t="s">
        <v>136</v>
      </c>
      <c r="E330" s="89">
        <v>38.700000000000003</v>
      </c>
      <c r="F330" s="88" t="s">
        <v>7</v>
      </c>
      <c r="G330" s="87">
        <f>Table1[[#This Row],[date]]</f>
        <v>45401</v>
      </c>
      <c r="H330" s="89">
        <f>SUMIF($A$2:A3965,G330,$E$2:E3965)</f>
        <v>261.10000000000002</v>
      </c>
      <c r="I330" s="88" t="str">
        <f t="shared" si="21"/>
        <v>Friday</v>
      </c>
      <c r="J330" s="88" t="str">
        <f t="shared" si="22"/>
        <v>April</v>
      </c>
      <c r="K330" s="88" t="str">
        <f t="shared" si="23"/>
        <v>2024</v>
      </c>
      <c r="L330" s="6"/>
      <c r="M330" s="6"/>
      <c r="N330" s="6"/>
    </row>
    <row r="331" spans="1:14" x14ac:dyDescent="0.3">
      <c r="A331" s="92">
        <v>45401</v>
      </c>
      <c r="B331" s="92" t="str">
        <f t="shared" si="20"/>
        <v>Friday</v>
      </c>
      <c r="C331" s="93" t="s">
        <v>1381</v>
      </c>
      <c r="D331" s="93" t="s">
        <v>136</v>
      </c>
      <c r="E331" s="94">
        <v>38.700000000000003</v>
      </c>
      <c r="F331" s="93" t="s">
        <v>41</v>
      </c>
      <c r="G331" s="87">
        <f>Table1[[#This Row],[date]]</f>
        <v>45401</v>
      </c>
      <c r="H331" s="94">
        <f>SUMIF($A$2:A3966,G331,$E$2:E3966)</f>
        <v>261.10000000000002</v>
      </c>
      <c r="I331" s="93" t="str">
        <f t="shared" si="21"/>
        <v>Friday</v>
      </c>
      <c r="J331" s="93" t="str">
        <f t="shared" si="22"/>
        <v>April</v>
      </c>
      <c r="K331" s="93" t="str">
        <f t="shared" si="23"/>
        <v>2024</v>
      </c>
      <c r="L331" s="6"/>
      <c r="M331" s="6"/>
      <c r="N331" s="6"/>
    </row>
    <row r="332" spans="1:14" x14ac:dyDescent="0.3">
      <c r="A332" s="87">
        <v>45401</v>
      </c>
      <c r="B332" s="87" t="str">
        <f t="shared" si="20"/>
        <v>Friday</v>
      </c>
      <c r="C332" s="88" t="s">
        <v>1381</v>
      </c>
      <c r="D332" s="88" t="s">
        <v>35</v>
      </c>
      <c r="E332" s="89">
        <v>38.700000000000003</v>
      </c>
      <c r="F332" s="88" t="s">
        <v>16</v>
      </c>
      <c r="G332" s="87">
        <f>Table1[[#This Row],[date]]</f>
        <v>45401</v>
      </c>
      <c r="H332" s="89">
        <f>SUMIF($A$2:A3967,G332,$E$2:E3967)</f>
        <v>261.10000000000002</v>
      </c>
      <c r="I332" s="88" t="str">
        <f t="shared" si="21"/>
        <v>Friday</v>
      </c>
      <c r="J332" s="88" t="str">
        <f t="shared" si="22"/>
        <v>April</v>
      </c>
      <c r="K332" s="88" t="str">
        <f t="shared" si="23"/>
        <v>2024</v>
      </c>
      <c r="L332" s="6"/>
      <c r="M332" s="6"/>
      <c r="N332" s="6"/>
    </row>
    <row r="333" spans="1:14" x14ac:dyDescent="0.3">
      <c r="A333" s="92">
        <v>45401</v>
      </c>
      <c r="B333" s="92" t="str">
        <f t="shared" si="20"/>
        <v>Friday</v>
      </c>
      <c r="C333" s="93" t="s">
        <v>1381</v>
      </c>
      <c r="D333" s="93" t="s">
        <v>17</v>
      </c>
      <c r="E333" s="94">
        <v>33.799999999999997</v>
      </c>
      <c r="F333" s="93" t="s">
        <v>12</v>
      </c>
      <c r="G333" s="87">
        <f>Table1[[#This Row],[date]]</f>
        <v>45401</v>
      </c>
      <c r="H333" s="94">
        <f>SUMIF($A$2:A3968,G333,$E$2:E3968)</f>
        <v>261.10000000000002</v>
      </c>
      <c r="I333" s="93" t="str">
        <f t="shared" si="21"/>
        <v>Friday</v>
      </c>
      <c r="J333" s="93" t="str">
        <f t="shared" si="22"/>
        <v>April</v>
      </c>
      <c r="K333" s="93" t="str">
        <f t="shared" si="23"/>
        <v>2024</v>
      </c>
      <c r="L333" s="6"/>
      <c r="M333" s="6"/>
      <c r="N333" s="6"/>
    </row>
    <row r="334" spans="1:14" x14ac:dyDescent="0.3">
      <c r="A334" s="87">
        <v>45402</v>
      </c>
      <c r="B334" s="87" t="str">
        <f t="shared" si="20"/>
        <v>Saturday</v>
      </c>
      <c r="C334" s="88" t="s">
        <v>1383</v>
      </c>
      <c r="D334" s="88"/>
      <c r="E334" s="89">
        <v>35</v>
      </c>
      <c r="F334" s="88" t="s">
        <v>12</v>
      </c>
      <c r="G334" s="87">
        <f>Table1[[#This Row],[date]]</f>
        <v>45402</v>
      </c>
      <c r="H334" s="89">
        <f>SUMIF($A$2:A3969,G334,$E$2:E3969)</f>
        <v>494.30000000000007</v>
      </c>
      <c r="I334" s="88" t="str">
        <f t="shared" si="21"/>
        <v>Saturday</v>
      </c>
      <c r="J334" s="88" t="str">
        <f t="shared" si="22"/>
        <v>April</v>
      </c>
      <c r="K334" s="88" t="str">
        <f t="shared" si="23"/>
        <v>2024</v>
      </c>
      <c r="L334" s="6"/>
      <c r="M334" s="6"/>
      <c r="N334" s="6"/>
    </row>
    <row r="335" spans="1:14" x14ac:dyDescent="0.3">
      <c r="A335" s="92">
        <v>45402</v>
      </c>
      <c r="B335" s="92" t="str">
        <f t="shared" si="20"/>
        <v>Saturday</v>
      </c>
      <c r="C335" s="93" t="s">
        <v>1381</v>
      </c>
      <c r="D335" s="93" t="s">
        <v>137</v>
      </c>
      <c r="E335" s="94">
        <v>33.799999999999997</v>
      </c>
      <c r="F335" s="93" t="s">
        <v>12</v>
      </c>
      <c r="G335" s="87">
        <f>Table1[[#This Row],[date]]</f>
        <v>45402</v>
      </c>
      <c r="H335" s="94">
        <f>SUMIF($A$2:A3970,G335,$E$2:E3970)</f>
        <v>494.30000000000007</v>
      </c>
      <c r="I335" s="93" t="str">
        <f t="shared" si="21"/>
        <v>Saturday</v>
      </c>
      <c r="J335" s="93" t="str">
        <f t="shared" si="22"/>
        <v>April</v>
      </c>
      <c r="K335" s="93" t="str">
        <f t="shared" si="23"/>
        <v>2024</v>
      </c>
      <c r="L335" s="6"/>
      <c r="M335" s="6"/>
      <c r="N335" s="6"/>
    </row>
    <row r="336" spans="1:14" x14ac:dyDescent="0.3">
      <c r="A336" s="87">
        <v>45402</v>
      </c>
      <c r="B336" s="87" t="str">
        <f t="shared" si="20"/>
        <v>Saturday</v>
      </c>
      <c r="C336" s="88" t="s">
        <v>1381</v>
      </c>
      <c r="D336" s="88" t="s">
        <v>137</v>
      </c>
      <c r="E336" s="89">
        <v>33.799999999999997</v>
      </c>
      <c r="F336" s="88" t="s">
        <v>12</v>
      </c>
      <c r="G336" s="87">
        <f>Table1[[#This Row],[date]]</f>
        <v>45402</v>
      </c>
      <c r="H336" s="89">
        <f>SUMIF($A$2:A3971,G336,$E$2:E3971)</f>
        <v>494.30000000000007</v>
      </c>
      <c r="I336" s="88" t="str">
        <f t="shared" si="21"/>
        <v>Saturday</v>
      </c>
      <c r="J336" s="88" t="str">
        <f t="shared" si="22"/>
        <v>April</v>
      </c>
      <c r="K336" s="88" t="str">
        <f t="shared" si="23"/>
        <v>2024</v>
      </c>
      <c r="L336" s="6"/>
      <c r="M336" s="6"/>
      <c r="N336" s="6"/>
    </row>
    <row r="337" spans="1:14" x14ac:dyDescent="0.3">
      <c r="A337" s="92">
        <v>45402</v>
      </c>
      <c r="B337" s="92" t="str">
        <f t="shared" si="20"/>
        <v>Saturday</v>
      </c>
      <c r="C337" s="93" t="s">
        <v>1381</v>
      </c>
      <c r="D337" s="93" t="s">
        <v>130</v>
      </c>
      <c r="E337" s="94">
        <v>28.9</v>
      </c>
      <c r="F337" s="93" t="s">
        <v>9</v>
      </c>
      <c r="G337" s="87">
        <f>Table1[[#This Row],[date]]</f>
        <v>45402</v>
      </c>
      <c r="H337" s="94">
        <f>SUMIF($A$2:A3972,G337,$E$2:E3972)</f>
        <v>494.30000000000007</v>
      </c>
      <c r="I337" s="93" t="str">
        <f t="shared" si="21"/>
        <v>Saturday</v>
      </c>
      <c r="J337" s="93" t="str">
        <f t="shared" si="22"/>
        <v>April</v>
      </c>
      <c r="K337" s="93" t="str">
        <f t="shared" si="23"/>
        <v>2024</v>
      </c>
      <c r="L337" s="6"/>
      <c r="M337" s="6"/>
      <c r="N337" s="6"/>
    </row>
    <row r="338" spans="1:14" x14ac:dyDescent="0.3">
      <c r="A338" s="87">
        <v>45402</v>
      </c>
      <c r="B338" s="87" t="str">
        <f t="shared" si="20"/>
        <v>Saturday</v>
      </c>
      <c r="C338" s="88" t="s">
        <v>1381</v>
      </c>
      <c r="D338" s="88" t="s">
        <v>130</v>
      </c>
      <c r="E338" s="89">
        <v>33.799999999999997</v>
      </c>
      <c r="F338" s="88" t="s">
        <v>12</v>
      </c>
      <c r="G338" s="87">
        <f>Table1[[#This Row],[date]]</f>
        <v>45402</v>
      </c>
      <c r="H338" s="89">
        <f>SUMIF($A$2:A3973,G338,$E$2:E3973)</f>
        <v>494.30000000000007</v>
      </c>
      <c r="I338" s="88" t="str">
        <f t="shared" si="21"/>
        <v>Saturday</v>
      </c>
      <c r="J338" s="88" t="str">
        <f t="shared" si="22"/>
        <v>April</v>
      </c>
      <c r="K338" s="88" t="str">
        <f t="shared" si="23"/>
        <v>2024</v>
      </c>
      <c r="L338" s="6"/>
      <c r="M338" s="6"/>
      <c r="N338" s="6"/>
    </row>
    <row r="339" spans="1:14" x14ac:dyDescent="0.3">
      <c r="A339" s="92">
        <v>45402</v>
      </c>
      <c r="B339" s="92" t="str">
        <f t="shared" si="20"/>
        <v>Saturday</v>
      </c>
      <c r="C339" s="93" t="s">
        <v>1381</v>
      </c>
      <c r="D339" s="93" t="s">
        <v>130</v>
      </c>
      <c r="E339" s="94">
        <v>38.700000000000003</v>
      </c>
      <c r="F339" s="93" t="s">
        <v>7</v>
      </c>
      <c r="G339" s="87">
        <f>Table1[[#This Row],[date]]</f>
        <v>45402</v>
      </c>
      <c r="H339" s="94">
        <f>SUMIF($A$2:A3974,G339,$E$2:E3974)</f>
        <v>494.30000000000007</v>
      </c>
      <c r="I339" s="93" t="str">
        <f t="shared" si="21"/>
        <v>Saturday</v>
      </c>
      <c r="J339" s="93" t="str">
        <f t="shared" si="22"/>
        <v>April</v>
      </c>
      <c r="K339" s="93" t="str">
        <f t="shared" si="23"/>
        <v>2024</v>
      </c>
      <c r="L339" s="6"/>
      <c r="M339" s="6"/>
      <c r="N339" s="6"/>
    </row>
    <row r="340" spans="1:14" x14ac:dyDescent="0.3">
      <c r="A340" s="87">
        <v>45402</v>
      </c>
      <c r="B340" s="87" t="str">
        <f t="shared" si="20"/>
        <v>Saturday</v>
      </c>
      <c r="C340" s="88" t="s">
        <v>1381</v>
      </c>
      <c r="D340" s="88" t="s">
        <v>52</v>
      </c>
      <c r="E340" s="89">
        <v>38.700000000000003</v>
      </c>
      <c r="F340" s="88" t="s">
        <v>41</v>
      </c>
      <c r="G340" s="87">
        <f>Table1[[#This Row],[date]]</f>
        <v>45402</v>
      </c>
      <c r="H340" s="89">
        <f>SUMIF($A$2:A3975,G340,$E$2:E3975)</f>
        <v>494.30000000000007</v>
      </c>
      <c r="I340" s="88" t="str">
        <f t="shared" si="21"/>
        <v>Saturday</v>
      </c>
      <c r="J340" s="88" t="str">
        <f t="shared" si="22"/>
        <v>April</v>
      </c>
      <c r="K340" s="88" t="str">
        <f t="shared" si="23"/>
        <v>2024</v>
      </c>
      <c r="L340" s="6"/>
      <c r="M340" s="6"/>
      <c r="N340" s="6"/>
    </row>
    <row r="341" spans="1:14" x14ac:dyDescent="0.3">
      <c r="A341" s="92">
        <v>45402</v>
      </c>
      <c r="B341" s="92" t="str">
        <f t="shared" si="20"/>
        <v>Saturday</v>
      </c>
      <c r="C341" s="93" t="s">
        <v>1381</v>
      </c>
      <c r="D341" s="93" t="s">
        <v>17</v>
      </c>
      <c r="E341" s="94">
        <v>33.799999999999997</v>
      </c>
      <c r="F341" s="93" t="s">
        <v>12</v>
      </c>
      <c r="G341" s="87">
        <f>Table1[[#This Row],[date]]</f>
        <v>45402</v>
      </c>
      <c r="H341" s="94">
        <f>SUMIF($A$2:A3976,G341,$E$2:E3976)</f>
        <v>494.30000000000007</v>
      </c>
      <c r="I341" s="93" t="str">
        <f t="shared" si="21"/>
        <v>Saturday</v>
      </c>
      <c r="J341" s="93" t="str">
        <f t="shared" si="22"/>
        <v>April</v>
      </c>
      <c r="K341" s="93" t="str">
        <f t="shared" si="23"/>
        <v>2024</v>
      </c>
      <c r="L341" s="6"/>
      <c r="M341" s="6"/>
      <c r="N341" s="6"/>
    </row>
    <row r="342" spans="1:14" x14ac:dyDescent="0.3">
      <c r="A342" s="87">
        <v>45402</v>
      </c>
      <c r="B342" s="87" t="str">
        <f t="shared" si="20"/>
        <v>Saturday</v>
      </c>
      <c r="C342" s="88" t="s">
        <v>1381</v>
      </c>
      <c r="D342" s="88" t="s">
        <v>21</v>
      </c>
      <c r="E342" s="89">
        <v>32.82</v>
      </c>
      <c r="F342" s="88" t="s">
        <v>12</v>
      </c>
      <c r="G342" s="87">
        <f>Table1[[#This Row],[date]]</f>
        <v>45402</v>
      </c>
      <c r="H342" s="89">
        <f>SUMIF($A$2:A3977,G342,$E$2:E3977)</f>
        <v>494.30000000000007</v>
      </c>
      <c r="I342" s="88" t="str">
        <f t="shared" si="21"/>
        <v>Saturday</v>
      </c>
      <c r="J342" s="88" t="str">
        <f t="shared" si="22"/>
        <v>April</v>
      </c>
      <c r="K342" s="88" t="str">
        <f t="shared" si="23"/>
        <v>2024</v>
      </c>
      <c r="L342" s="6"/>
      <c r="M342" s="6"/>
      <c r="N342" s="6"/>
    </row>
    <row r="343" spans="1:14" x14ac:dyDescent="0.3">
      <c r="A343" s="92">
        <v>45402</v>
      </c>
      <c r="B343" s="92" t="str">
        <f t="shared" si="20"/>
        <v>Saturday</v>
      </c>
      <c r="C343" s="93" t="s">
        <v>1381</v>
      </c>
      <c r="D343" s="93" t="s">
        <v>138</v>
      </c>
      <c r="E343" s="94">
        <v>32.82</v>
      </c>
      <c r="F343" s="93" t="s">
        <v>12</v>
      </c>
      <c r="G343" s="87">
        <f>Table1[[#This Row],[date]]</f>
        <v>45402</v>
      </c>
      <c r="H343" s="94">
        <f>SUMIF($A$2:A3978,G343,$E$2:E3978)</f>
        <v>494.30000000000007</v>
      </c>
      <c r="I343" s="93" t="str">
        <f t="shared" si="21"/>
        <v>Saturday</v>
      </c>
      <c r="J343" s="93" t="str">
        <f t="shared" si="22"/>
        <v>April</v>
      </c>
      <c r="K343" s="93" t="str">
        <f t="shared" si="23"/>
        <v>2024</v>
      </c>
      <c r="L343" s="6"/>
      <c r="M343" s="6"/>
      <c r="N343" s="6"/>
    </row>
    <row r="344" spans="1:14" x14ac:dyDescent="0.3">
      <c r="A344" s="87">
        <v>45402</v>
      </c>
      <c r="B344" s="87" t="str">
        <f t="shared" si="20"/>
        <v>Saturday</v>
      </c>
      <c r="C344" s="88" t="s">
        <v>1383</v>
      </c>
      <c r="D344" s="88"/>
      <c r="E344" s="89">
        <v>39</v>
      </c>
      <c r="F344" s="88" t="s">
        <v>16</v>
      </c>
      <c r="G344" s="87">
        <f>Table1[[#This Row],[date]]</f>
        <v>45402</v>
      </c>
      <c r="H344" s="89">
        <f>SUMIF($A$2:A3979,G344,$E$2:E3979)</f>
        <v>494.30000000000007</v>
      </c>
      <c r="I344" s="88" t="str">
        <f t="shared" si="21"/>
        <v>Saturday</v>
      </c>
      <c r="J344" s="88" t="str">
        <f t="shared" si="22"/>
        <v>April</v>
      </c>
      <c r="K344" s="88" t="str">
        <f t="shared" si="23"/>
        <v>2024</v>
      </c>
      <c r="L344" s="6"/>
      <c r="M344" s="6"/>
      <c r="N344" s="6"/>
    </row>
    <row r="345" spans="1:14" x14ac:dyDescent="0.3">
      <c r="A345" s="92">
        <v>45402</v>
      </c>
      <c r="B345" s="92" t="str">
        <f t="shared" si="20"/>
        <v>Saturday</v>
      </c>
      <c r="C345" s="93" t="s">
        <v>1381</v>
      </c>
      <c r="D345" s="93" t="s">
        <v>139</v>
      </c>
      <c r="E345" s="94">
        <v>37.72</v>
      </c>
      <c r="F345" s="93" t="s">
        <v>41</v>
      </c>
      <c r="G345" s="87">
        <f>Table1[[#This Row],[date]]</f>
        <v>45402</v>
      </c>
      <c r="H345" s="94">
        <f>SUMIF($A$2:A3980,G345,$E$2:E3980)</f>
        <v>494.30000000000007</v>
      </c>
      <c r="I345" s="93" t="str">
        <f t="shared" si="21"/>
        <v>Saturday</v>
      </c>
      <c r="J345" s="93" t="str">
        <f t="shared" si="22"/>
        <v>April</v>
      </c>
      <c r="K345" s="93" t="str">
        <f t="shared" si="23"/>
        <v>2024</v>
      </c>
      <c r="L345" s="6"/>
      <c r="M345" s="6"/>
      <c r="N345" s="6"/>
    </row>
    <row r="346" spans="1:14" x14ac:dyDescent="0.3">
      <c r="A346" s="87">
        <v>45402</v>
      </c>
      <c r="B346" s="87" t="str">
        <f t="shared" si="20"/>
        <v>Saturday</v>
      </c>
      <c r="C346" s="88" t="s">
        <v>1381</v>
      </c>
      <c r="D346" s="88" t="s">
        <v>139</v>
      </c>
      <c r="E346" s="89">
        <v>37.72</v>
      </c>
      <c r="F346" s="88" t="s">
        <v>41</v>
      </c>
      <c r="G346" s="87">
        <f>Table1[[#This Row],[date]]</f>
        <v>45402</v>
      </c>
      <c r="H346" s="89">
        <f>SUMIF($A$2:A3981,G346,$E$2:E3981)</f>
        <v>494.30000000000007</v>
      </c>
      <c r="I346" s="88" t="str">
        <f t="shared" si="21"/>
        <v>Saturday</v>
      </c>
      <c r="J346" s="88" t="str">
        <f t="shared" si="22"/>
        <v>April</v>
      </c>
      <c r="K346" s="88" t="str">
        <f t="shared" si="23"/>
        <v>2024</v>
      </c>
      <c r="L346" s="6"/>
      <c r="M346" s="6"/>
      <c r="N346" s="6"/>
    </row>
    <row r="347" spans="1:14" x14ac:dyDescent="0.3">
      <c r="A347" s="92">
        <v>45402</v>
      </c>
      <c r="B347" s="92" t="str">
        <f t="shared" si="20"/>
        <v>Saturday</v>
      </c>
      <c r="C347" s="93" t="s">
        <v>1381</v>
      </c>
      <c r="D347" s="93" t="s">
        <v>140</v>
      </c>
      <c r="E347" s="94">
        <v>37.72</v>
      </c>
      <c r="F347" s="93" t="s">
        <v>5</v>
      </c>
      <c r="G347" s="87">
        <f>Table1[[#This Row],[date]]</f>
        <v>45402</v>
      </c>
      <c r="H347" s="94">
        <f>SUMIF($A$2:A3982,G347,$E$2:E3982)</f>
        <v>494.30000000000007</v>
      </c>
      <c r="I347" s="93" t="str">
        <f t="shared" si="21"/>
        <v>Saturday</v>
      </c>
      <c r="J347" s="93" t="str">
        <f t="shared" si="22"/>
        <v>April</v>
      </c>
      <c r="K347" s="93" t="str">
        <f t="shared" si="23"/>
        <v>2024</v>
      </c>
      <c r="L347" s="6"/>
      <c r="M347" s="6"/>
      <c r="N347" s="6"/>
    </row>
    <row r="348" spans="1:14" x14ac:dyDescent="0.3">
      <c r="A348" s="87">
        <v>45403</v>
      </c>
      <c r="B348" s="87" t="str">
        <f t="shared" si="20"/>
        <v>Sunday</v>
      </c>
      <c r="C348" s="88" t="s">
        <v>1381</v>
      </c>
      <c r="D348" s="88" t="s">
        <v>4</v>
      </c>
      <c r="E348" s="89">
        <v>37.72</v>
      </c>
      <c r="F348" s="88" t="s">
        <v>5</v>
      </c>
      <c r="G348" s="87">
        <f>Table1[[#This Row],[date]]</f>
        <v>45403</v>
      </c>
      <c r="H348" s="89">
        <f>SUMIF($A$2:A3983,G348,$E$2:E3983)</f>
        <v>104.64</v>
      </c>
      <c r="I348" s="88" t="str">
        <f t="shared" si="21"/>
        <v>Sunday</v>
      </c>
      <c r="J348" s="88" t="str">
        <f t="shared" si="22"/>
        <v>April</v>
      </c>
      <c r="K348" s="88" t="str">
        <f t="shared" si="23"/>
        <v>2024</v>
      </c>
      <c r="L348" s="6"/>
      <c r="M348" s="6"/>
      <c r="N348" s="6"/>
    </row>
    <row r="349" spans="1:14" x14ac:dyDescent="0.3">
      <c r="A349" s="92">
        <v>45403</v>
      </c>
      <c r="B349" s="92" t="str">
        <f t="shared" si="20"/>
        <v>Sunday</v>
      </c>
      <c r="C349" s="93" t="s">
        <v>1381</v>
      </c>
      <c r="D349" s="93" t="s">
        <v>111</v>
      </c>
      <c r="E349" s="94">
        <v>27.92</v>
      </c>
      <c r="F349" s="93" t="s">
        <v>9</v>
      </c>
      <c r="G349" s="87">
        <f>Table1[[#This Row],[date]]</f>
        <v>45403</v>
      </c>
      <c r="H349" s="94">
        <f>SUMIF($A$2:A3984,G349,$E$2:E3984)</f>
        <v>104.64</v>
      </c>
      <c r="I349" s="93" t="str">
        <f t="shared" si="21"/>
        <v>Sunday</v>
      </c>
      <c r="J349" s="93" t="str">
        <f t="shared" si="22"/>
        <v>April</v>
      </c>
      <c r="K349" s="93" t="str">
        <f t="shared" si="23"/>
        <v>2024</v>
      </c>
      <c r="L349" s="6"/>
      <c r="M349" s="6"/>
      <c r="N349" s="6"/>
    </row>
    <row r="350" spans="1:14" x14ac:dyDescent="0.3">
      <c r="A350" s="87">
        <v>45403</v>
      </c>
      <c r="B350" s="87" t="str">
        <f t="shared" si="20"/>
        <v>Sunday</v>
      </c>
      <c r="C350" s="88" t="s">
        <v>1383</v>
      </c>
      <c r="D350" s="88"/>
      <c r="E350" s="89">
        <v>39</v>
      </c>
      <c r="F350" s="88" t="s">
        <v>41</v>
      </c>
      <c r="G350" s="87">
        <f>Table1[[#This Row],[date]]</f>
        <v>45403</v>
      </c>
      <c r="H350" s="89">
        <f>SUMIF($A$2:A3985,G350,$E$2:E3985)</f>
        <v>104.64</v>
      </c>
      <c r="I350" s="88" t="str">
        <f t="shared" si="21"/>
        <v>Sunday</v>
      </c>
      <c r="J350" s="88" t="str">
        <f t="shared" si="22"/>
        <v>April</v>
      </c>
      <c r="K350" s="88" t="str">
        <f t="shared" si="23"/>
        <v>2024</v>
      </c>
      <c r="L350" s="6"/>
      <c r="M350" s="6"/>
      <c r="N350" s="6"/>
    </row>
    <row r="351" spans="1:14" x14ac:dyDescent="0.3">
      <c r="A351" s="92">
        <v>45404</v>
      </c>
      <c r="B351" s="92" t="str">
        <f t="shared" si="20"/>
        <v>Monday</v>
      </c>
      <c r="C351" s="93" t="s">
        <v>1381</v>
      </c>
      <c r="D351" s="93" t="s">
        <v>21</v>
      </c>
      <c r="E351" s="94">
        <v>27.92</v>
      </c>
      <c r="F351" s="93" t="s">
        <v>9</v>
      </c>
      <c r="G351" s="87">
        <f>Table1[[#This Row],[date]]</f>
        <v>45404</v>
      </c>
      <c r="H351" s="94">
        <f>SUMIF($A$2:A3986,G351,$E$2:E3986)</f>
        <v>176.46</v>
      </c>
      <c r="I351" s="93" t="str">
        <f t="shared" si="21"/>
        <v>Monday</v>
      </c>
      <c r="J351" s="93" t="str">
        <f t="shared" si="22"/>
        <v>April</v>
      </c>
      <c r="K351" s="93" t="str">
        <f t="shared" si="23"/>
        <v>2024</v>
      </c>
      <c r="L351" s="6"/>
      <c r="M351" s="6"/>
      <c r="N351" s="6"/>
    </row>
    <row r="352" spans="1:14" x14ac:dyDescent="0.3">
      <c r="A352" s="87">
        <v>45404</v>
      </c>
      <c r="B352" s="87" t="str">
        <f t="shared" si="20"/>
        <v>Monday</v>
      </c>
      <c r="C352" s="88" t="s">
        <v>1381</v>
      </c>
      <c r="D352" s="88" t="s">
        <v>141</v>
      </c>
      <c r="E352" s="89">
        <v>32.82</v>
      </c>
      <c r="F352" s="88" t="s">
        <v>12</v>
      </c>
      <c r="G352" s="87">
        <f>Table1[[#This Row],[date]]</f>
        <v>45404</v>
      </c>
      <c r="H352" s="89">
        <f>SUMIF($A$2:A3987,G352,$E$2:E3987)</f>
        <v>176.46</v>
      </c>
      <c r="I352" s="88" t="str">
        <f t="shared" si="21"/>
        <v>Monday</v>
      </c>
      <c r="J352" s="88" t="str">
        <f t="shared" si="22"/>
        <v>April</v>
      </c>
      <c r="K352" s="88" t="str">
        <f t="shared" si="23"/>
        <v>2024</v>
      </c>
      <c r="L352" s="6"/>
      <c r="M352" s="6"/>
      <c r="N352" s="6"/>
    </row>
    <row r="353" spans="1:14" x14ac:dyDescent="0.3">
      <c r="A353" s="92">
        <v>45404</v>
      </c>
      <c r="B353" s="92" t="str">
        <f t="shared" si="20"/>
        <v>Monday</v>
      </c>
      <c r="C353" s="93" t="s">
        <v>1383</v>
      </c>
      <c r="D353" s="93"/>
      <c r="E353" s="94">
        <v>39</v>
      </c>
      <c r="F353" s="93" t="s">
        <v>5</v>
      </c>
      <c r="G353" s="87">
        <f>Table1[[#This Row],[date]]</f>
        <v>45404</v>
      </c>
      <c r="H353" s="94">
        <f>SUMIF($A$2:A3988,G353,$E$2:E3988)</f>
        <v>176.46</v>
      </c>
      <c r="I353" s="93" t="str">
        <f t="shared" si="21"/>
        <v>Monday</v>
      </c>
      <c r="J353" s="93" t="str">
        <f t="shared" si="22"/>
        <v>April</v>
      </c>
      <c r="K353" s="93" t="str">
        <f t="shared" si="23"/>
        <v>2024</v>
      </c>
      <c r="L353" s="6"/>
      <c r="M353" s="6"/>
      <c r="N353" s="6"/>
    </row>
    <row r="354" spans="1:14" x14ac:dyDescent="0.3">
      <c r="A354" s="87">
        <v>45404</v>
      </c>
      <c r="B354" s="87" t="str">
        <f t="shared" si="20"/>
        <v>Monday</v>
      </c>
      <c r="C354" s="88" t="s">
        <v>1381</v>
      </c>
      <c r="D354" s="88" t="s">
        <v>17</v>
      </c>
      <c r="E354" s="89">
        <v>37.72</v>
      </c>
      <c r="F354" s="88" t="s">
        <v>5</v>
      </c>
      <c r="G354" s="87">
        <f>Table1[[#This Row],[date]]</f>
        <v>45404</v>
      </c>
      <c r="H354" s="89">
        <f>SUMIF($A$2:A3989,G354,$E$2:E3989)</f>
        <v>176.46</v>
      </c>
      <c r="I354" s="88" t="str">
        <f t="shared" si="21"/>
        <v>Monday</v>
      </c>
      <c r="J354" s="88" t="str">
        <f t="shared" si="22"/>
        <v>April</v>
      </c>
      <c r="K354" s="88" t="str">
        <f t="shared" si="23"/>
        <v>2024</v>
      </c>
      <c r="L354" s="6"/>
      <c r="M354" s="6"/>
      <c r="N354" s="6"/>
    </row>
    <row r="355" spans="1:14" x14ac:dyDescent="0.3">
      <c r="A355" s="92">
        <v>45404</v>
      </c>
      <c r="B355" s="92" t="str">
        <f t="shared" si="20"/>
        <v>Monday</v>
      </c>
      <c r="C355" s="93" t="s">
        <v>1383</v>
      </c>
      <c r="D355" s="93"/>
      <c r="E355" s="94">
        <v>39</v>
      </c>
      <c r="F355" s="93" t="s">
        <v>41</v>
      </c>
      <c r="G355" s="87">
        <f>Table1[[#This Row],[date]]</f>
        <v>45404</v>
      </c>
      <c r="H355" s="94">
        <f>SUMIF($A$2:A3990,G355,$E$2:E3990)</f>
        <v>176.46</v>
      </c>
      <c r="I355" s="93" t="str">
        <f t="shared" si="21"/>
        <v>Monday</v>
      </c>
      <c r="J355" s="93" t="str">
        <f t="shared" si="22"/>
        <v>April</v>
      </c>
      <c r="K355" s="93" t="str">
        <f t="shared" si="23"/>
        <v>2024</v>
      </c>
      <c r="L355" s="6"/>
      <c r="M355" s="6"/>
      <c r="N355" s="6"/>
    </row>
    <row r="356" spans="1:14" x14ac:dyDescent="0.3">
      <c r="A356" s="87">
        <v>45405</v>
      </c>
      <c r="B356" s="87" t="str">
        <f t="shared" si="20"/>
        <v>Tuesday</v>
      </c>
      <c r="C356" s="88" t="s">
        <v>1381</v>
      </c>
      <c r="D356" s="88" t="s">
        <v>36</v>
      </c>
      <c r="E356" s="89">
        <v>37.72</v>
      </c>
      <c r="F356" s="88" t="s">
        <v>41</v>
      </c>
      <c r="G356" s="87">
        <f>Table1[[#This Row],[date]]</f>
        <v>45405</v>
      </c>
      <c r="H356" s="89">
        <f>SUMIF($A$2:A3991,G356,$E$2:E3991)</f>
        <v>173.89999999999998</v>
      </c>
      <c r="I356" s="88" t="str">
        <f t="shared" si="21"/>
        <v>Tuesday</v>
      </c>
      <c r="J356" s="88" t="str">
        <f t="shared" si="22"/>
        <v>April</v>
      </c>
      <c r="K356" s="88" t="str">
        <f t="shared" si="23"/>
        <v>2024</v>
      </c>
      <c r="L356" s="6"/>
      <c r="M356" s="6"/>
      <c r="N356" s="6"/>
    </row>
    <row r="357" spans="1:14" x14ac:dyDescent="0.3">
      <c r="A357" s="92">
        <v>45405</v>
      </c>
      <c r="B357" s="92" t="str">
        <f t="shared" si="20"/>
        <v>Tuesday</v>
      </c>
      <c r="C357" s="93" t="s">
        <v>1381</v>
      </c>
      <c r="D357" s="93" t="s">
        <v>35</v>
      </c>
      <c r="E357" s="94">
        <v>32.82</v>
      </c>
      <c r="F357" s="93" t="s">
        <v>12</v>
      </c>
      <c r="G357" s="87">
        <f>Table1[[#This Row],[date]]</f>
        <v>45405</v>
      </c>
      <c r="H357" s="94">
        <f>SUMIF($A$2:A3992,G357,$E$2:E3992)</f>
        <v>173.89999999999998</v>
      </c>
      <c r="I357" s="93" t="str">
        <f t="shared" si="21"/>
        <v>Tuesday</v>
      </c>
      <c r="J357" s="93" t="str">
        <f t="shared" si="22"/>
        <v>April</v>
      </c>
      <c r="K357" s="93" t="str">
        <f t="shared" si="23"/>
        <v>2024</v>
      </c>
      <c r="L357" s="6"/>
      <c r="M357" s="6"/>
      <c r="N357" s="6"/>
    </row>
    <row r="358" spans="1:14" x14ac:dyDescent="0.3">
      <c r="A358" s="87">
        <v>45405</v>
      </c>
      <c r="B358" s="87" t="str">
        <f t="shared" si="20"/>
        <v>Tuesday</v>
      </c>
      <c r="C358" s="88" t="s">
        <v>1381</v>
      </c>
      <c r="D358" s="88" t="s">
        <v>17</v>
      </c>
      <c r="E358" s="89">
        <v>37.72</v>
      </c>
      <c r="F358" s="88" t="s">
        <v>41</v>
      </c>
      <c r="G358" s="87">
        <f>Table1[[#This Row],[date]]</f>
        <v>45405</v>
      </c>
      <c r="H358" s="89">
        <f>SUMIF($A$2:A3993,G358,$E$2:E3993)</f>
        <v>173.89999999999998</v>
      </c>
      <c r="I358" s="88" t="str">
        <f t="shared" si="21"/>
        <v>Tuesday</v>
      </c>
      <c r="J358" s="88" t="str">
        <f t="shared" si="22"/>
        <v>April</v>
      </c>
      <c r="K358" s="88" t="str">
        <f t="shared" si="23"/>
        <v>2024</v>
      </c>
      <c r="L358" s="6"/>
      <c r="M358" s="6"/>
      <c r="N358" s="6"/>
    </row>
    <row r="359" spans="1:14" x14ac:dyDescent="0.3">
      <c r="A359" s="92">
        <v>45405</v>
      </c>
      <c r="B359" s="92" t="str">
        <f t="shared" si="20"/>
        <v>Tuesday</v>
      </c>
      <c r="C359" s="93" t="s">
        <v>1381</v>
      </c>
      <c r="D359" s="93" t="s">
        <v>142</v>
      </c>
      <c r="E359" s="94">
        <v>32.82</v>
      </c>
      <c r="F359" s="93" t="s">
        <v>12</v>
      </c>
      <c r="G359" s="87">
        <f>Table1[[#This Row],[date]]</f>
        <v>45405</v>
      </c>
      <c r="H359" s="94">
        <f>SUMIF($A$2:A3994,G359,$E$2:E3994)</f>
        <v>173.89999999999998</v>
      </c>
      <c r="I359" s="93" t="str">
        <f t="shared" si="21"/>
        <v>Tuesday</v>
      </c>
      <c r="J359" s="93" t="str">
        <f t="shared" si="22"/>
        <v>April</v>
      </c>
      <c r="K359" s="93" t="str">
        <f t="shared" si="23"/>
        <v>2024</v>
      </c>
      <c r="L359" s="6"/>
      <c r="M359" s="6"/>
      <c r="N359" s="6"/>
    </row>
    <row r="360" spans="1:14" x14ac:dyDescent="0.3">
      <c r="A360" s="87">
        <v>45405</v>
      </c>
      <c r="B360" s="87" t="str">
        <f t="shared" si="20"/>
        <v>Tuesday</v>
      </c>
      <c r="C360" s="88" t="s">
        <v>1381</v>
      </c>
      <c r="D360" s="88" t="s">
        <v>142</v>
      </c>
      <c r="E360" s="89">
        <v>32.82</v>
      </c>
      <c r="F360" s="88" t="s">
        <v>12</v>
      </c>
      <c r="G360" s="87">
        <f>Table1[[#This Row],[date]]</f>
        <v>45405</v>
      </c>
      <c r="H360" s="89">
        <f>SUMIF($A$2:A3995,G360,$E$2:E3995)</f>
        <v>173.89999999999998</v>
      </c>
      <c r="I360" s="88" t="str">
        <f t="shared" si="21"/>
        <v>Tuesday</v>
      </c>
      <c r="J360" s="88" t="str">
        <f t="shared" si="22"/>
        <v>April</v>
      </c>
      <c r="K360" s="88" t="str">
        <f t="shared" si="23"/>
        <v>2024</v>
      </c>
      <c r="L360" s="6"/>
      <c r="M360" s="6"/>
      <c r="N360" s="6"/>
    </row>
    <row r="361" spans="1:14" x14ac:dyDescent="0.3">
      <c r="A361" s="92">
        <v>45406</v>
      </c>
      <c r="B361" s="92" t="str">
        <f t="shared" si="20"/>
        <v>Wednesday</v>
      </c>
      <c r="C361" s="93" t="s">
        <v>1381</v>
      </c>
      <c r="D361" s="93" t="s">
        <v>4</v>
      </c>
      <c r="E361" s="94">
        <v>37.72</v>
      </c>
      <c r="F361" s="93" t="s">
        <v>5</v>
      </c>
      <c r="G361" s="87">
        <f>Table1[[#This Row],[date]]</f>
        <v>45406</v>
      </c>
      <c r="H361" s="94">
        <f>SUMIF($A$2:A3996,G361,$E$2:E3996)</f>
        <v>272.35999999999996</v>
      </c>
      <c r="I361" s="93" t="str">
        <f t="shared" si="21"/>
        <v>Wednesday</v>
      </c>
      <c r="J361" s="93" t="str">
        <f t="shared" si="22"/>
        <v>April</v>
      </c>
      <c r="K361" s="93" t="str">
        <f t="shared" si="23"/>
        <v>2024</v>
      </c>
      <c r="L361" s="6"/>
      <c r="M361" s="6"/>
      <c r="N361" s="6"/>
    </row>
    <row r="362" spans="1:14" x14ac:dyDescent="0.3">
      <c r="A362" s="87">
        <v>45406</v>
      </c>
      <c r="B362" s="87" t="str">
        <f t="shared" si="20"/>
        <v>Wednesday</v>
      </c>
      <c r="C362" s="88" t="s">
        <v>1381</v>
      </c>
      <c r="D362" s="88" t="s">
        <v>143</v>
      </c>
      <c r="E362" s="89">
        <v>32.82</v>
      </c>
      <c r="F362" s="88" t="s">
        <v>12</v>
      </c>
      <c r="G362" s="87">
        <f>Table1[[#This Row],[date]]</f>
        <v>45406</v>
      </c>
      <c r="H362" s="89">
        <f>SUMIF($A$2:A3997,G362,$E$2:E3997)</f>
        <v>272.35999999999996</v>
      </c>
      <c r="I362" s="88" t="str">
        <f t="shared" si="21"/>
        <v>Wednesday</v>
      </c>
      <c r="J362" s="88" t="str">
        <f t="shared" si="22"/>
        <v>April</v>
      </c>
      <c r="K362" s="88" t="str">
        <f t="shared" si="23"/>
        <v>2024</v>
      </c>
      <c r="L362" s="6"/>
      <c r="M362" s="6"/>
      <c r="N362" s="6"/>
    </row>
    <row r="363" spans="1:14" x14ac:dyDescent="0.3">
      <c r="A363" s="92">
        <v>45406</v>
      </c>
      <c r="B363" s="92" t="str">
        <f t="shared" si="20"/>
        <v>Wednesday</v>
      </c>
      <c r="C363" s="93" t="s">
        <v>1381</v>
      </c>
      <c r="D363" s="93" t="s">
        <v>144</v>
      </c>
      <c r="E363" s="94">
        <v>32.82</v>
      </c>
      <c r="F363" s="93" t="s">
        <v>12</v>
      </c>
      <c r="G363" s="87">
        <f>Table1[[#This Row],[date]]</f>
        <v>45406</v>
      </c>
      <c r="H363" s="94">
        <f>SUMIF($A$2:A3998,G363,$E$2:E3998)</f>
        <v>272.35999999999996</v>
      </c>
      <c r="I363" s="93" t="str">
        <f t="shared" si="21"/>
        <v>Wednesday</v>
      </c>
      <c r="J363" s="93" t="str">
        <f t="shared" si="22"/>
        <v>April</v>
      </c>
      <c r="K363" s="93" t="str">
        <f t="shared" si="23"/>
        <v>2024</v>
      </c>
      <c r="L363" s="6"/>
      <c r="M363" s="6"/>
      <c r="N363" s="6"/>
    </row>
    <row r="364" spans="1:14" x14ac:dyDescent="0.3">
      <c r="A364" s="87">
        <v>45406</v>
      </c>
      <c r="B364" s="87" t="str">
        <f t="shared" si="20"/>
        <v>Wednesday</v>
      </c>
      <c r="C364" s="88" t="s">
        <v>1381</v>
      </c>
      <c r="D364" s="88" t="s">
        <v>145</v>
      </c>
      <c r="E364" s="89">
        <v>32.82</v>
      </c>
      <c r="F364" s="88" t="s">
        <v>12</v>
      </c>
      <c r="G364" s="87">
        <f>Table1[[#This Row],[date]]</f>
        <v>45406</v>
      </c>
      <c r="H364" s="89">
        <f>SUMIF($A$2:A3999,G364,$E$2:E3999)</f>
        <v>272.35999999999996</v>
      </c>
      <c r="I364" s="88" t="str">
        <f t="shared" si="21"/>
        <v>Wednesday</v>
      </c>
      <c r="J364" s="88" t="str">
        <f t="shared" si="22"/>
        <v>April</v>
      </c>
      <c r="K364" s="88" t="str">
        <f t="shared" si="23"/>
        <v>2024</v>
      </c>
      <c r="L364" s="6"/>
      <c r="M364" s="6"/>
      <c r="N364" s="6"/>
    </row>
    <row r="365" spans="1:14" x14ac:dyDescent="0.3">
      <c r="A365" s="92">
        <v>45406</v>
      </c>
      <c r="B365" s="92" t="str">
        <f t="shared" si="20"/>
        <v>Wednesday</v>
      </c>
      <c r="C365" s="93" t="s">
        <v>1381</v>
      </c>
      <c r="D365" s="93" t="s">
        <v>71</v>
      </c>
      <c r="E365" s="94">
        <v>32.82</v>
      </c>
      <c r="F365" s="93" t="s">
        <v>12</v>
      </c>
      <c r="G365" s="87">
        <f>Table1[[#This Row],[date]]</f>
        <v>45406</v>
      </c>
      <c r="H365" s="94">
        <f>SUMIF($A$2:A4000,G365,$E$2:E4000)</f>
        <v>272.35999999999996</v>
      </c>
      <c r="I365" s="93" t="str">
        <f t="shared" si="21"/>
        <v>Wednesday</v>
      </c>
      <c r="J365" s="93" t="str">
        <f t="shared" si="22"/>
        <v>April</v>
      </c>
      <c r="K365" s="93" t="str">
        <f t="shared" si="23"/>
        <v>2024</v>
      </c>
      <c r="L365" s="6"/>
      <c r="M365" s="6"/>
      <c r="N365" s="6"/>
    </row>
    <row r="366" spans="1:14" x14ac:dyDescent="0.3">
      <c r="A366" s="87">
        <v>45406</v>
      </c>
      <c r="B366" s="87" t="str">
        <f t="shared" si="20"/>
        <v>Wednesday</v>
      </c>
      <c r="C366" s="88" t="s">
        <v>1381</v>
      </c>
      <c r="D366" s="88" t="s">
        <v>17</v>
      </c>
      <c r="E366" s="89">
        <v>32.82</v>
      </c>
      <c r="F366" s="88" t="s">
        <v>12</v>
      </c>
      <c r="G366" s="87">
        <f>Table1[[#This Row],[date]]</f>
        <v>45406</v>
      </c>
      <c r="H366" s="89">
        <f>SUMIF($A$2:A4001,G366,$E$2:E4001)</f>
        <v>272.35999999999996</v>
      </c>
      <c r="I366" s="88" t="str">
        <f t="shared" si="21"/>
        <v>Wednesday</v>
      </c>
      <c r="J366" s="88" t="str">
        <f t="shared" si="22"/>
        <v>April</v>
      </c>
      <c r="K366" s="88" t="str">
        <f t="shared" si="23"/>
        <v>2024</v>
      </c>
      <c r="L366" s="6"/>
      <c r="M366" s="6"/>
      <c r="N366" s="6"/>
    </row>
    <row r="367" spans="1:14" x14ac:dyDescent="0.3">
      <c r="A367" s="92">
        <v>45406</v>
      </c>
      <c r="B367" s="92" t="str">
        <f t="shared" si="20"/>
        <v>Wednesday</v>
      </c>
      <c r="C367" s="93" t="s">
        <v>1381</v>
      </c>
      <c r="D367" s="93" t="s">
        <v>146</v>
      </c>
      <c r="E367" s="94">
        <v>32.82</v>
      </c>
      <c r="F367" s="93" t="s">
        <v>12</v>
      </c>
      <c r="G367" s="87">
        <f>Table1[[#This Row],[date]]</f>
        <v>45406</v>
      </c>
      <c r="H367" s="94">
        <f>SUMIF($A$2:A4002,G367,$E$2:E4002)</f>
        <v>272.35999999999996</v>
      </c>
      <c r="I367" s="93" t="str">
        <f t="shared" si="21"/>
        <v>Wednesday</v>
      </c>
      <c r="J367" s="93" t="str">
        <f t="shared" si="22"/>
        <v>April</v>
      </c>
      <c r="K367" s="93" t="str">
        <f t="shared" si="23"/>
        <v>2024</v>
      </c>
      <c r="L367" s="6"/>
      <c r="M367" s="6"/>
      <c r="N367" s="6"/>
    </row>
    <row r="368" spans="1:14" x14ac:dyDescent="0.3">
      <c r="A368" s="87">
        <v>45406</v>
      </c>
      <c r="B368" s="87" t="str">
        <f t="shared" si="20"/>
        <v>Wednesday</v>
      </c>
      <c r="C368" s="88" t="s">
        <v>1381</v>
      </c>
      <c r="D368" s="88" t="s">
        <v>146</v>
      </c>
      <c r="E368" s="89">
        <v>37.72</v>
      </c>
      <c r="F368" s="88" t="s">
        <v>41</v>
      </c>
      <c r="G368" s="87">
        <f>Table1[[#This Row],[date]]</f>
        <v>45406</v>
      </c>
      <c r="H368" s="89">
        <f>SUMIF($A$2:A4003,G368,$E$2:E4003)</f>
        <v>272.35999999999996</v>
      </c>
      <c r="I368" s="88" t="str">
        <f t="shared" si="21"/>
        <v>Wednesday</v>
      </c>
      <c r="J368" s="88" t="str">
        <f t="shared" si="22"/>
        <v>April</v>
      </c>
      <c r="K368" s="88" t="str">
        <f t="shared" si="23"/>
        <v>2024</v>
      </c>
      <c r="L368" s="6"/>
      <c r="M368" s="6"/>
      <c r="N368" s="6"/>
    </row>
    <row r="369" spans="1:14" x14ac:dyDescent="0.3">
      <c r="A369" s="92">
        <v>45407</v>
      </c>
      <c r="B369" s="92" t="str">
        <f t="shared" si="20"/>
        <v>Thursday</v>
      </c>
      <c r="C369" s="93" t="s">
        <v>1381</v>
      </c>
      <c r="D369" s="93" t="s">
        <v>147</v>
      </c>
      <c r="E369" s="94">
        <v>27.92</v>
      </c>
      <c r="F369" s="93" t="s">
        <v>9</v>
      </c>
      <c r="G369" s="87">
        <f>Table1[[#This Row],[date]]</f>
        <v>45407</v>
      </c>
      <c r="H369" s="94">
        <f>SUMIF($A$2:A4004,G369,$E$2:E4004)</f>
        <v>121.48</v>
      </c>
      <c r="I369" s="93" t="str">
        <f t="shared" si="21"/>
        <v>Thursday</v>
      </c>
      <c r="J369" s="93" t="str">
        <f t="shared" si="22"/>
        <v>April</v>
      </c>
      <c r="K369" s="93" t="str">
        <f t="shared" si="23"/>
        <v>2024</v>
      </c>
      <c r="L369" s="6"/>
      <c r="M369" s="6"/>
      <c r="N369" s="6"/>
    </row>
    <row r="370" spans="1:14" x14ac:dyDescent="0.3">
      <c r="A370" s="87">
        <v>45407</v>
      </c>
      <c r="B370" s="87" t="str">
        <f t="shared" si="20"/>
        <v>Thursday</v>
      </c>
      <c r="C370" s="88" t="s">
        <v>1381</v>
      </c>
      <c r="D370" s="88" t="s">
        <v>17</v>
      </c>
      <c r="E370" s="89">
        <v>37.72</v>
      </c>
      <c r="F370" s="88" t="s">
        <v>5</v>
      </c>
      <c r="G370" s="87">
        <f>Table1[[#This Row],[date]]</f>
        <v>45407</v>
      </c>
      <c r="H370" s="89">
        <f>SUMIF($A$2:A4005,G370,$E$2:E4005)</f>
        <v>121.48</v>
      </c>
      <c r="I370" s="88" t="str">
        <f t="shared" si="21"/>
        <v>Thursday</v>
      </c>
      <c r="J370" s="88" t="str">
        <f t="shared" si="22"/>
        <v>April</v>
      </c>
      <c r="K370" s="88" t="str">
        <f t="shared" si="23"/>
        <v>2024</v>
      </c>
      <c r="L370" s="6"/>
      <c r="M370" s="6"/>
      <c r="N370" s="6"/>
    </row>
    <row r="371" spans="1:14" x14ac:dyDescent="0.3">
      <c r="A371" s="92">
        <v>45407</v>
      </c>
      <c r="B371" s="92" t="str">
        <f t="shared" si="20"/>
        <v>Thursday</v>
      </c>
      <c r="C371" s="93" t="s">
        <v>1381</v>
      </c>
      <c r="D371" s="93" t="s">
        <v>21</v>
      </c>
      <c r="E371" s="94">
        <v>27.92</v>
      </c>
      <c r="F371" s="93" t="s">
        <v>9</v>
      </c>
      <c r="G371" s="87">
        <f>Table1[[#This Row],[date]]</f>
        <v>45407</v>
      </c>
      <c r="H371" s="94">
        <f>SUMIF($A$2:A4006,G371,$E$2:E4006)</f>
        <v>121.48</v>
      </c>
      <c r="I371" s="93" t="str">
        <f t="shared" si="21"/>
        <v>Thursday</v>
      </c>
      <c r="J371" s="93" t="str">
        <f t="shared" si="22"/>
        <v>April</v>
      </c>
      <c r="K371" s="93" t="str">
        <f t="shared" si="23"/>
        <v>2024</v>
      </c>
      <c r="L371" s="6"/>
      <c r="M371" s="6"/>
      <c r="N371" s="6"/>
    </row>
    <row r="372" spans="1:14" x14ac:dyDescent="0.3">
      <c r="A372" s="87">
        <v>45407</v>
      </c>
      <c r="B372" s="87" t="str">
        <f t="shared" si="20"/>
        <v>Thursday</v>
      </c>
      <c r="C372" s="88" t="s">
        <v>1381</v>
      </c>
      <c r="D372" s="88" t="s">
        <v>21</v>
      </c>
      <c r="E372" s="89">
        <v>27.92</v>
      </c>
      <c r="F372" s="88" t="s">
        <v>9</v>
      </c>
      <c r="G372" s="87">
        <f>Table1[[#This Row],[date]]</f>
        <v>45407</v>
      </c>
      <c r="H372" s="89">
        <f>SUMIF($A$2:A4007,G372,$E$2:E4007)</f>
        <v>121.48</v>
      </c>
      <c r="I372" s="88" t="str">
        <f t="shared" si="21"/>
        <v>Thursday</v>
      </c>
      <c r="J372" s="88" t="str">
        <f t="shared" si="22"/>
        <v>April</v>
      </c>
      <c r="K372" s="88" t="str">
        <f t="shared" si="23"/>
        <v>2024</v>
      </c>
      <c r="L372" s="6"/>
      <c r="M372" s="6"/>
      <c r="N372" s="6"/>
    </row>
    <row r="373" spans="1:14" x14ac:dyDescent="0.3">
      <c r="A373" s="92">
        <v>45408</v>
      </c>
      <c r="B373" s="92" t="str">
        <f t="shared" si="20"/>
        <v>Friday</v>
      </c>
      <c r="C373" s="93" t="s">
        <v>1381</v>
      </c>
      <c r="D373" s="93" t="s">
        <v>4</v>
      </c>
      <c r="E373" s="94">
        <v>37.72</v>
      </c>
      <c r="F373" s="93" t="s">
        <v>5</v>
      </c>
      <c r="G373" s="87">
        <f>Table1[[#This Row],[date]]</f>
        <v>45408</v>
      </c>
      <c r="H373" s="94">
        <f>SUMIF($A$2:A4008,G373,$E$2:E4008)</f>
        <v>300.28000000000009</v>
      </c>
      <c r="I373" s="93" t="str">
        <f t="shared" si="21"/>
        <v>Friday</v>
      </c>
      <c r="J373" s="93" t="str">
        <f t="shared" si="22"/>
        <v>April</v>
      </c>
      <c r="K373" s="93" t="str">
        <f t="shared" si="23"/>
        <v>2024</v>
      </c>
      <c r="L373" s="6"/>
      <c r="M373" s="6"/>
      <c r="N373" s="6"/>
    </row>
    <row r="374" spans="1:14" x14ac:dyDescent="0.3">
      <c r="A374" s="87">
        <v>45408</v>
      </c>
      <c r="B374" s="87" t="str">
        <f t="shared" si="20"/>
        <v>Friday</v>
      </c>
      <c r="C374" s="88" t="s">
        <v>1381</v>
      </c>
      <c r="D374" s="88" t="s">
        <v>148</v>
      </c>
      <c r="E374" s="89">
        <v>37.72</v>
      </c>
      <c r="F374" s="88" t="s">
        <v>5</v>
      </c>
      <c r="G374" s="87">
        <f>Table1[[#This Row],[date]]</f>
        <v>45408</v>
      </c>
      <c r="H374" s="89">
        <f>SUMIF($A$2:A4009,G374,$E$2:E4009)</f>
        <v>300.28000000000009</v>
      </c>
      <c r="I374" s="88" t="str">
        <f t="shared" si="21"/>
        <v>Friday</v>
      </c>
      <c r="J374" s="88" t="str">
        <f t="shared" si="22"/>
        <v>April</v>
      </c>
      <c r="K374" s="88" t="str">
        <f t="shared" si="23"/>
        <v>2024</v>
      </c>
      <c r="L374" s="6"/>
      <c r="M374" s="6"/>
      <c r="N374" s="6"/>
    </row>
    <row r="375" spans="1:14" x14ac:dyDescent="0.3">
      <c r="A375" s="92">
        <v>45408</v>
      </c>
      <c r="B375" s="92" t="str">
        <f t="shared" si="20"/>
        <v>Friday</v>
      </c>
      <c r="C375" s="93" t="s">
        <v>1381</v>
      </c>
      <c r="D375" s="93" t="s">
        <v>149</v>
      </c>
      <c r="E375" s="94">
        <v>37.72</v>
      </c>
      <c r="F375" s="93" t="s">
        <v>41</v>
      </c>
      <c r="G375" s="87">
        <f>Table1[[#This Row],[date]]</f>
        <v>45408</v>
      </c>
      <c r="H375" s="94">
        <f>SUMIF($A$2:A4010,G375,$E$2:E4010)</f>
        <v>300.28000000000009</v>
      </c>
      <c r="I375" s="93" t="str">
        <f t="shared" si="21"/>
        <v>Friday</v>
      </c>
      <c r="J375" s="93" t="str">
        <f t="shared" si="22"/>
        <v>April</v>
      </c>
      <c r="K375" s="93" t="str">
        <f t="shared" si="23"/>
        <v>2024</v>
      </c>
      <c r="L375" s="6"/>
      <c r="M375" s="6"/>
      <c r="N375" s="6"/>
    </row>
    <row r="376" spans="1:14" x14ac:dyDescent="0.3">
      <c r="A376" s="87">
        <v>45408</v>
      </c>
      <c r="B376" s="87" t="str">
        <f t="shared" si="20"/>
        <v>Friday</v>
      </c>
      <c r="C376" s="88" t="s">
        <v>1381</v>
      </c>
      <c r="D376" s="88" t="s">
        <v>21</v>
      </c>
      <c r="E376" s="89">
        <v>27.92</v>
      </c>
      <c r="F376" s="88" t="s">
        <v>9</v>
      </c>
      <c r="G376" s="87">
        <f>Table1[[#This Row],[date]]</f>
        <v>45408</v>
      </c>
      <c r="H376" s="89">
        <f>SUMIF($A$2:A4011,G376,$E$2:E4011)</f>
        <v>300.28000000000009</v>
      </c>
      <c r="I376" s="88" t="str">
        <f t="shared" si="21"/>
        <v>Friday</v>
      </c>
      <c r="J376" s="88" t="str">
        <f t="shared" si="22"/>
        <v>April</v>
      </c>
      <c r="K376" s="88" t="str">
        <f t="shared" si="23"/>
        <v>2024</v>
      </c>
      <c r="L376" s="6"/>
      <c r="M376" s="6"/>
      <c r="N376" s="6"/>
    </row>
    <row r="377" spans="1:14" x14ac:dyDescent="0.3">
      <c r="A377" s="92">
        <v>45408</v>
      </c>
      <c r="B377" s="92" t="str">
        <f t="shared" si="20"/>
        <v>Friday</v>
      </c>
      <c r="C377" s="93" t="s">
        <v>1381</v>
      </c>
      <c r="D377" s="93" t="s">
        <v>21</v>
      </c>
      <c r="E377" s="94">
        <v>27.92</v>
      </c>
      <c r="F377" s="93" t="s">
        <v>9</v>
      </c>
      <c r="G377" s="87">
        <f>Table1[[#This Row],[date]]</f>
        <v>45408</v>
      </c>
      <c r="H377" s="94">
        <f>SUMIF($A$2:A4012,G377,$E$2:E4012)</f>
        <v>300.28000000000009</v>
      </c>
      <c r="I377" s="93" t="str">
        <f t="shared" si="21"/>
        <v>Friday</v>
      </c>
      <c r="J377" s="93" t="str">
        <f t="shared" si="22"/>
        <v>April</v>
      </c>
      <c r="K377" s="93" t="str">
        <f t="shared" si="23"/>
        <v>2024</v>
      </c>
      <c r="L377" s="6"/>
      <c r="M377" s="6"/>
      <c r="N377" s="6"/>
    </row>
    <row r="378" spans="1:14" x14ac:dyDescent="0.3">
      <c r="A378" s="87">
        <v>45408</v>
      </c>
      <c r="B378" s="87" t="str">
        <f t="shared" si="20"/>
        <v>Friday</v>
      </c>
      <c r="C378" s="88" t="s">
        <v>1381</v>
      </c>
      <c r="D378" s="88" t="s">
        <v>150</v>
      </c>
      <c r="E378" s="89">
        <v>27.92</v>
      </c>
      <c r="F378" s="88" t="s">
        <v>26</v>
      </c>
      <c r="G378" s="87">
        <f>Table1[[#This Row],[date]]</f>
        <v>45408</v>
      </c>
      <c r="H378" s="89">
        <f>SUMIF($A$2:A4013,G378,$E$2:E4013)</f>
        <v>300.28000000000009</v>
      </c>
      <c r="I378" s="88" t="str">
        <f t="shared" si="21"/>
        <v>Friday</v>
      </c>
      <c r="J378" s="88" t="str">
        <f t="shared" si="22"/>
        <v>April</v>
      </c>
      <c r="K378" s="88" t="str">
        <f t="shared" si="23"/>
        <v>2024</v>
      </c>
      <c r="L378" s="6"/>
      <c r="M378" s="6"/>
      <c r="N378" s="6"/>
    </row>
    <row r="379" spans="1:14" x14ac:dyDescent="0.3">
      <c r="A379" s="92">
        <v>45408</v>
      </c>
      <c r="B379" s="92" t="str">
        <f t="shared" si="20"/>
        <v>Friday</v>
      </c>
      <c r="C379" s="93" t="s">
        <v>1381</v>
      </c>
      <c r="D379" s="93" t="s">
        <v>151</v>
      </c>
      <c r="E379" s="94">
        <v>27.92</v>
      </c>
      <c r="F379" s="93" t="s">
        <v>9</v>
      </c>
      <c r="G379" s="87">
        <f>Table1[[#This Row],[date]]</f>
        <v>45408</v>
      </c>
      <c r="H379" s="94">
        <f>SUMIF($A$2:A4014,G379,$E$2:E4014)</f>
        <v>300.28000000000009</v>
      </c>
      <c r="I379" s="93" t="str">
        <f t="shared" si="21"/>
        <v>Friday</v>
      </c>
      <c r="J379" s="93" t="str">
        <f t="shared" si="22"/>
        <v>April</v>
      </c>
      <c r="K379" s="93" t="str">
        <f t="shared" si="23"/>
        <v>2024</v>
      </c>
      <c r="L379" s="6"/>
      <c r="M379" s="6"/>
      <c r="N379" s="6"/>
    </row>
    <row r="380" spans="1:14" x14ac:dyDescent="0.3">
      <c r="A380" s="87">
        <v>45408</v>
      </c>
      <c r="B380" s="87" t="str">
        <f t="shared" si="20"/>
        <v>Friday</v>
      </c>
      <c r="C380" s="88" t="s">
        <v>1381</v>
      </c>
      <c r="D380" s="88" t="s">
        <v>17</v>
      </c>
      <c r="E380" s="89">
        <v>37.72</v>
      </c>
      <c r="F380" s="88" t="s">
        <v>7</v>
      </c>
      <c r="G380" s="87">
        <f>Table1[[#This Row],[date]]</f>
        <v>45408</v>
      </c>
      <c r="H380" s="89">
        <f>SUMIF($A$2:A4015,G380,$E$2:E4015)</f>
        <v>300.28000000000009</v>
      </c>
      <c r="I380" s="88" t="str">
        <f t="shared" si="21"/>
        <v>Friday</v>
      </c>
      <c r="J380" s="88" t="str">
        <f t="shared" si="22"/>
        <v>April</v>
      </c>
      <c r="K380" s="88" t="str">
        <f t="shared" si="23"/>
        <v>2024</v>
      </c>
      <c r="L380" s="6"/>
      <c r="M380" s="6"/>
      <c r="N380" s="6"/>
    </row>
    <row r="381" spans="1:14" x14ac:dyDescent="0.3">
      <c r="A381" s="92">
        <v>45408</v>
      </c>
      <c r="B381" s="92" t="str">
        <f t="shared" si="20"/>
        <v>Friday</v>
      </c>
      <c r="C381" s="93" t="s">
        <v>1381</v>
      </c>
      <c r="D381" s="93" t="s">
        <v>17</v>
      </c>
      <c r="E381" s="94">
        <v>37.72</v>
      </c>
      <c r="F381" s="93" t="s">
        <v>16</v>
      </c>
      <c r="G381" s="87">
        <f>Table1[[#This Row],[date]]</f>
        <v>45408</v>
      </c>
      <c r="H381" s="94">
        <f>SUMIF($A$2:A4016,G381,$E$2:E4016)</f>
        <v>300.28000000000009</v>
      </c>
      <c r="I381" s="93" t="str">
        <f t="shared" si="21"/>
        <v>Friday</v>
      </c>
      <c r="J381" s="93" t="str">
        <f t="shared" si="22"/>
        <v>April</v>
      </c>
      <c r="K381" s="93" t="str">
        <f t="shared" si="23"/>
        <v>2024</v>
      </c>
      <c r="L381" s="6"/>
      <c r="M381" s="6"/>
      <c r="N381" s="6"/>
    </row>
    <row r="382" spans="1:14" x14ac:dyDescent="0.3">
      <c r="A382" s="87">
        <v>45409</v>
      </c>
      <c r="B382" s="87" t="str">
        <f t="shared" si="20"/>
        <v>Saturday</v>
      </c>
      <c r="C382" s="88" t="s">
        <v>1381</v>
      </c>
      <c r="D382" s="88" t="s">
        <v>17</v>
      </c>
      <c r="E382" s="89">
        <v>37.72</v>
      </c>
      <c r="F382" s="88" t="s">
        <v>41</v>
      </c>
      <c r="G382" s="87">
        <f>Table1[[#This Row],[date]]</f>
        <v>45409</v>
      </c>
      <c r="H382" s="89">
        <f>SUMIF($A$2:A4017,G382,$E$2:E4017)</f>
        <v>37.72</v>
      </c>
      <c r="I382" s="88" t="str">
        <f t="shared" si="21"/>
        <v>Saturday</v>
      </c>
      <c r="J382" s="88" t="str">
        <f t="shared" si="22"/>
        <v>April</v>
      </c>
      <c r="K382" s="88" t="str">
        <f t="shared" si="23"/>
        <v>2024</v>
      </c>
      <c r="L382" s="6"/>
      <c r="M382" s="6"/>
      <c r="N382" s="6"/>
    </row>
    <row r="383" spans="1:14" x14ac:dyDescent="0.3">
      <c r="A383" s="92">
        <v>45410</v>
      </c>
      <c r="B383" s="92" t="str">
        <f t="shared" si="20"/>
        <v>Sunday</v>
      </c>
      <c r="C383" s="93" t="s">
        <v>1381</v>
      </c>
      <c r="D383" s="93" t="s">
        <v>4</v>
      </c>
      <c r="E383" s="94">
        <v>37.72</v>
      </c>
      <c r="F383" s="93" t="s">
        <v>5</v>
      </c>
      <c r="G383" s="87">
        <f>Table1[[#This Row],[date]]</f>
        <v>45410</v>
      </c>
      <c r="H383" s="94">
        <f>SUMIF($A$2:A4018,G383,$E$2:E4018)</f>
        <v>169</v>
      </c>
      <c r="I383" s="93" t="str">
        <f t="shared" si="21"/>
        <v>Sunday</v>
      </c>
      <c r="J383" s="93" t="str">
        <f t="shared" si="22"/>
        <v>April</v>
      </c>
      <c r="K383" s="93" t="str">
        <f t="shared" si="23"/>
        <v>2024</v>
      </c>
      <c r="L383" s="6"/>
      <c r="M383" s="6"/>
      <c r="N383" s="6"/>
    </row>
    <row r="384" spans="1:14" x14ac:dyDescent="0.3">
      <c r="A384" s="87">
        <v>45410</v>
      </c>
      <c r="B384" s="87" t="str">
        <f t="shared" si="20"/>
        <v>Sunday</v>
      </c>
      <c r="C384" s="88" t="s">
        <v>1381</v>
      </c>
      <c r="D384" s="88" t="s">
        <v>152</v>
      </c>
      <c r="E384" s="89">
        <v>37.72</v>
      </c>
      <c r="F384" s="88" t="s">
        <v>41</v>
      </c>
      <c r="G384" s="87">
        <f>Table1[[#This Row],[date]]</f>
        <v>45410</v>
      </c>
      <c r="H384" s="89">
        <f>SUMIF($A$2:A4019,G384,$E$2:E4019)</f>
        <v>169</v>
      </c>
      <c r="I384" s="88" t="str">
        <f t="shared" si="21"/>
        <v>Sunday</v>
      </c>
      <c r="J384" s="88" t="str">
        <f t="shared" si="22"/>
        <v>April</v>
      </c>
      <c r="K384" s="88" t="str">
        <f t="shared" si="23"/>
        <v>2024</v>
      </c>
      <c r="L384" s="6"/>
      <c r="M384" s="6"/>
      <c r="N384" s="6"/>
    </row>
    <row r="385" spans="1:14" x14ac:dyDescent="0.3">
      <c r="A385" s="92">
        <v>45410</v>
      </c>
      <c r="B385" s="92" t="str">
        <f t="shared" si="20"/>
        <v>Sunday</v>
      </c>
      <c r="C385" s="93" t="s">
        <v>1381</v>
      </c>
      <c r="D385" s="93" t="s">
        <v>21</v>
      </c>
      <c r="E385" s="94">
        <v>27.92</v>
      </c>
      <c r="F385" s="93" t="s">
        <v>9</v>
      </c>
      <c r="G385" s="87">
        <f>Table1[[#This Row],[date]]</f>
        <v>45410</v>
      </c>
      <c r="H385" s="94">
        <f>SUMIF($A$2:A4020,G385,$E$2:E4020)</f>
        <v>169</v>
      </c>
      <c r="I385" s="93" t="str">
        <f t="shared" si="21"/>
        <v>Sunday</v>
      </c>
      <c r="J385" s="93" t="str">
        <f t="shared" si="22"/>
        <v>April</v>
      </c>
      <c r="K385" s="93" t="str">
        <f t="shared" si="23"/>
        <v>2024</v>
      </c>
      <c r="L385" s="6"/>
      <c r="M385" s="6"/>
      <c r="N385" s="6"/>
    </row>
    <row r="386" spans="1:14" x14ac:dyDescent="0.3">
      <c r="A386" s="87">
        <v>45410</v>
      </c>
      <c r="B386" s="87" t="str">
        <f t="shared" ref="B386:B449" si="24">TEXT(A386,"dddd")</f>
        <v>Sunday</v>
      </c>
      <c r="C386" s="88" t="s">
        <v>1381</v>
      </c>
      <c r="D386" s="88" t="s">
        <v>21</v>
      </c>
      <c r="E386" s="89">
        <v>27.92</v>
      </c>
      <c r="F386" s="88" t="s">
        <v>9</v>
      </c>
      <c r="G386" s="87">
        <f>Table1[[#This Row],[date]]</f>
        <v>45410</v>
      </c>
      <c r="H386" s="89">
        <f>SUMIF($A$2:A4021,G386,$E$2:E4021)</f>
        <v>169</v>
      </c>
      <c r="I386" s="88" t="str">
        <f t="shared" si="21"/>
        <v>Sunday</v>
      </c>
      <c r="J386" s="88" t="str">
        <f t="shared" si="22"/>
        <v>April</v>
      </c>
      <c r="K386" s="88" t="str">
        <f t="shared" si="23"/>
        <v>2024</v>
      </c>
      <c r="L386" s="6"/>
      <c r="M386" s="6"/>
      <c r="N386" s="6"/>
    </row>
    <row r="387" spans="1:14" x14ac:dyDescent="0.3">
      <c r="A387" s="92">
        <v>45410</v>
      </c>
      <c r="B387" s="92" t="str">
        <f t="shared" si="24"/>
        <v>Sunday</v>
      </c>
      <c r="C387" s="93" t="s">
        <v>1381</v>
      </c>
      <c r="D387" s="93" t="s">
        <v>29</v>
      </c>
      <c r="E387" s="94">
        <v>37.72</v>
      </c>
      <c r="F387" s="93" t="s">
        <v>5</v>
      </c>
      <c r="G387" s="87">
        <f>Table1[[#This Row],[date]]</f>
        <v>45410</v>
      </c>
      <c r="H387" s="94">
        <f>SUMIF($A$2:A4022,G387,$E$2:E4022)</f>
        <v>169</v>
      </c>
      <c r="I387" s="93" t="str">
        <f t="shared" si="21"/>
        <v>Sunday</v>
      </c>
      <c r="J387" s="93" t="str">
        <f t="shared" si="22"/>
        <v>April</v>
      </c>
      <c r="K387" s="93" t="str">
        <f t="shared" si="23"/>
        <v>2024</v>
      </c>
      <c r="L387" s="6"/>
      <c r="M387" s="6"/>
      <c r="N387" s="6"/>
    </row>
    <row r="388" spans="1:14" x14ac:dyDescent="0.3">
      <c r="A388" s="87">
        <v>45411</v>
      </c>
      <c r="B388" s="87" t="str">
        <f t="shared" si="24"/>
        <v>Monday</v>
      </c>
      <c r="C388" s="88" t="s">
        <v>1381</v>
      </c>
      <c r="D388" s="88" t="s">
        <v>153</v>
      </c>
      <c r="E388" s="89">
        <v>27.92</v>
      </c>
      <c r="F388" s="88" t="s">
        <v>26</v>
      </c>
      <c r="G388" s="87">
        <f>Table1[[#This Row],[date]]</f>
        <v>45411</v>
      </c>
      <c r="H388" s="89">
        <f>SUMIF($A$2:A4023,G388,$E$2:E4023)</f>
        <v>219.94</v>
      </c>
      <c r="I388" s="88" t="str">
        <f t="shared" si="21"/>
        <v>Monday</v>
      </c>
      <c r="J388" s="88" t="str">
        <f t="shared" si="22"/>
        <v>April</v>
      </c>
      <c r="K388" s="88" t="str">
        <f t="shared" si="23"/>
        <v>2024</v>
      </c>
      <c r="L388" s="6"/>
      <c r="M388" s="6"/>
      <c r="N388" s="6"/>
    </row>
    <row r="389" spans="1:14" x14ac:dyDescent="0.3">
      <c r="A389" s="92">
        <v>45411</v>
      </c>
      <c r="B389" s="92" t="str">
        <f t="shared" si="24"/>
        <v>Monday</v>
      </c>
      <c r="C389" s="93" t="s">
        <v>1381</v>
      </c>
      <c r="D389" s="93" t="s">
        <v>8</v>
      </c>
      <c r="E389" s="94">
        <v>27.92</v>
      </c>
      <c r="F389" s="93" t="s">
        <v>9</v>
      </c>
      <c r="G389" s="87">
        <f>Table1[[#This Row],[date]]</f>
        <v>45411</v>
      </c>
      <c r="H389" s="94">
        <f>SUMIF($A$2:A4024,G389,$E$2:E4024)</f>
        <v>219.94</v>
      </c>
      <c r="I389" s="93" t="str">
        <f>TEXT(G389,"dddd")</f>
        <v>Monday</v>
      </c>
      <c r="J389" s="93" t="str">
        <f t="shared" si="22"/>
        <v>April</v>
      </c>
      <c r="K389" s="93" t="str">
        <f t="shared" si="23"/>
        <v>2024</v>
      </c>
      <c r="L389" s="6"/>
      <c r="M389" s="6"/>
      <c r="N389" s="6"/>
    </row>
    <row r="390" spans="1:14" x14ac:dyDescent="0.3">
      <c r="A390" s="87">
        <v>45411</v>
      </c>
      <c r="B390" s="87" t="str">
        <f t="shared" si="24"/>
        <v>Monday</v>
      </c>
      <c r="C390" s="88" t="s">
        <v>1381</v>
      </c>
      <c r="D390" s="88" t="s">
        <v>8</v>
      </c>
      <c r="E390" s="89">
        <v>27.92</v>
      </c>
      <c r="F390" s="88" t="s">
        <v>26</v>
      </c>
      <c r="G390" s="87">
        <f>Table1[[#This Row],[date]]</f>
        <v>45411</v>
      </c>
      <c r="H390" s="94">
        <f>SUMIF($A$2:A4025,G390,$E$2:E4025)</f>
        <v>219.94</v>
      </c>
      <c r="I390" s="93" t="str">
        <f t="shared" ref="I390:I453" si="25">TEXT(G390,"dddd")</f>
        <v>Monday</v>
      </c>
      <c r="J390" s="93" t="str">
        <f t="shared" si="22"/>
        <v>April</v>
      </c>
      <c r="K390" s="93" t="str">
        <f>TEXT(G390,"yyyy")</f>
        <v>2024</v>
      </c>
      <c r="L390" s="6"/>
      <c r="M390" s="6"/>
      <c r="N390" s="6"/>
    </row>
    <row r="391" spans="1:14" x14ac:dyDescent="0.3">
      <c r="A391" s="92">
        <v>45411</v>
      </c>
      <c r="B391" s="92" t="str">
        <f t="shared" si="24"/>
        <v>Monday</v>
      </c>
      <c r="C391" s="93" t="s">
        <v>1381</v>
      </c>
      <c r="D391" s="93" t="s">
        <v>153</v>
      </c>
      <c r="E391" s="94">
        <v>27.92</v>
      </c>
      <c r="F391" s="93" t="s">
        <v>26</v>
      </c>
      <c r="G391" s="87">
        <f>Table1[[#This Row],[date]]</f>
        <v>45411</v>
      </c>
      <c r="H391" s="94">
        <f>SUMIF($A$2:A4026,G391,$E$2:E4026)</f>
        <v>219.94</v>
      </c>
      <c r="I391" s="93" t="str">
        <f t="shared" si="25"/>
        <v>Monday</v>
      </c>
      <c r="J391" s="93" t="str">
        <f t="shared" ref="J391:J454" si="26">TEXT(G391,"mmmm")</f>
        <v>April</v>
      </c>
      <c r="K391" s="93" t="str">
        <f t="shared" ref="K391:K454" si="27">TEXT(G391,"yyyy")</f>
        <v>2024</v>
      </c>
      <c r="L391" s="6"/>
      <c r="M391" s="6"/>
      <c r="N391" s="6"/>
    </row>
    <row r="392" spans="1:14" x14ac:dyDescent="0.3">
      <c r="A392" s="87">
        <v>45411</v>
      </c>
      <c r="B392" s="87" t="str">
        <f t="shared" si="24"/>
        <v>Monday</v>
      </c>
      <c r="C392" s="88" t="s">
        <v>1381</v>
      </c>
      <c r="D392" s="88" t="s">
        <v>153</v>
      </c>
      <c r="E392" s="89">
        <v>32.82</v>
      </c>
      <c r="F392" s="88" t="s">
        <v>12</v>
      </c>
      <c r="G392" s="87">
        <f>Table1[[#This Row],[date]]</f>
        <v>45411</v>
      </c>
      <c r="H392" s="94">
        <f>SUMIF($A$2:A4027,G392,$E$2:E4027)</f>
        <v>219.94</v>
      </c>
      <c r="I392" s="93" t="str">
        <f t="shared" si="25"/>
        <v>Monday</v>
      </c>
      <c r="J392" s="93" t="str">
        <f t="shared" si="26"/>
        <v>April</v>
      </c>
      <c r="K392" s="93" t="str">
        <f t="shared" si="27"/>
        <v>2024</v>
      </c>
      <c r="L392" s="6"/>
      <c r="M392" s="6"/>
      <c r="N392" s="6"/>
    </row>
    <row r="393" spans="1:14" x14ac:dyDescent="0.3">
      <c r="A393" s="92">
        <v>45411</v>
      </c>
      <c r="B393" s="92" t="str">
        <f t="shared" si="24"/>
        <v>Monday</v>
      </c>
      <c r="C393" s="93" t="s">
        <v>1381</v>
      </c>
      <c r="D393" s="93" t="s">
        <v>152</v>
      </c>
      <c r="E393" s="94">
        <v>37.72</v>
      </c>
      <c r="F393" s="93" t="s">
        <v>41</v>
      </c>
      <c r="G393" s="87">
        <f>Table1[[#This Row],[date]]</f>
        <v>45411</v>
      </c>
      <c r="H393" s="94">
        <f>SUMIF($A$2:A4028,G393,$E$2:E4028)</f>
        <v>219.94</v>
      </c>
      <c r="I393" s="93" t="str">
        <f t="shared" si="25"/>
        <v>Monday</v>
      </c>
      <c r="J393" s="93" t="str">
        <f t="shared" si="26"/>
        <v>April</v>
      </c>
      <c r="K393" s="93" t="str">
        <f t="shared" si="27"/>
        <v>2024</v>
      </c>
      <c r="L393" s="6"/>
      <c r="M393" s="6"/>
      <c r="N393" s="6"/>
    </row>
    <row r="394" spans="1:14" x14ac:dyDescent="0.3">
      <c r="A394" s="87">
        <v>45411</v>
      </c>
      <c r="B394" s="87" t="str">
        <f t="shared" si="24"/>
        <v>Monday</v>
      </c>
      <c r="C394" s="88" t="s">
        <v>1381</v>
      </c>
      <c r="D394" s="88" t="s">
        <v>146</v>
      </c>
      <c r="E394" s="89">
        <v>37.72</v>
      </c>
      <c r="F394" s="88" t="s">
        <v>41</v>
      </c>
      <c r="G394" s="87">
        <f>Table1[[#This Row],[date]]</f>
        <v>45411</v>
      </c>
      <c r="H394" s="94">
        <f>SUMIF($A$2:A4029,G394,$E$2:E4029)</f>
        <v>219.94</v>
      </c>
      <c r="I394" s="93" t="str">
        <f t="shared" si="25"/>
        <v>Monday</v>
      </c>
      <c r="J394" s="93" t="str">
        <f t="shared" si="26"/>
        <v>April</v>
      </c>
      <c r="K394" s="93" t="str">
        <f t="shared" si="27"/>
        <v>2024</v>
      </c>
      <c r="L394" s="6"/>
      <c r="M394" s="6"/>
      <c r="N394" s="6"/>
    </row>
    <row r="395" spans="1:14" x14ac:dyDescent="0.3">
      <c r="A395" s="87">
        <v>45412</v>
      </c>
      <c r="B395" s="87" t="str">
        <f t="shared" si="24"/>
        <v>Tuesday</v>
      </c>
      <c r="C395" s="88" t="s">
        <v>1381</v>
      </c>
      <c r="D395" s="88" t="s">
        <v>154</v>
      </c>
      <c r="E395" s="89">
        <v>37.72</v>
      </c>
      <c r="F395" s="88" t="s">
        <v>5</v>
      </c>
      <c r="G395" s="87">
        <f>Table1[[#This Row],[date]]</f>
        <v>45412</v>
      </c>
      <c r="H395" s="94">
        <f>SUMIF($A$2:A4030,G395,$E$2:E4030)</f>
        <v>136.18</v>
      </c>
      <c r="I395" s="93" t="str">
        <f t="shared" si="25"/>
        <v>Tuesday</v>
      </c>
      <c r="J395" s="93" t="str">
        <f t="shared" si="26"/>
        <v>April</v>
      </c>
      <c r="K395" s="93" t="str">
        <f t="shared" si="27"/>
        <v>2024</v>
      </c>
      <c r="L395" s="6"/>
      <c r="M395" s="6"/>
      <c r="N395" s="6"/>
    </row>
    <row r="396" spans="1:14" x14ac:dyDescent="0.3">
      <c r="A396" s="92">
        <v>45412</v>
      </c>
      <c r="B396" s="92" t="str">
        <f t="shared" si="24"/>
        <v>Tuesday</v>
      </c>
      <c r="C396" s="93" t="s">
        <v>1381</v>
      </c>
      <c r="D396" s="93" t="s">
        <v>154</v>
      </c>
      <c r="E396" s="94">
        <v>32.82</v>
      </c>
      <c r="F396" s="93" t="s">
        <v>12</v>
      </c>
      <c r="G396" s="87">
        <f>Table1[[#This Row],[date]]</f>
        <v>45412</v>
      </c>
      <c r="H396" s="94">
        <f>SUMIF($A$2:A4031,G396,$E$2:E4031)</f>
        <v>136.18</v>
      </c>
      <c r="I396" s="93" t="str">
        <f t="shared" si="25"/>
        <v>Tuesday</v>
      </c>
      <c r="J396" s="93" t="str">
        <f t="shared" si="26"/>
        <v>April</v>
      </c>
      <c r="K396" s="93" t="str">
        <f t="shared" si="27"/>
        <v>2024</v>
      </c>
      <c r="L396" s="6"/>
      <c r="M396" s="6"/>
      <c r="N396" s="6"/>
    </row>
    <row r="397" spans="1:14" x14ac:dyDescent="0.3">
      <c r="A397" s="92">
        <v>45412</v>
      </c>
      <c r="B397" s="92" t="str">
        <f t="shared" si="24"/>
        <v>Tuesday</v>
      </c>
      <c r="C397" s="93" t="s">
        <v>1381</v>
      </c>
      <c r="D397" s="93" t="s">
        <v>154</v>
      </c>
      <c r="E397" s="94">
        <v>27.92</v>
      </c>
      <c r="F397" s="93" t="s">
        <v>9</v>
      </c>
      <c r="G397" s="87">
        <f>Table1[[#This Row],[date]]</f>
        <v>45412</v>
      </c>
      <c r="H397" s="94">
        <f>SUMIF($A$2:A4032,G397,$E$2:E4032)</f>
        <v>136.18</v>
      </c>
      <c r="I397" s="93" t="str">
        <f t="shared" si="25"/>
        <v>Tuesday</v>
      </c>
      <c r="J397" s="93" t="str">
        <f t="shared" si="26"/>
        <v>April</v>
      </c>
      <c r="K397" s="93" t="str">
        <f t="shared" si="27"/>
        <v>2024</v>
      </c>
      <c r="L397" s="6"/>
      <c r="M397" s="6"/>
      <c r="N397" s="6"/>
    </row>
    <row r="398" spans="1:14" x14ac:dyDescent="0.3">
      <c r="A398" s="92">
        <v>45412</v>
      </c>
      <c r="B398" s="92" t="str">
        <f t="shared" si="24"/>
        <v>Tuesday</v>
      </c>
      <c r="C398" s="93" t="s">
        <v>1381</v>
      </c>
      <c r="D398" s="93" t="s">
        <v>154</v>
      </c>
      <c r="E398" s="94">
        <v>37.72</v>
      </c>
      <c r="F398" s="93" t="s">
        <v>41</v>
      </c>
      <c r="G398" s="87">
        <f>Table1[[#This Row],[date]]</f>
        <v>45412</v>
      </c>
      <c r="H398" s="94">
        <f>SUMIF($A$2:A4033,G398,$E$2:E4033)</f>
        <v>136.18</v>
      </c>
      <c r="I398" s="93" t="str">
        <f t="shared" si="25"/>
        <v>Tuesday</v>
      </c>
      <c r="J398" s="93" t="str">
        <f t="shared" si="26"/>
        <v>April</v>
      </c>
      <c r="K398" s="93" t="str">
        <f t="shared" si="27"/>
        <v>2024</v>
      </c>
      <c r="L398" s="6"/>
      <c r="M398" s="6"/>
      <c r="N398" s="6"/>
    </row>
    <row r="399" spans="1:14" x14ac:dyDescent="0.3">
      <c r="A399" s="87">
        <v>45414</v>
      </c>
      <c r="B399" s="87" t="str">
        <f t="shared" si="24"/>
        <v>Thursday</v>
      </c>
      <c r="C399" s="88" t="s">
        <v>1381</v>
      </c>
      <c r="D399" s="88" t="s">
        <v>155</v>
      </c>
      <c r="E399" s="89">
        <v>27.92</v>
      </c>
      <c r="F399" s="88" t="s">
        <v>9</v>
      </c>
      <c r="G399" s="87">
        <f>Table1[[#This Row],[date]]</f>
        <v>45414</v>
      </c>
      <c r="H399" s="94">
        <f>SUMIF($A$2:A4034,G399,$E$2:E4034)</f>
        <v>245.72</v>
      </c>
      <c r="I399" s="93" t="str">
        <f t="shared" si="25"/>
        <v>Thursday</v>
      </c>
      <c r="J399" s="93" t="str">
        <f t="shared" si="26"/>
        <v>May</v>
      </c>
      <c r="K399" s="93" t="str">
        <f t="shared" si="27"/>
        <v>2024</v>
      </c>
      <c r="L399" s="6"/>
      <c r="M399" s="6"/>
      <c r="N399" s="6"/>
    </row>
    <row r="400" spans="1:14" x14ac:dyDescent="0.3">
      <c r="A400" s="92">
        <v>45414</v>
      </c>
      <c r="B400" s="92" t="str">
        <f t="shared" si="24"/>
        <v>Thursday</v>
      </c>
      <c r="C400" s="93" t="s">
        <v>1383</v>
      </c>
      <c r="D400" s="93"/>
      <c r="E400" s="94">
        <v>39</v>
      </c>
      <c r="F400" s="93" t="s">
        <v>5</v>
      </c>
      <c r="G400" s="87">
        <f>Table1[[#This Row],[date]]</f>
        <v>45414</v>
      </c>
      <c r="H400" s="94">
        <f>SUMIF($A$2:A4035,G400,$E$2:E4035)</f>
        <v>245.72</v>
      </c>
      <c r="I400" s="93" t="str">
        <f t="shared" si="25"/>
        <v>Thursday</v>
      </c>
      <c r="J400" s="93" t="str">
        <f t="shared" si="26"/>
        <v>May</v>
      </c>
      <c r="K400" s="93" t="str">
        <f t="shared" si="27"/>
        <v>2024</v>
      </c>
      <c r="L400" s="6"/>
      <c r="M400" s="6"/>
      <c r="N400" s="6"/>
    </row>
    <row r="401" spans="1:14" x14ac:dyDescent="0.3">
      <c r="A401" s="87">
        <v>45414</v>
      </c>
      <c r="B401" s="87" t="str">
        <f t="shared" si="24"/>
        <v>Thursday</v>
      </c>
      <c r="C401" s="88" t="s">
        <v>1381</v>
      </c>
      <c r="D401" s="88" t="s">
        <v>145</v>
      </c>
      <c r="E401" s="89">
        <v>32.82</v>
      </c>
      <c r="F401" s="88" t="s">
        <v>12</v>
      </c>
      <c r="G401" s="87">
        <f>Table1[[#This Row],[date]]</f>
        <v>45414</v>
      </c>
      <c r="H401" s="94">
        <f>SUMIF($A$2:A4036,G401,$E$2:E4036)</f>
        <v>245.72</v>
      </c>
      <c r="I401" s="93" t="str">
        <f t="shared" si="25"/>
        <v>Thursday</v>
      </c>
      <c r="J401" s="93" t="str">
        <f t="shared" si="26"/>
        <v>May</v>
      </c>
      <c r="K401" s="93" t="str">
        <f t="shared" si="27"/>
        <v>2024</v>
      </c>
      <c r="L401" s="6"/>
      <c r="M401" s="6"/>
      <c r="N401" s="6"/>
    </row>
    <row r="402" spans="1:14" x14ac:dyDescent="0.3">
      <c r="A402" s="92">
        <v>45414</v>
      </c>
      <c r="B402" s="92" t="str">
        <f t="shared" si="24"/>
        <v>Thursday</v>
      </c>
      <c r="C402" s="93" t="s">
        <v>1381</v>
      </c>
      <c r="D402" s="93" t="s">
        <v>156</v>
      </c>
      <c r="E402" s="94">
        <v>37.72</v>
      </c>
      <c r="F402" s="93" t="s">
        <v>41</v>
      </c>
      <c r="G402" s="87">
        <f>Table1[[#This Row],[date]]</f>
        <v>45414</v>
      </c>
      <c r="H402" s="94">
        <f>SUMIF($A$2:A4037,G402,$E$2:E4037)</f>
        <v>245.72</v>
      </c>
      <c r="I402" s="93" t="str">
        <f t="shared" si="25"/>
        <v>Thursday</v>
      </c>
      <c r="J402" s="93" t="str">
        <f t="shared" si="26"/>
        <v>May</v>
      </c>
      <c r="K402" s="93" t="str">
        <f t="shared" si="27"/>
        <v>2024</v>
      </c>
      <c r="L402" s="6"/>
      <c r="M402" s="6"/>
      <c r="N402" s="6"/>
    </row>
    <row r="403" spans="1:14" x14ac:dyDescent="0.3">
      <c r="A403" s="87">
        <v>45414</v>
      </c>
      <c r="B403" s="87" t="str">
        <f t="shared" si="24"/>
        <v>Thursday</v>
      </c>
      <c r="C403" s="88" t="s">
        <v>1381</v>
      </c>
      <c r="D403" s="88" t="s">
        <v>35</v>
      </c>
      <c r="E403" s="89">
        <v>32.82</v>
      </c>
      <c r="F403" s="88" t="s">
        <v>12</v>
      </c>
      <c r="G403" s="87">
        <f>Table1[[#This Row],[date]]</f>
        <v>45414</v>
      </c>
      <c r="H403" s="94">
        <f>SUMIF($A$2:A4038,G403,$E$2:E4038)</f>
        <v>245.72</v>
      </c>
      <c r="I403" s="93" t="str">
        <f t="shared" si="25"/>
        <v>Thursday</v>
      </c>
      <c r="J403" s="93" t="str">
        <f t="shared" si="26"/>
        <v>May</v>
      </c>
      <c r="K403" s="93" t="str">
        <f t="shared" si="27"/>
        <v>2024</v>
      </c>
      <c r="L403" s="6"/>
      <c r="M403" s="6"/>
      <c r="N403" s="6"/>
    </row>
    <row r="404" spans="1:14" x14ac:dyDescent="0.3">
      <c r="A404" s="92">
        <v>45414</v>
      </c>
      <c r="B404" s="92" t="str">
        <f t="shared" si="24"/>
        <v>Thursday</v>
      </c>
      <c r="C404" s="93" t="s">
        <v>1381</v>
      </c>
      <c r="D404" s="93" t="s">
        <v>157</v>
      </c>
      <c r="E404" s="94">
        <v>37.72</v>
      </c>
      <c r="F404" s="93" t="s">
        <v>5</v>
      </c>
      <c r="G404" s="87">
        <f>Table1[[#This Row],[date]]</f>
        <v>45414</v>
      </c>
      <c r="H404" s="94">
        <f>SUMIF($A$2:A4039,G404,$E$2:E4039)</f>
        <v>245.72</v>
      </c>
      <c r="I404" s="93" t="str">
        <f t="shared" si="25"/>
        <v>Thursday</v>
      </c>
      <c r="J404" s="93" t="str">
        <f t="shared" si="26"/>
        <v>May</v>
      </c>
      <c r="K404" s="93" t="str">
        <f t="shared" si="27"/>
        <v>2024</v>
      </c>
      <c r="L404" s="6"/>
      <c r="M404" s="6"/>
      <c r="N404" s="6"/>
    </row>
    <row r="405" spans="1:14" x14ac:dyDescent="0.3">
      <c r="A405" s="87">
        <v>45414</v>
      </c>
      <c r="B405" s="87" t="str">
        <f t="shared" si="24"/>
        <v>Thursday</v>
      </c>
      <c r="C405" s="88" t="s">
        <v>1381</v>
      </c>
      <c r="D405" s="88" t="s">
        <v>157</v>
      </c>
      <c r="E405" s="89">
        <v>37.72</v>
      </c>
      <c r="F405" s="88" t="s">
        <v>41</v>
      </c>
      <c r="G405" s="87">
        <f>Table1[[#This Row],[date]]</f>
        <v>45414</v>
      </c>
      <c r="H405" s="94">
        <f>SUMIF($A$2:A4040,G405,$E$2:E4040)</f>
        <v>245.72</v>
      </c>
      <c r="I405" s="93" t="str">
        <f t="shared" si="25"/>
        <v>Thursday</v>
      </c>
      <c r="J405" s="93" t="str">
        <f t="shared" si="26"/>
        <v>May</v>
      </c>
      <c r="K405" s="93" t="str">
        <f t="shared" si="27"/>
        <v>2024</v>
      </c>
      <c r="L405" s="6"/>
      <c r="M405" s="6"/>
      <c r="N405" s="6"/>
    </row>
    <row r="406" spans="1:14" x14ac:dyDescent="0.3">
      <c r="A406" s="92">
        <v>45415</v>
      </c>
      <c r="B406" s="92" t="str">
        <f t="shared" si="24"/>
        <v>Friday</v>
      </c>
      <c r="C406" s="93" t="s">
        <v>1383</v>
      </c>
      <c r="D406" s="93"/>
      <c r="E406" s="94">
        <v>39</v>
      </c>
      <c r="F406" s="93" t="s">
        <v>5</v>
      </c>
      <c r="G406" s="87">
        <f>Table1[[#This Row],[date]]</f>
        <v>45415</v>
      </c>
      <c r="H406" s="94">
        <f>SUMIF($A$2:A4041,G406,$E$2:E4041)</f>
        <v>114.44</v>
      </c>
      <c r="I406" s="93" t="str">
        <f t="shared" si="25"/>
        <v>Friday</v>
      </c>
      <c r="J406" s="93" t="str">
        <f t="shared" si="26"/>
        <v>May</v>
      </c>
      <c r="K406" s="93" t="str">
        <f t="shared" si="27"/>
        <v>2024</v>
      </c>
      <c r="L406" s="6"/>
      <c r="M406" s="6"/>
      <c r="N406" s="6"/>
    </row>
    <row r="407" spans="1:14" x14ac:dyDescent="0.3">
      <c r="A407" s="87">
        <v>45415</v>
      </c>
      <c r="B407" s="87" t="str">
        <f t="shared" si="24"/>
        <v>Friday</v>
      </c>
      <c r="C407" s="88" t="s">
        <v>1381</v>
      </c>
      <c r="D407" s="88" t="s">
        <v>158</v>
      </c>
      <c r="E407" s="89">
        <v>37.72</v>
      </c>
      <c r="F407" s="88" t="s">
        <v>5</v>
      </c>
      <c r="G407" s="87">
        <f>Table1[[#This Row],[date]]</f>
        <v>45415</v>
      </c>
      <c r="H407" s="94">
        <f>SUMIF($A$2:A4042,G407,$E$2:E4042)</f>
        <v>114.44</v>
      </c>
      <c r="I407" s="93" t="str">
        <f t="shared" si="25"/>
        <v>Friday</v>
      </c>
      <c r="J407" s="93" t="str">
        <f t="shared" si="26"/>
        <v>May</v>
      </c>
      <c r="K407" s="93" t="str">
        <f t="shared" si="27"/>
        <v>2024</v>
      </c>
      <c r="L407" s="6"/>
      <c r="M407" s="6"/>
      <c r="N407" s="6"/>
    </row>
    <row r="408" spans="1:14" x14ac:dyDescent="0.3">
      <c r="A408" s="92">
        <v>45415</v>
      </c>
      <c r="B408" s="92" t="str">
        <f t="shared" si="24"/>
        <v>Friday</v>
      </c>
      <c r="C408" s="93" t="s">
        <v>1381</v>
      </c>
      <c r="D408" s="93" t="s">
        <v>159</v>
      </c>
      <c r="E408" s="94">
        <v>37.72</v>
      </c>
      <c r="F408" s="93" t="s">
        <v>5</v>
      </c>
      <c r="G408" s="87">
        <f>Table1[[#This Row],[date]]</f>
        <v>45415</v>
      </c>
      <c r="H408" s="94">
        <f>SUMIF($A$2:A4043,G408,$E$2:E4043)</f>
        <v>114.44</v>
      </c>
      <c r="I408" s="93" t="str">
        <f t="shared" si="25"/>
        <v>Friday</v>
      </c>
      <c r="J408" s="93" t="str">
        <f t="shared" si="26"/>
        <v>May</v>
      </c>
      <c r="K408" s="93" t="str">
        <f t="shared" si="27"/>
        <v>2024</v>
      </c>
      <c r="L408" s="6"/>
      <c r="M408" s="6"/>
      <c r="N408" s="6"/>
    </row>
    <row r="409" spans="1:14" x14ac:dyDescent="0.3">
      <c r="A409" s="87">
        <v>45418</v>
      </c>
      <c r="B409" s="87" t="str">
        <f t="shared" si="24"/>
        <v>Monday</v>
      </c>
      <c r="C409" s="88" t="s">
        <v>1381</v>
      </c>
      <c r="D409" s="88" t="s">
        <v>160</v>
      </c>
      <c r="E409" s="89">
        <v>27.92</v>
      </c>
      <c r="F409" s="88" t="s">
        <v>9</v>
      </c>
      <c r="G409" s="87">
        <f>Table1[[#This Row],[date]]</f>
        <v>45418</v>
      </c>
      <c r="H409" s="94">
        <f>SUMIF($A$2:A4044,G409,$E$2:E4044)</f>
        <v>248.94000000000003</v>
      </c>
      <c r="I409" s="93" t="str">
        <f t="shared" si="25"/>
        <v>Monday</v>
      </c>
      <c r="J409" s="93" t="str">
        <f t="shared" si="26"/>
        <v>May</v>
      </c>
      <c r="K409" s="93" t="str">
        <f t="shared" si="27"/>
        <v>2024</v>
      </c>
      <c r="L409" s="6"/>
      <c r="M409" s="6"/>
      <c r="N409" s="6"/>
    </row>
    <row r="410" spans="1:14" x14ac:dyDescent="0.3">
      <c r="A410" s="92">
        <v>45418</v>
      </c>
      <c r="B410" s="92" t="str">
        <f t="shared" si="24"/>
        <v>Monday</v>
      </c>
      <c r="C410" s="93" t="s">
        <v>1381</v>
      </c>
      <c r="D410" s="93" t="s">
        <v>161</v>
      </c>
      <c r="E410" s="94">
        <v>37.72</v>
      </c>
      <c r="F410" s="93" t="s">
        <v>41</v>
      </c>
      <c r="G410" s="87">
        <f>Table1[[#This Row],[date]]</f>
        <v>45418</v>
      </c>
      <c r="H410" s="94">
        <f>SUMIF($A$2:A4045,G410,$E$2:E4045)</f>
        <v>248.94000000000003</v>
      </c>
      <c r="I410" s="93" t="str">
        <f t="shared" si="25"/>
        <v>Monday</v>
      </c>
      <c r="J410" s="93" t="str">
        <f t="shared" si="26"/>
        <v>May</v>
      </c>
      <c r="K410" s="93" t="str">
        <f t="shared" si="27"/>
        <v>2024</v>
      </c>
      <c r="L410" s="6"/>
      <c r="M410" s="6"/>
      <c r="N410" s="6"/>
    </row>
    <row r="411" spans="1:14" x14ac:dyDescent="0.3">
      <c r="A411" s="87">
        <v>45418</v>
      </c>
      <c r="B411" s="87" t="str">
        <f t="shared" si="24"/>
        <v>Monday</v>
      </c>
      <c r="C411" s="88" t="s">
        <v>1381</v>
      </c>
      <c r="D411" s="88" t="s">
        <v>161</v>
      </c>
      <c r="E411" s="89">
        <v>32.82</v>
      </c>
      <c r="F411" s="88" t="s">
        <v>12</v>
      </c>
      <c r="G411" s="87">
        <f>Table1[[#This Row],[date]]</f>
        <v>45418</v>
      </c>
      <c r="H411" s="94">
        <f>SUMIF($A$2:A4046,G411,$E$2:E4046)</f>
        <v>248.94000000000003</v>
      </c>
      <c r="I411" s="93" t="str">
        <f t="shared" si="25"/>
        <v>Monday</v>
      </c>
      <c r="J411" s="93" t="str">
        <f t="shared" si="26"/>
        <v>May</v>
      </c>
      <c r="K411" s="93" t="str">
        <f t="shared" si="27"/>
        <v>2024</v>
      </c>
      <c r="L411" s="6"/>
      <c r="M411" s="6"/>
      <c r="N411" s="6"/>
    </row>
    <row r="412" spans="1:14" x14ac:dyDescent="0.3">
      <c r="A412" s="92">
        <v>45418</v>
      </c>
      <c r="B412" s="92" t="str">
        <f t="shared" si="24"/>
        <v>Monday</v>
      </c>
      <c r="C412" s="93" t="s">
        <v>1381</v>
      </c>
      <c r="D412" s="93" t="s">
        <v>162</v>
      </c>
      <c r="E412" s="94">
        <v>27.92</v>
      </c>
      <c r="F412" s="93" t="s">
        <v>9</v>
      </c>
      <c r="G412" s="87">
        <f>Table1[[#This Row],[date]]</f>
        <v>45418</v>
      </c>
      <c r="H412" s="94">
        <f>SUMIF($A$2:A4047,G412,$E$2:E4047)</f>
        <v>248.94000000000003</v>
      </c>
      <c r="I412" s="93" t="str">
        <f t="shared" si="25"/>
        <v>Monday</v>
      </c>
      <c r="J412" s="93" t="str">
        <f t="shared" si="26"/>
        <v>May</v>
      </c>
      <c r="K412" s="93" t="str">
        <f t="shared" si="27"/>
        <v>2024</v>
      </c>
      <c r="L412" s="6"/>
      <c r="M412" s="6"/>
      <c r="N412" s="6"/>
    </row>
    <row r="413" spans="1:14" x14ac:dyDescent="0.3">
      <c r="A413" s="87">
        <v>45418</v>
      </c>
      <c r="B413" s="87" t="str">
        <f t="shared" si="24"/>
        <v>Monday</v>
      </c>
      <c r="C413" s="88" t="s">
        <v>1381</v>
      </c>
      <c r="D413" s="88" t="s">
        <v>153</v>
      </c>
      <c r="E413" s="89">
        <v>27.92</v>
      </c>
      <c r="F413" s="88" t="s">
        <v>26</v>
      </c>
      <c r="G413" s="87">
        <f>Table1[[#This Row],[date]]</f>
        <v>45418</v>
      </c>
      <c r="H413" s="94">
        <f>SUMIF($A$2:A4048,G413,$E$2:E4048)</f>
        <v>248.94000000000003</v>
      </c>
      <c r="I413" s="93" t="str">
        <f t="shared" si="25"/>
        <v>Monday</v>
      </c>
      <c r="J413" s="93" t="str">
        <f t="shared" si="26"/>
        <v>May</v>
      </c>
      <c r="K413" s="93" t="str">
        <f t="shared" si="27"/>
        <v>2024</v>
      </c>
      <c r="L413" s="6"/>
      <c r="M413" s="6"/>
      <c r="N413" s="6"/>
    </row>
    <row r="414" spans="1:14" x14ac:dyDescent="0.3">
      <c r="A414" s="92">
        <v>45418</v>
      </c>
      <c r="B414" s="92" t="str">
        <f t="shared" si="24"/>
        <v>Monday</v>
      </c>
      <c r="C414" s="93" t="s">
        <v>1383</v>
      </c>
      <c r="D414" s="93"/>
      <c r="E414" s="94">
        <v>29</v>
      </c>
      <c r="F414" s="93" t="s">
        <v>9</v>
      </c>
      <c r="G414" s="87">
        <f>Table1[[#This Row],[date]]</f>
        <v>45418</v>
      </c>
      <c r="H414" s="94">
        <f>SUMIF($A$2:A4049,G414,$E$2:E4049)</f>
        <v>248.94000000000003</v>
      </c>
      <c r="I414" s="93" t="str">
        <f t="shared" si="25"/>
        <v>Monday</v>
      </c>
      <c r="J414" s="93" t="str">
        <f t="shared" si="26"/>
        <v>May</v>
      </c>
      <c r="K414" s="93" t="str">
        <f t="shared" si="27"/>
        <v>2024</v>
      </c>
      <c r="L414" s="6"/>
      <c r="M414" s="6"/>
      <c r="N414" s="6"/>
    </row>
    <row r="415" spans="1:14" x14ac:dyDescent="0.3">
      <c r="A415" s="87">
        <v>45418</v>
      </c>
      <c r="B415" s="87" t="str">
        <f t="shared" si="24"/>
        <v>Monday</v>
      </c>
      <c r="C415" s="88" t="s">
        <v>1381</v>
      </c>
      <c r="D415" s="88" t="s">
        <v>160</v>
      </c>
      <c r="E415" s="89">
        <v>27.92</v>
      </c>
      <c r="F415" s="88" t="s">
        <v>26</v>
      </c>
      <c r="G415" s="87">
        <f>Table1[[#This Row],[date]]</f>
        <v>45418</v>
      </c>
      <c r="H415" s="94">
        <f>SUMIF($A$2:A4050,G415,$E$2:E4050)</f>
        <v>248.94000000000003</v>
      </c>
      <c r="I415" s="93" t="str">
        <f t="shared" si="25"/>
        <v>Monday</v>
      </c>
      <c r="J415" s="93" t="str">
        <f t="shared" si="26"/>
        <v>May</v>
      </c>
      <c r="K415" s="93" t="str">
        <f t="shared" si="27"/>
        <v>2024</v>
      </c>
      <c r="L415" s="6"/>
      <c r="M415" s="6"/>
      <c r="N415" s="6"/>
    </row>
    <row r="416" spans="1:14" x14ac:dyDescent="0.3">
      <c r="A416" s="87">
        <v>45418</v>
      </c>
      <c r="B416" s="87" t="str">
        <f t="shared" si="24"/>
        <v>Monday</v>
      </c>
      <c r="C416" s="88" t="s">
        <v>1381</v>
      </c>
      <c r="D416" s="88" t="s">
        <v>163</v>
      </c>
      <c r="E416" s="89">
        <v>37.72</v>
      </c>
      <c r="F416" s="88" t="s">
        <v>41</v>
      </c>
      <c r="G416" s="87">
        <f>Table1[[#This Row],[date]]</f>
        <v>45418</v>
      </c>
      <c r="H416" s="94">
        <f>SUMIF($A$2:A4051,G416,$E$2:E4051)</f>
        <v>248.94000000000003</v>
      </c>
      <c r="I416" s="93" t="str">
        <f t="shared" si="25"/>
        <v>Monday</v>
      </c>
      <c r="J416" s="93" t="str">
        <f t="shared" si="26"/>
        <v>May</v>
      </c>
      <c r="K416" s="93" t="str">
        <f t="shared" si="27"/>
        <v>2024</v>
      </c>
      <c r="L416" s="6"/>
      <c r="M416" s="6"/>
      <c r="N416" s="6"/>
    </row>
    <row r="417" spans="1:14" x14ac:dyDescent="0.3">
      <c r="A417" s="87">
        <v>45419</v>
      </c>
      <c r="B417" s="87" t="str">
        <f t="shared" si="24"/>
        <v>Tuesday</v>
      </c>
      <c r="C417" s="88" t="s">
        <v>1381</v>
      </c>
      <c r="D417" s="88" t="s">
        <v>160</v>
      </c>
      <c r="E417" s="89">
        <v>37.72</v>
      </c>
      <c r="F417" s="88" t="s">
        <v>16</v>
      </c>
      <c r="G417" s="87">
        <f>Table1[[#This Row],[date]]</f>
        <v>45419</v>
      </c>
      <c r="H417" s="94">
        <f>SUMIF($A$2:A4052,G417,$E$2:E4052)</f>
        <v>268.64</v>
      </c>
      <c r="I417" s="93" t="str">
        <f t="shared" si="25"/>
        <v>Tuesday</v>
      </c>
      <c r="J417" s="93" t="str">
        <f t="shared" si="26"/>
        <v>May</v>
      </c>
      <c r="K417" s="93" t="str">
        <f t="shared" si="27"/>
        <v>2024</v>
      </c>
      <c r="L417" s="6"/>
      <c r="M417" s="6"/>
      <c r="N417" s="6"/>
    </row>
    <row r="418" spans="1:14" x14ac:dyDescent="0.3">
      <c r="A418" s="92">
        <v>45419</v>
      </c>
      <c r="B418" s="92" t="str">
        <f t="shared" si="24"/>
        <v>Tuesday</v>
      </c>
      <c r="C418" s="93" t="s">
        <v>1381</v>
      </c>
      <c r="D418" s="93" t="s">
        <v>153</v>
      </c>
      <c r="E418" s="94">
        <v>27.92</v>
      </c>
      <c r="F418" s="93" t="s">
        <v>26</v>
      </c>
      <c r="G418" s="87">
        <f>Table1[[#This Row],[date]]</f>
        <v>45419</v>
      </c>
      <c r="H418" s="94">
        <f>SUMIF($A$2:A4053,G418,$E$2:E4053)</f>
        <v>268.64</v>
      </c>
      <c r="I418" s="93" t="str">
        <f t="shared" si="25"/>
        <v>Tuesday</v>
      </c>
      <c r="J418" s="93" t="str">
        <f t="shared" si="26"/>
        <v>May</v>
      </c>
      <c r="K418" s="93" t="str">
        <f t="shared" si="27"/>
        <v>2024</v>
      </c>
      <c r="L418" s="6"/>
      <c r="M418" s="6"/>
      <c r="N418" s="6"/>
    </row>
    <row r="419" spans="1:14" x14ac:dyDescent="0.3">
      <c r="A419" s="87">
        <v>45419</v>
      </c>
      <c r="B419" s="87" t="str">
        <f t="shared" si="24"/>
        <v>Tuesday</v>
      </c>
      <c r="C419" s="88" t="s">
        <v>1381</v>
      </c>
      <c r="D419" s="88" t="s">
        <v>89</v>
      </c>
      <c r="E419" s="89">
        <v>27.92</v>
      </c>
      <c r="F419" s="88" t="s">
        <v>26</v>
      </c>
      <c r="G419" s="87">
        <f>Table1[[#This Row],[date]]</f>
        <v>45419</v>
      </c>
      <c r="H419" s="94">
        <f>SUMIF($A$2:A4054,G419,$E$2:E4054)</f>
        <v>268.64</v>
      </c>
      <c r="I419" s="93" t="str">
        <f t="shared" si="25"/>
        <v>Tuesday</v>
      </c>
      <c r="J419" s="93" t="str">
        <f t="shared" si="26"/>
        <v>May</v>
      </c>
      <c r="K419" s="93" t="str">
        <f t="shared" si="27"/>
        <v>2024</v>
      </c>
      <c r="L419" s="6"/>
      <c r="M419" s="6"/>
      <c r="N419" s="6"/>
    </row>
    <row r="420" spans="1:14" x14ac:dyDescent="0.3">
      <c r="A420" s="87">
        <v>45419</v>
      </c>
      <c r="B420" s="87" t="str">
        <f t="shared" si="24"/>
        <v>Tuesday</v>
      </c>
      <c r="C420" s="88" t="s">
        <v>1381</v>
      </c>
      <c r="D420" s="88" t="s">
        <v>164</v>
      </c>
      <c r="E420" s="89">
        <v>27.92</v>
      </c>
      <c r="F420" s="88" t="s">
        <v>9</v>
      </c>
      <c r="G420" s="87">
        <f>Table1[[#This Row],[date]]</f>
        <v>45419</v>
      </c>
      <c r="H420" s="94">
        <f>SUMIF($A$2:A4055,G420,$E$2:E4055)</f>
        <v>268.64</v>
      </c>
      <c r="I420" s="93" t="str">
        <f t="shared" si="25"/>
        <v>Tuesday</v>
      </c>
      <c r="J420" s="93" t="str">
        <f t="shared" si="26"/>
        <v>May</v>
      </c>
      <c r="K420" s="93" t="str">
        <f t="shared" si="27"/>
        <v>2024</v>
      </c>
      <c r="L420" s="6"/>
      <c r="M420" s="6"/>
      <c r="N420" s="6"/>
    </row>
    <row r="421" spans="1:14" x14ac:dyDescent="0.3">
      <c r="A421" s="92">
        <v>45419</v>
      </c>
      <c r="B421" s="92" t="str">
        <f t="shared" si="24"/>
        <v>Tuesday</v>
      </c>
      <c r="C421" s="93" t="s">
        <v>1381</v>
      </c>
      <c r="D421" s="93" t="s">
        <v>165</v>
      </c>
      <c r="E421" s="94">
        <v>37.72</v>
      </c>
      <c r="F421" s="93" t="s">
        <v>41</v>
      </c>
      <c r="G421" s="87">
        <f>Table1[[#This Row],[date]]</f>
        <v>45419</v>
      </c>
      <c r="H421" s="94">
        <f>SUMIF($A$2:A4056,G421,$E$2:E4056)</f>
        <v>268.64</v>
      </c>
      <c r="I421" s="93" t="str">
        <f t="shared" si="25"/>
        <v>Tuesday</v>
      </c>
      <c r="J421" s="93" t="str">
        <f t="shared" si="26"/>
        <v>May</v>
      </c>
      <c r="K421" s="93" t="str">
        <f t="shared" si="27"/>
        <v>2024</v>
      </c>
      <c r="L421" s="6"/>
      <c r="M421" s="6"/>
      <c r="N421" s="6"/>
    </row>
    <row r="422" spans="1:14" x14ac:dyDescent="0.3">
      <c r="A422" s="87">
        <v>45419</v>
      </c>
      <c r="B422" s="87" t="str">
        <f t="shared" si="24"/>
        <v>Tuesday</v>
      </c>
      <c r="C422" s="88" t="s">
        <v>1381</v>
      </c>
      <c r="D422" s="88" t="s">
        <v>165</v>
      </c>
      <c r="E422" s="89">
        <v>37.72</v>
      </c>
      <c r="F422" s="88" t="s">
        <v>5</v>
      </c>
      <c r="G422" s="87">
        <f>Table1[[#This Row],[date]]</f>
        <v>45419</v>
      </c>
      <c r="H422" s="94">
        <f>SUMIF($A$2:A4057,G422,$E$2:E4057)</f>
        <v>268.64</v>
      </c>
      <c r="I422" s="93" t="str">
        <f t="shared" si="25"/>
        <v>Tuesday</v>
      </c>
      <c r="J422" s="93" t="str">
        <f t="shared" si="26"/>
        <v>May</v>
      </c>
      <c r="K422" s="93" t="str">
        <f t="shared" si="27"/>
        <v>2024</v>
      </c>
      <c r="L422" s="6"/>
      <c r="M422" s="6"/>
      <c r="N422" s="6"/>
    </row>
    <row r="423" spans="1:14" x14ac:dyDescent="0.3">
      <c r="A423" s="92">
        <v>45419</v>
      </c>
      <c r="B423" s="92" t="str">
        <f t="shared" si="24"/>
        <v>Tuesday</v>
      </c>
      <c r="C423" s="93" t="s">
        <v>1383</v>
      </c>
      <c r="D423" s="93"/>
      <c r="E423" s="94">
        <v>34</v>
      </c>
      <c r="F423" s="93" t="s">
        <v>12</v>
      </c>
      <c r="G423" s="87">
        <f>Table1[[#This Row],[date]]</f>
        <v>45419</v>
      </c>
      <c r="H423" s="94">
        <f>SUMIF($A$2:A4058,G423,$E$2:E4058)</f>
        <v>268.64</v>
      </c>
      <c r="I423" s="93" t="str">
        <f t="shared" si="25"/>
        <v>Tuesday</v>
      </c>
      <c r="J423" s="93" t="str">
        <f t="shared" si="26"/>
        <v>May</v>
      </c>
      <c r="K423" s="93" t="str">
        <f t="shared" si="27"/>
        <v>2024</v>
      </c>
      <c r="L423" s="6"/>
      <c r="M423" s="6"/>
      <c r="N423" s="6"/>
    </row>
    <row r="424" spans="1:14" x14ac:dyDescent="0.3">
      <c r="A424" s="87">
        <v>45419</v>
      </c>
      <c r="B424" s="87" t="str">
        <f t="shared" si="24"/>
        <v>Tuesday</v>
      </c>
      <c r="C424" s="88" t="s">
        <v>1381</v>
      </c>
      <c r="D424" s="88" t="s">
        <v>166</v>
      </c>
      <c r="E424" s="89">
        <v>37.72</v>
      </c>
      <c r="F424" s="88" t="s">
        <v>41</v>
      </c>
      <c r="G424" s="87">
        <f>Table1[[#This Row],[date]]</f>
        <v>45419</v>
      </c>
      <c r="H424" s="94">
        <f>SUMIF($A$2:A4059,G424,$E$2:E4059)</f>
        <v>268.64</v>
      </c>
      <c r="I424" s="93" t="str">
        <f t="shared" si="25"/>
        <v>Tuesday</v>
      </c>
      <c r="J424" s="93" t="str">
        <f t="shared" si="26"/>
        <v>May</v>
      </c>
      <c r="K424" s="93" t="str">
        <f t="shared" si="27"/>
        <v>2024</v>
      </c>
      <c r="L424" s="6"/>
      <c r="M424" s="6"/>
      <c r="N424" s="6"/>
    </row>
    <row r="425" spans="1:14" x14ac:dyDescent="0.3">
      <c r="A425" s="87">
        <v>45420</v>
      </c>
      <c r="B425" s="87" t="str">
        <f t="shared" si="24"/>
        <v>Wednesday</v>
      </c>
      <c r="C425" s="88" t="s">
        <v>1381</v>
      </c>
      <c r="D425" s="88" t="s">
        <v>4</v>
      </c>
      <c r="E425" s="89">
        <v>37.72</v>
      </c>
      <c r="F425" s="88" t="s">
        <v>5</v>
      </c>
      <c r="G425" s="87">
        <f>Table1[[#This Row],[date]]</f>
        <v>45420</v>
      </c>
      <c r="H425" s="94">
        <f>SUMIF($A$2:A4060,G425,$E$2:E4060)</f>
        <v>37.72</v>
      </c>
      <c r="I425" s="93" t="str">
        <f t="shared" si="25"/>
        <v>Wednesday</v>
      </c>
      <c r="J425" s="93" t="str">
        <f t="shared" si="26"/>
        <v>May</v>
      </c>
      <c r="K425" s="93" t="str">
        <f t="shared" si="27"/>
        <v>2024</v>
      </c>
      <c r="L425" s="6"/>
      <c r="M425" s="6"/>
      <c r="N425" s="6"/>
    </row>
    <row r="426" spans="1:14" x14ac:dyDescent="0.3">
      <c r="A426" s="92">
        <v>45421</v>
      </c>
      <c r="B426" s="92" t="str">
        <f t="shared" si="24"/>
        <v>Thursday</v>
      </c>
      <c r="C426" s="93" t="s">
        <v>1381</v>
      </c>
      <c r="D426" s="93" t="s">
        <v>167</v>
      </c>
      <c r="E426" s="94">
        <v>37.72</v>
      </c>
      <c r="F426" s="93" t="s">
        <v>41</v>
      </c>
      <c r="G426" s="87">
        <f>Table1[[#This Row],[date]]</f>
        <v>45421</v>
      </c>
      <c r="H426" s="94">
        <f>SUMIF($A$2:A4061,G426,$E$2:E4061)</f>
        <v>192.01999999999998</v>
      </c>
      <c r="I426" s="93" t="str">
        <f t="shared" si="25"/>
        <v>Thursday</v>
      </c>
      <c r="J426" s="93" t="str">
        <f t="shared" si="26"/>
        <v>May</v>
      </c>
      <c r="K426" s="93" t="str">
        <f t="shared" si="27"/>
        <v>2024</v>
      </c>
      <c r="L426" s="6"/>
      <c r="M426" s="6"/>
      <c r="N426" s="6"/>
    </row>
    <row r="427" spans="1:14" x14ac:dyDescent="0.3">
      <c r="A427" s="87">
        <v>45421</v>
      </c>
      <c r="B427" s="87" t="str">
        <f t="shared" si="24"/>
        <v>Thursday</v>
      </c>
      <c r="C427" s="88" t="s">
        <v>1381</v>
      </c>
      <c r="D427" s="88" t="s">
        <v>168</v>
      </c>
      <c r="E427" s="89">
        <v>27.92</v>
      </c>
      <c r="F427" s="88" t="s">
        <v>9</v>
      </c>
      <c r="G427" s="87">
        <f>Table1[[#This Row],[date]]</f>
        <v>45421</v>
      </c>
      <c r="H427" s="94">
        <f>SUMIF($A$2:A4062,G427,$E$2:E4062)</f>
        <v>192.01999999999998</v>
      </c>
      <c r="I427" s="93" t="str">
        <f t="shared" si="25"/>
        <v>Thursday</v>
      </c>
      <c r="J427" s="93" t="str">
        <f t="shared" si="26"/>
        <v>May</v>
      </c>
      <c r="K427" s="93" t="str">
        <f t="shared" si="27"/>
        <v>2024</v>
      </c>
      <c r="L427" s="6"/>
      <c r="M427" s="6"/>
      <c r="N427" s="6"/>
    </row>
    <row r="428" spans="1:14" x14ac:dyDescent="0.3">
      <c r="A428" s="92">
        <v>45421</v>
      </c>
      <c r="B428" s="92" t="str">
        <f t="shared" si="24"/>
        <v>Thursday</v>
      </c>
      <c r="C428" s="93" t="s">
        <v>1381</v>
      </c>
      <c r="D428" s="93" t="s">
        <v>168</v>
      </c>
      <c r="E428" s="94">
        <v>37.72</v>
      </c>
      <c r="F428" s="93" t="s">
        <v>5</v>
      </c>
      <c r="G428" s="87">
        <f>Table1[[#This Row],[date]]</f>
        <v>45421</v>
      </c>
      <c r="H428" s="94">
        <f>SUMIF($A$2:A4063,G428,$E$2:E4063)</f>
        <v>192.01999999999998</v>
      </c>
      <c r="I428" s="93" t="str">
        <f t="shared" si="25"/>
        <v>Thursday</v>
      </c>
      <c r="J428" s="93" t="str">
        <f t="shared" si="26"/>
        <v>May</v>
      </c>
      <c r="K428" s="93" t="str">
        <f t="shared" si="27"/>
        <v>2024</v>
      </c>
      <c r="L428" s="6"/>
      <c r="M428" s="6"/>
      <c r="N428" s="6"/>
    </row>
    <row r="429" spans="1:14" x14ac:dyDescent="0.3">
      <c r="A429" s="87">
        <v>45421</v>
      </c>
      <c r="B429" s="87" t="str">
        <f t="shared" si="24"/>
        <v>Thursday</v>
      </c>
      <c r="C429" s="88" t="s">
        <v>1381</v>
      </c>
      <c r="D429" s="88" t="s">
        <v>130</v>
      </c>
      <c r="E429" s="89">
        <v>27.92</v>
      </c>
      <c r="F429" s="88" t="s">
        <v>9</v>
      </c>
      <c r="G429" s="87">
        <f>Table1[[#This Row],[date]]</f>
        <v>45421</v>
      </c>
      <c r="H429" s="94">
        <f>SUMIF($A$2:A4064,G429,$E$2:E4064)</f>
        <v>192.01999999999998</v>
      </c>
      <c r="I429" s="93" t="str">
        <f t="shared" si="25"/>
        <v>Thursday</v>
      </c>
      <c r="J429" s="93" t="str">
        <f t="shared" si="26"/>
        <v>May</v>
      </c>
      <c r="K429" s="93" t="str">
        <f t="shared" si="27"/>
        <v>2024</v>
      </c>
      <c r="L429" s="6"/>
      <c r="M429" s="6"/>
      <c r="N429" s="6"/>
    </row>
    <row r="430" spans="1:14" x14ac:dyDescent="0.3">
      <c r="A430" s="87">
        <v>45421</v>
      </c>
      <c r="B430" s="87" t="str">
        <f t="shared" si="24"/>
        <v>Thursday</v>
      </c>
      <c r="C430" s="88" t="s">
        <v>1381</v>
      </c>
      <c r="D430" s="88" t="s">
        <v>169</v>
      </c>
      <c r="E430" s="89">
        <v>27.92</v>
      </c>
      <c r="F430" s="88" t="s">
        <v>9</v>
      </c>
      <c r="G430" s="87">
        <f>Table1[[#This Row],[date]]</f>
        <v>45421</v>
      </c>
      <c r="H430" s="94">
        <f>SUMIF($A$2:A4065,G430,$E$2:E4065)</f>
        <v>192.01999999999998</v>
      </c>
      <c r="I430" s="93" t="str">
        <f t="shared" si="25"/>
        <v>Thursday</v>
      </c>
      <c r="J430" s="93" t="str">
        <f t="shared" si="26"/>
        <v>May</v>
      </c>
      <c r="K430" s="93" t="str">
        <f t="shared" si="27"/>
        <v>2024</v>
      </c>
      <c r="L430" s="6"/>
      <c r="M430" s="6"/>
      <c r="N430" s="6"/>
    </row>
    <row r="431" spans="1:14" x14ac:dyDescent="0.3">
      <c r="A431" s="92">
        <v>45421</v>
      </c>
      <c r="B431" s="92" t="str">
        <f t="shared" si="24"/>
        <v>Thursday</v>
      </c>
      <c r="C431" s="93" t="s">
        <v>1381</v>
      </c>
      <c r="D431" s="93" t="s">
        <v>155</v>
      </c>
      <c r="E431" s="94">
        <v>32.82</v>
      </c>
      <c r="F431" s="93" t="s">
        <v>12</v>
      </c>
      <c r="G431" s="87">
        <f>Table1[[#This Row],[date]]</f>
        <v>45421</v>
      </c>
      <c r="H431" s="94">
        <f>SUMIF($A$2:A4066,G431,$E$2:E4066)</f>
        <v>192.01999999999998</v>
      </c>
      <c r="I431" s="93" t="str">
        <f t="shared" si="25"/>
        <v>Thursday</v>
      </c>
      <c r="J431" s="93" t="str">
        <f t="shared" si="26"/>
        <v>May</v>
      </c>
      <c r="K431" s="93" t="str">
        <f t="shared" si="27"/>
        <v>2024</v>
      </c>
      <c r="L431" s="6"/>
      <c r="M431" s="6"/>
      <c r="N431" s="6"/>
    </row>
    <row r="432" spans="1:14" x14ac:dyDescent="0.3">
      <c r="A432" s="87">
        <v>45422</v>
      </c>
      <c r="B432" s="87" t="str">
        <f t="shared" si="24"/>
        <v>Friday</v>
      </c>
      <c r="C432" s="88" t="s">
        <v>1383</v>
      </c>
      <c r="D432" s="88"/>
      <c r="E432" s="89">
        <v>39</v>
      </c>
      <c r="F432" s="88" t="s">
        <v>5</v>
      </c>
      <c r="G432" s="87">
        <f>Table1[[#This Row],[date]]</f>
        <v>45422</v>
      </c>
      <c r="H432" s="94">
        <f>SUMIF($A$2:A4067,G432,$E$2:E4067)</f>
        <v>110.72</v>
      </c>
      <c r="I432" s="93" t="str">
        <f t="shared" si="25"/>
        <v>Friday</v>
      </c>
      <c r="J432" s="93" t="str">
        <f t="shared" si="26"/>
        <v>May</v>
      </c>
      <c r="K432" s="93" t="str">
        <f t="shared" si="27"/>
        <v>2024</v>
      </c>
      <c r="L432" s="6"/>
      <c r="M432" s="6"/>
      <c r="N432" s="6"/>
    </row>
    <row r="433" spans="1:14" x14ac:dyDescent="0.3">
      <c r="A433" s="92">
        <v>45422</v>
      </c>
      <c r="B433" s="92" t="str">
        <f t="shared" si="24"/>
        <v>Friday</v>
      </c>
      <c r="C433" s="93" t="s">
        <v>1381</v>
      </c>
      <c r="D433" s="93" t="s">
        <v>170</v>
      </c>
      <c r="E433" s="94">
        <v>37.72</v>
      </c>
      <c r="F433" s="93" t="s">
        <v>5</v>
      </c>
      <c r="G433" s="87">
        <f>Table1[[#This Row],[date]]</f>
        <v>45422</v>
      </c>
      <c r="H433" s="94">
        <f>SUMIF($A$2:A4068,G433,$E$2:E4068)</f>
        <v>110.72</v>
      </c>
      <c r="I433" s="93" t="str">
        <f t="shared" si="25"/>
        <v>Friday</v>
      </c>
      <c r="J433" s="93" t="str">
        <f t="shared" si="26"/>
        <v>May</v>
      </c>
      <c r="K433" s="93" t="str">
        <f t="shared" si="27"/>
        <v>2024</v>
      </c>
      <c r="L433" s="6"/>
      <c r="M433" s="6"/>
      <c r="N433" s="6"/>
    </row>
    <row r="434" spans="1:14" x14ac:dyDescent="0.3">
      <c r="A434" s="92">
        <v>45422</v>
      </c>
      <c r="B434" s="92" t="str">
        <f t="shared" si="24"/>
        <v>Friday</v>
      </c>
      <c r="C434" s="93" t="s">
        <v>1383</v>
      </c>
      <c r="D434" s="93"/>
      <c r="E434" s="94">
        <v>34</v>
      </c>
      <c r="F434" s="93" t="s">
        <v>12</v>
      </c>
      <c r="G434" s="87">
        <f>Table1[[#This Row],[date]]</f>
        <v>45422</v>
      </c>
      <c r="H434" s="94">
        <f>SUMIF($A$2:A4069,G434,$E$2:E4069)</f>
        <v>110.72</v>
      </c>
      <c r="I434" s="93" t="str">
        <f t="shared" si="25"/>
        <v>Friday</v>
      </c>
      <c r="J434" s="93" t="str">
        <f t="shared" si="26"/>
        <v>May</v>
      </c>
      <c r="K434" s="93" t="str">
        <f t="shared" si="27"/>
        <v>2024</v>
      </c>
      <c r="L434" s="6"/>
      <c r="M434" s="6"/>
      <c r="N434" s="6"/>
    </row>
    <row r="435" spans="1:14" x14ac:dyDescent="0.3">
      <c r="A435" s="87">
        <v>45423</v>
      </c>
      <c r="B435" s="87" t="str">
        <f t="shared" si="24"/>
        <v>Saturday</v>
      </c>
      <c r="C435" s="88" t="s">
        <v>1381</v>
      </c>
      <c r="D435" s="88" t="s">
        <v>81</v>
      </c>
      <c r="E435" s="89">
        <v>37.72</v>
      </c>
      <c r="F435" s="88" t="s">
        <v>5</v>
      </c>
      <c r="G435" s="87">
        <f>Table1[[#This Row],[date]]</f>
        <v>45423</v>
      </c>
      <c r="H435" s="94">
        <f>SUMIF($A$2:A4070,G435,$E$2:E4070)</f>
        <v>293.24</v>
      </c>
      <c r="I435" s="93" t="str">
        <f t="shared" si="25"/>
        <v>Saturday</v>
      </c>
      <c r="J435" s="93" t="str">
        <f t="shared" si="26"/>
        <v>May</v>
      </c>
      <c r="K435" s="93" t="str">
        <f t="shared" si="27"/>
        <v>2024</v>
      </c>
      <c r="L435" s="6"/>
      <c r="M435" s="6"/>
      <c r="N435" s="6"/>
    </row>
    <row r="436" spans="1:14" x14ac:dyDescent="0.3">
      <c r="A436" s="92">
        <v>45423</v>
      </c>
      <c r="B436" s="92" t="str">
        <f t="shared" si="24"/>
        <v>Saturday</v>
      </c>
      <c r="C436" s="93" t="s">
        <v>1383</v>
      </c>
      <c r="D436" s="93"/>
      <c r="E436" s="94">
        <v>39</v>
      </c>
      <c r="F436" s="93" t="s">
        <v>5</v>
      </c>
      <c r="G436" s="87">
        <f>Table1[[#This Row],[date]]</f>
        <v>45423</v>
      </c>
      <c r="H436" s="94">
        <f>SUMIF($A$2:A4071,G436,$E$2:E4071)</f>
        <v>293.24</v>
      </c>
      <c r="I436" s="93" t="str">
        <f t="shared" si="25"/>
        <v>Saturday</v>
      </c>
      <c r="J436" s="93" t="str">
        <f t="shared" si="26"/>
        <v>May</v>
      </c>
      <c r="K436" s="93" t="str">
        <f t="shared" si="27"/>
        <v>2024</v>
      </c>
      <c r="L436" s="6"/>
      <c r="M436" s="6"/>
      <c r="N436" s="6"/>
    </row>
    <row r="437" spans="1:14" x14ac:dyDescent="0.3">
      <c r="A437" s="87">
        <v>45423</v>
      </c>
      <c r="B437" s="87" t="str">
        <f t="shared" si="24"/>
        <v>Saturday</v>
      </c>
      <c r="C437" s="88" t="s">
        <v>1381</v>
      </c>
      <c r="D437" s="88" t="s">
        <v>17</v>
      </c>
      <c r="E437" s="89">
        <v>32.82</v>
      </c>
      <c r="F437" s="88" t="s">
        <v>12</v>
      </c>
      <c r="G437" s="87">
        <f>Table1[[#This Row],[date]]</f>
        <v>45423</v>
      </c>
      <c r="H437" s="94">
        <f>SUMIF($A$2:A4072,G437,$E$2:E4072)</f>
        <v>293.24</v>
      </c>
      <c r="I437" s="93" t="str">
        <f t="shared" si="25"/>
        <v>Saturday</v>
      </c>
      <c r="J437" s="93" t="str">
        <f t="shared" si="26"/>
        <v>May</v>
      </c>
      <c r="K437" s="93" t="str">
        <f t="shared" si="27"/>
        <v>2024</v>
      </c>
      <c r="L437" s="6"/>
      <c r="M437" s="6"/>
      <c r="N437" s="6"/>
    </row>
    <row r="438" spans="1:14" x14ac:dyDescent="0.3">
      <c r="A438" s="92">
        <v>45423</v>
      </c>
      <c r="B438" s="92" t="str">
        <f t="shared" si="24"/>
        <v>Saturday</v>
      </c>
      <c r="C438" s="93" t="s">
        <v>1381</v>
      </c>
      <c r="D438" s="93" t="s">
        <v>37</v>
      </c>
      <c r="E438" s="94">
        <v>37.72</v>
      </c>
      <c r="F438" s="93" t="s">
        <v>16</v>
      </c>
      <c r="G438" s="87">
        <f>Table1[[#This Row],[date]]</f>
        <v>45423</v>
      </c>
      <c r="H438" s="94">
        <f>SUMIF($A$2:A4073,G438,$E$2:E4073)</f>
        <v>293.24</v>
      </c>
      <c r="I438" s="93" t="str">
        <f t="shared" si="25"/>
        <v>Saturday</v>
      </c>
      <c r="J438" s="93" t="str">
        <f t="shared" si="26"/>
        <v>May</v>
      </c>
      <c r="K438" s="93" t="str">
        <f t="shared" si="27"/>
        <v>2024</v>
      </c>
      <c r="L438" s="6"/>
      <c r="M438" s="6"/>
      <c r="N438" s="6"/>
    </row>
    <row r="439" spans="1:14" x14ac:dyDescent="0.3">
      <c r="A439" s="87">
        <v>45423</v>
      </c>
      <c r="B439" s="87" t="str">
        <f t="shared" si="24"/>
        <v>Saturday</v>
      </c>
      <c r="C439" s="88" t="s">
        <v>1381</v>
      </c>
      <c r="D439" s="88" t="s">
        <v>52</v>
      </c>
      <c r="E439" s="89">
        <v>37.72</v>
      </c>
      <c r="F439" s="88" t="s">
        <v>41</v>
      </c>
      <c r="G439" s="87">
        <f>Table1[[#This Row],[date]]</f>
        <v>45423</v>
      </c>
      <c r="H439" s="94">
        <f>SUMIF($A$2:A4074,G439,$E$2:E4074)</f>
        <v>293.24</v>
      </c>
      <c r="I439" s="93" t="str">
        <f t="shared" si="25"/>
        <v>Saturday</v>
      </c>
      <c r="J439" s="93" t="str">
        <f t="shared" si="26"/>
        <v>May</v>
      </c>
      <c r="K439" s="93" t="str">
        <f t="shared" si="27"/>
        <v>2024</v>
      </c>
      <c r="L439" s="6"/>
      <c r="M439" s="6"/>
      <c r="N439" s="6"/>
    </row>
    <row r="440" spans="1:14" x14ac:dyDescent="0.3">
      <c r="A440" s="92">
        <v>45423</v>
      </c>
      <c r="B440" s="92" t="str">
        <f t="shared" si="24"/>
        <v>Saturday</v>
      </c>
      <c r="C440" s="93" t="s">
        <v>1381</v>
      </c>
      <c r="D440" s="93" t="s">
        <v>21</v>
      </c>
      <c r="E440" s="94">
        <v>32.82</v>
      </c>
      <c r="F440" s="93" t="s">
        <v>12</v>
      </c>
      <c r="G440" s="87">
        <f>Table1[[#This Row],[date]]</f>
        <v>45423</v>
      </c>
      <c r="H440" s="94">
        <f>SUMIF($A$2:A4075,G440,$E$2:E4075)</f>
        <v>293.24</v>
      </c>
      <c r="I440" s="93" t="str">
        <f t="shared" si="25"/>
        <v>Saturday</v>
      </c>
      <c r="J440" s="93" t="str">
        <f t="shared" si="26"/>
        <v>May</v>
      </c>
      <c r="K440" s="93" t="str">
        <f t="shared" si="27"/>
        <v>2024</v>
      </c>
      <c r="L440" s="6"/>
      <c r="M440" s="6"/>
      <c r="N440" s="6"/>
    </row>
    <row r="441" spans="1:14" x14ac:dyDescent="0.3">
      <c r="A441" s="87">
        <v>45423</v>
      </c>
      <c r="B441" s="87" t="str">
        <f t="shared" si="24"/>
        <v>Saturday</v>
      </c>
      <c r="C441" s="88" t="s">
        <v>1381</v>
      </c>
      <c r="D441" s="88" t="s">
        <v>127</v>
      </c>
      <c r="E441" s="89">
        <v>37.72</v>
      </c>
      <c r="F441" s="88" t="s">
        <v>41</v>
      </c>
      <c r="G441" s="87">
        <f>Table1[[#This Row],[date]]</f>
        <v>45423</v>
      </c>
      <c r="H441" s="94">
        <f>SUMIF($A$2:A4076,G441,$E$2:E4076)</f>
        <v>293.24</v>
      </c>
      <c r="I441" s="93" t="str">
        <f t="shared" si="25"/>
        <v>Saturday</v>
      </c>
      <c r="J441" s="93" t="str">
        <f t="shared" si="26"/>
        <v>May</v>
      </c>
      <c r="K441" s="93" t="str">
        <f t="shared" si="27"/>
        <v>2024</v>
      </c>
      <c r="L441" s="6"/>
      <c r="M441" s="6"/>
      <c r="N441" s="6"/>
    </row>
    <row r="442" spans="1:14" x14ac:dyDescent="0.3">
      <c r="A442" s="92">
        <v>45423</v>
      </c>
      <c r="B442" s="92" t="str">
        <f t="shared" si="24"/>
        <v>Saturday</v>
      </c>
      <c r="C442" s="93" t="s">
        <v>1381</v>
      </c>
      <c r="D442" s="93" t="s">
        <v>171</v>
      </c>
      <c r="E442" s="94">
        <v>37.72</v>
      </c>
      <c r="F442" s="93" t="s">
        <v>5</v>
      </c>
      <c r="G442" s="87">
        <f>Table1[[#This Row],[date]]</f>
        <v>45423</v>
      </c>
      <c r="H442" s="94">
        <f>SUMIF($A$2:A4077,G442,$E$2:E4077)</f>
        <v>293.24</v>
      </c>
      <c r="I442" s="93" t="str">
        <f t="shared" si="25"/>
        <v>Saturday</v>
      </c>
      <c r="J442" s="93" t="str">
        <f t="shared" si="26"/>
        <v>May</v>
      </c>
      <c r="K442" s="93" t="str">
        <f t="shared" si="27"/>
        <v>2024</v>
      </c>
      <c r="L442" s="6"/>
      <c r="M442" s="6"/>
      <c r="N442" s="6"/>
    </row>
    <row r="443" spans="1:14" x14ac:dyDescent="0.3">
      <c r="A443" s="87">
        <v>45424</v>
      </c>
      <c r="B443" s="87" t="str">
        <f t="shared" si="24"/>
        <v>Sunday</v>
      </c>
      <c r="C443" s="88" t="s">
        <v>1381</v>
      </c>
      <c r="D443" s="88" t="s">
        <v>4</v>
      </c>
      <c r="E443" s="89">
        <v>37.72</v>
      </c>
      <c r="F443" s="88" t="s">
        <v>5</v>
      </c>
      <c r="G443" s="87">
        <f>Table1[[#This Row],[date]]</f>
        <v>45424</v>
      </c>
      <c r="H443" s="94">
        <f>SUMIF($A$2:A4078,G443,$E$2:E4078)</f>
        <v>272.35999999999996</v>
      </c>
      <c r="I443" s="93" t="str">
        <f t="shared" si="25"/>
        <v>Sunday</v>
      </c>
      <c r="J443" s="93" t="str">
        <f t="shared" si="26"/>
        <v>May</v>
      </c>
      <c r="K443" s="93" t="str">
        <f t="shared" si="27"/>
        <v>2024</v>
      </c>
      <c r="L443" s="6"/>
      <c r="M443" s="6"/>
      <c r="N443" s="6"/>
    </row>
    <row r="444" spans="1:14" x14ac:dyDescent="0.3">
      <c r="A444" s="92">
        <v>45424</v>
      </c>
      <c r="B444" s="92" t="str">
        <f t="shared" si="24"/>
        <v>Sunday</v>
      </c>
      <c r="C444" s="93" t="s">
        <v>1381</v>
      </c>
      <c r="D444" s="93" t="s">
        <v>172</v>
      </c>
      <c r="E444" s="94">
        <v>37.72</v>
      </c>
      <c r="F444" s="93" t="s">
        <v>5</v>
      </c>
      <c r="G444" s="87">
        <f>Table1[[#This Row],[date]]</f>
        <v>45424</v>
      </c>
      <c r="H444" s="94">
        <f>SUMIF($A$2:A4079,G444,$E$2:E4079)</f>
        <v>272.35999999999996</v>
      </c>
      <c r="I444" s="93" t="str">
        <f t="shared" si="25"/>
        <v>Sunday</v>
      </c>
      <c r="J444" s="93" t="str">
        <f t="shared" si="26"/>
        <v>May</v>
      </c>
      <c r="K444" s="93" t="str">
        <f t="shared" si="27"/>
        <v>2024</v>
      </c>
      <c r="L444" s="6"/>
      <c r="M444" s="6"/>
      <c r="N444" s="6"/>
    </row>
    <row r="445" spans="1:14" x14ac:dyDescent="0.3">
      <c r="A445" s="87">
        <v>45424</v>
      </c>
      <c r="B445" s="87" t="str">
        <f t="shared" si="24"/>
        <v>Sunday</v>
      </c>
      <c r="C445" s="88" t="s">
        <v>1381</v>
      </c>
      <c r="D445" s="88" t="s">
        <v>173</v>
      </c>
      <c r="E445" s="89">
        <v>27.92</v>
      </c>
      <c r="F445" s="88" t="s">
        <v>9</v>
      </c>
      <c r="G445" s="87">
        <f>Table1[[#This Row],[date]]</f>
        <v>45424</v>
      </c>
      <c r="H445" s="94">
        <f>SUMIF($A$2:A4080,G445,$E$2:E4080)</f>
        <v>272.35999999999996</v>
      </c>
      <c r="I445" s="93" t="str">
        <f t="shared" si="25"/>
        <v>Sunday</v>
      </c>
      <c r="J445" s="93" t="str">
        <f t="shared" si="26"/>
        <v>May</v>
      </c>
      <c r="K445" s="93" t="str">
        <f t="shared" si="27"/>
        <v>2024</v>
      </c>
      <c r="L445" s="6"/>
      <c r="M445" s="6"/>
      <c r="N445" s="6"/>
    </row>
    <row r="446" spans="1:14" x14ac:dyDescent="0.3">
      <c r="A446" s="92">
        <v>45424</v>
      </c>
      <c r="B446" s="92" t="str">
        <f t="shared" si="24"/>
        <v>Sunday</v>
      </c>
      <c r="C446" s="93" t="s">
        <v>1381</v>
      </c>
      <c r="D446" s="93" t="s">
        <v>89</v>
      </c>
      <c r="E446" s="94">
        <v>37.72</v>
      </c>
      <c r="F446" s="93" t="s">
        <v>5</v>
      </c>
      <c r="G446" s="87">
        <f>Table1[[#This Row],[date]]</f>
        <v>45424</v>
      </c>
      <c r="H446" s="94">
        <f>SUMIF($A$2:A4081,G446,$E$2:E4081)</f>
        <v>272.35999999999996</v>
      </c>
      <c r="I446" s="93" t="str">
        <f t="shared" si="25"/>
        <v>Sunday</v>
      </c>
      <c r="J446" s="93" t="str">
        <f t="shared" si="26"/>
        <v>May</v>
      </c>
      <c r="K446" s="93" t="str">
        <f t="shared" si="27"/>
        <v>2024</v>
      </c>
      <c r="L446" s="6"/>
      <c r="M446" s="6"/>
      <c r="N446" s="6"/>
    </row>
    <row r="447" spans="1:14" x14ac:dyDescent="0.3">
      <c r="A447" s="87">
        <v>45424</v>
      </c>
      <c r="B447" s="87" t="str">
        <f t="shared" si="24"/>
        <v>Sunday</v>
      </c>
      <c r="C447" s="88" t="s">
        <v>1381</v>
      </c>
      <c r="D447" s="88" t="s">
        <v>174</v>
      </c>
      <c r="E447" s="89">
        <v>32.82</v>
      </c>
      <c r="F447" s="88" t="s">
        <v>12</v>
      </c>
      <c r="G447" s="87">
        <f>Table1[[#This Row],[date]]</f>
        <v>45424</v>
      </c>
      <c r="H447" s="94">
        <f>SUMIF($A$2:A4082,G447,$E$2:E4082)</f>
        <v>272.35999999999996</v>
      </c>
      <c r="I447" s="93" t="str">
        <f t="shared" si="25"/>
        <v>Sunday</v>
      </c>
      <c r="J447" s="93" t="str">
        <f t="shared" si="26"/>
        <v>May</v>
      </c>
      <c r="K447" s="93" t="str">
        <f t="shared" si="27"/>
        <v>2024</v>
      </c>
      <c r="L447" s="6"/>
      <c r="M447" s="6"/>
      <c r="N447" s="6"/>
    </row>
    <row r="448" spans="1:14" x14ac:dyDescent="0.3">
      <c r="A448" s="92">
        <v>45424</v>
      </c>
      <c r="B448" s="92" t="str">
        <f t="shared" si="24"/>
        <v>Sunday</v>
      </c>
      <c r="C448" s="93" t="s">
        <v>1381</v>
      </c>
      <c r="D448" s="93" t="s">
        <v>175</v>
      </c>
      <c r="E448" s="94">
        <v>32.82</v>
      </c>
      <c r="F448" s="93" t="s">
        <v>12</v>
      </c>
      <c r="G448" s="87">
        <f>Table1[[#This Row],[date]]</f>
        <v>45424</v>
      </c>
      <c r="H448" s="94">
        <f>SUMIF($A$2:A4083,G448,$E$2:E4083)</f>
        <v>272.35999999999996</v>
      </c>
      <c r="I448" s="93" t="str">
        <f t="shared" si="25"/>
        <v>Sunday</v>
      </c>
      <c r="J448" s="93" t="str">
        <f t="shared" si="26"/>
        <v>May</v>
      </c>
      <c r="K448" s="93" t="str">
        <f t="shared" si="27"/>
        <v>2024</v>
      </c>
      <c r="L448" s="6"/>
      <c r="M448" s="6"/>
      <c r="N448" s="6"/>
    </row>
    <row r="449" spans="1:14" x14ac:dyDescent="0.3">
      <c r="A449" s="87">
        <v>45424</v>
      </c>
      <c r="B449" s="87" t="str">
        <f t="shared" si="24"/>
        <v>Sunday</v>
      </c>
      <c r="C449" s="88" t="s">
        <v>1381</v>
      </c>
      <c r="D449" s="88" t="s">
        <v>21</v>
      </c>
      <c r="E449" s="89">
        <v>32.82</v>
      </c>
      <c r="F449" s="88" t="s">
        <v>12</v>
      </c>
      <c r="G449" s="87">
        <f>Table1[[#This Row],[date]]</f>
        <v>45424</v>
      </c>
      <c r="H449" s="94">
        <f>SUMIF($A$2:A4084,G449,$E$2:E4084)</f>
        <v>272.35999999999996</v>
      </c>
      <c r="I449" s="93" t="str">
        <f t="shared" si="25"/>
        <v>Sunday</v>
      </c>
      <c r="J449" s="93" t="str">
        <f t="shared" si="26"/>
        <v>May</v>
      </c>
      <c r="K449" s="93" t="str">
        <f t="shared" si="27"/>
        <v>2024</v>
      </c>
      <c r="L449" s="6"/>
      <c r="M449" s="6"/>
      <c r="N449" s="6"/>
    </row>
    <row r="450" spans="1:14" x14ac:dyDescent="0.3">
      <c r="A450" s="92">
        <v>45424</v>
      </c>
      <c r="B450" s="92" t="str">
        <f t="shared" ref="B450:B513" si="28">TEXT(A450,"dddd")</f>
        <v>Sunday</v>
      </c>
      <c r="C450" s="93" t="s">
        <v>1381</v>
      </c>
      <c r="D450" s="93" t="s">
        <v>17</v>
      </c>
      <c r="E450" s="94">
        <v>32.82</v>
      </c>
      <c r="F450" s="93" t="s">
        <v>12</v>
      </c>
      <c r="G450" s="87">
        <f>Table1[[#This Row],[date]]</f>
        <v>45424</v>
      </c>
      <c r="H450" s="94">
        <f>SUMIF($A$2:A4085,G450,$E$2:E4085)</f>
        <v>272.35999999999996</v>
      </c>
      <c r="I450" s="93" t="str">
        <f t="shared" si="25"/>
        <v>Sunday</v>
      </c>
      <c r="J450" s="93" t="str">
        <f t="shared" si="26"/>
        <v>May</v>
      </c>
      <c r="K450" s="93" t="str">
        <f t="shared" si="27"/>
        <v>2024</v>
      </c>
      <c r="L450" s="6"/>
      <c r="M450" s="6"/>
      <c r="N450" s="6"/>
    </row>
    <row r="451" spans="1:14" x14ac:dyDescent="0.3">
      <c r="A451" s="87">
        <v>45425</v>
      </c>
      <c r="B451" s="87" t="str">
        <f t="shared" si="28"/>
        <v>Monday</v>
      </c>
      <c r="C451" s="88" t="s">
        <v>1381</v>
      </c>
      <c r="D451" s="88" t="s">
        <v>176</v>
      </c>
      <c r="E451" s="89">
        <v>32.82</v>
      </c>
      <c r="F451" s="88" t="s">
        <v>12</v>
      </c>
      <c r="G451" s="87">
        <f>Table1[[#This Row],[date]]</f>
        <v>45425</v>
      </c>
      <c r="H451" s="94">
        <f>SUMIF($A$2:A4086,G451,$E$2:E4086)</f>
        <v>61.82</v>
      </c>
      <c r="I451" s="93" t="str">
        <f t="shared" si="25"/>
        <v>Monday</v>
      </c>
      <c r="J451" s="93" t="str">
        <f t="shared" si="26"/>
        <v>May</v>
      </c>
      <c r="K451" s="93" t="str">
        <f t="shared" si="27"/>
        <v>2024</v>
      </c>
      <c r="L451" s="6"/>
      <c r="M451" s="6"/>
      <c r="N451" s="6"/>
    </row>
    <row r="452" spans="1:14" x14ac:dyDescent="0.3">
      <c r="A452" s="92">
        <v>45425</v>
      </c>
      <c r="B452" s="92" t="str">
        <f t="shared" si="28"/>
        <v>Monday</v>
      </c>
      <c r="C452" s="93" t="s">
        <v>1383</v>
      </c>
      <c r="D452" s="93"/>
      <c r="E452" s="94">
        <v>29</v>
      </c>
      <c r="F452" s="93" t="s">
        <v>9</v>
      </c>
      <c r="G452" s="87">
        <f>Table1[[#This Row],[date]]</f>
        <v>45425</v>
      </c>
      <c r="H452" s="94">
        <f>SUMIF($A$2:A4087,G452,$E$2:E4087)</f>
        <v>61.82</v>
      </c>
      <c r="I452" s="93" t="str">
        <f t="shared" si="25"/>
        <v>Monday</v>
      </c>
      <c r="J452" s="93" t="str">
        <f t="shared" si="26"/>
        <v>May</v>
      </c>
      <c r="K452" s="93" t="str">
        <f t="shared" si="27"/>
        <v>2024</v>
      </c>
      <c r="L452" s="6"/>
      <c r="M452" s="6"/>
      <c r="N452" s="6"/>
    </row>
    <row r="453" spans="1:14" x14ac:dyDescent="0.3">
      <c r="A453" s="92">
        <v>45426</v>
      </c>
      <c r="B453" s="92" t="str">
        <f t="shared" si="28"/>
        <v>Tuesday</v>
      </c>
      <c r="C453" s="93" t="s">
        <v>1381</v>
      </c>
      <c r="D453" s="93" t="s">
        <v>21</v>
      </c>
      <c r="E453" s="94">
        <v>27.92</v>
      </c>
      <c r="F453" s="93" t="s">
        <v>9</v>
      </c>
      <c r="G453" s="87">
        <f>Table1[[#This Row],[date]]</f>
        <v>45426</v>
      </c>
      <c r="H453" s="94">
        <f>SUMIF($A$2:A4088,G453,$E$2:E4088)</f>
        <v>347.79999999999995</v>
      </c>
      <c r="I453" s="93" t="str">
        <f t="shared" si="25"/>
        <v>Tuesday</v>
      </c>
      <c r="J453" s="93" t="str">
        <f t="shared" si="26"/>
        <v>May</v>
      </c>
      <c r="K453" s="93" t="str">
        <f t="shared" si="27"/>
        <v>2024</v>
      </c>
      <c r="L453" s="6"/>
      <c r="M453" s="6"/>
      <c r="N453" s="6"/>
    </row>
    <row r="454" spans="1:14" x14ac:dyDescent="0.3">
      <c r="A454" s="87">
        <v>45426</v>
      </c>
      <c r="B454" s="87" t="str">
        <f t="shared" si="28"/>
        <v>Tuesday</v>
      </c>
      <c r="C454" s="88" t="s">
        <v>1381</v>
      </c>
      <c r="D454" s="88" t="s">
        <v>21</v>
      </c>
      <c r="E454" s="89">
        <v>37.72</v>
      </c>
      <c r="F454" s="88" t="s">
        <v>41</v>
      </c>
      <c r="G454" s="87">
        <f>Table1[[#This Row],[date]]</f>
        <v>45426</v>
      </c>
      <c r="H454" s="94">
        <f>SUMIF($A$2:A4089,G454,$E$2:E4089)</f>
        <v>347.79999999999995</v>
      </c>
      <c r="I454" s="93" t="str">
        <f t="shared" ref="I454:I517" si="29">TEXT(G454,"dddd")</f>
        <v>Tuesday</v>
      </c>
      <c r="J454" s="93" t="str">
        <f t="shared" si="26"/>
        <v>May</v>
      </c>
      <c r="K454" s="93" t="str">
        <f t="shared" si="27"/>
        <v>2024</v>
      </c>
      <c r="L454" s="6"/>
      <c r="M454" s="6"/>
      <c r="N454" s="6"/>
    </row>
    <row r="455" spans="1:14" x14ac:dyDescent="0.3">
      <c r="A455" s="92">
        <v>45426</v>
      </c>
      <c r="B455" s="92" t="str">
        <f t="shared" si="28"/>
        <v>Tuesday</v>
      </c>
      <c r="C455" s="93" t="s">
        <v>1381</v>
      </c>
      <c r="D455" s="93" t="s">
        <v>177</v>
      </c>
      <c r="E455" s="94">
        <v>37.72</v>
      </c>
      <c r="F455" s="93" t="s">
        <v>5</v>
      </c>
      <c r="G455" s="87">
        <f>Table1[[#This Row],[date]]</f>
        <v>45426</v>
      </c>
      <c r="H455" s="94">
        <f>SUMIF($A$2:A4090,G455,$E$2:E4090)</f>
        <v>347.79999999999995</v>
      </c>
      <c r="I455" s="93" t="str">
        <f t="shared" si="29"/>
        <v>Tuesday</v>
      </c>
      <c r="J455" s="93" t="str">
        <f t="shared" ref="J455:J518" si="30">TEXT(G455,"mmmm")</f>
        <v>May</v>
      </c>
      <c r="K455" s="93" t="str">
        <f t="shared" ref="K455:K518" si="31">TEXT(G455,"yyyy")</f>
        <v>2024</v>
      </c>
      <c r="L455" s="6"/>
      <c r="M455" s="6"/>
      <c r="N455" s="6"/>
    </row>
    <row r="456" spans="1:14" x14ac:dyDescent="0.3">
      <c r="A456" s="87">
        <v>45426</v>
      </c>
      <c r="B456" s="87" t="str">
        <f t="shared" si="28"/>
        <v>Tuesday</v>
      </c>
      <c r="C456" s="88" t="s">
        <v>1381</v>
      </c>
      <c r="D456" s="88" t="s">
        <v>177</v>
      </c>
      <c r="E456" s="89">
        <v>37.72</v>
      </c>
      <c r="F456" s="88" t="s">
        <v>41</v>
      </c>
      <c r="G456" s="87">
        <f>Table1[[#This Row],[date]]</f>
        <v>45426</v>
      </c>
      <c r="H456" s="94">
        <f>SUMIF($A$2:A4091,G456,$E$2:E4091)</f>
        <v>347.79999999999995</v>
      </c>
      <c r="I456" s="93" t="str">
        <f t="shared" si="29"/>
        <v>Tuesday</v>
      </c>
      <c r="J456" s="93" t="str">
        <f t="shared" si="30"/>
        <v>May</v>
      </c>
      <c r="K456" s="93" t="str">
        <f t="shared" si="31"/>
        <v>2024</v>
      </c>
      <c r="L456" s="6"/>
      <c r="M456" s="6"/>
      <c r="N456" s="6"/>
    </row>
    <row r="457" spans="1:14" x14ac:dyDescent="0.3">
      <c r="A457" s="92">
        <v>45426</v>
      </c>
      <c r="B457" s="92" t="str">
        <f t="shared" si="28"/>
        <v>Tuesday</v>
      </c>
      <c r="C457" s="93" t="s">
        <v>1381</v>
      </c>
      <c r="D457" s="93" t="s">
        <v>36</v>
      </c>
      <c r="E457" s="94">
        <v>37.72</v>
      </c>
      <c r="F457" s="93" t="s">
        <v>41</v>
      </c>
      <c r="G457" s="87">
        <f>Table1[[#This Row],[date]]</f>
        <v>45426</v>
      </c>
      <c r="H457" s="94">
        <f>SUMIF($A$2:A4092,G457,$E$2:E4092)</f>
        <v>347.79999999999995</v>
      </c>
      <c r="I457" s="93" t="str">
        <f t="shared" si="29"/>
        <v>Tuesday</v>
      </c>
      <c r="J457" s="93" t="str">
        <f t="shared" si="30"/>
        <v>May</v>
      </c>
      <c r="K457" s="93" t="str">
        <f t="shared" si="31"/>
        <v>2024</v>
      </c>
      <c r="L457" s="6"/>
      <c r="M457" s="6"/>
      <c r="N457" s="6"/>
    </row>
    <row r="458" spans="1:14" x14ac:dyDescent="0.3">
      <c r="A458" s="87">
        <v>45426</v>
      </c>
      <c r="B458" s="87" t="str">
        <f t="shared" si="28"/>
        <v>Tuesday</v>
      </c>
      <c r="C458" s="88" t="s">
        <v>1381</v>
      </c>
      <c r="D458" s="88" t="s">
        <v>17</v>
      </c>
      <c r="E458" s="89">
        <v>32.82</v>
      </c>
      <c r="F458" s="88" t="s">
        <v>12</v>
      </c>
      <c r="G458" s="87">
        <f>Table1[[#This Row],[date]]</f>
        <v>45426</v>
      </c>
      <c r="H458" s="94">
        <f>SUMIF($A$2:A4093,G458,$E$2:E4093)</f>
        <v>347.79999999999995</v>
      </c>
      <c r="I458" s="93" t="str">
        <f t="shared" si="29"/>
        <v>Tuesday</v>
      </c>
      <c r="J458" s="93" t="str">
        <f t="shared" si="30"/>
        <v>May</v>
      </c>
      <c r="K458" s="93" t="str">
        <f t="shared" si="31"/>
        <v>2024</v>
      </c>
      <c r="L458" s="6"/>
      <c r="M458" s="6"/>
      <c r="N458" s="6"/>
    </row>
    <row r="459" spans="1:14" x14ac:dyDescent="0.3">
      <c r="A459" s="92">
        <v>45426</v>
      </c>
      <c r="B459" s="92" t="str">
        <f t="shared" si="28"/>
        <v>Tuesday</v>
      </c>
      <c r="C459" s="93" t="s">
        <v>1381</v>
      </c>
      <c r="D459" s="93" t="s">
        <v>52</v>
      </c>
      <c r="E459" s="94">
        <v>27.92</v>
      </c>
      <c r="F459" s="93" t="s">
        <v>9</v>
      </c>
      <c r="G459" s="87">
        <f>Table1[[#This Row],[date]]</f>
        <v>45426</v>
      </c>
      <c r="H459" s="94">
        <f>SUMIF($A$2:A4094,G459,$E$2:E4094)</f>
        <v>347.79999999999995</v>
      </c>
      <c r="I459" s="93" t="str">
        <f t="shared" si="29"/>
        <v>Tuesday</v>
      </c>
      <c r="J459" s="93" t="str">
        <f t="shared" si="30"/>
        <v>May</v>
      </c>
      <c r="K459" s="93" t="str">
        <f t="shared" si="31"/>
        <v>2024</v>
      </c>
      <c r="L459" s="6"/>
      <c r="M459" s="6"/>
      <c r="N459" s="6"/>
    </row>
    <row r="460" spans="1:14" x14ac:dyDescent="0.3">
      <c r="A460" s="87">
        <v>45426</v>
      </c>
      <c r="B460" s="87" t="str">
        <f t="shared" si="28"/>
        <v>Tuesday</v>
      </c>
      <c r="C460" s="88" t="s">
        <v>1381</v>
      </c>
      <c r="D460" s="88" t="s">
        <v>178</v>
      </c>
      <c r="E460" s="89">
        <v>32.82</v>
      </c>
      <c r="F460" s="88" t="s">
        <v>12</v>
      </c>
      <c r="G460" s="87">
        <f>Table1[[#This Row],[date]]</f>
        <v>45426</v>
      </c>
      <c r="H460" s="94">
        <f>SUMIF($A$2:A4095,G460,$E$2:E4095)</f>
        <v>347.79999999999995</v>
      </c>
      <c r="I460" s="93" t="str">
        <f t="shared" si="29"/>
        <v>Tuesday</v>
      </c>
      <c r="J460" s="93" t="str">
        <f t="shared" si="30"/>
        <v>May</v>
      </c>
      <c r="K460" s="93" t="str">
        <f t="shared" si="31"/>
        <v>2024</v>
      </c>
      <c r="L460" s="6"/>
      <c r="M460" s="6"/>
      <c r="N460" s="6"/>
    </row>
    <row r="461" spans="1:14" x14ac:dyDescent="0.3">
      <c r="A461" s="92">
        <v>45426</v>
      </c>
      <c r="B461" s="92" t="str">
        <f t="shared" si="28"/>
        <v>Tuesday</v>
      </c>
      <c r="C461" s="93" t="s">
        <v>1381</v>
      </c>
      <c r="D461" s="93" t="s">
        <v>178</v>
      </c>
      <c r="E461" s="94">
        <v>37.72</v>
      </c>
      <c r="F461" s="93" t="s">
        <v>41</v>
      </c>
      <c r="G461" s="87">
        <f>Table1[[#This Row],[date]]</f>
        <v>45426</v>
      </c>
      <c r="H461" s="94">
        <f>SUMIF($A$2:A4096,G461,$E$2:E4096)</f>
        <v>347.79999999999995</v>
      </c>
      <c r="I461" s="93" t="str">
        <f t="shared" si="29"/>
        <v>Tuesday</v>
      </c>
      <c r="J461" s="93" t="str">
        <f t="shared" si="30"/>
        <v>May</v>
      </c>
      <c r="K461" s="93" t="str">
        <f t="shared" si="31"/>
        <v>2024</v>
      </c>
      <c r="L461" s="6"/>
      <c r="M461" s="6"/>
      <c r="N461" s="6"/>
    </row>
    <row r="462" spans="1:14" x14ac:dyDescent="0.3">
      <c r="A462" s="87">
        <v>45426</v>
      </c>
      <c r="B462" s="87" t="str">
        <f t="shared" si="28"/>
        <v>Tuesday</v>
      </c>
      <c r="C462" s="88" t="s">
        <v>1381</v>
      </c>
      <c r="D462" s="88" t="s">
        <v>179</v>
      </c>
      <c r="E462" s="89">
        <v>37.72</v>
      </c>
      <c r="F462" s="88" t="s">
        <v>7</v>
      </c>
      <c r="G462" s="87">
        <f>Table1[[#This Row],[date]]</f>
        <v>45426</v>
      </c>
      <c r="H462" s="94">
        <f>SUMIF($A$2:A4097,G462,$E$2:E4097)</f>
        <v>347.79999999999995</v>
      </c>
      <c r="I462" s="93" t="str">
        <f t="shared" si="29"/>
        <v>Tuesday</v>
      </c>
      <c r="J462" s="93" t="str">
        <f t="shared" si="30"/>
        <v>May</v>
      </c>
      <c r="K462" s="93" t="str">
        <f t="shared" si="31"/>
        <v>2024</v>
      </c>
      <c r="L462" s="6"/>
      <c r="M462" s="6"/>
      <c r="N462" s="6"/>
    </row>
    <row r="463" spans="1:14" x14ac:dyDescent="0.3">
      <c r="A463" s="92">
        <v>45427</v>
      </c>
      <c r="B463" s="92" t="str">
        <f t="shared" si="28"/>
        <v>Wednesday</v>
      </c>
      <c r="C463" s="93" t="s">
        <v>1381</v>
      </c>
      <c r="D463" s="93" t="s">
        <v>180</v>
      </c>
      <c r="E463" s="94">
        <v>37.72</v>
      </c>
      <c r="F463" s="93" t="s">
        <v>5</v>
      </c>
      <c r="G463" s="87">
        <f>Table1[[#This Row],[date]]</f>
        <v>45427</v>
      </c>
      <c r="H463" s="94">
        <f>SUMIF($A$2:A4098,G463,$E$2:E4098)</f>
        <v>294.98</v>
      </c>
      <c r="I463" s="93" t="str">
        <f t="shared" si="29"/>
        <v>Wednesday</v>
      </c>
      <c r="J463" s="93" t="str">
        <f t="shared" si="30"/>
        <v>May</v>
      </c>
      <c r="K463" s="93" t="str">
        <f t="shared" si="31"/>
        <v>2024</v>
      </c>
      <c r="L463" s="6"/>
      <c r="M463" s="6"/>
      <c r="N463" s="6"/>
    </row>
    <row r="464" spans="1:14" x14ac:dyDescent="0.3">
      <c r="A464" s="87">
        <v>45427</v>
      </c>
      <c r="B464" s="87" t="str">
        <f t="shared" si="28"/>
        <v>Wednesday</v>
      </c>
      <c r="C464" s="88" t="s">
        <v>1381</v>
      </c>
      <c r="D464" s="88" t="s">
        <v>21</v>
      </c>
      <c r="E464" s="89">
        <v>23.02</v>
      </c>
      <c r="F464" s="88" t="s">
        <v>33</v>
      </c>
      <c r="G464" s="87">
        <f>Table1[[#This Row],[date]]</f>
        <v>45427</v>
      </c>
      <c r="H464" s="94">
        <f>SUMIF($A$2:A4099,G464,$E$2:E4099)</f>
        <v>294.98</v>
      </c>
      <c r="I464" s="93" t="str">
        <f t="shared" si="29"/>
        <v>Wednesday</v>
      </c>
      <c r="J464" s="93" t="str">
        <f t="shared" si="30"/>
        <v>May</v>
      </c>
      <c r="K464" s="93" t="str">
        <f t="shared" si="31"/>
        <v>2024</v>
      </c>
      <c r="L464" s="6"/>
      <c r="M464" s="6"/>
      <c r="N464" s="6"/>
    </row>
    <row r="465" spans="1:14" x14ac:dyDescent="0.3">
      <c r="A465" s="92">
        <v>45427</v>
      </c>
      <c r="B465" s="92" t="str">
        <f t="shared" si="28"/>
        <v>Wednesday</v>
      </c>
      <c r="C465" s="93" t="s">
        <v>1381</v>
      </c>
      <c r="D465" s="93" t="s">
        <v>21</v>
      </c>
      <c r="E465" s="94">
        <v>27.92</v>
      </c>
      <c r="F465" s="93" t="s">
        <v>9</v>
      </c>
      <c r="G465" s="87">
        <f>Table1[[#This Row],[date]]</f>
        <v>45427</v>
      </c>
      <c r="H465" s="94">
        <f>SUMIF($A$2:A4100,G465,$E$2:E4100)</f>
        <v>294.98</v>
      </c>
      <c r="I465" s="93" t="str">
        <f t="shared" si="29"/>
        <v>Wednesday</v>
      </c>
      <c r="J465" s="93" t="str">
        <f t="shared" si="30"/>
        <v>May</v>
      </c>
      <c r="K465" s="93" t="str">
        <f t="shared" si="31"/>
        <v>2024</v>
      </c>
      <c r="L465" s="6"/>
      <c r="M465" s="6"/>
      <c r="N465" s="6"/>
    </row>
    <row r="466" spans="1:14" x14ac:dyDescent="0.3">
      <c r="A466" s="87">
        <v>45427</v>
      </c>
      <c r="B466" s="87" t="str">
        <f t="shared" si="28"/>
        <v>Wednesday</v>
      </c>
      <c r="C466" s="88" t="s">
        <v>1381</v>
      </c>
      <c r="D466" s="88" t="s">
        <v>8</v>
      </c>
      <c r="E466" s="89">
        <v>27.92</v>
      </c>
      <c r="F466" s="88" t="s">
        <v>9</v>
      </c>
      <c r="G466" s="87">
        <f>Table1[[#This Row],[date]]</f>
        <v>45427</v>
      </c>
      <c r="H466" s="94">
        <f>SUMIF($A$2:A4101,G466,$E$2:E4101)</f>
        <v>294.98</v>
      </c>
      <c r="I466" s="93" t="str">
        <f t="shared" si="29"/>
        <v>Wednesday</v>
      </c>
      <c r="J466" s="93" t="str">
        <f t="shared" si="30"/>
        <v>May</v>
      </c>
      <c r="K466" s="93" t="str">
        <f t="shared" si="31"/>
        <v>2024</v>
      </c>
      <c r="L466" s="6"/>
      <c r="M466" s="6"/>
      <c r="N466" s="6"/>
    </row>
    <row r="467" spans="1:14" x14ac:dyDescent="0.3">
      <c r="A467" s="92">
        <v>45427</v>
      </c>
      <c r="B467" s="92" t="str">
        <f t="shared" si="28"/>
        <v>Wednesday</v>
      </c>
      <c r="C467" s="93" t="s">
        <v>1381</v>
      </c>
      <c r="D467" s="93" t="s">
        <v>176</v>
      </c>
      <c r="E467" s="94">
        <v>32.82</v>
      </c>
      <c r="F467" s="93" t="s">
        <v>12</v>
      </c>
      <c r="G467" s="87">
        <f>Table1[[#This Row],[date]]</f>
        <v>45427</v>
      </c>
      <c r="H467" s="94">
        <f>SUMIF($A$2:A4102,G467,$E$2:E4102)</f>
        <v>294.98</v>
      </c>
      <c r="I467" s="93" t="str">
        <f t="shared" si="29"/>
        <v>Wednesday</v>
      </c>
      <c r="J467" s="93" t="str">
        <f t="shared" si="30"/>
        <v>May</v>
      </c>
      <c r="K467" s="93" t="str">
        <f t="shared" si="31"/>
        <v>2024</v>
      </c>
      <c r="L467" s="6"/>
      <c r="M467" s="6"/>
      <c r="N467" s="6"/>
    </row>
    <row r="468" spans="1:14" x14ac:dyDescent="0.3">
      <c r="A468" s="87">
        <v>45427</v>
      </c>
      <c r="B468" s="87" t="str">
        <f t="shared" si="28"/>
        <v>Wednesday</v>
      </c>
      <c r="C468" s="88" t="s">
        <v>1383</v>
      </c>
      <c r="D468" s="88"/>
      <c r="E468" s="89">
        <v>29</v>
      </c>
      <c r="F468" s="88" t="s">
        <v>9</v>
      </c>
      <c r="G468" s="87">
        <f>Table1[[#This Row],[date]]</f>
        <v>45427</v>
      </c>
      <c r="H468" s="94">
        <f>SUMIF($A$2:A4103,G468,$E$2:E4103)</f>
        <v>294.98</v>
      </c>
      <c r="I468" s="93" t="str">
        <f t="shared" si="29"/>
        <v>Wednesday</v>
      </c>
      <c r="J468" s="93" t="str">
        <f t="shared" si="30"/>
        <v>May</v>
      </c>
      <c r="K468" s="93" t="str">
        <f t="shared" si="31"/>
        <v>2024</v>
      </c>
      <c r="L468" s="6"/>
      <c r="M468" s="6"/>
      <c r="N468" s="6"/>
    </row>
    <row r="469" spans="1:14" x14ac:dyDescent="0.3">
      <c r="A469" s="92">
        <v>45427</v>
      </c>
      <c r="B469" s="92" t="str">
        <f t="shared" si="28"/>
        <v>Wednesday</v>
      </c>
      <c r="C469" s="93" t="s">
        <v>1381</v>
      </c>
      <c r="D469" s="93" t="s">
        <v>181</v>
      </c>
      <c r="E469" s="94">
        <v>27.92</v>
      </c>
      <c r="F469" s="93" t="s">
        <v>26</v>
      </c>
      <c r="G469" s="87">
        <f>Table1[[#This Row],[date]]</f>
        <v>45427</v>
      </c>
      <c r="H469" s="94">
        <f>SUMIF($A$2:A4104,G469,$E$2:E4104)</f>
        <v>294.98</v>
      </c>
      <c r="I469" s="93" t="str">
        <f t="shared" si="29"/>
        <v>Wednesday</v>
      </c>
      <c r="J469" s="93" t="str">
        <f t="shared" si="30"/>
        <v>May</v>
      </c>
      <c r="K469" s="93" t="str">
        <f t="shared" si="31"/>
        <v>2024</v>
      </c>
      <c r="L469" s="6"/>
      <c r="M469" s="6"/>
      <c r="N469" s="6"/>
    </row>
    <row r="470" spans="1:14" x14ac:dyDescent="0.3">
      <c r="A470" s="87">
        <v>45427</v>
      </c>
      <c r="B470" s="87" t="str">
        <f t="shared" si="28"/>
        <v>Wednesday</v>
      </c>
      <c r="C470" s="88" t="s">
        <v>1381</v>
      </c>
      <c r="D470" s="88" t="s">
        <v>21</v>
      </c>
      <c r="E470" s="89">
        <v>27.92</v>
      </c>
      <c r="F470" s="88" t="s">
        <v>26</v>
      </c>
      <c r="G470" s="87">
        <f>Table1[[#This Row],[date]]</f>
        <v>45427</v>
      </c>
      <c r="H470" s="94">
        <f>SUMIF($A$2:A4105,G470,$E$2:E4105)</f>
        <v>294.98</v>
      </c>
      <c r="I470" s="93" t="str">
        <f t="shared" si="29"/>
        <v>Wednesday</v>
      </c>
      <c r="J470" s="93" t="str">
        <f t="shared" si="30"/>
        <v>May</v>
      </c>
      <c r="K470" s="93" t="str">
        <f t="shared" si="31"/>
        <v>2024</v>
      </c>
      <c r="L470" s="6"/>
      <c r="M470" s="6"/>
      <c r="N470" s="6"/>
    </row>
    <row r="471" spans="1:14" x14ac:dyDescent="0.3">
      <c r="A471" s="92">
        <v>45427</v>
      </c>
      <c r="B471" s="92" t="str">
        <f t="shared" si="28"/>
        <v>Wednesday</v>
      </c>
      <c r="C471" s="93" t="s">
        <v>1381</v>
      </c>
      <c r="D471" s="93" t="s">
        <v>182</v>
      </c>
      <c r="E471" s="94">
        <v>23.02</v>
      </c>
      <c r="F471" s="93" t="s">
        <v>33</v>
      </c>
      <c r="G471" s="87">
        <f>Table1[[#This Row],[date]]</f>
        <v>45427</v>
      </c>
      <c r="H471" s="94">
        <f>SUMIF($A$2:A4106,G471,$E$2:E4106)</f>
        <v>294.98</v>
      </c>
      <c r="I471" s="93" t="str">
        <f t="shared" si="29"/>
        <v>Wednesday</v>
      </c>
      <c r="J471" s="93" t="str">
        <f t="shared" si="30"/>
        <v>May</v>
      </c>
      <c r="K471" s="93" t="str">
        <f t="shared" si="31"/>
        <v>2024</v>
      </c>
      <c r="L471" s="6"/>
      <c r="M471" s="6"/>
      <c r="N471" s="6"/>
    </row>
    <row r="472" spans="1:14" x14ac:dyDescent="0.3">
      <c r="A472" s="87">
        <v>45427</v>
      </c>
      <c r="B472" s="87" t="str">
        <f t="shared" si="28"/>
        <v>Wednesday</v>
      </c>
      <c r="C472" s="88" t="s">
        <v>1381</v>
      </c>
      <c r="D472" s="88" t="s">
        <v>183</v>
      </c>
      <c r="E472" s="89">
        <v>37.72</v>
      </c>
      <c r="F472" s="88" t="s">
        <v>41</v>
      </c>
      <c r="G472" s="87">
        <f>Table1[[#This Row],[date]]</f>
        <v>45427</v>
      </c>
      <c r="H472" s="94">
        <f>SUMIF($A$2:A4107,G472,$E$2:E4107)</f>
        <v>294.98</v>
      </c>
      <c r="I472" s="93" t="str">
        <f t="shared" si="29"/>
        <v>Wednesday</v>
      </c>
      <c r="J472" s="93" t="str">
        <f t="shared" si="30"/>
        <v>May</v>
      </c>
      <c r="K472" s="93" t="str">
        <f t="shared" si="31"/>
        <v>2024</v>
      </c>
      <c r="L472" s="6"/>
      <c r="M472" s="6"/>
      <c r="N472" s="6"/>
    </row>
    <row r="473" spans="1:14" x14ac:dyDescent="0.3">
      <c r="A473" s="92">
        <v>45428</v>
      </c>
      <c r="B473" s="92" t="str">
        <f t="shared" si="28"/>
        <v>Thursday</v>
      </c>
      <c r="C473" s="93" t="s">
        <v>1381</v>
      </c>
      <c r="D473" s="93" t="s">
        <v>109</v>
      </c>
      <c r="E473" s="94">
        <v>32.82</v>
      </c>
      <c r="F473" s="93" t="s">
        <v>12</v>
      </c>
      <c r="G473" s="87">
        <f>Table1[[#This Row],[date]]</f>
        <v>45428</v>
      </c>
      <c r="H473" s="94">
        <f>SUMIF($A$2:A4108,G473,$E$2:E4108)</f>
        <v>327.34000000000003</v>
      </c>
      <c r="I473" s="93" t="str">
        <f t="shared" si="29"/>
        <v>Thursday</v>
      </c>
      <c r="J473" s="93" t="str">
        <f t="shared" si="30"/>
        <v>May</v>
      </c>
      <c r="K473" s="93" t="str">
        <f t="shared" si="31"/>
        <v>2024</v>
      </c>
      <c r="L473" s="6"/>
      <c r="M473" s="6"/>
      <c r="N473" s="6"/>
    </row>
    <row r="474" spans="1:14" x14ac:dyDescent="0.3">
      <c r="A474" s="87">
        <v>45428</v>
      </c>
      <c r="B474" s="87" t="str">
        <f t="shared" si="28"/>
        <v>Thursday</v>
      </c>
      <c r="C474" s="88" t="s">
        <v>1381</v>
      </c>
      <c r="D474" s="88" t="s">
        <v>184</v>
      </c>
      <c r="E474" s="89">
        <v>32.82</v>
      </c>
      <c r="F474" s="88" t="s">
        <v>12</v>
      </c>
      <c r="G474" s="87">
        <f>Table1[[#This Row],[date]]</f>
        <v>45428</v>
      </c>
      <c r="H474" s="94">
        <f>SUMIF($A$2:A4109,G474,$E$2:E4109)</f>
        <v>327.34000000000003</v>
      </c>
      <c r="I474" s="93" t="str">
        <f t="shared" si="29"/>
        <v>Thursday</v>
      </c>
      <c r="J474" s="93" t="str">
        <f t="shared" si="30"/>
        <v>May</v>
      </c>
      <c r="K474" s="93" t="str">
        <f t="shared" si="31"/>
        <v>2024</v>
      </c>
      <c r="L474" s="6"/>
      <c r="M474" s="6"/>
      <c r="N474" s="6"/>
    </row>
    <row r="475" spans="1:14" x14ac:dyDescent="0.3">
      <c r="A475" s="92">
        <v>45428</v>
      </c>
      <c r="B475" s="92" t="str">
        <f t="shared" si="28"/>
        <v>Thursday</v>
      </c>
      <c r="C475" s="93" t="s">
        <v>1383</v>
      </c>
      <c r="D475" s="93"/>
      <c r="E475" s="94">
        <v>39</v>
      </c>
      <c r="F475" s="93" t="s">
        <v>5</v>
      </c>
      <c r="G475" s="87">
        <f>Table1[[#This Row],[date]]</f>
        <v>45428</v>
      </c>
      <c r="H475" s="94">
        <f>SUMIF($A$2:A4110,G475,$E$2:E4110)</f>
        <v>327.34000000000003</v>
      </c>
      <c r="I475" s="93" t="str">
        <f t="shared" si="29"/>
        <v>Thursday</v>
      </c>
      <c r="J475" s="93" t="str">
        <f t="shared" si="30"/>
        <v>May</v>
      </c>
      <c r="K475" s="93" t="str">
        <f t="shared" si="31"/>
        <v>2024</v>
      </c>
      <c r="L475" s="6"/>
      <c r="M475" s="6"/>
      <c r="N475" s="6"/>
    </row>
    <row r="476" spans="1:14" x14ac:dyDescent="0.3">
      <c r="A476" s="87">
        <v>45428</v>
      </c>
      <c r="B476" s="87" t="str">
        <f t="shared" si="28"/>
        <v>Thursday</v>
      </c>
      <c r="C476" s="88" t="s">
        <v>1383</v>
      </c>
      <c r="D476" s="88"/>
      <c r="E476" s="89">
        <v>39</v>
      </c>
      <c r="F476" s="88" t="s">
        <v>41</v>
      </c>
      <c r="G476" s="87">
        <f>Table1[[#This Row],[date]]</f>
        <v>45428</v>
      </c>
      <c r="H476" s="94">
        <f>SUMIF($A$2:A4111,G476,$E$2:E4111)</f>
        <v>327.34000000000003</v>
      </c>
      <c r="I476" s="93" t="str">
        <f t="shared" si="29"/>
        <v>Thursday</v>
      </c>
      <c r="J476" s="93" t="str">
        <f t="shared" si="30"/>
        <v>May</v>
      </c>
      <c r="K476" s="93" t="str">
        <f t="shared" si="31"/>
        <v>2024</v>
      </c>
      <c r="L476" s="6"/>
      <c r="M476" s="6"/>
      <c r="N476" s="6"/>
    </row>
    <row r="477" spans="1:14" x14ac:dyDescent="0.3">
      <c r="A477" s="92">
        <v>45428</v>
      </c>
      <c r="B477" s="92" t="str">
        <f t="shared" si="28"/>
        <v>Thursday</v>
      </c>
      <c r="C477" s="93" t="s">
        <v>1381</v>
      </c>
      <c r="D477" s="93" t="s">
        <v>185</v>
      </c>
      <c r="E477" s="94">
        <v>32.82</v>
      </c>
      <c r="F477" s="93" t="s">
        <v>12</v>
      </c>
      <c r="G477" s="87">
        <f>Table1[[#This Row],[date]]</f>
        <v>45428</v>
      </c>
      <c r="H477" s="94">
        <f>SUMIF($A$2:A4112,G477,$E$2:E4112)</f>
        <v>327.34000000000003</v>
      </c>
      <c r="I477" s="93" t="str">
        <f t="shared" si="29"/>
        <v>Thursday</v>
      </c>
      <c r="J477" s="93" t="str">
        <f t="shared" si="30"/>
        <v>May</v>
      </c>
      <c r="K477" s="93" t="str">
        <f t="shared" si="31"/>
        <v>2024</v>
      </c>
      <c r="L477" s="6"/>
      <c r="M477" s="6"/>
      <c r="N477" s="6"/>
    </row>
    <row r="478" spans="1:14" x14ac:dyDescent="0.3">
      <c r="A478" s="87">
        <v>45428</v>
      </c>
      <c r="B478" s="87" t="str">
        <f t="shared" si="28"/>
        <v>Thursday</v>
      </c>
      <c r="C478" s="88" t="s">
        <v>1381</v>
      </c>
      <c r="D478" s="88" t="s">
        <v>186</v>
      </c>
      <c r="E478" s="89">
        <v>37.72</v>
      </c>
      <c r="F478" s="88" t="s">
        <v>7</v>
      </c>
      <c r="G478" s="87">
        <f>Table1[[#This Row],[date]]</f>
        <v>45428</v>
      </c>
      <c r="H478" s="94">
        <f>SUMIF($A$2:A4113,G478,$E$2:E4113)</f>
        <v>327.34000000000003</v>
      </c>
      <c r="I478" s="93" t="str">
        <f t="shared" si="29"/>
        <v>Thursday</v>
      </c>
      <c r="J478" s="93" t="str">
        <f t="shared" si="30"/>
        <v>May</v>
      </c>
      <c r="K478" s="93" t="str">
        <f t="shared" si="31"/>
        <v>2024</v>
      </c>
      <c r="L478" s="6"/>
      <c r="M478" s="6"/>
      <c r="N478" s="6"/>
    </row>
    <row r="479" spans="1:14" x14ac:dyDescent="0.3">
      <c r="A479" s="92">
        <v>45428</v>
      </c>
      <c r="B479" s="92" t="str">
        <f t="shared" si="28"/>
        <v>Thursday</v>
      </c>
      <c r="C479" s="93" t="s">
        <v>1381</v>
      </c>
      <c r="D479" s="93" t="s">
        <v>81</v>
      </c>
      <c r="E479" s="94">
        <v>37.72</v>
      </c>
      <c r="F479" s="93" t="s">
        <v>5</v>
      </c>
      <c r="G479" s="87">
        <f>Table1[[#This Row],[date]]</f>
        <v>45428</v>
      </c>
      <c r="H479" s="94">
        <f>SUMIF($A$2:A4114,G479,$E$2:E4114)</f>
        <v>327.34000000000003</v>
      </c>
      <c r="I479" s="93" t="str">
        <f t="shared" si="29"/>
        <v>Thursday</v>
      </c>
      <c r="J479" s="93" t="str">
        <f t="shared" si="30"/>
        <v>May</v>
      </c>
      <c r="K479" s="93" t="str">
        <f t="shared" si="31"/>
        <v>2024</v>
      </c>
      <c r="L479" s="6"/>
      <c r="M479" s="6"/>
      <c r="N479" s="6"/>
    </row>
    <row r="480" spans="1:14" x14ac:dyDescent="0.3">
      <c r="A480" s="87">
        <v>45428</v>
      </c>
      <c r="B480" s="87" t="str">
        <f t="shared" si="28"/>
        <v>Thursday</v>
      </c>
      <c r="C480" s="88" t="s">
        <v>1381</v>
      </c>
      <c r="D480" s="88" t="s">
        <v>187</v>
      </c>
      <c r="E480" s="89">
        <v>37.72</v>
      </c>
      <c r="F480" s="88" t="s">
        <v>7</v>
      </c>
      <c r="G480" s="87">
        <f>Table1[[#This Row],[date]]</f>
        <v>45428</v>
      </c>
      <c r="H480" s="94">
        <f>SUMIF($A$2:A4115,G480,$E$2:E4115)</f>
        <v>327.34000000000003</v>
      </c>
      <c r="I480" s="93" t="str">
        <f t="shared" si="29"/>
        <v>Thursday</v>
      </c>
      <c r="J480" s="93" t="str">
        <f t="shared" si="30"/>
        <v>May</v>
      </c>
      <c r="K480" s="93" t="str">
        <f t="shared" si="31"/>
        <v>2024</v>
      </c>
      <c r="L480" s="6"/>
      <c r="M480" s="6"/>
      <c r="N480" s="6"/>
    </row>
    <row r="481" spans="1:14" x14ac:dyDescent="0.3">
      <c r="A481" s="92">
        <v>45428</v>
      </c>
      <c r="B481" s="92" t="str">
        <f t="shared" si="28"/>
        <v>Thursday</v>
      </c>
      <c r="C481" s="93" t="s">
        <v>1381</v>
      </c>
      <c r="D481" s="93" t="s">
        <v>187</v>
      </c>
      <c r="E481" s="94">
        <v>37.72</v>
      </c>
      <c r="F481" s="93" t="s">
        <v>5</v>
      </c>
      <c r="G481" s="87">
        <f>Table1[[#This Row],[date]]</f>
        <v>45428</v>
      </c>
      <c r="H481" s="94">
        <f>SUMIF($A$2:A4116,G481,$E$2:E4116)</f>
        <v>327.34000000000003</v>
      </c>
      <c r="I481" s="93" t="str">
        <f t="shared" si="29"/>
        <v>Thursday</v>
      </c>
      <c r="J481" s="93" t="str">
        <f t="shared" si="30"/>
        <v>May</v>
      </c>
      <c r="K481" s="93" t="str">
        <f t="shared" si="31"/>
        <v>2024</v>
      </c>
      <c r="L481" s="6"/>
      <c r="M481" s="6"/>
      <c r="N481" s="6"/>
    </row>
    <row r="482" spans="1:14" x14ac:dyDescent="0.3">
      <c r="A482" s="87">
        <v>45429</v>
      </c>
      <c r="B482" s="87" t="str">
        <f t="shared" si="28"/>
        <v>Friday</v>
      </c>
      <c r="C482" s="88" t="s">
        <v>1381</v>
      </c>
      <c r="D482" s="88" t="s">
        <v>45</v>
      </c>
      <c r="E482" s="89">
        <v>27.92</v>
      </c>
      <c r="F482" s="88" t="s">
        <v>9</v>
      </c>
      <c r="G482" s="87">
        <f>Table1[[#This Row],[date]]</f>
        <v>45429</v>
      </c>
      <c r="H482" s="94">
        <f>SUMIF($A$2:A4117,G482,$E$2:E4117)</f>
        <v>306.36</v>
      </c>
      <c r="I482" s="93" t="str">
        <f t="shared" si="29"/>
        <v>Friday</v>
      </c>
      <c r="J482" s="93" t="str">
        <f t="shared" si="30"/>
        <v>May</v>
      </c>
      <c r="K482" s="93" t="str">
        <f t="shared" si="31"/>
        <v>2024</v>
      </c>
      <c r="L482" s="6"/>
      <c r="M482" s="6"/>
      <c r="N482" s="6"/>
    </row>
    <row r="483" spans="1:14" x14ac:dyDescent="0.3">
      <c r="A483" s="92">
        <v>45429</v>
      </c>
      <c r="B483" s="92" t="str">
        <f t="shared" si="28"/>
        <v>Friday</v>
      </c>
      <c r="C483" s="93" t="s">
        <v>1381</v>
      </c>
      <c r="D483" s="93" t="s">
        <v>176</v>
      </c>
      <c r="E483" s="94">
        <v>32.82</v>
      </c>
      <c r="F483" s="93" t="s">
        <v>12</v>
      </c>
      <c r="G483" s="87">
        <f>Table1[[#This Row],[date]]</f>
        <v>45429</v>
      </c>
      <c r="H483" s="94">
        <f>SUMIF($A$2:A4118,G483,$E$2:E4118)</f>
        <v>306.36</v>
      </c>
      <c r="I483" s="93" t="str">
        <f t="shared" si="29"/>
        <v>Friday</v>
      </c>
      <c r="J483" s="93" t="str">
        <f t="shared" si="30"/>
        <v>May</v>
      </c>
      <c r="K483" s="93" t="str">
        <f t="shared" si="31"/>
        <v>2024</v>
      </c>
      <c r="L483" s="6"/>
      <c r="M483" s="6"/>
      <c r="N483" s="6"/>
    </row>
    <row r="484" spans="1:14" x14ac:dyDescent="0.3">
      <c r="A484" s="87">
        <v>45429</v>
      </c>
      <c r="B484" s="87" t="str">
        <f t="shared" si="28"/>
        <v>Friday</v>
      </c>
      <c r="C484" s="88" t="s">
        <v>1383</v>
      </c>
      <c r="D484" s="88"/>
      <c r="E484" s="89">
        <v>34</v>
      </c>
      <c r="F484" s="88" t="s">
        <v>12</v>
      </c>
      <c r="G484" s="87">
        <f>Table1[[#This Row],[date]]</f>
        <v>45429</v>
      </c>
      <c r="H484" s="94">
        <f>SUMIF($A$2:A4119,G484,$E$2:E4119)</f>
        <v>306.36</v>
      </c>
      <c r="I484" s="93" t="str">
        <f t="shared" si="29"/>
        <v>Friday</v>
      </c>
      <c r="J484" s="93" t="str">
        <f t="shared" si="30"/>
        <v>May</v>
      </c>
      <c r="K484" s="93" t="str">
        <f t="shared" si="31"/>
        <v>2024</v>
      </c>
      <c r="L484" s="6"/>
      <c r="M484" s="6"/>
      <c r="N484" s="6"/>
    </row>
    <row r="485" spans="1:14" x14ac:dyDescent="0.3">
      <c r="A485" s="92">
        <v>45429</v>
      </c>
      <c r="B485" s="92" t="str">
        <f t="shared" si="28"/>
        <v>Friday</v>
      </c>
      <c r="C485" s="93" t="s">
        <v>1381</v>
      </c>
      <c r="D485" s="93" t="s">
        <v>21</v>
      </c>
      <c r="E485" s="94">
        <v>32.82</v>
      </c>
      <c r="F485" s="93" t="s">
        <v>12</v>
      </c>
      <c r="G485" s="87">
        <f>Table1[[#This Row],[date]]</f>
        <v>45429</v>
      </c>
      <c r="H485" s="94">
        <f>SUMIF($A$2:A4120,G485,$E$2:E4120)</f>
        <v>306.36</v>
      </c>
      <c r="I485" s="93" t="str">
        <f t="shared" si="29"/>
        <v>Friday</v>
      </c>
      <c r="J485" s="93" t="str">
        <f t="shared" si="30"/>
        <v>May</v>
      </c>
      <c r="K485" s="93" t="str">
        <f t="shared" si="31"/>
        <v>2024</v>
      </c>
      <c r="L485" s="6"/>
      <c r="M485" s="6"/>
      <c r="N485" s="6"/>
    </row>
    <row r="486" spans="1:14" x14ac:dyDescent="0.3">
      <c r="A486" s="87">
        <v>45429</v>
      </c>
      <c r="B486" s="87" t="str">
        <f t="shared" si="28"/>
        <v>Friday</v>
      </c>
      <c r="C486" s="88" t="s">
        <v>1381</v>
      </c>
      <c r="D486" s="88" t="s">
        <v>17</v>
      </c>
      <c r="E486" s="89">
        <v>37.72</v>
      </c>
      <c r="F486" s="88" t="s">
        <v>41</v>
      </c>
      <c r="G486" s="87">
        <f>Table1[[#This Row],[date]]</f>
        <v>45429</v>
      </c>
      <c r="H486" s="94">
        <f>SUMIF($A$2:A4121,G486,$E$2:E4121)</f>
        <v>306.36</v>
      </c>
      <c r="I486" s="93" t="str">
        <f t="shared" si="29"/>
        <v>Friday</v>
      </c>
      <c r="J486" s="93" t="str">
        <f t="shared" si="30"/>
        <v>May</v>
      </c>
      <c r="K486" s="93" t="str">
        <f t="shared" si="31"/>
        <v>2024</v>
      </c>
      <c r="L486" s="6"/>
      <c r="M486" s="6"/>
      <c r="N486" s="6"/>
    </row>
    <row r="487" spans="1:14" x14ac:dyDescent="0.3">
      <c r="A487" s="92">
        <v>45429</v>
      </c>
      <c r="B487" s="92" t="str">
        <f t="shared" si="28"/>
        <v>Friday</v>
      </c>
      <c r="C487" s="93" t="s">
        <v>1381</v>
      </c>
      <c r="D487" s="93" t="s">
        <v>188</v>
      </c>
      <c r="E487" s="94">
        <v>37.72</v>
      </c>
      <c r="F487" s="93" t="s">
        <v>41</v>
      </c>
      <c r="G487" s="87">
        <f>Table1[[#This Row],[date]]</f>
        <v>45429</v>
      </c>
      <c r="H487" s="94">
        <f>SUMIF($A$2:A4122,G487,$E$2:E4122)</f>
        <v>306.36</v>
      </c>
      <c r="I487" s="93" t="str">
        <f t="shared" si="29"/>
        <v>Friday</v>
      </c>
      <c r="J487" s="93" t="str">
        <f t="shared" si="30"/>
        <v>May</v>
      </c>
      <c r="K487" s="93" t="str">
        <f t="shared" si="31"/>
        <v>2024</v>
      </c>
      <c r="L487" s="6"/>
      <c r="M487" s="6"/>
      <c r="N487" s="6"/>
    </row>
    <row r="488" spans="1:14" x14ac:dyDescent="0.3">
      <c r="A488" s="87">
        <v>45429</v>
      </c>
      <c r="B488" s="87" t="str">
        <f t="shared" si="28"/>
        <v>Friday</v>
      </c>
      <c r="C488" s="88" t="s">
        <v>1381</v>
      </c>
      <c r="D488" s="88" t="s">
        <v>189</v>
      </c>
      <c r="E488" s="89">
        <v>27.92</v>
      </c>
      <c r="F488" s="88" t="s">
        <v>9</v>
      </c>
      <c r="G488" s="87">
        <f>Table1[[#This Row],[date]]</f>
        <v>45429</v>
      </c>
      <c r="H488" s="94">
        <f>SUMIF($A$2:A4123,G488,$E$2:E4123)</f>
        <v>306.36</v>
      </c>
      <c r="I488" s="93" t="str">
        <f t="shared" si="29"/>
        <v>Friday</v>
      </c>
      <c r="J488" s="93" t="str">
        <f t="shared" si="30"/>
        <v>May</v>
      </c>
      <c r="K488" s="93" t="str">
        <f t="shared" si="31"/>
        <v>2024</v>
      </c>
      <c r="L488" s="6"/>
      <c r="M488" s="6"/>
      <c r="N488" s="6"/>
    </row>
    <row r="489" spans="1:14" x14ac:dyDescent="0.3">
      <c r="A489" s="92">
        <v>45429</v>
      </c>
      <c r="B489" s="92" t="str">
        <f t="shared" si="28"/>
        <v>Friday</v>
      </c>
      <c r="C489" s="93" t="s">
        <v>1381</v>
      </c>
      <c r="D489" s="93" t="s">
        <v>190</v>
      </c>
      <c r="E489" s="94">
        <v>37.72</v>
      </c>
      <c r="F489" s="93" t="s">
        <v>5</v>
      </c>
      <c r="G489" s="87">
        <f>Table1[[#This Row],[date]]</f>
        <v>45429</v>
      </c>
      <c r="H489" s="94">
        <f>SUMIF($A$2:A4124,G489,$E$2:E4124)</f>
        <v>306.36</v>
      </c>
      <c r="I489" s="93" t="str">
        <f t="shared" si="29"/>
        <v>Friday</v>
      </c>
      <c r="J489" s="93" t="str">
        <f t="shared" si="30"/>
        <v>May</v>
      </c>
      <c r="K489" s="93" t="str">
        <f t="shared" si="31"/>
        <v>2024</v>
      </c>
      <c r="L489" s="6"/>
      <c r="M489" s="6"/>
      <c r="N489" s="6"/>
    </row>
    <row r="490" spans="1:14" x14ac:dyDescent="0.3">
      <c r="A490" s="87">
        <v>45429</v>
      </c>
      <c r="B490" s="87" t="str">
        <f t="shared" si="28"/>
        <v>Friday</v>
      </c>
      <c r="C490" s="88" t="s">
        <v>1381</v>
      </c>
      <c r="D490" s="88" t="s">
        <v>191</v>
      </c>
      <c r="E490" s="89">
        <v>37.72</v>
      </c>
      <c r="F490" s="88" t="s">
        <v>5</v>
      </c>
      <c r="G490" s="87">
        <f>Table1[[#This Row],[date]]</f>
        <v>45429</v>
      </c>
      <c r="H490" s="94">
        <f>SUMIF($A$2:A4125,G490,$E$2:E4125)</f>
        <v>306.36</v>
      </c>
      <c r="I490" s="93" t="str">
        <f t="shared" si="29"/>
        <v>Friday</v>
      </c>
      <c r="J490" s="93" t="str">
        <f t="shared" si="30"/>
        <v>May</v>
      </c>
      <c r="K490" s="93" t="str">
        <f t="shared" si="31"/>
        <v>2024</v>
      </c>
      <c r="L490" s="6"/>
      <c r="M490" s="6"/>
      <c r="N490" s="6"/>
    </row>
    <row r="491" spans="1:14" x14ac:dyDescent="0.3">
      <c r="A491" s="92">
        <v>45430</v>
      </c>
      <c r="B491" s="92" t="str">
        <f t="shared" si="28"/>
        <v>Saturday</v>
      </c>
      <c r="C491" s="93" t="s">
        <v>1381</v>
      </c>
      <c r="D491" s="93" t="s">
        <v>192</v>
      </c>
      <c r="E491" s="94">
        <v>37.72</v>
      </c>
      <c r="F491" s="93" t="s">
        <v>41</v>
      </c>
      <c r="G491" s="87">
        <f>Table1[[#This Row],[date]]</f>
        <v>45430</v>
      </c>
      <c r="H491" s="94">
        <f>SUMIF($A$2:A4126,G491,$E$2:E4126)</f>
        <v>245.71999999999997</v>
      </c>
      <c r="I491" s="93" t="str">
        <f t="shared" si="29"/>
        <v>Saturday</v>
      </c>
      <c r="J491" s="93" t="str">
        <f t="shared" si="30"/>
        <v>May</v>
      </c>
      <c r="K491" s="93" t="str">
        <f t="shared" si="31"/>
        <v>2024</v>
      </c>
      <c r="L491" s="6"/>
      <c r="M491" s="6"/>
      <c r="N491" s="6"/>
    </row>
    <row r="492" spans="1:14" x14ac:dyDescent="0.3">
      <c r="A492" s="92">
        <v>45430</v>
      </c>
      <c r="B492" s="92" t="str">
        <f t="shared" si="28"/>
        <v>Saturday</v>
      </c>
      <c r="C492" s="93" t="s">
        <v>1381</v>
      </c>
      <c r="D492" s="93" t="s">
        <v>193</v>
      </c>
      <c r="E492" s="94">
        <v>32.82</v>
      </c>
      <c r="F492" s="93" t="s">
        <v>12</v>
      </c>
      <c r="G492" s="87">
        <f>Table1[[#This Row],[date]]</f>
        <v>45430</v>
      </c>
      <c r="H492" s="94">
        <f>SUMIF($A$2:A4127,G492,$E$2:E4127)</f>
        <v>245.71999999999997</v>
      </c>
      <c r="I492" s="93" t="str">
        <f t="shared" si="29"/>
        <v>Saturday</v>
      </c>
      <c r="J492" s="93" t="str">
        <f t="shared" si="30"/>
        <v>May</v>
      </c>
      <c r="K492" s="93" t="str">
        <f t="shared" si="31"/>
        <v>2024</v>
      </c>
      <c r="L492" s="6"/>
      <c r="M492" s="6"/>
      <c r="N492" s="6"/>
    </row>
    <row r="493" spans="1:14" x14ac:dyDescent="0.3">
      <c r="A493" s="87">
        <v>45430</v>
      </c>
      <c r="B493" s="87" t="str">
        <f t="shared" si="28"/>
        <v>Saturday</v>
      </c>
      <c r="C493" s="88" t="s">
        <v>1381</v>
      </c>
      <c r="D493" s="88" t="s">
        <v>184</v>
      </c>
      <c r="E493" s="89">
        <v>32.82</v>
      </c>
      <c r="F493" s="88" t="s">
        <v>12</v>
      </c>
      <c r="G493" s="87">
        <f>Table1[[#This Row],[date]]</f>
        <v>45430</v>
      </c>
      <c r="H493" s="94">
        <f>SUMIF($A$2:A4128,G493,$E$2:E4128)</f>
        <v>245.71999999999997</v>
      </c>
      <c r="I493" s="93" t="str">
        <f t="shared" si="29"/>
        <v>Saturday</v>
      </c>
      <c r="J493" s="93" t="str">
        <f t="shared" si="30"/>
        <v>May</v>
      </c>
      <c r="K493" s="93" t="str">
        <f t="shared" si="31"/>
        <v>2024</v>
      </c>
      <c r="L493" s="6"/>
      <c r="M493" s="6"/>
      <c r="N493" s="6"/>
    </row>
    <row r="494" spans="1:14" x14ac:dyDescent="0.3">
      <c r="A494" s="92">
        <v>45430</v>
      </c>
      <c r="B494" s="92" t="str">
        <f t="shared" si="28"/>
        <v>Saturday</v>
      </c>
      <c r="C494" s="93" t="s">
        <v>1381</v>
      </c>
      <c r="D494" s="93" t="s">
        <v>109</v>
      </c>
      <c r="E494" s="94">
        <v>32.82</v>
      </c>
      <c r="F494" s="93" t="s">
        <v>12</v>
      </c>
      <c r="G494" s="87">
        <f>Table1[[#This Row],[date]]</f>
        <v>45430</v>
      </c>
      <c r="H494" s="94">
        <f>SUMIF($A$2:A4129,G494,$E$2:E4129)</f>
        <v>245.71999999999997</v>
      </c>
      <c r="I494" s="93" t="str">
        <f t="shared" si="29"/>
        <v>Saturday</v>
      </c>
      <c r="J494" s="93" t="str">
        <f t="shared" si="30"/>
        <v>May</v>
      </c>
      <c r="K494" s="93" t="str">
        <f t="shared" si="31"/>
        <v>2024</v>
      </c>
      <c r="L494" s="6"/>
      <c r="M494" s="6"/>
      <c r="N494" s="6"/>
    </row>
    <row r="495" spans="1:14" x14ac:dyDescent="0.3">
      <c r="A495" s="87">
        <v>45430</v>
      </c>
      <c r="B495" s="87" t="str">
        <f t="shared" si="28"/>
        <v>Saturday</v>
      </c>
      <c r="C495" s="88" t="s">
        <v>1381</v>
      </c>
      <c r="D495" s="88" t="s">
        <v>52</v>
      </c>
      <c r="E495" s="89">
        <v>32.82</v>
      </c>
      <c r="F495" s="88" t="s">
        <v>12</v>
      </c>
      <c r="G495" s="87">
        <f>Table1[[#This Row],[date]]</f>
        <v>45430</v>
      </c>
      <c r="H495" s="94">
        <f>SUMIF($A$2:A4130,G495,$E$2:E4130)</f>
        <v>245.71999999999997</v>
      </c>
      <c r="I495" s="93" t="str">
        <f t="shared" si="29"/>
        <v>Saturday</v>
      </c>
      <c r="J495" s="93" t="str">
        <f t="shared" si="30"/>
        <v>May</v>
      </c>
      <c r="K495" s="93" t="str">
        <f t="shared" si="31"/>
        <v>2024</v>
      </c>
      <c r="L495" s="6"/>
      <c r="M495" s="6"/>
      <c r="N495" s="6"/>
    </row>
    <row r="496" spans="1:14" x14ac:dyDescent="0.3">
      <c r="A496" s="92">
        <v>45430</v>
      </c>
      <c r="B496" s="92" t="str">
        <f t="shared" si="28"/>
        <v>Saturday</v>
      </c>
      <c r="C496" s="93" t="s">
        <v>1381</v>
      </c>
      <c r="D496" s="93" t="s">
        <v>17</v>
      </c>
      <c r="E496" s="94">
        <v>37.72</v>
      </c>
      <c r="F496" s="93" t="s">
        <v>5</v>
      </c>
      <c r="G496" s="87">
        <f>Table1[[#This Row],[date]]</f>
        <v>45430</v>
      </c>
      <c r="H496" s="94">
        <f>SUMIF($A$2:A4131,G496,$E$2:E4131)</f>
        <v>245.71999999999997</v>
      </c>
      <c r="I496" s="93" t="str">
        <f t="shared" si="29"/>
        <v>Saturday</v>
      </c>
      <c r="J496" s="93" t="str">
        <f t="shared" si="30"/>
        <v>May</v>
      </c>
      <c r="K496" s="93" t="str">
        <f t="shared" si="31"/>
        <v>2024</v>
      </c>
      <c r="L496" s="6"/>
      <c r="M496" s="6"/>
      <c r="N496" s="6"/>
    </row>
    <row r="497" spans="1:14" x14ac:dyDescent="0.3">
      <c r="A497" s="87">
        <v>45430</v>
      </c>
      <c r="B497" s="87" t="str">
        <f t="shared" si="28"/>
        <v>Saturday</v>
      </c>
      <c r="C497" s="88" t="s">
        <v>1383</v>
      </c>
      <c r="D497" s="88"/>
      <c r="E497" s="89">
        <v>39</v>
      </c>
      <c r="F497" s="88" t="s">
        <v>41</v>
      </c>
      <c r="G497" s="87">
        <f>Table1[[#This Row],[date]]</f>
        <v>45430</v>
      </c>
      <c r="H497" s="94">
        <f>SUMIF($A$2:A4132,G497,$E$2:E4132)</f>
        <v>245.71999999999997</v>
      </c>
      <c r="I497" s="93" t="str">
        <f t="shared" si="29"/>
        <v>Saturday</v>
      </c>
      <c r="J497" s="93" t="str">
        <f t="shared" si="30"/>
        <v>May</v>
      </c>
      <c r="K497" s="93" t="str">
        <f t="shared" si="31"/>
        <v>2024</v>
      </c>
      <c r="L497" s="6"/>
      <c r="M497" s="6"/>
      <c r="N497" s="6"/>
    </row>
    <row r="498" spans="1:14" x14ac:dyDescent="0.3">
      <c r="A498" s="92">
        <v>45431</v>
      </c>
      <c r="B498" s="92" t="str">
        <f t="shared" si="28"/>
        <v>Sunday</v>
      </c>
      <c r="C498" s="93" t="s">
        <v>1381</v>
      </c>
      <c r="D498" s="93" t="s">
        <v>194</v>
      </c>
      <c r="E498" s="94">
        <v>27.92</v>
      </c>
      <c r="F498" s="93" t="s">
        <v>9</v>
      </c>
      <c r="G498" s="87">
        <f>Table1[[#This Row],[date]]</f>
        <v>45431</v>
      </c>
      <c r="H498" s="94">
        <f>SUMIF($A$2:A4133,G498,$E$2:E4133)</f>
        <v>389.92000000000007</v>
      </c>
      <c r="I498" s="93" t="str">
        <f t="shared" si="29"/>
        <v>Sunday</v>
      </c>
      <c r="J498" s="93" t="str">
        <f t="shared" si="30"/>
        <v>May</v>
      </c>
      <c r="K498" s="93" t="str">
        <f t="shared" si="31"/>
        <v>2024</v>
      </c>
      <c r="L498" s="6"/>
      <c r="M498" s="6"/>
      <c r="N498" s="6"/>
    </row>
    <row r="499" spans="1:14" x14ac:dyDescent="0.3">
      <c r="A499" s="92">
        <v>45431</v>
      </c>
      <c r="B499" s="92" t="str">
        <f t="shared" si="28"/>
        <v>Sunday</v>
      </c>
      <c r="C499" s="93" t="s">
        <v>1381</v>
      </c>
      <c r="D499" s="93" t="s">
        <v>195</v>
      </c>
      <c r="E499" s="94">
        <v>37.72</v>
      </c>
      <c r="F499" s="93" t="s">
        <v>41</v>
      </c>
      <c r="G499" s="87">
        <f>Table1[[#This Row],[date]]</f>
        <v>45431</v>
      </c>
      <c r="H499" s="94">
        <f>SUMIF($A$2:A4134,G499,$E$2:E4134)</f>
        <v>389.92000000000007</v>
      </c>
      <c r="I499" s="93" t="str">
        <f t="shared" si="29"/>
        <v>Sunday</v>
      </c>
      <c r="J499" s="93" t="str">
        <f t="shared" si="30"/>
        <v>May</v>
      </c>
      <c r="K499" s="93" t="str">
        <f t="shared" si="31"/>
        <v>2024</v>
      </c>
      <c r="L499" s="6"/>
      <c r="M499" s="6"/>
      <c r="N499" s="6"/>
    </row>
    <row r="500" spans="1:14" x14ac:dyDescent="0.3">
      <c r="A500" s="87">
        <v>45431</v>
      </c>
      <c r="B500" s="87" t="str">
        <f t="shared" si="28"/>
        <v>Sunday</v>
      </c>
      <c r="C500" s="88" t="s">
        <v>1383</v>
      </c>
      <c r="D500" s="88"/>
      <c r="E500" s="89">
        <v>24</v>
      </c>
      <c r="F500" s="88" t="s">
        <v>33</v>
      </c>
      <c r="G500" s="87">
        <f>Table1[[#This Row],[date]]</f>
        <v>45431</v>
      </c>
      <c r="H500" s="94">
        <f>SUMIF($A$2:A4135,G500,$E$2:E4135)</f>
        <v>389.92000000000007</v>
      </c>
      <c r="I500" s="93" t="str">
        <f t="shared" si="29"/>
        <v>Sunday</v>
      </c>
      <c r="J500" s="93" t="str">
        <f t="shared" si="30"/>
        <v>May</v>
      </c>
      <c r="K500" s="93" t="str">
        <f t="shared" si="31"/>
        <v>2024</v>
      </c>
      <c r="L500" s="6"/>
      <c r="M500" s="6"/>
      <c r="N500" s="6"/>
    </row>
    <row r="501" spans="1:14" x14ac:dyDescent="0.3">
      <c r="A501" s="92">
        <v>45431</v>
      </c>
      <c r="B501" s="92" t="str">
        <f t="shared" si="28"/>
        <v>Sunday</v>
      </c>
      <c r="C501" s="93" t="s">
        <v>1381</v>
      </c>
      <c r="D501" s="93" t="s">
        <v>196</v>
      </c>
      <c r="E501" s="94">
        <v>32.82</v>
      </c>
      <c r="F501" s="93" t="s">
        <v>12</v>
      </c>
      <c r="G501" s="87">
        <f>Table1[[#This Row],[date]]</f>
        <v>45431</v>
      </c>
      <c r="H501" s="94">
        <f>SUMIF($A$2:A4136,G501,$E$2:E4136)</f>
        <v>389.92000000000007</v>
      </c>
      <c r="I501" s="93" t="str">
        <f t="shared" si="29"/>
        <v>Sunday</v>
      </c>
      <c r="J501" s="93" t="str">
        <f t="shared" si="30"/>
        <v>May</v>
      </c>
      <c r="K501" s="93" t="str">
        <f t="shared" si="31"/>
        <v>2024</v>
      </c>
      <c r="L501" s="6"/>
      <c r="M501" s="6"/>
      <c r="N501" s="6"/>
    </row>
    <row r="502" spans="1:14" x14ac:dyDescent="0.3">
      <c r="A502" s="87">
        <v>45431</v>
      </c>
      <c r="B502" s="87" t="str">
        <f t="shared" si="28"/>
        <v>Sunday</v>
      </c>
      <c r="C502" s="88" t="s">
        <v>1381</v>
      </c>
      <c r="D502" s="88" t="s">
        <v>21</v>
      </c>
      <c r="E502" s="89">
        <v>27.92</v>
      </c>
      <c r="F502" s="88" t="s">
        <v>9</v>
      </c>
      <c r="G502" s="87">
        <f>Table1[[#This Row],[date]]</f>
        <v>45431</v>
      </c>
      <c r="H502" s="94">
        <f>SUMIF($A$2:A4137,G502,$E$2:E4137)</f>
        <v>389.92000000000007</v>
      </c>
      <c r="I502" s="93" t="str">
        <f t="shared" si="29"/>
        <v>Sunday</v>
      </c>
      <c r="J502" s="93" t="str">
        <f t="shared" si="30"/>
        <v>May</v>
      </c>
      <c r="K502" s="93" t="str">
        <f t="shared" si="31"/>
        <v>2024</v>
      </c>
      <c r="L502" s="6"/>
      <c r="M502" s="6"/>
      <c r="N502" s="6"/>
    </row>
    <row r="503" spans="1:14" x14ac:dyDescent="0.3">
      <c r="A503" s="92">
        <v>45431</v>
      </c>
      <c r="B503" s="92" t="str">
        <f t="shared" si="28"/>
        <v>Sunday</v>
      </c>
      <c r="C503" s="93" t="s">
        <v>1381</v>
      </c>
      <c r="D503" s="93" t="s">
        <v>197</v>
      </c>
      <c r="E503" s="94">
        <v>32.82</v>
      </c>
      <c r="F503" s="93" t="s">
        <v>12</v>
      </c>
      <c r="G503" s="87">
        <f>Table1[[#This Row],[date]]</f>
        <v>45431</v>
      </c>
      <c r="H503" s="94">
        <f>SUMIF($A$2:A4138,G503,$E$2:E4138)</f>
        <v>389.92000000000007</v>
      </c>
      <c r="I503" s="93" t="str">
        <f t="shared" si="29"/>
        <v>Sunday</v>
      </c>
      <c r="J503" s="93" t="str">
        <f t="shared" si="30"/>
        <v>May</v>
      </c>
      <c r="K503" s="93" t="str">
        <f t="shared" si="31"/>
        <v>2024</v>
      </c>
      <c r="L503" s="6"/>
      <c r="M503" s="6"/>
      <c r="N503" s="6"/>
    </row>
    <row r="504" spans="1:14" x14ac:dyDescent="0.3">
      <c r="A504" s="87">
        <v>45431</v>
      </c>
      <c r="B504" s="87" t="str">
        <f t="shared" si="28"/>
        <v>Sunday</v>
      </c>
      <c r="C504" s="88" t="s">
        <v>1381</v>
      </c>
      <c r="D504" s="88" t="s">
        <v>198</v>
      </c>
      <c r="E504" s="89">
        <v>32.82</v>
      </c>
      <c r="F504" s="88" t="s">
        <v>12</v>
      </c>
      <c r="G504" s="87">
        <f>Table1[[#This Row],[date]]</f>
        <v>45431</v>
      </c>
      <c r="H504" s="94">
        <f>SUMIF($A$2:A4139,G504,$E$2:E4139)</f>
        <v>389.92000000000007</v>
      </c>
      <c r="I504" s="93" t="str">
        <f t="shared" si="29"/>
        <v>Sunday</v>
      </c>
      <c r="J504" s="93" t="str">
        <f t="shared" si="30"/>
        <v>May</v>
      </c>
      <c r="K504" s="93" t="str">
        <f t="shared" si="31"/>
        <v>2024</v>
      </c>
      <c r="L504" s="6"/>
      <c r="M504" s="6"/>
      <c r="N504" s="6"/>
    </row>
    <row r="505" spans="1:14" x14ac:dyDescent="0.3">
      <c r="A505" s="92">
        <v>45431</v>
      </c>
      <c r="B505" s="92" t="str">
        <f t="shared" si="28"/>
        <v>Sunday</v>
      </c>
      <c r="C505" s="93" t="s">
        <v>1381</v>
      </c>
      <c r="D505" s="93" t="s">
        <v>198</v>
      </c>
      <c r="E505" s="94">
        <v>23.02</v>
      </c>
      <c r="F505" s="93" t="s">
        <v>33</v>
      </c>
      <c r="G505" s="87">
        <f>Table1[[#This Row],[date]]</f>
        <v>45431</v>
      </c>
      <c r="H505" s="94">
        <f>SUMIF($A$2:A4140,G505,$E$2:E4140)</f>
        <v>389.92000000000007</v>
      </c>
      <c r="I505" s="93" t="str">
        <f t="shared" si="29"/>
        <v>Sunday</v>
      </c>
      <c r="J505" s="93" t="str">
        <f t="shared" si="30"/>
        <v>May</v>
      </c>
      <c r="K505" s="93" t="str">
        <f t="shared" si="31"/>
        <v>2024</v>
      </c>
      <c r="L505" s="6"/>
      <c r="M505" s="6"/>
      <c r="N505" s="6"/>
    </row>
    <row r="506" spans="1:14" x14ac:dyDescent="0.3">
      <c r="A506" s="87">
        <v>45431</v>
      </c>
      <c r="B506" s="87" t="str">
        <f t="shared" si="28"/>
        <v>Sunday</v>
      </c>
      <c r="C506" s="88" t="s">
        <v>1381</v>
      </c>
      <c r="D506" s="88" t="s">
        <v>198</v>
      </c>
      <c r="E506" s="89">
        <v>37.72</v>
      </c>
      <c r="F506" s="88" t="s">
        <v>7</v>
      </c>
      <c r="G506" s="87">
        <f>Table1[[#This Row],[date]]</f>
        <v>45431</v>
      </c>
      <c r="H506" s="94">
        <f>SUMIF($A$2:A4141,G506,$E$2:E4141)</f>
        <v>389.92000000000007</v>
      </c>
      <c r="I506" s="93" t="str">
        <f t="shared" si="29"/>
        <v>Sunday</v>
      </c>
      <c r="J506" s="93" t="str">
        <f t="shared" si="30"/>
        <v>May</v>
      </c>
      <c r="K506" s="93" t="str">
        <f t="shared" si="31"/>
        <v>2024</v>
      </c>
      <c r="L506" s="6"/>
      <c r="M506" s="6"/>
      <c r="N506" s="6"/>
    </row>
    <row r="507" spans="1:14" x14ac:dyDescent="0.3">
      <c r="A507" s="92">
        <v>45431</v>
      </c>
      <c r="B507" s="92" t="str">
        <f t="shared" si="28"/>
        <v>Sunday</v>
      </c>
      <c r="C507" s="93" t="s">
        <v>1381</v>
      </c>
      <c r="D507" s="93" t="s">
        <v>199</v>
      </c>
      <c r="E507" s="94">
        <v>37.72</v>
      </c>
      <c r="F507" s="93" t="s">
        <v>41</v>
      </c>
      <c r="G507" s="87">
        <f>Table1[[#This Row],[date]]</f>
        <v>45431</v>
      </c>
      <c r="H507" s="94">
        <f>SUMIF($A$2:A4142,G507,$E$2:E4142)</f>
        <v>389.92000000000007</v>
      </c>
      <c r="I507" s="93" t="str">
        <f t="shared" si="29"/>
        <v>Sunday</v>
      </c>
      <c r="J507" s="93" t="str">
        <f t="shared" si="30"/>
        <v>May</v>
      </c>
      <c r="K507" s="93" t="str">
        <f t="shared" si="31"/>
        <v>2024</v>
      </c>
      <c r="L507" s="6"/>
      <c r="M507" s="6"/>
      <c r="N507" s="6"/>
    </row>
    <row r="508" spans="1:14" x14ac:dyDescent="0.3">
      <c r="A508" s="87">
        <v>45431</v>
      </c>
      <c r="B508" s="87" t="str">
        <f t="shared" si="28"/>
        <v>Sunday</v>
      </c>
      <c r="C508" s="88" t="s">
        <v>1381</v>
      </c>
      <c r="D508" s="88" t="s">
        <v>200</v>
      </c>
      <c r="E508" s="89">
        <v>37.72</v>
      </c>
      <c r="F508" s="88" t="s">
        <v>41</v>
      </c>
      <c r="G508" s="87">
        <f>Table1[[#This Row],[date]]</f>
        <v>45431</v>
      </c>
      <c r="H508" s="94">
        <f>SUMIF($A$2:A4143,G508,$E$2:E4143)</f>
        <v>389.92000000000007</v>
      </c>
      <c r="I508" s="93" t="str">
        <f t="shared" si="29"/>
        <v>Sunday</v>
      </c>
      <c r="J508" s="93" t="str">
        <f t="shared" si="30"/>
        <v>May</v>
      </c>
      <c r="K508" s="93" t="str">
        <f t="shared" si="31"/>
        <v>2024</v>
      </c>
      <c r="L508" s="6"/>
      <c r="M508" s="6"/>
      <c r="N508" s="6"/>
    </row>
    <row r="509" spans="1:14" x14ac:dyDescent="0.3">
      <c r="A509" s="92">
        <v>45431</v>
      </c>
      <c r="B509" s="92" t="str">
        <f t="shared" si="28"/>
        <v>Sunday</v>
      </c>
      <c r="C509" s="93" t="s">
        <v>1381</v>
      </c>
      <c r="D509" s="93" t="s">
        <v>201</v>
      </c>
      <c r="E509" s="94">
        <v>37.72</v>
      </c>
      <c r="F509" s="93" t="s">
        <v>41</v>
      </c>
      <c r="G509" s="87">
        <f>Table1[[#This Row],[date]]</f>
        <v>45431</v>
      </c>
      <c r="H509" s="94">
        <f>SUMIF($A$2:A4144,G509,$E$2:E4144)</f>
        <v>389.92000000000007</v>
      </c>
      <c r="I509" s="93" t="str">
        <f t="shared" si="29"/>
        <v>Sunday</v>
      </c>
      <c r="J509" s="93" t="str">
        <f t="shared" si="30"/>
        <v>May</v>
      </c>
      <c r="K509" s="93" t="str">
        <f t="shared" si="31"/>
        <v>2024</v>
      </c>
      <c r="L509" s="6"/>
      <c r="M509" s="6"/>
      <c r="N509" s="6"/>
    </row>
    <row r="510" spans="1:14" x14ac:dyDescent="0.3">
      <c r="A510" s="87">
        <v>45432</v>
      </c>
      <c r="B510" s="87" t="str">
        <f t="shared" si="28"/>
        <v>Monday</v>
      </c>
      <c r="C510" s="88" t="s">
        <v>1381</v>
      </c>
      <c r="D510" s="88" t="s">
        <v>202</v>
      </c>
      <c r="E510" s="89">
        <v>32.82</v>
      </c>
      <c r="F510" s="88" t="s">
        <v>12</v>
      </c>
      <c r="G510" s="87">
        <f>Table1[[#This Row],[date]]</f>
        <v>45432</v>
      </c>
      <c r="H510" s="94">
        <f>SUMIF($A$2:A4145,G510,$E$2:E4145)</f>
        <v>470.36</v>
      </c>
      <c r="I510" s="93" t="str">
        <f t="shared" si="29"/>
        <v>Monday</v>
      </c>
      <c r="J510" s="93" t="str">
        <f t="shared" si="30"/>
        <v>May</v>
      </c>
      <c r="K510" s="93" t="str">
        <f t="shared" si="31"/>
        <v>2024</v>
      </c>
      <c r="L510" s="6"/>
      <c r="M510" s="6"/>
      <c r="N510" s="6"/>
    </row>
    <row r="511" spans="1:14" x14ac:dyDescent="0.3">
      <c r="A511" s="92">
        <v>45432</v>
      </c>
      <c r="B511" s="92" t="str">
        <f t="shared" si="28"/>
        <v>Monday</v>
      </c>
      <c r="C511" s="93" t="s">
        <v>1381</v>
      </c>
      <c r="D511" s="93" t="s">
        <v>203</v>
      </c>
      <c r="E511" s="94">
        <v>37.72</v>
      </c>
      <c r="F511" s="93" t="s">
        <v>5</v>
      </c>
      <c r="G511" s="87">
        <f>Table1[[#This Row],[date]]</f>
        <v>45432</v>
      </c>
      <c r="H511" s="94">
        <f>SUMIF($A$2:A4146,G511,$E$2:E4146)</f>
        <v>470.36</v>
      </c>
      <c r="I511" s="93" t="str">
        <f t="shared" si="29"/>
        <v>Monday</v>
      </c>
      <c r="J511" s="93" t="str">
        <f t="shared" si="30"/>
        <v>May</v>
      </c>
      <c r="K511" s="93" t="str">
        <f t="shared" si="31"/>
        <v>2024</v>
      </c>
      <c r="L511" s="6"/>
      <c r="M511" s="6"/>
      <c r="N511" s="6"/>
    </row>
    <row r="512" spans="1:14" x14ac:dyDescent="0.3">
      <c r="A512" s="87">
        <v>45432</v>
      </c>
      <c r="B512" s="87" t="str">
        <f t="shared" si="28"/>
        <v>Monday</v>
      </c>
      <c r="C512" s="88" t="s">
        <v>1381</v>
      </c>
      <c r="D512" s="88" t="s">
        <v>4</v>
      </c>
      <c r="E512" s="89">
        <v>37.72</v>
      </c>
      <c r="F512" s="88" t="s">
        <v>5</v>
      </c>
      <c r="G512" s="87">
        <f>Table1[[#This Row],[date]]</f>
        <v>45432</v>
      </c>
      <c r="H512" s="94">
        <f>SUMIF($A$2:A4147,G512,$E$2:E4147)</f>
        <v>470.36</v>
      </c>
      <c r="I512" s="93" t="str">
        <f t="shared" si="29"/>
        <v>Monday</v>
      </c>
      <c r="J512" s="93" t="str">
        <f t="shared" si="30"/>
        <v>May</v>
      </c>
      <c r="K512" s="93" t="str">
        <f t="shared" si="31"/>
        <v>2024</v>
      </c>
      <c r="L512" s="6"/>
      <c r="M512" s="6"/>
      <c r="N512" s="6"/>
    </row>
    <row r="513" spans="1:14" x14ac:dyDescent="0.3">
      <c r="A513" s="92">
        <v>45432</v>
      </c>
      <c r="B513" s="92" t="str">
        <f t="shared" si="28"/>
        <v>Monday</v>
      </c>
      <c r="C513" s="93" t="s">
        <v>1381</v>
      </c>
      <c r="D513" s="93" t="s">
        <v>155</v>
      </c>
      <c r="E513" s="94">
        <v>27.92</v>
      </c>
      <c r="F513" s="93" t="s">
        <v>9</v>
      </c>
      <c r="G513" s="87">
        <f>Table1[[#This Row],[date]]</f>
        <v>45432</v>
      </c>
      <c r="H513" s="94">
        <f>SUMIF($A$2:A4148,G513,$E$2:E4148)</f>
        <v>470.36</v>
      </c>
      <c r="I513" s="93" t="str">
        <f t="shared" si="29"/>
        <v>Monday</v>
      </c>
      <c r="J513" s="93" t="str">
        <f t="shared" si="30"/>
        <v>May</v>
      </c>
      <c r="K513" s="93" t="str">
        <f t="shared" si="31"/>
        <v>2024</v>
      </c>
      <c r="L513" s="6"/>
      <c r="M513" s="6"/>
      <c r="N513" s="6"/>
    </row>
    <row r="514" spans="1:14" x14ac:dyDescent="0.3">
      <c r="A514" s="92">
        <v>45432</v>
      </c>
      <c r="B514" s="92" t="str">
        <f t="shared" ref="B514:B577" si="32">TEXT(A514,"dddd")</f>
        <v>Monday</v>
      </c>
      <c r="C514" s="93" t="s">
        <v>1381</v>
      </c>
      <c r="D514" s="93" t="s">
        <v>8</v>
      </c>
      <c r="E514" s="94">
        <v>27.92</v>
      </c>
      <c r="F514" s="93" t="s">
        <v>9</v>
      </c>
      <c r="G514" s="87">
        <f>Table1[[#This Row],[date]]</f>
        <v>45432</v>
      </c>
      <c r="H514" s="94">
        <f>SUMIF($A$2:A4149,G514,$E$2:E4149)</f>
        <v>470.36</v>
      </c>
      <c r="I514" s="93" t="str">
        <f t="shared" si="29"/>
        <v>Monday</v>
      </c>
      <c r="J514" s="93" t="str">
        <f t="shared" si="30"/>
        <v>May</v>
      </c>
      <c r="K514" s="93" t="str">
        <f t="shared" si="31"/>
        <v>2024</v>
      </c>
      <c r="L514" s="6"/>
      <c r="M514" s="6"/>
      <c r="N514" s="6"/>
    </row>
    <row r="515" spans="1:14" x14ac:dyDescent="0.3">
      <c r="A515" s="92">
        <v>45432</v>
      </c>
      <c r="B515" s="92" t="str">
        <f t="shared" si="32"/>
        <v>Monday</v>
      </c>
      <c r="C515" s="93" t="s">
        <v>1381</v>
      </c>
      <c r="D515" s="93" t="s">
        <v>204</v>
      </c>
      <c r="E515" s="94">
        <v>32.82</v>
      </c>
      <c r="F515" s="93" t="s">
        <v>12</v>
      </c>
      <c r="G515" s="87">
        <f>Table1[[#This Row],[date]]</f>
        <v>45432</v>
      </c>
      <c r="H515" s="94">
        <f>SUMIF($A$2:A4150,G515,$E$2:E4150)</f>
        <v>470.36</v>
      </c>
      <c r="I515" s="93" t="str">
        <f t="shared" si="29"/>
        <v>Monday</v>
      </c>
      <c r="J515" s="93" t="str">
        <f t="shared" si="30"/>
        <v>May</v>
      </c>
      <c r="K515" s="93" t="str">
        <f t="shared" si="31"/>
        <v>2024</v>
      </c>
      <c r="L515" s="6"/>
      <c r="M515" s="6"/>
      <c r="N515" s="6"/>
    </row>
    <row r="516" spans="1:14" x14ac:dyDescent="0.3">
      <c r="A516" s="87">
        <v>45432</v>
      </c>
      <c r="B516" s="87" t="str">
        <f t="shared" si="32"/>
        <v>Monday</v>
      </c>
      <c r="C516" s="88" t="s">
        <v>1381</v>
      </c>
      <c r="D516" s="88" t="s">
        <v>204</v>
      </c>
      <c r="E516" s="89">
        <v>37.72</v>
      </c>
      <c r="F516" s="88" t="s">
        <v>41</v>
      </c>
      <c r="G516" s="87">
        <f>Table1[[#This Row],[date]]</f>
        <v>45432</v>
      </c>
      <c r="H516" s="94">
        <f>SUMIF($A$2:A4151,G516,$E$2:E4151)</f>
        <v>470.36</v>
      </c>
      <c r="I516" s="93" t="str">
        <f t="shared" si="29"/>
        <v>Monday</v>
      </c>
      <c r="J516" s="93" t="str">
        <f t="shared" si="30"/>
        <v>May</v>
      </c>
      <c r="K516" s="93" t="str">
        <f t="shared" si="31"/>
        <v>2024</v>
      </c>
      <c r="L516" s="6"/>
      <c r="M516" s="6"/>
      <c r="N516" s="6"/>
    </row>
    <row r="517" spans="1:14" x14ac:dyDescent="0.3">
      <c r="A517" s="92">
        <v>45432</v>
      </c>
      <c r="B517" s="92" t="str">
        <f t="shared" si="32"/>
        <v>Monday</v>
      </c>
      <c r="C517" s="93" t="s">
        <v>1383</v>
      </c>
      <c r="D517" s="93"/>
      <c r="E517" s="94">
        <v>29</v>
      </c>
      <c r="F517" s="93" t="s">
        <v>9</v>
      </c>
      <c r="G517" s="87">
        <f>Table1[[#This Row],[date]]</f>
        <v>45432</v>
      </c>
      <c r="H517" s="94">
        <f>SUMIF($A$2:A4152,G517,$E$2:E4152)</f>
        <v>470.36</v>
      </c>
      <c r="I517" s="93" t="str">
        <f t="shared" si="29"/>
        <v>Monday</v>
      </c>
      <c r="J517" s="93" t="str">
        <f t="shared" si="30"/>
        <v>May</v>
      </c>
      <c r="K517" s="93" t="str">
        <f t="shared" si="31"/>
        <v>2024</v>
      </c>
      <c r="L517" s="6"/>
      <c r="M517" s="6"/>
      <c r="N517" s="6"/>
    </row>
    <row r="518" spans="1:14" x14ac:dyDescent="0.3">
      <c r="A518" s="87">
        <v>45432</v>
      </c>
      <c r="B518" s="87" t="str">
        <f t="shared" si="32"/>
        <v>Monday</v>
      </c>
      <c r="C518" s="88" t="s">
        <v>1381</v>
      </c>
      <c r="D518" s="88" t="s">
        <v>132</v>
      </c>
      <c r="E518" s="89">
        <v>37.72</v>
      </c>
      <c r="F518" s="88" t="s">
        <v>5</v>
      </c>
      <c r="G518" s="87">
        <f>Table1[[#This Row],[date]]</f>
        <v>45432</v>
      </c>
      <c r="H518" s="94">
        <f>SUMIF($A$2:A4153,G518,$E$2:E4153)</f>
        <v>470.36</v>
      </c>
      <c r="I518" s="93" t="str">
        <f t="shared" ref="I518:I581" si="33">TEXT(G518,"dddd")</f>
        <v>Monday</v>
      </c>
      <c r="J518" s="93" t="str">
        <f t="shared" si="30"/>
        <v>May</v>
      </c>
      <c r="K518" s="93" t="str">
        <f t="shared" si="31"/>
        <v>2024</v>
      </c>
      <c r="L518" s="6"/>
      <c r="M518" s="6"/>
      <c r="N518" s="6"/>
    </row>
    <row r="519" spans="1:14" x14ac:dyDescent="0.3">
      <c r="A519" s="92">
        <v>45432</v>
      </c>
      <c r="B519" s="92" t="str">
        <f t="shared" si="32"/>
        <v>Monday</v>
      </c>
      <c r="C519" s="93" t="s">
        <v>1381</v>
      </c>
      <c r="D519" s="93" t="s">
        <v>205</v>
      </c>
      <c r="E519" s="94">
        <v>37.72</v>
      </c>
      <c r="F519" s="93" t="s">
        <v>5</v>
      </c>
      <c r="G519" s="87">
        <f>Table1[[#This Row],[date]]</f>
        <v>45432</v>
      </c>
      <c r="H519" s="94">
        <f>SUMIF($A$2:A4154,G519,$E$2:E4154)</f>
        <v>470.36</v>
      </c>
      <c r="I519" s="93" t="str">
        <f t="shared" si="33"/>
        <v>Monday</v>
      </c>
      <c r="J519" s="93" t="str">
        <f t="shared" ref="J519:J582" si="34">TEXT(G519,"mmmm")</f>
        <v>May</v>
      </c>
      <c r="K519" s="93" t="str">
        <f t="shared" ref="K519:K582" si="35">TEXT(G519,"yyyy")</f>
        <v>2024</v>
      </c>
      <c r="L519" s="6"/>
      <c r="M519" s="6"/>
      <c r="N519" s="6"/>
    </row>
    <row r="520" spans="1:14" x14ac:dyDescent="0.3">
      <c r="A520" s="87">
        <v>45432</v>
      </c>
      <c r="B520" s="87" t="str">
        <f t="shared" si="32"/>
        <v>Monday</v>
      </c>
      <c r="C520" s="88" t="s">
        <v>1381</v>
      </c>
      <c r="D520" s="88" t="s">
        <v>206</v>
      </c>
      <c r="E520" s="89">
        <v>32.82</v>
      </c>
      <c r="F520" s="88" t="s">
        <v>12</v>
      </c>
      <c r="G520" s="87">
        <f>Table1[[#This Row],[date]]</f>
        <v>45432</v>
      </c>
      <c r="H520" s="94">
        <f>SUMIF($A$2:A4155,G520,$E$2:E4155)</f>
        <v>470.36</v>
      </c>
      <c r="I520" s="93" t="str">
        <f t="shared" si="33"/>
        <v>Monday</v>
      </c>
      <c r="J520" s="93" t="str">
        <f t="shared" si="34"/>
        <v>May</v>
      </c>
      <c r="K520" s="93" t="str">
        <f t="shared" si="35"/>
        <v>2024</v>
      </c>
      <c r="L520" s="6"/>
      <c r="M520" s="6"/>
      <c r="N520" s="6"/>
    </row>
    <row r="521" spans="1:14" x14ac:dyDescent="0.3">
      <c r="A521" s="92">
        <v>45432</v>
      </c>
      <c r="B521" s="92" t="str">
        <f t="shared" si="32"/>
        <v>Monday</v>
      </c>
      <c r="C521" s="93" t="s">
        <v>1381</v>
      </c>
      <c r="D521" s="93" t="s">
        <v>206</v>
      </c>
      <c r="E521" s="94">
        <v>37.72</v>
      </c>
      <c r="F521" s="93" t="s">
        <v>16</v>
      </c>
      <c r="G521" s="87">
        <f>Table1[[#This Row],[date]]</f>
        <v>45432</v>
      </c>
      <c r="H521" s="94">
        <f>SUMIF($A$2:A4156,G521,$E$2:E4156)</f>
        <v>470.36</v>
      </c>
      <c r="I521" s="93" t="str">
        <f t="shared" si="33"/>
        <v>Monday</v>
      </c>
      <c r="J521" s="93" t="str">
        <f t="shared" si="34"/>
        <v>May</v>
      </c>
      <c r="K521" s="93" t="str">
        <f t="shared" si="35"/>
        <v>2024</v>
      </c>
      <c r="L521" s="6"/>
      <c r="M521" s="6"/>
      <c r="N521" s="6"/>
    </row>
    <row r="522" spans="1:14" x14ac:dyDescent="0.3">
      <c r="A522" s="87">
        <v>45432</v>
      </c>
      <c r="B522" s="87" t="str">
        <f t="shared" si="32"/>
        <v>Monday</v>
      </c>
      <c r="C522" s="88" t="s">
        <v>1381</v>
      </c>
      <c r="D522" s="88" t="s">
        <v>207</v>
      </c>
      <c r="E522" s="89">
        <v>27.92</v>
      </c>
      <c r="F522" s="88" t="s">
        <v>26</v>
      </c>
      <c r="G522" s="87">
        <f>Table1[[#This Row],[date]]</f>
        <v>45432</v>
      </c>
      <c r="H522" s="94">
        <f>SUMIF($A$2:A4157,G522,$E$2:E4157)</f>
        <v>470.36</v>
      </c>
      <c r="I522" s="93" t="str">
        <f t="shared" si="33"/>
        <v>Monday</v>
      </c>
      <c r="J522" s="93" t="str">
        <f t="shared" si="34"/>
        <v>May</v>
      </c>
      <c r="K522" s="93" t="str">
        <f t="shared" si="35"/>
        <v>2024</v>
      </c>
      <c r="L522" s="6"/>
      <c r="M522" s="6"/>
      <c r="N522" s="6"/>
    </row>
    <row r="523" spans="1:14" x14ac:dyDescent="0.3">
      <c r="A523" s="92">
        <v>45432</v>
      </c>
      <c r="B523" s="92" t="str">
        <f t="shared" si="32"/>
        <v>Monday</v>
      </c>
      <c r="C523" s="93" t="s">
        <v>1381</v>
      </c>
      <c r="D523" s="93" t="s">
        <v>21</v>
      </c>
      <c r="E523" s="94">
        <v>32.82</v>
      </c>
      <c r="F523" s="93" t="s">
        <v>12</v>
      </c>
      <c r="G523" s="87">
        <f>Table1[[#This Row],[date]]</f>
        <v>45432</v>
      </c>
      <c r="H523" s="94">
        <f>SUMIF($A$2:A4158,G523,$E$2:E4158)</f>
        <v>470.36</v>
      </c>
      <c r="I523" s="93" t="str">
        <f t="shared" si="33"/>
        <v>Monday</v>
      </c>
      <c r="J523" s="93" t="str">
        <f t="shared" si="34"/>
        <v>May</v>
      </c>
      <c r="K523" s="93" t="str">
        <f t="shared" si="35"/>
        <v>2024</v>
      </c>
      <c r="L523" s="6"/>
      <c r="M523" s="6"/>
      <c r="N523" s="6"/>
    </row>
    <row r="524" spans="1:14" x14ac:dyDescent="0.3">
      <c r="A524" s="92">
        <v>45433</v>
      </c>
      <c r="B524" s="92" t="str">
        <f t="shared" si="32"/>
        <v>Tuesday</v>
      </c>
      <c r="C524" s="93" t="s">
        <v>1381</v>
      </c>
      <c r="D524" s="93" t="s">
        <v>208</v>
      </c>
      <c r="E524" s="94">
        <v>37.72</v>
      </c>
      <c r="F524" s="93" t="s">
        <v>5</v>
      </c>
      <c r="G524" s="87">
        <f>Table1[[#This Row],[date]]</f>
        <v>45433</v>
      </c>
      <c r="H524" s="94">
        <f>SUMIF($A$2:A4159,G524,$E$2:E4159)</f>
        <v>314.89999999999998</v>
      </c>
      <c r="I524" s="93" t="str">
        <f t="shared" si="33"/>
        <v>Tuesday</v>
      </c>
      <c r="J524" s="93" t="str">
        <f t="shared" si="34"/>
        <v>May</v>
      </c>
      <c r="K524" s="93" t="str">
        <f t="shared" si="35"/>
        <v>2024</v>
      </c>
      <c r="L524" s="6"/>
      <c r="M524" s="6"/>
      <c r="N524" s="6"/>
    </row>
    <row r="525" spans="1:14" x14ac:dyDescent="0.3">
      <c r="A525" s="87">
        <v>45433</v>
      </c>
      <c r="B525" s="87" t="str">
        <f t="shared" si="32"/>
        <v>Tuesday</v>
      </c>
      <c r="C525" s="88" t="s">
        <v>1383</v>
      </c>
      <c r="D525" s="88"/>
      <c r="E525" s="89">
        <v>29</v>
      </c>
      <c r="F525" s="88" t="s">
        <v>9</v>
      </c>
      <c r="G525" s="87">
        <f>Table1[[#This Row],[date]]</f>
        <v>45433</v>
      </c>
      <c r="H525" s="94">
        <f>SUMIF($A$2:A4160,G525,$E$2:E4160)</f>
        <v>314.89999999999998</v>
      </c>
      <c r="I525" s="93" t="str">
        <f t="shared" si="33"/>
        <v>Tuesday</v>
      </c>
      <c r="J525" s="93" t="str">
        <f t="shared" si="34"/>
        <v>May</v>
      </c>
      <c r="K525" s="93" t="str">
        <f t="shared" si="35"/>
        <v>2024</v>
      </c>
      <c r="L525" s="6"/>
      <c r="M525" s="6"/>
      <c r="N525" s="6"/>
    </row>
    <row r="526" spans="1:14" x14ac:dyDescent="0.3">
      <c r="A526" s="92">
        <v>45433</v>
      </c>
      <c r="B526" s="92" t="str">
        <f t="shared" si="32"/>
        <v>Tuesday</v>
      </c>
      <c r="C526" s="93" t="s">
        <v>1383</v>
      </c>
      <c r="D526" s="93"/>
      <c r="E526" s="94">
        <v>34</v>
      </c>
      <c r="F526" s="93" t="s">
        <v>12</v>
      </c>
      <c r="G526" s="87">
        <f>Table1[[#This Row],[date]]</f>
        <v>45433</v>
      </c>
      <c r="H526" s="94">
        <f>SUMIF($A$2:A4161,G526,$E$2:E4161)</f>
        <v>314.89999999999998</v>
      </c>
      <c r="I526" s="93" t="str">
        <f t="shared" si="33"/>
        <v>Tuesday</v>
      </c>
      <c r="J526" s="93" t="str">
        <f t="shared" si="34"/>
        <v>May</v>
      </c>
      <c r="K526" s="93" t="str">
        <f t="shared" si="35"/>
        <v>2024</v>
      </c>
      <c r="L526" s="6"/>
      <c r="M526" s="6"/>
      <c r="N526" s="6"/>
    </row>
    <row r="527" spans="1:14" x14ac:dyDescent="0.3">
      <c r="A527" s="87">
        <v>45433</v>
      </c>
      <c r="B527" s="87" t="str">
        <f t="shared" si="32"/>
        <v>Tuesday</v>
      </c>
      <c r="C527" s="88" t="s">
        <v>1383</v>
      </c>
      <c r="D527" s="88"/>
      <c r="E527" s="89">
        <v>39</v>
      </c>
      <c r="F527" s="88" t="s">
        <v>16</v>
      </c>
      <c r="G527" s="87">
        <f>Table1[[#This Row],[date]]</f>
        <v>45433</v>
      </c>
      <c r="H527" s="94">
        <f>SUMIF($A$2:A4162,G527,$E$2:E4162)</f>
        <v>314.89999999999998</v>
      </c>
      <c r="I527" s="93" t="str">
        <f t="shared" si="33"/>
        <v>Tuesday</v>
      </c>
      <c r="J527" s="93" t="str">
        <f t="shared" si="34"/>
        <v>May</v>
      </c>
      <c r="K527" s="93" t="str">
        <f t="shared" si="35"/>
        <v>2024</v>
      </c>
      <c r="L527" s="6"/>
      <c r="M527" s="6"/>
      <c r="N527" s="6"/>
    </row>
    <row r="528" spans="1:14" x14ac:dyDescent="0.3">
      <c r="A528" s="92">
        <v>45433</v>
      </c>
      <c r="B528" s="92" t="str">
        <f t="shared" si="32"/>
        <v>Tuesday</v>
      </c>
      <c r="C528" s="93" t="s">
        <v>1383</v>
      </c>
      <c r="D528" s="93"/>
      <c r="E528" s="94">
        <v>39</v>
      </c>
      <c r="F528" s="93" t="s">
        <v>5</v>
      </c>
      <c r="G528" s="87">
        <f>Table1[[#This Row],[date]]</f>
        <v>45433</v>
      </c>
      <c r="H528" s="94">
        <f>SUMIF($A$2:A4163,G528,$E$2:E4163)</f>
        <v>314.89999999999998</v>
      </c>
      <c r="I528" s="93" t="str">
        <f t="shared" si="33"/>
        <v>Tuesday</v>
      </c>
      <c r="J528" s="93" t="str">
        <f t="shared" si="34"/>
        <v>May</v>
      </c>
      <c r="K528" s="93" t="str">
        <f t="shared" si="35"/>
        <v>2024</v>
      </c>
      <c r="L528" s="6"/>
      <c r="M528" s="6"/>
      <c r="N528" s="6"/>
    </row>
    <row r="529" spans="1:14" x14ac:dyDescent="0.3">
      <c r="A529" s="87">
        <v>45433</v>
      </c>
      <c r="B529" s="87" t="str">
        <f t="shared" si="32"/>
        <v>Tuesday</v>
      </c>
      <c r="C529" s="88" t="s">
        <v>1381</v>
      </c>
      <c r="D529" s="88" t="s">
        <v>209</v>
      </c>
      <c r="E529" s="89">
        <v>37.72</v>
      </c>
      <c r="F529" s="88" t="s">
        <v>5</v>
      </c>
      <c r="G529" s="87">
        <f>Table1[[#This Row],[date]]</f>
        <v>45433</v>
      </c>
      <c r="H529" s="94">
        <f>SUMIF($A$2:A4164,G529,$E$2:E4164)</f>
        <v>314.89999999999998</v>
      </c>
      <c r="I529" s="93" t="str">
        <f t="shared" si="33"/>
        <v>Tuesday</v>
      </c>
      <c r="J529" s="93" t="str">
        <f t="shared" si="34"/>
        <v>May</v>
      </c>
      <c r="K529" s="93" t="str">
        <f t="shared" si="35"/>
        <v>2024</v>
      </c>
      <c r="L529" s="6"/>
      <c r="M529" s="6"/>
      <c r="N529" s="6"/>
    </row>
    <row r="530" spans="1:14" x14ac:dyDescent="0.3">
      <c r="A530" s="92">
        <v>45433</v>
      </c>
      <c r="B530" s="92" t="str">
        <f t="shared" si="32"/>
        <v>Tuesday</v>
      </c>
      <c r="C530" s="93" t="s">
        <v>1381</v>
      </c>
      <c r="D530" s="93" t="s">
        <v>21</v>
      </c>
      <c r="E530" s="94">
        <v>23.02</v>
      </c>
      <c r="F530" s="93" t="s">
        <v>33</v>
      </c>
      <c r="G530" s="87">
        <f>Table1[[#This Row],[date]]</f>
        <v>45433</v>
      </c>
      <c r="H530" s="94">
        <f>SUMIF($A$2:A4165,G530,$E$2:E4165)</f>
        <v>314.89999999999998</v>
      </c>
      <c r="I530" s="93" t="str">
        <f t="shared" si="33"/>
        <v>Tuesday</v>
      </c>
      <c r="J530" s="93" t="str">
        <f t="shared" si="34"/>
        <v>May</v>
      </c>
      <c r="K530" s="93" t="str">
        <f t="shared" si="35"/>
        <v>2024</v>
      </c>
      <c r="L530" s="6"/>
      <c r="M530" s="6"/>
      <c r="N530" s="6"/>
    </row>
    <row r="531" spans="1:14" x14ac:dyDescent="0.3">
      <c r="A531" s="87">
        <v>45433</v>
      </c>
      <c r="B531" s="87" t="str">
        <f t="shared" si="32"/>
        <v>Tuesday</v>
      </c>
      <c r="C531" s="88" t="s">
        <v>1381</v>
      </c>
      <c r="D531" s="88" t="s">
        <v>210</v>
      </c>
      <c r="E531" s="89">
        <v>37.72</v>
      </c>
      <c r="F531" s="88" t="s">
        <v>41</v>
      </c>
      <c r="G531" s="87">
        <f>Table1[[#This Row],[date]]</f>
        <v>45433</v>
      </c>
      <c r="H531" s="94">
        <f>SUMIF($A$2:A4166,G531,$E$2:E4166)</f>
        <v>314.89999999999998</v>
      </c>
      <c r="I531" s="93" t="str">
        <f t="shared" si="33"/>
        <v>Tuesday</v>
      </c>
      <c r="J531" s="93" t="str">
        <f t="shared" si="34"/>
        <v>May</v>
      </c>
      <c r="K531" s="93" t="str">
        <f t="shared" si="35"/>
        <v>2024</v>
      </c>
      <c r="L531" s="6"/>
      <c r="M531" s="6"/>
      <c r="N531" s="6"/>
    </row>
    <row r="532" spans="1:14" x14ac:dyDescent="0.3">
      <c r="A532" s="92">
        <v>45433</v>
      </c>
      <c r="B532" s="92" t="str">
        <f t="shared" si="32"/>
        <v>Tuesday</v>
      </c>
      <c r="C532" s="93" t="s">
        <v>1381</v>
      </c>
      <c r="D532" s="93" t="s">
        <v>211</v>
      </c>
      <c r="E532" s="94">
        <v>37.72</v>
      </c>
      <c r="F532" s="93" t="s">
        <v>41</v>
      </c>
      <c r="G532" s="87">
        <f>Table1[[#This Row],[date]]</f>
        <v>45433</v>
      </c>
      <c r="H532" s="94">
        <f>SUMIF($A$2:A4167,G532,$E$2:E4167)</f>
        <v>314.89999999999998</v>
      </c>
      <c r="I532" s="93" t="str">
        <f t="shared" si="33"/>
        <v>Tuesday</v>
      </c>
      <c r="J532" s="93" t="str">
        <f t="shared" si="34"/>
        <v>May</v>
      </c>
      <c r="K532" s="93" t="str">
        <f t="shared" si="35"/>
        <v>2024</v>
      </c>
      <c r="L532" s="6"/>
      <c r="M532" s="6"/>
      <c r="N532" s="6"/>
    </row>
    <row r="533" spans="1:14" x14ac:dyDescent="0.3">
      <c r="A533" s="87">
        <v>45434</v>
      </c>
      <c r="B533" s="87" t="str">
        <f t="shared" si="32"/>
        <v>Wednesday</v>
      </c>
      <c r="C533" s="88" t="s">
        <v>1381</v>
      </c>
      <c r="D533" s="88" t="s">
        <v>212</v>
      </c>
      <c r="E533" s="89">
        <v>37.72</v>
      </c>
      <c r="F533" s="88" t="s">
        <v>41</v>
      </c>
      <c r="G533" s="87">
        <f>Table1[[#This Row],[date]]</f>
        <v>45434</v>
      </c>
      <c r="H533" s="94">
        <f>SUMIF($A$2:A4168,G533,$E$2:E4168)</f>
        <v>305.17999999999995</v>
      </c>
      <c r="I533" s="93" t="str">
        <f t="shared" si="33"/>
        <v>Wednesday</v>
      </c>
      <c r="J533" s="93" t="str">
        <f t="shared" si="34"/>
        <v>May</v>
      </c>
      <c r="K533" s="93" t="str">
        <f t="shared" si="35"/>
        <v>2024</v>
      </c>
      <c r="L533" s="6"/>
      <c r="M533" s="6"/>
      <c r="N533" s="6"/>
    </row>
    <row r="534" spans="1:14" x14ac:dyDescent="0.3">
      <c r="A534" s="92">
        <v>45434</v>
      </c>
      <c r="B534" s="92" t="str">
        <f t="shared" si="32"/>
        <v>Wednesday</v>
      </c>
      <c r="C534" s="93" t="s">
        <v>1381</v>
      </c>
      <c r="D534" s="93" t="s">
        <v>203</v>
      </c>
      <c r="E534" s="94">
        <v>32.82</v>
      </c>
      <c r="F534" s="93" t="s">
        <v>12</v>
      </c>
      <c r="G534" s="87">
        <f>Table1[[#This Row],[date]]</f>
        <v>45434</v>
      </c>
      <c r="H534" s="94">
        <f>SUMIF($A$2:A4169,G534,$E$2:E4169)</f>
        <v>305.17999999999995</v>
      </c>
      <c r="I534" s="93" t="str">
        <f t="shared" si="33"/>
        <v>Wednesday</v>
      </c>
      <c r="J534" s="93" t="str">
        <f t="shared" si="34"/>
        <v>May</v>
      </c>
      <c r="K534" s="93" t="str">
        <f t="shared" si="35"/>
        <v>2024</v>
      </c>
      <c r="L534" s="6"/>
      <c r="M534" s="6"/>
      <c r="N534" s="6"/>
    </row>
    <row r="535" spans="1:14" x14ac:dyDescent="0.3">
      <c r="A535" s="87">
        <v>45434</v>
      </c>
      <c r="B535" s="87" t="str">
        <f t="shared" si="32"/>
        <v>Wednesday</v>
      </c>
      <c r="C535" s="88" t="s">
        <v>1381</v>
      </c>
      <c r="D535" s="88" t="s">
        <v>153</v>
      </c>
      <c r="E535" s="89">
        <v>27.92</v>
      </c>
      <c r="F535" s="88" t="s">
        <v>26</v>
      </c>
      <c r="G535" s="87">
        <f>Table1[[#This Row],[date]]</f>
        <v>45434</v>
      </c>
      <c r="H535" s="94">
        <f>SUMIF($A$2:A4170,G535,$E$2:E4170)</f>
        <v>305.17999999999995</v>
      </c>
      <c r="I535" s="93" t="str">
        <f t="shared" si="33"/>
        <v>Wednesday</v>
      </c>
      <c r="J535" s="93" t="str">
        <f t="shared" si="34"/>
        <v>May</v>
      </c>
      <c r="K535" s="93" t="str">
        <f t="shared" si="35"/>
        <v>2024</v>
      </c>
      <c r="L535" s="6"/>
      <c r="M535" s="6"/>
      <c r="N535" s="6"/>
    </row>
    <row r="536" spans="1:14" x14ac:dyDescent="0.3">
      <c r="A536" s="92">
        <v>45434</v>
      </c>
      <c r="B536" s="92" t="str">
        <f t="shared" si="32"/>
        <v>Wednesday</v>
      </c>
      <c r="C536" s="93" t="s">
        <v>1381</v>
      </c>
      <c r="D536" s="93" t="s">
        <v>109</v>
      </c>
      <c r="E536" s="94">
        <v>32.82</v>
      </c>
      <c r="F536" s="93" t="s">
        <v>12</v>
      </c>
      <c r="G536" s="87">
        <f>Table1[[#This Row],[date]]</f>
        <v>45434</v>
      </c>
      <c r="H536" s="94">
        <f>SUMIF($A$2:A4171,G536,$E$2:E4171)</f>
        <v>305.17999999999995</v>
      </c>
      <c r="I536" s="93" t="str">
        <f t="shared" si="33"/>
        <v>Wednesday</v>
      </c>
      <c r="J536" s="93" t="str">
        <f t="shared" si="34"/>
        <v>May</v>
      </c>
      <c r="K536" s="93" t="str">
        <f t="shared" si="35"/>
        <v>2024</v>
      </c>
      <c r="L536" s="6"/>
      <c r="M536" s="6"/>
      <c r="N536" s="6"/>
    </row>
    <row r="537" spans="1:14" x14ac:dyDescent="0.3">
      <c r="A537" s="87">
        <v>45434</v>
      </c>
      <c r="B537" s="87" t="str">
        <f t="shared" si="32"/>
        <v>Wednesday</v>
      </c>
      <c r="C537" s="88" t="s">
        <v>1381</v>
      </c>
      <c r="D537" s="88" t="s">
        <v>21</v>
      </c>
      <c r="E537" s="89">
        <v>27.92</v>
      </c>
      <c r="F537" s="88" t="s">
        <v>9</v>
      </c>
      <c r="G537" s="87">
        <f>Table1[[#This Row],[date]]</f>
        <v>45434</v>
      </c>
      <c r="H537" s="94">
        <f>SUMIF($A$2:A4172,G537,$E$2:E4172)</f>
        <v>305.17999999999995</v>
      </c>
      <c r="I537" s="93" t="str">
        <f t="shared" si="33"/>
        <v>Wednesday</v>
      </c>
      <c r="J537" s="93" t="str">
        <f t="shared" si="34"/>
        <v>May</v>
      </c>
      <c r="K537" s="93" t="str">
        <f t="shared" si="35"/>
        <v>2024</v>
      </c>
      <c r="L537" s="6"/>
      <c r="M537" s="6"/>
      <c r="N537" s="6"/>
    </row>
    <row r="538" spans="1:14" x14ac:dyDescent="0.3">
      <c r="A538" s="87">
        <v>45434</v>
      </c>
      <c r="B538" s="87" t="str">
        <f t="shared" si="32"/>
        <v>Wednesday</v>
      </c>
      <c r="C538" s="88" t="s">
        <v>1381</v>
      </c>
      <c r="D538" s="88" t="s">
        <v>17</v>
      </c>
      <c r="E538" s="89">
        <v>32.82</v>
      </c>
      <c r="F538" s="88" t="s">
        <v>12</v>
      </c>
      <c r="G538" s="87">
        <f>Table1[[#This Row],[date]]</f>
        <v>45434</v>
      </c>
      <c r="H538" s="94">
        <f>SUMIF($A$2:A4173,G538,$E$2:E4173)</f>
        <v>305.17999999999995</v>
      </c>
      <c r="I538" s="93" t="str">
        <f t="shared" si="33"/>
        <v>Wednesday</v>
      </c>
      <c r="J538" s="93" t="str">
        <f t="shared" si="34"/>
        <v>May</v>
      </c>
      <c r="K538" s="93" t="str">
        <f t="shared" si="35"/>
        <v>2024</v>
      </c>
      <c r="L538" s="6"/>
      <c r="M538" s="6"/>
      <c r="N538" s="6"/>
    </row>
    <row r="539" spans="1:14" x14ac:dyDescent="0.3">
      <c r="A539" s="92">
        <v>45434</v>
      </c>
      <c r="B539" s="92" t="str">
        <f t="shared" si="32"/>
        <v>Wednesday</v>
      </c>
      <c r="C539" s="93" t="s">
        <v>1381</v>
      </c>
      <c r="D539" s="93" t="s">
        <v>146</v>
      </c>
      <c r="E539" s="94">
        <v>37.72</v>
      </c>
      <c r="F539" s="93" t="s">
        <v>41</v>
      </c>
      <c r="G539" s="87">
        <f>Table1[[#This Row],[date]]</f>
        <v>45434</v>
      </c>
      <c r="H539" s="94">
        <f>SUMIF($A$2:A4174,G539,$E$2:E4174)</f>
        <v>305.17999999999995</v>
      </c>
      <c r="I539" s="93" t="str">
        <f t="shared" si="33"/>
        <v>Wednesday</v>
      </c>
      <c r="J539" s="93" t="str">
        <f t="shared" si="34"/>
        <v>May</v>
      </c>
      <c r="K539" s="93" t="str">
        <f t="shared" si="35"/>
        <v>2024</v>
      </c>
      <c r="L539" s="6"/>
      <c r="M539" s="6"/>
      <c r="N539" s="6"/>
    </row>
    <row r="540" spans="1:14" x14ac:dyDescent="0.3">
      <c r="A540" s="92">
        <v>45434</v>
      </c>
      <c r="B540" s="92" t="str">
        <f t="shared" si="32"/>
        <v>Wednesday</v>
      </c>
      <c r="C540" s="93" t="s">
        <v>1381</v>
      </c>
      <c r="D540" s="93" t="s">
        <v>192</v>
      </c>
      <c r="E540" s="94">
        <v>37.72</v>
      </c>
      <c r="F540" s="93" t="s">
        <v>7</v>
      </c>
      <c r="G540" s="87">
        <f>Table1[[#This Row],[date]]</f>
        <v>45434</v>
      </c>
      <c r="H540" s="94">
        <f>SUMIF($A$2:A4175,G540,$E$2:E4175)</f>
        <v>305.17999999999995</v>
      </c>
      <c r="I540" s="93" t="str">
        <f t="shared" si="33"/>
        <v>Wednesday</v>
      </c>
      <c r="J540" s="93" t="str">
        <f t="shared" si="34"/>
        <v>May</v>
      </c>
      <c r="K540" s="93" t="str">
        <f t="shared" si="35"/>
        <v>2024</v>
      </c>
      <c r="L540" s="6"/>
      <c r="M540" s="6"/>
      <c r="N540" s="6"/>
    </row>
    <row r="541" spans="1:14" x14ac:dyDescent="0.3">
      <c r="A541" s="87">
        <v>45434</v>
      </c>
      <c r="B541" s="87" t="str">
        <f t="shared" si="32"/>
        <v>Wednesday</v>
      </c>
      <c r="C541" s="88" t="s">
        <v>1381</v>
      </c>
      <c r="D541" s="88" t="s">
        <v>192</v>
      </c>
      <c r="E541" s="89">
        <v>37.72</v>
      </c>
      <c r="F541" s="88" t="s">
        <v>41</v>
      </c>
      <c r="G541" s="87">
        <f>Table1[[#This Row],[date]]</f>
        <v>45434</v>
      </c>
      <c r="H541" s="94">
        <f>SUMIF($A$2:A4176,G541,$E$2:E4176)</f>
        <v>305.17999999999995</v>
      </c>
      <c r="I541" s="93" t="str">
        <f t="shared" si="33"/>
        <v>Wednesday</v>
      </c>
      <c r="J541" s="93" t="str">
        <f t="shared" si="34"/>
        <v>May</v>
      </c>
      <c r="K541" s="93" t="str">
        <f t="shared" si="35"/>
        <v>2024</v>
      </c>
      <c r="L541" s="6"/>
      <c r="M541" s="6"/>
      <c r="N541" s="6"/>
    </row>
    <row r="542" spans="1:14" x14ac:dyDescent="0.3">
      <c r="A542" s="92">
        <v>45435</v>
      </c>
      <c r="B542" s="92" t="str">
        <f t="shared" si="32"/>
        <v>Thursday</v>
      </c>
      <c r="C542" s="93" t="s">
        <v>1381</v>
      </c>
      <c r="D542" s="93" t="s">
        <v>213</v>
      </c>
      <c r="E542" s="94">
        <v>37.72</v>
      </c>
      <c r="F542" s="93" t="s">
        <v>41</v>
      </c>
      <c r="G542" s="87">
        <f>Table1[[#This Row],[date]]</f>
        <v>45435</v>
      </c>
      <c r="H542" s="94">
        <f>SUMIF($A$2:A4177,G542,$E$2:E4177)</f>
        <v>537.68000000000006</v>
      </c>
      <c r="I542" s="93" t="str">
        <f t="shared" si="33"/>
        <v>Thursday</v>
      </c>
      <c r="J542" s="93" t="str">
        <f t="shared" si="34"/>
        <v>May</v>
      </c>
      <c r="K542" s="93" t="str">
        <f t="shared" si="35"/>
        <v>2024</v>
      </c>
      <c r="L542" s="6"/>
      <c r="M542" s="6"/>
      <c r="N542" s="6"/>
    </row>
    <row r="543" spans="1:14" x14ac:dyDescent="0.3">
      <c r="A543" s="87">
        <v>45435</v>
      </c>
      <c r="B543" s="87" t="str">
        <f t="shared" si="32"/>
        <v>Thursday</v>
      </c>
      <c r="C543" s="88" t="s">
        <v>1381</v>
      </c>
      <c r="D543" s="88" t="s">
        <v>214</v>
      </c>
      <c r="E543" s="89">
        <v>23.02</v>
      </c>
      <c r="F543" s="88" t="s">
        <v>33</v>
      </c>
      <c r="G543" s="87">
        <f>Table1[[#This Row],[date]]</f>
        <v>45435</v>
      </c>
      <c r="H543" s="94">
        <f>SUMIF($A$2:A4178,G543,$E$2:E4178)</f>
        <v>537.68000000000006</v>
      </c>
      <c r="I543" s="93" t="str">
        <f t="shared" si="33"/>
        <v>Thursday</v>
      </c>
      <c r="J543" s="93" t="str">
        <f t="shared" si="34"/>
        <v>May</v>
      </c>
      <c r="K543" s="93" t="str">
        <f t="shared" si="35"/>
        <v>2024</v>
      </c>
      <c r="L543" s="6"/>
      <c r="M543" s="6"/>
      <c r="N543" s="6"/>
    </row>
    <row r="544" spans="1:14" x14ac:dyDescent="0.3">
      <c r="A544" s="92">
        <v>45435</v>
      </c>
      <c r="B544" s="92" t="str">
        <f t="shared" si="32"/>
        <v>Thursday</v>
      </c>
      <c r="C544" s="93" t="s">
        <v>1381</v>
      </c>
      <c r="D544" s="93" t="s">
        <v>192</v>
      </c>
      <c r="E544" s="94">
        <v>37.72</v>
      </c>
      <c r="F544" s="93" t="s">
        <v>41</v>
      </c>
      <c r="G544" s="87">
        <f>Table1[[#This Row],[date]]</f>
        <v>45435</v>
      </c>
      <c r="H544" s="94">
        <f>SUMIF($A$2:A4179,G544,$E$2:E4179)</f>
        <v>537.68000000000006</v>
      </c>
      <c r="I544" s="93" t="str">
        <f t="shared" si="33"/>
        <v>Thursday</v>
      </c>
      <c r="J544" s="93" t="str">
        <f t="shared" si="34"/>
        <v>May</v>
      </c>
      <c r="K544" s="93" t="str">
        <f t="shared" si="35"/>
        <v>2024</v>
      </c>
      <c r="L544" s="6"/>
      <c r="M544" s="6"/>
      <c r="N544" s="6"/>
    </row>
    <row r="545" spans="1:14" x14ac:dyDescent="0.3">
      <c r="A545" s="87">
        <v>45435</v>
      </c>
      <c r="B545" s="87" t="str">
        <f t="shared" si="32"/>
        <v>Thursday</v>
      </c>
      <c r="C545" s="88" t="s">
        <v>1381</v>
      </c>
      <c r="D545" s="88" t="s">
        <v>215</v>
      </c>
      <c r="E545" s="89">
        <v>37.72</v>
      </c>
      <c r="F545" s="88" t="s">
        <v>41</v>
      </c>
      <c r="G545" s="87">
        <f>Table1[[#This Row],[date]]</f>
        <v>45435</v>
      </c>
      <c r="H545" s="94">
        <f>SUMIF($A$2:A4180,G545,$E$2:E4180)</f>
        <v>537.68000000000006</v>
      </c>
      <c r="I545" s="93" t="str">
        <f t="shared" si="33"/>
        <v>Thursday</v>
      </c>
      <c r="J545" s="93" t="str">
        <f t="shared" si="34"/>
        <v>May</v>
      </c>
      <c r="K545" s="93" t="str">
        <f t="shared" si="35"/>
        <v>2024</v>
      </c>
      <c r="L545" s="6"/>
      <c r="M545" s="6"/>
      <c r="N545" s="6"/>
    </row>
    <row r="546" spans="1:14" x14ac:dyDescent="0.3">
      <c r="A546" s="87">
        <v>45435</v>
      </c>
      <c r="B546" s="87" t="str">
        <f t="shared" si="32"/>
        <v>Thursday</v>
      </c>
      <c r="C546" s="88" t="s">
        <v>1381</v>
      </c>
      <c r="D546" s="88" t="s">
        <v>89</v>
      </c>
      <c r="E546" s="89">
        <v>37.72</v>
      </c>
      <c r="F546" s="88" t="s">
        <v>5</v>
      </c>
      <c r="G546" s="87">
        <f>Table1[[#This Row],[date]]</f>
        <v>45435</v>
      </c>
      <c r="H546" s="94">
        <f>SUMIF($A$2:A4181,G546,$E$2:E4181)</f>
        <v>537.68000000000006</v>
      </c>
      <c r="I546" s="93" t="str">
        <f t="shared" si="33"/>
        <v>Thursday</v>
      </c>
      <c r="J546" s="93" t="str">
        <f t="shared" si="34"/>
        <v>May</v>
      </c>
      <c r="K546" s="93" t="str">
        <f t="shared" si="35"/>
        <v>2024</v>
      </c>
      <c r="L546" s="6"/>
      <c r="M546" s="6"/>
      <c r="N546" s="6"/>
    </row>
    <row r="547" spans="1:14" x14ac:dyDescent="0.3">
      <c r="A547" s="92">
        <v>45435</v>
      </c>
      <c r="B547" s="92" t="str">
        <f t="shared" si="32"/>
        <v>Thursday</v>
      </c>
      <c r="C547" s="93" t="s">
        <v>1381</v>
      </c>
      <c r="D547" s="93" t="s">
        <v>165</v>
      </c>
      <c r="E547" s="94">
        <v>37.72</v>
      </c>
      <c r="F547" s="93" t="s">
        <v>41</v>
      </c>
      <c r="G547" s="87">
        <f>Table1[[#This Row],[date]]</f>
        <v>45435</v>
      </c>
      <c r="H547" s="94">
        <f>SUMIF($A$2:A4182,G547,$E$2:E4182)</f>
        <v>537.68000000000006</v>
      </c>
      <c r="I547" s="93" t="str">
        <f t="shared" si="33"/>
        <v>Thursday</v>
      </c>
      <c r="J547" s="93" t="str">
        <f t="shared" si="34"/>
        <v>May</v>
      </c>
      <c r="K547" s="93" t="str">
        <f t="shared" si="35"/>
        <v>2024</v>
      </c>
      <c r="L547" s="6"/>
      <c r="M547" s="6"/>
      <c r="N547" s="6"/>
    </row>
    <row r="548" spans="1:14" x14ac:dyDescent="0.3">
      <c r="A548" s="87">
        <v>45435</v>
      </c>
      <c r="B548" s="87" t="str">
        <f t="shared" si="32"/>
        <v>Thursday</v>
      </c>
      <c r="C548" s="88" t="s">
        <v>1381</v>
      </c>
      <c r="D548" s="88" t="s">
        <v>165</v>
      </c>
      <c r="E548" s="89">
        <v>37.72</v>
      </c>
      <c r="F548" s="88" t="s">
        <v>5</v>
      </c>
      <c r="G548" s="87">
        <f>Table1[[#This Row],[date]]</f>
        <v>45435</v>
      </c>
      <c r="H548" s="94">
        <f>SUMIF($A$2:A4183,G548,$E$2:E4183)</f>
        <v>537.68000000000006</v>
      </c>
      <c r="I548" s="93" t="str">
        <f t="shared" si="33"/>
        <v>Thursday</v>
      </c>
      <c r="J548" s="93" t="str">
        <f t="shared" si="34"/>
        <v>May</v>
      </c>
      <c r="K548" s="93" t="str">
        <f t="shared" si="35"/>
        <v>2024</v>
      </c>
      <c r="L548" s="6"/>
      <c r="M548" s="6"/>
      <c r="N548" s="6"/>
    </row>
    <row r="549" spans="1:14" x14ac:dyDescent="0.3">
      <c r="A549" s="92">
        <v>45435</v>
      </c>
      <c r="B549" s="92" t="str">
        <f t="shared" si="32"/>
        <v>Thursday</v>
      </c>
      <c r="C549" s="93" t="s">
        <v>1381</v>
      </c>
      <c r="D549" s="93" t="s">
        <v>216</v>
      </c>
      <c r="E549" s="94">
        <v>27.92</v>
      </c>
      <c r="F549" s="93" t="s">
        <v>26</v>
      </c>
      <c r="G549" s="87">
        <f>Table1[[#This Row],[date]]</f>
        <v>45435</v>
      </c>
      <c r="H549" s="94">
        <f>SUMIF($A$2:A4184,G549,$E$2:E4184)</f>
        <v>537.68000000000006</v>
      </c>
      <c r="I549" s="93" t="str">
        <f t="shared" si="33"/>
        <v>Thursday</v>
      </c>
      <c r="J549" s="93" t="str">
        <f t="shared" si="34"/>
        <v>May</v>
      </c>
      <c r="K549" s="93" t="str">
        <f t="shared" si="35"/>
        <v>2024</v>
      </c>
      <c r="L549" s="6"/>
      <c r="M549" s="6"/>
      <c r="N549" s="6"/>
    </row>
    <row r="550" spans="1:14" x14ac:dyDescent="0.3">
      <c r="A550" s="87">
        <v>45435</v>
      </c>
      <c r="B550" s="87" t="str">
        <f t="shared" si="32"/>
        <v>Thursday</v>
      </c>
      <c r="C550" s="88" t="s">
        <v>1381</v>
      </c>
      <c r="D550" s="88" t="s">
        <v>146</v>
      </c>
      <c r="E550" s="89">
        <v>37.72</v>
      </c>
      <c r="F550" s="88" t="s">
        <v>41</v>
      </c>
      <c r="G550" s="87">
        <f>Table1[[#This Row],[date]]</f>
        <v>45435</v>
      </c>
      <c r="H550" s="94">
        <f>SUMIF($A$2:A4185,G550,$E$2:E4185)</f>
        <v>537.68000000000006</v>
      </c>
      <c r="I550" s="93" t="str">
        <f t="shared" si="33"/>
        <v>Thursday</v>
      </c>
      <c r="J550" s="93" t="str">
        <f t="shared" si="34"/>
        <v>May</v>
      </c>
      <c r="K550" s="93" t="str">
        <f t="shared" si="35"/>
        <v>2024</v>
      </c>
      <c r="L550" s="6"/>
      <c r="M550" s="6"/>
      <c r="N550" s="6"/>
    </row>
    <row r="551" spans="1:14" x14ac:dyDescent="0.3">
      <c r="A551" s="92">
        <v>45435</v>
      </c>
      <c r="B551" s="92" t="str">
        <f t="shared" si="32"/>
        <v>Thursday</v>
      </c>
      <c r="C551" s="93" t="s">
        <v>1381</v>
      </c>
      <c r="D551" s="93" t="s">
        <v>217</v>
      </c>
      <c r="E551" s="94">
        <v>37.72</v>
      </c>
      <c r="F551" s="93" t="s">
        <v>41</v>
      </c>
      <c r="G551" s="87">
        <f>Table1[[#This Row],[date]]</f>
        <v>45435</v>
      </c>
      <c r="H551" s="94">
        <f>SUMIF($A$2:A4186,G551,$E$2:E4186)</f>
        <v>537.68000000000006</v>
      </c>
      <c r="I551" s="93" t="str">
        <f t="shared" si="33"/>
        <v>Thursday</v>
      </c>
      <c r="J551" s="93" t="str">
        <f t="shared" si="34"/>
        <v>May</v>
      </c>
      <c r="K551" s="93" t="str">
        <f t="shared" si="35"/>
        <v>2024</v>
      </c>
      <c r="L551" s="6"/>
      <c r="M551" s="6"/>
      <c r="N551" s="6"/>
    </row>
    <row r="552" spans="1:14" x14ac:dyDescent="0.3">
      <c r="A552" s="87">
        <v>45435</v>
      </c>
      <c r="B552" s="87" t="str">
        <f t="shared" si="32"/>
        <v>Thursday</v>
      </c>
      <c r="C552" s="88" t="s">
        <v>1381</v>
      </c>
      <c r="D552" s="88" t="s">
        <v>218</v>
      </c>
      <c r="E552" s="89">
        <v>37.72</v>
      </c>
      <c r="F552" s="88" t="s">
        <v>41</v>
      </c>
      <c r="G552" s="87">
        <f>Table1[[#This Row],[date]]</f>
        <v>45435</v>
      </c>
      <c r="H552" s="94">
        <f>SUMIF($A$2:A4187,G552,$E$2:E4187)</f>
        <v>537.68000000000006</v>
      </c>
      <c r="I552" s="93" t="str">
        <f t="shared" si="33"/>
        <v>Thursday</v>
      </c>
      <c r="J552" s="93" t="str">
        <f t="shared" si="34"/>
        <v>May</v>
      </c>
      <c r="K552" s="93" t="str">
        <f t="shared" si="35"/>
        <v>2024</v>
      </c>
      <c r="L552" s="6"/>
      <c r="M552" s="6"/>
      <c r="N552" s="6"/>
    </row>
    <row r="553" spans="1:14" x14ac:dyDescent="0.3">
      <c r="A553" s="92">
        <v>45435</v>
      </c>
      <c r="B553" s="92" t="str">
        <f t="shared" si="32"/>
        <v>Thursday</v>
      </c>
      <c r="C553" s="93" t="s">
        <v>1381</v>
      </c>
      <c r="D553" s="93" t="s">
        <v>219</v>
      </c>
      <c r="E553" s="94">
        <v>37.72</v>
      </c>
      <c r="F553" s="93" t="s">
        <v>41</v>
      </c>
      <c r="G553" s="87">
        <f>Table1[[#This Row],[date]]</f>
        <v>45435</v>
      </c>
      <c r="H553" s="94">
        <f>SUMIF($A$2:A4188,G553,$E$2:E4188)</f>
        <v>537.68000000000006</v>
      </c>
      <c r="I553" s="93" t="str">
        <f t="shared" si="33"/>
        <v>Thursday</v>
      </c>
      <c r="J553" s="93" t="str">
        <f t="shared" si="34"/>
        <v>May</v>
      </c>
      <c r="K553" s="93" t="str">
        <f t="shared" si="35"/>
        <v>2024</v>
      </c>
      <c r="L553" s="6"/>
      <c r="M553" s="6"/>
      <c r="N553" s="6"/>
    </row>
    <row r="554" spans="1:14" x14ac:dyDescent="0.3">
      <c r="A554" s="87">
        <v>45435</v>
      </c>
      <c r="B554" s="87" t="str">
        <f t="shared" si="32"/>
        <v>Thursday</v>
      </c>
      <c r="C554" s="88" t="s">
        <v>1381</v>
      </c>
      <c r="D554" s="88" t="s">
        <v>219</v>
      </c>
      <c r="E554" s="89">
        <v>37.72</v>
      </c>
      <c r="F554" s="88" t="s">
        <v>5</v>
      </c>
      <c r="G554" s="87">
        <f>Table1[[#This Row],[date]]</f>
        <v>45435</v>
      </c>
      <c r="H554" s="94">
        <f>SUMIF($A$2:A4189,G554,$E$2:E4189)</f>
        <v>537.68000000000006</v>
      </c>
      <c r="I554" s="93" t="str">
        <f t="shared" si="33"/>
        <v>Thursday</v>
      </c>
      <c r="J554" s="93" t="str">
        <f t="shared" si="34"/>
        <v>May</v>
      </c>
      <c r="K554" s="93" t="str">
        <f t="shared" si="35"/>
        <v>2024</v>
      </c>
      <c r="L554" s="6"/>
      <c r="M554" s="6"/>
      <c r="N554" s="6"/>
    </row>
    <row r="555" spans="1:14" x14ac:dyDescent="0.3">
      <c r="A555" s="92">
        <v>45435</v>
      </c>
      <c r="B555" s="92" t="str">
        <f t="shared" si="32"/>
        <v>Thursday</v>
      </c>
      <c r="C555" s="93" t="s">
        <v>1381</v>
      </c>
      <c r="D555" s="93" t="s">
        <v>220</v>
      </c>
      <c r="E555" s="94">
        <v>32.82</v>
      </c>
      <c r="F555" s="93" t="s">
        <v>12</v>
      </c>
      <c r="G555" s="87">
        <f>Table1[[#This Row],[date]]</f>
        <v>45435</v>
      </c>
      <c r="H555" s="94">
        <f>SUMIF($A$2:A4190,G555,$E$2:E4190)</f>
        <v>537.68000000000006</v>
      </c>
      <c r="I555" s="93" t="str">
        <f t="shared" si="33"/>
        <v>Thursday</v>
      </c>
      <c r="J555" s="93" t="str">
        <f t="shared" si="34"/>
        <v>May</v>
      </c>
      <c r="K555" s="93" t="str">
        <f t="shared" si="35"/>
        <v>2024</v>
      </c>
      <c r="L555" s="6"/>
      <c r="M555" s="6"/>
      <c r="N555" s="6"/>
    </row>
    <row r="556" spans="1:14" x14ac:dyDescent="0.3">
      <c r="A556" s="87">
        <v>45435</v>
      </c>
      <c r="B556" s="87" t="str">
        <f t="shared" si="32"/>
        <v>Thursday</v>
      </c>
      <c r="C556" s="88" t="s">
        <v>1383</v>
      </c>
      <c r="D556" s="88"/>
      <c r="E556" s="89">
        <v>39</v>
      </c>
      <c r="F556" s="88" t="s">
        <v>7</v>
      </c>
      <c r="G556" s="87">
        <f>Table1[[#This Row],[date]]</f>
        <v>45435</v>
      </c>
      <c r="H556" s="94">
        <f>SUMIF($A$2:A4191,G556,$E$2:E4191)</f>
        <v>537.68000000000006</v>
      </c>
      <c r="I556" s="93" t="str">
        <f t="shared" si="33"/>
        <v>Thursday</v>
      </c>
      <c r="J556" s="93" t="str">
        <f t="shared" si="34"/>
        <v>May</v>
      </c>
      <c r="K556" s="93" t="str">
        <f t="shared" si="35"/>
        <v>2024</v>
      </c>
      <c r="L556" s="6"/>
      <c r="M556" s="6"/>
      <c r="N556" s="6"/>
    </row>
    <row r="557" spans="1:14" x14ac:dyDescent="0.3">
      <c r="A557" s="92">
        <v>45436</v>
      </c>
      <c r="B557" s="92" t="str">
        <f t="shared" si="32"/>
        <v>Friday</v>
      </c>
      <c r="C557" s="93" t="s">
        <v>1381</v>
      </c>
      <c r="D557" s="93" t="s">
        <v>153</v>
      </c>
      <c r="E557" s="94">
        <v>27.92</v>
      </c>
      <c r="F557" s="93" t="s">
        <v>26</v>
      </c>
      <c r="G557" s="87">
        <f>Table1[[#This Row],[date]]</f>
        <v>45436</v>
      </c>
      <c r="H557" s="94">
        <f>SUMIF($A$2:A4192,G557,$E$2:E4192)</f>
        <v>154.30000000000001</v>
      </c>
      <c r="I557" s="93" t="str">
        <f t="shared" si="33"/>
        <v>Friday</v>
      </c>
      <c r="J557" s="93" t="str">
        <f t="shared" si="34"/>
        <v>May</v>
      </c>
      <c r="K557" s="93" t="str">
        <f t="shared" si="35"/>
        <v>2024</v>
      </c>
      <c r="L557" s="6"/>
      <c r="M557" s="6"/>
      <c r="N557" s="6"/>
    </row>
    <row r="558" spans="1:14" x14ac:dyDescent="0.3">
      <c r="A558" s="87">
        <v>45436</v>
      </c>
      <c r="B558" s="87" t="str">
        <f t="shared" si="32"/>
        <v>Friday</v>
      </c>
      <c r="C558" s="88" t="s">
        <v>1381</v>
      </c>
      <c r="D558" s="88" t="s">
        <v>21</v>
      </c>
      <c r="E558" s="89">
        <v>27.92</v>
      </c>
      <c r="F558" s="88" t="s">
        <v>9</v>
      </c>
      <c r="G558" s="87">
        <f>Table1[[#This Row],[date]]</f>
        <v>45436</v>
      </c>
      <c r="H558" s="94">
        <f>SUMIF($A$2:A4193,G558,$E$2:E4193)</f>
        <v>154.30000000000001</v>
      </c>
      <c r="I558" s="93" t="str">
        <f t="shared" si="33"/>
        <v>Friday</v>
      </c>
      <c r="J558" s="93" t="str">
        <f t="shared" si="34"/>
        <v>May</v>
      </c>
      <c r="K558" s="93" t="str">
        <f t="shared" si="35"/>
        <v>2024</v>
      </c>
      <c r="L558" s="6"/>
      <c r="M558" s="6"/>
      <c r="N558" s="6"/>
    </row>
    <row r="559" spans="1:14" x14ac:dyDescent="0.3">
      <c r="A559" s="87">
        <v>45436</v>
      </c>
      <c r="B559" s="87" t="str">
        <f t="shared" si="32"/>
        <v>Friday</v>
      </c>
      <c r="C559" s="88" t="s">
        <v>1381</v>
      </c>
      <c r="D559" s="88" t="s">
        <v>93</v>
      </c>
      <c r="E559" s="89">
        <v>37.72</v>
      </c>
      <c r="F559" s="88" t="s">
        <v>7</v>
      </c>
      <c r="G559" s="87">
        <f>Table1[[#This Row],[date]]</f>
        <v>45436</v>
      </c>
      <c r="H559" s="94">
        <f>SUMIF($A$2:A4194,G559,$E$2:E4194)</f>
        <v>154.30000000000001</v>
      </c>
      <c r="I559" s="93" t="str">
        <f t="shared" si="33"/>
        <v>Friday</v>
      </c>
      <c r="J559" s="93" t="str">
        <f t="shared" si="34"/>
        <v>May</v>
      </c>
      <c r="K559" s="93" t="str">
        <f t="shared" si="35"/>
        <v>2024</v>
      </c>
      <c r="L559" s="6"/>
      <c r="M559" s="6"/>
      <c r="N559" s="6"/>
    </row>
    <row r="560" spans="1:14" x14ac:dyDescent="0.3">
      <c r="A560" s="92">
        <v>45436</v>
      </c>
      <c r="B560" s="92" t="str">
        <f t="shared" si="32"/>
        <v>Friday</v>
      </c>
      <c r="C560" s="93" t="s">
        <v>1381</v>
      </c>
      <c r="D560" s="93" t="s">
        <v>221</v>
      </c>
      <c r="E560" s="94">
        <v>27.92</v>
      </c>
      <c r="F560" s="93" t="s">
        <v>26</v>
      </c>
      <c r="G560" s="87">
        <f>Table1[[#This Row],[date]]</f>
        <v>45436</v>
      </c>
      <c r="H560" s="94">
        <f>SUMIF($A$2:A4195,G560,$E$2:E4195)</f>
        <v>154.30000000000001</v>
      </c>
      <c r="I560" s="93" t="str">
        <f t="shared" si="33"/>
        <v>Friday</v>
      </c>
      <c r="J560" s="93" t="str">
        <f t="shared" si="34"/>
        <v>May</v>
      </c>
      <c r="K560" s="93" t="str">
        <f t="shared" si="35"/>
        <v>2024</v>
      </c>
      <c r="L560" s="6"/>
      <c r="M560" s="6"/>
      <c r="N560" s="6"/>
    </row>
    <row r="561" spans="1:14" x14ac:dyDescent="0.3">
      <c r="A561" s="92">
        <v>45436</v>
      </c>
      <c r="B561" s="92" t="str">
        <f t="shared" si="32"/>
        <v>Friday</v>
      </c>
      <c r="C561" s="93" t="s">
        <v>1381</v>
      </c>
      <c r="D561" s="93" t="s">
        <v>222</v>
      </c>
      <c r="E561" s="94">
        <v>32.82</v>
      </c>
      <c r="F561" s="93" t="s">
        <v>12</v>
      </c>
      <c r="G561" s="87">
        <f>Table1[[#This Row],[date]]</f>
        <v>45436</v>
      </c>
      <c r="H561" s="94">
        <f>SUMIF($A$2:A4196,G561,$E$2:E4196)</f>
        <v>154.30000000000001</v>
      </c>
      <c r="I561" s="93" t="str">
        <f t="shared" si="33"/>
        <v>Friday</v>
      </c>
      <c r="J561" s="93" t="str">
        <f t="shared" si="34"/>
        <v>May</v>
      </c>
      <c r="K561" s="93" t="str">
        <f t="shared" si="35"/>
        <v>2024</v>
      </c>
      <c r="L561" s="6"/>
      <c r="M561" s="6"/>
      <c r="N561" s="6"/>
    </row>
    <row r="562" spans="1:14" x14ac:dyDescent="0.3">
      <c r="A562" s="87">
        <v>45437</v>
      </c>
      <c r="B562" s="87" t="str">
        <f t="shared" si="32"/>
        <v>Saturday</v>
      </c>
      <c r="C562" s="88" t="s">
        <v>1383</v>
      </c>
      <c r="D562" s="88"/>
      <c r="E562" s="89">
        <v>29</v>
      </c>
      <c r="F562" s="88" t="s">
        <v>9</v>
      </c>
      <c r="G562" s="87">
        <f>Table1[[#This Row],[date]]</f>
        <v>45437</v>
      </c>
      <c r="H562" s="94">
        <f>SUMIF($A$2:A4197,G562,$E$2:E4197)</f>
        <v>193.09999999999997</v>
      </c>
      <c r="I562" s="93" t="str">
        <f t="shared" si="33"/>
        <v>Saturday</v>
      </c>
      <c r="J562" s="93" t="str">
        <f t="shared" si="34"/>
        <v>May</v>
      </c>
      <c r="K562" s="93" t="str">
        <f t="shared" si="35"/>
        <v>2024</v>
      </c>
      <c r="L562" s="6"/>
      <c r="M562" s="6"/>
      <c r="N562" s="6"/>
    </row>
    <row r="563" spans="1:14" x14ac:dyDescent="0.3">
      <c r="A563" s="92">
        <v>45437</v>
      </c>
      <c r="B563" s="92" t="str">
        <f t="shared" si="32"/>
        <v>Saturday</v>
      </c>
      <c r="C563" s="93" t="s">
        <v>1381</v>
      </c>
      <c r="D563" s="93" t="s">
        <v>223</v>
      </c>
      <c r="E563" s="94">
        <v>37.72</v>
      </c>
      <c r="F563" s="93" t="s">
        <v>5</v>
      </c>
      <c r="G563" s="87">
        <f>Table1[[#This Row],[date]]</f>
        <v>45437</v>
      </c>
      <c r="H563" s="94">
        <f>SUMIF($A$2:A4198,G563,$E$2:E4198)</f>
        <v>193.09999999999997</v>
      </c>
      <c r="I563" s="93" t="str">
        <f t="shared" si="33"/>
        <v>Saturday</v>
      </c>
      <c r="J563" s="93" t="str">
        <f t="shared" si="34"/>
        <v>May</v>
      </c>
      <c r="K563" s="93" t="str">
        <f t="shared" si="35"/>
        <v>2024</v>
      </c>
      <c r="L563" s="6"/>
      <c r="M563" s="6"/>
      <c r="N563" s="6"/>
    </row>
    <row r="564" spans="1:14" x14ac:dyDescent="0.3">
      <c r="A564" s="92">
        <v>45437</v>
      </c>
      <c r="B564" s="92" t="str">
        <f t="shared" si="32"/>
        <v>Saturday</v>
      </c>
      <c r="C564" s="93" t="s">
        <v>1381</v>
      </c>
      <c r="D564" s="93" t="s">
        <v>224</v>
      </c>
      <c r="E564" s="94">
        <v>32.82</v>
      </c>
      <c r="F564" s="93" t="s">
        <v>12</v>
      </c>
      <c r="G564" s="87">
        <f>Table1[[#This Row],[date]]</f>
        <v>45437</v>
      </c>
      <c r="H564" s="94">
        <f>SUMIF($A$2:A4199,G564,$E$2:E4199)</f>
        <v>193.09999999999997</v>
      </c>
      <c r="I564" s="93" t="str">
        <f t="shared" si="33"/>
        <v>Saturday</v>
      </c>
      <c r="J564" s="93" t="str">
        <f t="shared" si="34"/>
        <v>May</v>
      </c>
      <c r="K564" s="93" t="str">
        <f t="shared" si="35"/>
        <v>2024</v>
      </c>
      <c r="L564" s="6"/>
      <c r="M564" s="6"/>
      <c r="N564" s="6"/>
    </row>
    <row r="565" spans="1:14" x14ac:dyDescent="0.3">
      <c r="A565" s="92">
        <v>45437</v>
      </c>
      <c r="B565" s="92" t="str">
        <f t="shared" si="32"/>
        <v>Saturday</v>
      </c>
      <c r="C565" s="93" t="s">
        <v>1381</v>
      </c>
      <c r="D565" s="93" t="s">
        <v>225</v>
      </c>
      <c r="E565" s="94">
        <v>32.82</v>
      </c>
      <c r="F565" s="93" t="s">
        <v>12</v>
      </c>
      <c r="G565" s="87">
        <f>Table1[[#This Row],[date]]</f>
        <v>45437</v>
      </c>
      <c r="H565" s="94">
        <f>SUMIF($A$2:A4200,G565,$E$2:E4200)</f>
        <v>193.09999999999997</v>
      </c>
      <c r="I565" s="93" t="str">
        <f t="shared" si="33"/>
        <v>Saturday</v>
      </c>
      <c r="J565" s="93" t="str">
        <f t="shared" si="34"/>
        <v>May</v>
      </c>
      <c r="K565" s="93" t="str">
        <f t="shared" si="35"/>
        <v>2024</v>
      </c>
      <c r="L565" s="6"/>
      <c r="M565" s="6"/>
      <c r="N565" s="6"/>
    </row>
    <row r="566" spans="1:14" x14ac:dyDescent="0.3">
      <c r="A566" s="87">
        <v>45437</v>
      </c>
      <c r="B566" s="87" t="str">
        <f t="shared" si="32"/>
        <v>Saturday</v>
      </c>
      <c r="C566" s="88" t="s">
        <v>1381</v>
      </c>
      <c r="D566" s="88" t="s">
        <v>52</v>
      </c>
      <c r="E566" s="89">
        <v>32.82</v>
      </c>
      <c r="F566" s="88" t="s">
        <v>12</v>
      </c>
      <c r="G566" s="87">
        <f>Table1[[#This Row],[date]]</f>
        <v>45437</v>
      </c>
      <c r="H566" s="94">
        <f>SUMIF($A$2:A4201,G566,$E$2:E4201)</f>
        <v>193.09999999999997</v>
      </c>
      <c r="I566" s="93" t="str">
        <f t="shared" si="33"/>
        <v>Saturday</v>
      </c>
      <c r="J566" s="93" t="str">
        <f t="shared" si="34"/>
        <v>May</v>
      </c>
      <c r="K566" s="93" t="str">
        <f t="shared" si="35"/>
        <v>2024</v>
      </c>
      <c r="L566" s="6"/>
      <c r="M566" s="6"/>
      <c r="N566" s="6"/>
    </row>
    <row r="567" spans="1:14" x14ac:dyDescent="0.3">
      <c r="A567" s="92">
        <v>45437</v>
      </c>
      <c r="B567" s="92" t="str">
        <f t="shared" si="32"/>
        <v>Saturday</v>
      </c>
      <c r="C567" s="93" t="s">
        <v>1381</v>
      </c>
      <c r="D567" s="93" t="s">
        <v>52</v>
      </c>
      <c r="E567" s="94">
        <v>27.92</v>
      </c>
      <c r="F567" s="93" t="s">
        <v>9</v>
      </c>
      <c r="G567" s="87">
        <f>Table1[[#This Row],[date]]</f>
        <v>45437</v>
      </c>
      <c r="H567" s="94">
        <f>SUMIF($A$2:A4202,G567,$E$2:E4202)</f>
        <v>193.09999999999997</v>
      </c>
      <c r="I567" s="93" t="str">
        <f t="shared" si="33"/>
        <v>Saturday</v>
      </c>
      <c r="J567" s="93" t="str">
        <f t="shared" si="34"/>
        <v>May</v>
      </c>
      <c r="K567" s="93" t="str">
        <f t="shared" si="35"/>
        <v>2024</v>
      </c>
      <c r="L567" s="6"/>
      <c r="M567" s="6"/>
      <c r="N567" s="6"/>
    </row>
    <row r="568" spans="1:14" x14ac:dyDescent="0.3">
      <c r="A568" s="87">
        <v>45438</v>
      </c>
      <c r="B568" s="87" t="str">
        <f t="shared" si="32"/>
        <v>Sunday</v>
      </c>
      <c r="C568" s="88" t="s">
        <v>1381</v>
      </c>
      <c r="D568" s="88" t="s">
        <v>4</v>
      </c>
      <c r="E568" s="89">
        <v>37.72</v>
      </c>
      <c r="F568" s="88" t="s">
        <v>5</v>
      </c>
      <c r="G568" s="87">
        <f>Table1[[#This Row],[date]]</f>
        <v>45438</v>
      </c>
      <c r="H568" s="94">
        <f>SUMIF($A$2:A4203,G568,$E$2:E4203)</f>
        <v>488.88000000000011</v>
      </c>
      <c r="I568" s="93" t="str">
        <f t="shared" si="33"/>
        <v>Sunday</v>
      </c>
      <c r="J568" s="93" t="str">
        <f t="shared" si="34"/>
        <v>May</v>
      </c>
      <c r="K568" s="93" t="str">
        <f t="shared" si="35"/>
        <v>2024</v>
      </c>
      <c r="L568" s="6"/>
      <c r="M568" s="6"/>
      <c r="N568" s="6"/>
    </row>
    <row r="569" spans="1:14" x14ac:dyDescent="0.3">
      <c r="A569" s="92">
        <v>45438</v>
      </c>
      <c r="B569" s="92" t="str">
        <f t="shared" si="32"/>
        <v>Sunday</v>
      </c>
      <c r="C569" s="93" t="s">
        <v>1381</v>
      </c>
      <c r="D569" s="93" t="s">
        <v>226</v>
      </c>
      <c r="E569" s="94">
        <v>32.82</v>
      </c>
      <c r="F569" s="93" t="s">
        <v>12</v>
      </c>
      <c r="G569" s="87">
        <f>Table1[[#This Row],[date]]</f>
        <v>45438</v>
      </c>
      <c r="H569" s="94">
        <f>SUMIF($A$2:A4204,G569,$E$2:E4204)</f>
        <v>488.88000000000011</v>
      </c>
      <c r="I569" s="93" t="str">
        <f t="shared" si="33"/>
        <v>Sunday</v>
      </c>
      <c r="J569" s="93" t="str">
        <f t="shared" si="34"/>
        <v>May</v>
      </c>
      <c r="K569" s="93" t="str">
        <f t="shared" si="35"/>
        <v>2024</v>
      </c>
      <c r="L569" s="6"/>
      <c r="M569" s="6"/>
      <c r="N569" s="6"/>
    </row>
    <row r="570" spans="1:14" x14ac:dyDescent="0.3">
      <c r="A570" s="87">
        <v>45438</v>
      </c>
      <c r="B570" s="87" t="str">
        <f t="shared" si="32"/>
        <v>Sunday</v>
      </c>
      <c r="C570" s="88" t="s">
        <v>1381</v>
      </c>
      <c r="D570" s="88" t="s">
        <v>227</v>
      </c>
      <c r="E570" s="89">
        <v>27.92</v>
      </c>
      <c r="F570" s="88" t="s">
        <v>26</v>
      </c>
      <c r="G570" s="87">
        <f>Table1[[#This Row],[date]]</f>
        <v>45438</v>
      </c>
      <c r="H570" s="94">
        <f>SUMIF($A$2:A4205,G570,$E$2:E4205)</f>
        <v>488.88000000000011</v>
      </c>
      <c r="I570" s="93" t="str">
        <f t="shared" si="33"/>
        <v>Sunday</v>
      </c>
      <c r="J570" s="93" t="str">
        <f t="shared" si="34"/>
        <v>May</v>
      </c>
      <c r="K570" s="93" t="str">
        <f t="shared" si="35"/>
        <v>2024</v>
      </c>
      <c r="L570" s="6"/>
      <c r="M570" s="6"/>
      <c r="N570" s="6"/>
    </row>
    <row r="571" spans="1:14" x14ac:dyDescent="0.3">
      <c r="A571" s="92">
        <v>45438</v>
      </c>
      <c r="B571" s="92" t="str">
        <f t="shared" si="32"/>
        <v>Sunday</v>
      </c>
      <c r="C571" s="93" t="s">
        <v>1381</v>
      </c>
      <c r="D571" s="93" t="s">
        <v>228</v>
      </c>
      <c r="E571" s="94">
        <v>32.82</v>
      </c>
      <c r="F571" s="93" t="s">
        <v>12</v>
      </c>
      <c r="G571" s="87">
        <f>Table1[[#This Row],[date]]</f>
        <v>45438</v>
      </c>
      <c r="H571" s="94">
        <f>SUMIF($A$2:A4206,G571,$E$2:E4206)</f>
        <v>488.88000000000011</v>
      </c>
      <c r="I571" s="93" t="str">
        <f t="shared" si="33"/>
        <v>Sunday</v>
      </c>
      <c r="J571" s="93" t="str">
        <f t="shared" si="34"/>
        <v>May</v>
      </c>
      <c r="K571" s="93" t="str">
        <f t="shared" si="35"/>
        <v>2024</v>
      </c>
      <c r="L571" s="6"/>
      <c r="M571" s="6"/>
      <c r="N571" s="6"/>
    </row>
    <row r="572" spans="1:14" x14ac:dyDescent="0.3">
      <c r="A572" s="87">
        <v>45438</v>
      </c>
      <c r="B572" s="87" t="str">
        <f t="shared" si="32"/>
        <v>Sunday</v>
      </c>
      <c r="C572" s="88" t="s">
        <v>1381</v>
      </c>
      <c r="D572" s="88" t="s">
        <v>229</v>
      </c>
      <c r="E572" s="89">
        <v>37.72</v>
      </c>
      <c r="F572" s="88" t="s">
        <v>41</v>
      </c>
      <c r="G572" s="87">
        <f>Table1[[#This Row],[date]]</f>
        <v>45438</v>
      </c>
      <c r="H572" s="94">
        <f>SUMIF($A$2:A4207,G572,$E$2:E4207)</f>
        <v>488.88000000000011</v>
      </c>
      <c r="I572" s="93" t="str">
        <f t="shared" si="33"/>
        <v>Sunday</v>
      </c>
      <c r="J572" s="93" t="str">
        <f t="shared" si="34"/>
        <v>May</v>
      </c>
      <c r="K572" s="93" t="str">
        <f t="shared" si="35"/>
        <v>2024</v>
      </c>
      <c r="L572" s="6"/>
      <c r="M572" s="6"/>
      <c r="N572" s="6"/>
    </row>
    <row r="573" spans="1:14" x14ac:dyDescent="0.3">
      <c r="A573" s="92">
        <v>45438</v>
      </c>
      <c r="B573" s="92" t="str">
        <f t="shared" si="32"/>
        <v>Sunday</v>
      </c>
      <c r="C573" s="93" t="s">
        <v>1381</v>
      </c>
      <c r="D573" s="93" t="s">
        <v>230</v>
      </c>
      <c r="E573" s="94">
        <v>37.72</v>
      </c>
      <c r="F573" s="93" t="s">
        <v>7</v>
      </c>
      <c r="G573" s="87">
        <f>Table1[[#This Row],[date]]</f>
        <v>45438</v>
      </c>
      <c r="H573" s="94">
        <f>SUMIF($A$2:A4208,G573,$E$2:E4208)</f>
        <v>488.88000000000011</v>
      </c>
      <c r="I573" s="93" t="str">
        <f t="shared" si="33"/>
        <v>Sunday</v>
      </c>
      <c r="J573" s="93" t="str">
        <f t="shared" si="34"/>
        <v>May</v>
      </c>
      <c r="K573" s="93" t="str">
        <f t="shared" si="35"/>
        <v>2024</v>
      </c>
      <c r="L573" s="6"/>
      <c r="M573" s="6"/>
      <c r="N573" s="6"/>
    </row>
    <row r="574" spans="1:14" x14ac:dyDescent="0.3">
      <c r="A574" s="92">
        <v>45438</v>
      </c>
      <c r="B574" s="92" t="str">
        <f t="shared" si="32"/>
        <v>Sunday</v>
      </c>
      <c r="C574" s="93" t="s">
        <v>1381</v>
      </c>
      <c r="D574" s="93" t="s">
        <v>230</v>
      </c>
      <c r="E574" s="94">
        <v>27.92</v>
      </c>
      <c r="F574" s="93" t="s">
        <v>9</v>
      </c>
      <c r="G574" s="87">
        <f>Table1[[#This Row],[date]]</f>
        <v>45438</v>
      </c>
      <c r="H574" s="94">
        <f>SUMIF($A$2:A4209,G574,$E$2:E4209)</f>
        <v>488.88000000000011</v>
      </c>
      <c r="I574" s="93" t="str">
        <f t="shared" si="33"/>
        <v>Sunday</v>
      </c>
      <c r="J574" s="93" t="str">
        <f t="shared" si="34"/>
        <v>May</v>
      </c>
      <c r="K574" s="93" t="str">
        <f t="shared" si="35"/>
        <v>2024</v>
      </c>
      <c r="L574" s="6"/>
      <c r="M574" s="6"/>
      <c r="N574" s="6"/>
    </row>
    <row r="575" spans="1:14" x14ac:dyDescent="0.3">
      <c r="A575" s="87">
        <v>45438</v>
      </c>
      <c r="B575" s="87" t="str">
        <f t="shared" si="32"/>
        <v>Sunday</v>
      </c>
      <c r="C575" s="88" t="s">
        <v>1381</v>
      </c>
      <c r="D575" s="88" t="s">
        <v>231</v>
      </c>
      <c r="E575" s="89">
        <v>37.72</v>
      </c>
      <c r="F575" s="88" t="s">
        <v>5</v>
      </c>
      <c r="G575" s="87">
        <f>Table1[[#This Row],[date]]</f>
        <v>45438</v>
      </c>
      <c r="H575" s="94">
        <f>SUMIF($A$2:A4210,G575,$E$2:E4210)</f>
        <v>488.88000000000011</v>
      </c>
      <c r="I575" s="93" t="str">
        <f t="shared" si="33"/>
        <v>Sunday</v>
      </c>
      <c r="J575" s="93" t="str">
        <f t="shared" si="34"/>
        <v>May</v>
      </c>
      <c r="K575" s="93" t="str">
        <f t="shared" si="35"/>
        <v>2024</v>
      </c>
      <c r="L575" s="6"/>
      <c r="M575" s="6"/>
      <c r="N575" s="6"/>
    </row>
    <row r="576" spans="1:14" x14ac:dyDescent="0.3">
      <c r="A576" s="92">
        <v>45438</v>
      </c>
      <c r="B576" s="92" t="str">
        <f t="shared" si="32"/>
        <v>Sunday</v>
      </c>
      <c r="C576" s="93" t="s">
        <v>1381</v>
      </c>
      <c r="D576" s="93" t="s">
        <v>232</v>
      </c>
      <c r="E576" s="94">
        <v>37.72</v>
      </c>
      <c r="F576" s="93" t="s">
        <v>7</v>
      </c>
      <c r="G576" s="87">
        <f>Table1[[#This Row],[date]]</f>
        <v>45438</v>
      </c>
      <c r="H576" s="94">
        <f>SUMIF($A$2:A4211,G576,$E$2:E4211)</f>
        <v>488.88000000000011</v>
      </c>
      <c r="I576" s="93" t="str">
        <f t="shared" si="33"/>
        <v>Sunday</v>
      </c>
      <c r="J576" s="93" t="str">
        <f t="shared" si="34"/>
        <v>May</v>
      </c>
      <c r="K576" s="93" t="str">
        <f t="shared" si="35"/>
        <v>2024</v>
      </c>
      <c r="L576" s="6"/>
      <c r="M576" s="6"/>
      <c r="N576" s="6"/>
    </row>
    <row r="577" spans="1:14" x14ac:dyDescent="0.3">
      <c r="A577" s="87">
        <v>45438</v>
      </c>
      <c r="B577" s="87" t="str">
        <f t="shared" si="32"/>
        <v>Sunday</v>
      </c>
      <c r="C577" s="88" t="s">
        <v>1381</v>
      </c>
      <c r="D577" s="88" t="s">
        <v>232</v>
      </c>
      <c r="E577" s="89">
        <v>37.72</v>
      </c>
      <c r="F577" s="88" t="s">
        <v>41</v>
      </c>
      <c r="G577" s="87">
        <f>Table1[[#This Row],[date]]</f>
        <v>45438</v>
      </c>
      <c r="H577" s="94">
        <f>SUMIF($A$2:A4212,G577,$E$2:E4212)</f>
        <v>488.88000000000011</v>
      </c>
      <c r="I577" s="93" t="str">
        <f t="shared" si="33"/>
        <v>Sunday</v>
      </c>
      <c r="J577" s="93" t="str">
        <f t="shared" si="34"/>
        <v>May</v>
      </c>
      <c r="K577" s="93" t="str">
        <f t="shared" si="35"/>
        <v>2024</v>
      </c>
      <c r="L577" s="6"/>
      <c r="M577" s="6"/>
      <c r="N577" s="6"/>
    </row>
    <row r="578" spans="1:14" x14ac:dyDescent="0.3">
      <c r="A578" s="92">
        <v>45438</v>
      </c>
      <c r="B578" s="92" t="str">
        <f t="shared" ref="B578:B641" si="36">TEXT(A578,"dddd")</f>
        <v>Sunday</v>
      </c>
      <c r="C578" s="93" t="s">
        <v>1381</v>
      </c>
      <c r="D578" s="93" t="s">
        <v>233</v>
      </c>
      <c r="E578" s="94">
        <v>27.92</v>
      </c>
      <c r="F578" s="93" t="s">
        <v>26</v>
      </c>
      <c r="G578" s="87">
        <f>Table1[[#This Row],[date]]</f>
        <v>45438</v>
      </c>
      <c r="H578" s="94">
        <f>SUMIF($A$2:A4213,G578,$E$2:E4213)</f>
        <v>488.88000000000011</v>
      </c>
      <c r="I578" s="93" t="str">
        <f t="shared" si="33"/>
        <v>Sunday</v>
      </c>
      <c r="J578" s="93" t="str">
        <f t="shared" si="34"/>
        <v>May</v>
      </c>
      <c r="K578" s="93" t="str">
        <f t="shared" si="35"/>
        <v>2024</v>
      </c>
      <c r="L578" s="6"/>
      <c r="M578" s="6"/>
      <c r="N578" s="6"/>
    </row>
    <row r="579" spans="1:14" x14ac:dyDescent="0.3">
      <c r="A579" s="87">
        <v>45438</v>
      </c>
      <c r="B579" s="87" t="str">
        <f t="shared" si="36"/>
        <v>Sunday</v>
      </c>
      <c r="C579" s="88" t="s">
        <v>1381</v>
      </c>
      <c r="D579" s="88" t="s">
        <v>234</v>
      </c>
      <c r="E579" s="89">
        <v>37.72</v>
      </c>
      <c r="F579" s="88" t="s">
        <v>41</v>
      </c>
      <c r="G579" s="87">
        <f>Table1[[#This Row],[date]]</f>
        <v>45438</v>
      </c>
      <c r="H579" s="94">
        <f>SUMIF($A$2:A4214,G579,$E$2:E4214)</f>
        <v>488.88000000000011</v>
      </c>
      <c r="I579" s="93" t="str">
        <f t="shared" si="33"/>
        <v>Sunday</v>
      </c>
      <c r="J579" s="93" t="str">
        <f t="shared" si="34"/>
        <v>May</v>
      </c>
      <c r="K579" s="93" t="str">
        <f t="shared" si="35"/>
        <v>2024</v>
      </c>
      <c r="L579" s="6"/>
      <c r="M579" s="6"/>
      <c r="N579" s="6"/>
    </row>
    <row r="580" spans="1:14" x14ac:dyDescent="0.3">
      <c r="A580" s="92">
        <v>45438</v>
      </c>
      <c r="B580" s="92" t="str">
        <f t="shared" si="36"/>
        <v>Sunday</v>
      </c>
      <c r="C580" s="93" t="s">
        <v>1381</v>
      </c>
      <c r="D580" s="93" t="s">
        <v>233</v>
      </c>
      <c r="E580" s="94">
        <v>37.72</v>
      </c>
      <c r="F580" s="93" t="s">
        <v>5</v>
      </c>
      <c r="G580" s="87">
        <f>Table1[[#This Row],[date]]</f>
        <v>45438</v>
      </c>
      <c r="H580" s="94">
        <f>SUMIF($A$2:A4215,G580,$E$2:E4215)</f>
        <v>488.88000000000011</v>
      </c>
      <c r="I580" s="93" t="str">
        <f t="shared" si="33"/>
        <v>Sunday</v>
      </c>
      <c r="J580" s="93" t="str">
        <f t="shared" si="34"/>
        <v>May</v>
      </c>
      <c r="K580" s="93" t="str">
        <f t="shared" si="35"/>
        <v>2024</v>
      </c>
      <c r="L580" s="6"/>
      <c r="M580" s="6"/>
      <c r="N580" s="6"/>
    </row>
    <row r="581" spans="1:14" x14ac:dyDescent="0.3">
      <c r="A581" s="87">
        <v>45438</v>
      </c>
      <c r="B581" s="87" t="str">
        <f t="shared" si="36"/>
        <v>Sunday</v>
      </c>
      <c r="C581" s="88" t="s">
        <v>1381</v>
      </c>
      <c r="D581" s="88" t="s">
        <v>235</v>
      </c>
      <c r="E581" s="89">
        <v>37.72</v>
      </c>
      <c r="F581" s="88" t="s">
        <v>41</v>
      </c>
      <c r="G581" s="87">
        <f>Table1[[#This Row],[date]]</f>
        <v>45438</v>
      </c>
      <c r="H581" s="94">
        <f>SUMIF($A$2:A4216,G581,$E$2:E4216)</f>
        <v>488.88000000000011</v>
      </c>
      <c r="I581" s="93" t="str">
        <f t="shared" si="33"/>
        <v>Sunday</v>
      </c>
      <c r="J581" s="93" t="str">
        <f t="shared" si="34"/>
        <v>May</v>
      </c>
      <c r="K581" s="93" t="str">
        <f t="shared" si="35"/>
        <v>2024</v>
      </c>
      <c r="L581" s="6"/>
      <c r="M581" s="6"/>
      <c r="N581" s="6"/>
    </row>
    <row r="582" spans="1:14" x14ac:dyDescent="0.3">
      <c r="A582" s="92">
        <v>45439</v>
      </c>
      <c r="B582" s="92" t="str">
        <f t="shared" si="36"/>
        <v>Monday</v>
      </c>
      <c r="C582" s="93" t="s">
        <v>1381</v>
      </c>
      <c r="D582" s="93" t="s">
        <v>21</v>
      </c>
      <c r="E582" s="94">
        <v>27.92</v>
      </c>
      <c r="F582" s="93" t="s">
        <v>9</v>
      </c>
      <c r="G582" s="87">
        <f>Table1[[#This Row],[date]]</f>
        <v>45439</v>
      </c>
      <c r="H582" s="94">
        <f>SUMIF($A$2:A4217,G582,$E$2:E4217)</f>
        <v>338</v>
      </c>
      <c r="I582" s="93" t="str">
        <f t="shared" ref="I582:I645" si="37">TEXT(G582,"dddd")</f>
        <v>Monday</v>
      </c>
      <c r="J582" s="93" t="str">
        <f t="shared" si="34"/>
        <v>May</v>
      </c>
      <c r="K582" s="93" t="str">
        <f t="shared" si="35"/>
        <v>2024</v>
      </c>
      <c r="L582" s="6"/>
      <c r="M582" s="6"/>
      <c r="N582" s="6"/>
    </row>
    <row r="583" spans="1:14" x14ac:dyDescent="0.3">
      <c r="A583" s="87">
        <v>45439</v>
      </c>
      <c r="B583" s="87" t="str">
        <f t="shared" si="36"/>
        <v>Monday</v>
      </c>
      <c r="C583" s="88" t="s">
        <v>1381</v>
      </c>
      <c r="D583" s="88" t="s">
        <v>236</v>
      </c>
      <c r="E583" s="89">
        <v>32.82</v>
      </c>
      <c r="F583" s="88" t="s">
        <v>12</v>
      </c>
      <c r="G583" s="87">
        <f>Table1[[#This Row],[date]]</f>
        <v>45439</v>
      </c>
      <c r="H583" s="94">
        <f>SUMIF($A$2:A4218,G583,$E$2:E4218)</f>
        <v>338</v>
      </c>
      <c r="I583" s="93" t="str">
        <f t="shared" si="37"/>
        <v>Monday</v>
      </c>
      <c r="J583" s="93" t="str">
        <f t="shared" ref="J583:J646" si="38">TEXT(G583,"mmmm")</f>
        <v>May</v>
      </c>
      <c r="K583" s="93" t="str">
        <f t="shared" ref="K583:K646" si="39">TEXT(G583,"yyyy")</f>
        <v>2024</v>
      </c>
      <c r="L583" s="6"/>
      <c r="M583" s="6"/>
      <c r="N583" s="6"/>
    </row>
    <row r="584" spans="1:14" x14ac:dyDescent="0.3">
      <c r="A584" s="92">
        <v>45439</v>
      </c>
      <c r="B584" s="92" t="str">
        <f t="shared" si="36"/>
        <v>Monday</v>
      </c>
      <c r="C584" s="93" t="s">
        <v>1381</v>
      </c>
      <c r="D584" s="93" t="s">
        <v>236</v>
      </c>
      <c r="E584" s="94">
        <v>37.72</v>
      </c>
      <c r="F584" s="93" t="s">
        <v>16</v>
      </c>
      <c r="G584" s="87">
        <f>Table1[[#This Row],[date]]</f>
        <v>45439</v>
      </c>
      <c r="H584" s="94">
        <f>SUMIF($A$2:A4219,G584,$E$2:E4219)</f>
        <v>338</v>
      </c>
      <c r="I584" s="93" t="str">
        <f t="shared" si="37"/>
        <v>Monday</v>
      </c>
      <c r="J584" s="93" t="str">
        <f t="shared" si="38"/>
        <v>May</v>
      </c>
      <c r="K584" s="93" t="str">
        <f t="shared" si="39"/>
        <v>2024</v>
      </c>
      <c r="L584" s="6"/>
      <c r="M584" s="6"/>
      <c r="N584" s="6"/>
    </row>
    <row r="585" spans="1:14" x14ac:dyDescent="0.3">
      <c r="A585" s="87">
        <v>45439</v>
      </c>
      <c r="B585" s="87" t="str">
        <f t="shared" si="36"/>
        <v>Monday</v>
      </c>
      <c r="C585" s="88" t="s">
        <v>1381</v>
      </c>
      <c r="D585" s="88" t="s">
        <v>237</v>
      </c>
      <c r="E585" s="89">
        <v>27.92</v>
      </c>
      <c r="F585" s="88" t="s">
        <v>9</v>
      </c>
      <c r="G585" s="87">
        <f>Table1[[#This Row],[date]]</f>
        <v>45439</v>
      </c>
      <c r="H585" s="94">
        <f>SUMIF($A$2:A4220,G585,$E$2:E4220)</f>
        <v>338</v>
      </c>
      <c r="I585" s="93" t="str">
        <f t="shared" si="37"/>
        <v>Monday</v>
      </c>
      <c r="J585" s="93" t="str">
        <f t="shared" si="38"/>
        <v>May</v>
      </c>
      <c r="K585" s="93" t="str">
        <f t="shared" si="39"/>
        <v>2024</v>
      </c>
      <c r="L585" s="6"/>
      <c r="M585" s="6"/>
      <c r="N585" s="6"/>
    </row>
    <row r="586" spans="1:14" x14ac:dyDescent="0.3">
      <c r="A586" s="87">
        <v>45439</v>
      </c>
      <c r="B586" s="87" t="str">
        <f t="shared" si="36"/>
        <v>Monday</v>
      </c>
      <c r="C586" s="88" t="s">
        <v>1381</v>
      </c>
      <c r="D586" s="88" t="s">
        <v>215</v>
      </c>
      <c r="E586" s="89">
        <v>37.72</v>
      </c>
      <c r="F586" s="88" t="s">
        <v>5</v>
      </c>
      <c r="G586" s="87">
        <f>Table1[[#This Row],[date]]</f>
        <v>45439</v>
      </c>
      <c r="H586" s="94">
        <f>SUMIF($A$2:A4221,G586,$E$2:E4221)</f>
        <v>338</v>
      </c>
      <c r="I586" s="93" t="str">
        <f t="shared" si="37"/>
        <v>Monday</v>
      </c>
      <c r="J586" s="93" t="str">
        <f t="shared" si="38"/>
        <v>May</v>
      </c>
      <c r="K586" s="93" t="str">
        <f t="shared" si="39"/>
        <v>2024</v>
      </c>
      <c r="L586" s="6"/>
      <c r="M586" s="6"/>
      <c r="N586" s="6"/>
    </row>
    <row r="587" spans="1:14" x14ac:dyDescent="0.3">
      <c r="A587" s="92">
        <v>45439</v>
      </c>
      <c r="B587" s="92" t="str">
        <f t="shared" si="36"/>
        <v>Monday</v>
      </c>
      <c r="C587" s="93" t="s">
        <v>1381</v>
      </c>
      <c r="D587" s="93" t="s">
        <v>238</v>
      </c>
      <c r="E587" s="94">
        <v>27.92</v>
      </c>
      <c r="F587" s="93" t="s">
        <v>9</v>
      </c>
      <c r="G587" s="87">
        <f>Table1[[#This Row],[date]]</f>
        <v>45439</v>
      </c>
      <c r="H587" s="94">
        <f>SUMIF($A$2:A4222,G587,$E$2:E4222)</f>
        <v>338</v>
      </c>
      <c r="I587" s="93" t="str">
        <f t="shared" si="37"/>
        <v>Monday</v>
      </c>
      <c r="J587" s="93" t="str">
        <f t="shared" si="38"/>
        <v>May</v>
      </c>
      <c r="K587" s="93" t="str">
        <f t="shared" si="39"/>
        <v>2024</v>
      </c>
      <c r="L587" s="6"/>
      <c r="M587" s="6"/>
      <c r="N587" s="6"/>
    </row>
    <row r="588" spans="1:14" x14ac:dyDescent="0.3">
      <c r="A588" s="87">
        <v>45439</v>
      </c>
      <c r="B588" s="87" t="str">
        <f t="shared" si="36"/>
        <v>Monday</v>
      </c>
      <c r="C588" s="88" t="s">
        <v>1381</v>
      </c>
      <c r="D588" s="88" t="s">
        <v>239</v>
      </c>
      <c r="E588" s="89">
        <v>37.72</v>
      </c>
      <c r="F588" s="88" t="s">
        <v>5</v>
      </c>
      <c r="G588" s="87">
        <f>Table1[[#This Row],[date]]</f>
        <v>45439</v>
      </c>
      <c r="H588" s="94">
        <f>SUMIF($A$2:A4223,G588,$E$2:E4223)</f>
        <v>338</v>
      </c>
      <c r="I588" s="93" t="str">
        <f t="shared" si="37"/>
        <v>Monday</v>
      </c>
      <c r="J588" s="93" t="str">
        <f t="shared" si="38"/>
        <v>May</v>
      </c>
      <c r="K588" s="93" t="str">
        <f t="shared" si="39"/>
        <v>2024</v>
      </c>
      <c r="L588" s="6"/>
      <c r="M588" s="6"/>
      <c r="N588" s="6"/>
    </row>
    <row r="589" spans="1:14" x14ac:dyDescent="0.3">
      <c r="A589" s="92">
        <v>45439</v>
      </c>
      <c r="B589" s="92" t="str">
        <f t="shared" si="36"/>
        <v>Monday</v>
      </c>
      <c r="C589" s="93" t="s">
        <v>1381</v>
      </c>
      <c r="D589" s="93" t="s">
        <v>240</v>
      </c>
      <c r="E589" s="94">
        <v>37.72</v>
      </c>
      <c r="F589" s="93" t="s">
        <v>5</v>
      </c>
      <c r="G589" s="87">
        <f>Table1[[#This Row],[date]]</f>
        <v>45439</v>
      </c>
      <c r="H589" s="94">
        <f>SUMIF($A$2:A4224,G589,$E$2:E4224)</f>
        <v>338</v>
      </c>
      <c r="I589" s="93" t="str">
        <f t="shared" si="37"/>
        <v>Monday</v>
      </c>
      <c r="J589" s="93" t="str">
        <f t="shared" si="38"/>
        <v>May</v>
      </c>
      <c r="K589" s="93" t="str">
        <f t="shared" si="39"/>
        <v>2024</v>
      </c>
      <c r="L589" s="6"/>
      <c r="M589" s="6"/>
      <c r="N589" s="6"/>
    </row>
    <row r="590" spans="1:14" x14ac:dyDescent="0.3">
      <c r="A590" s="87">
        <v>45439</v>
      </c>
      <c r="B590" s="87" t="str">
        <f t="shared" si="36"/>
        <v>Monday</v>
      </c>
      <c r="C590" s="88" t="s">
        <v>1381</v>
      </c>
      <c r="D590" s="88" t="s">
        <v>204</v>
      </c>
      <c r="E590" s="89">
        <v>32.82</v>
      </c>
      <c r="F590" s="88" t="s">
        <v>12</v>
      </c>
      <c r="G590" s="87">
        <f>Table1[[#This Row],[date]]</f>
        <v>45439</v>
      </c>
      <c r="H590" s="94">
        <f>SUMIF($A$2:A4225,G590,$E$2:E4225)</f>
        <v>338</v>
      </c>
      <c r="I590" s="93" t="str">
        <f t="shared" si="37"/>
        <v>Monday</v>
      </c>
      <c r="J590" s="93" t="str">
        <f t="shared" si="38"/>
        <v>May</v>
      </c>
      <c r="K590" s="93" t="str">
        <f t="shared" si="39"/>
        <v>2024</v>
      </c>
      <c r="L590" s="6"/>
      <c r="M590" s="6"/>
      <c r="N590" s="6"/>
    </row>
    <row r="591" spans="1:14" x14ac:dyDescent="0.3">
      <c r="A591" s="92">
        <v>45439</v>
      </c>
      <c r="B591" s="92" t="str">
        <f t="shared" si="36"/>
        <v>Monday</v>
      </c>
      <c r="C591" s="93" t="s">
        <v>1381</v>
      </c>
      <c r="D591" s="93" t="s">
        <v>218</v>
      </c>
      <c r="E591" s="94">
        <v>37.72</v>
      </c>
      <c r="F591" s="93" t="s">
        <v>41</v>
      </c>
      <c r="G591" s="87">
        <f>Table1[[#This Row],[date]]</f>
        <v>45439</v>
      </c>
      <c r="H591" s="94">
        <f>SUMIF($A$2:A4226,G591,$E$2:E4226)</f>
        <v>338</v>
      </c>
      <c r="I591" s="93" t="str">
        <f t="shared" si="37"/>
        <v>Monday</v>
      </c>
      <c r="J591" s="93" t="str">
        <f t="shared" si="38"/>
        <v>May</v>
      </c>
      <c r="K591" s="93" t="str">
        <f t="shared" si="39"/>
        <v>2024</v>
      </c>
      <c r="L591" s="6"/>
      <c r="M591" s="6"/>
      <c r="N591" s="6"/>
    </row>
    <row r="592" spans="1:14" x14ac:dyDescent="0.3">
      <c r="A592" s="87">
        <v>45440</v>
      </c>
      <c r="B592" s="87" t="str">
        <f t="shared" si="36"/>
        <v>Tuesday</v>
      </c>
      <c r="C592" s="88" t="s">
        <v>1381</v>
      </c>
      <c r="D592" s="88" t="s">
        <v>21</v>
      </c>
      <c r="E592" s="89">
        <v>32.82</v>
      </c>
      <c r="F592" s="88" t="s">
        <v>12</v>
      </c>
      <c r="G592" s="87">
        <f>Table1[[#This Row],[date]]</f>
        <v>45440</v>
      </c>
      <c r="H592" s="94">
        <f>SUMIF($A$2:A4227,G592,$E$2:E4227)</f>
        <v>372.1</v>
      </c>
      <c r="I592" s="93" t="str">
        <f t="shared" si="37"/>
        <v>Tuesday</v>
      </c>
      <c r="J592" s="93" t="str">
        <f t="shared" si="38"/>
        <v>May</v>
      </c>
      <c r="K592" s="93" t="str">
        <f t="shared" si="39"/>
        <v>2024</v>
      </c>
      <c r="L592" s="6"/>
      <c r="M592" s="6"/>
      <c r="N592" s="6"/>
    </row>
    <row r="593" spans="1:14" x14ac:dyDescent="0.3">
      <c r="A593" s="92">
        <v>45440</v>
      </c>
      <c r="B593" s="92" t="str">
        <f t="shared" si="36"/>
        <v>Tuesday</v>
      </c>
      <c r="C593" s="93" t="s">
        <v>1381</v>
      </c>
      <c r="D593" s="93" t="s">
        <v>109</v>
      </c>
      <c r="E593" s="94">
        <v>32.82</v>
      </c>
      <c r="F593" s="93" t="s">
        <v>12</v>
      </c>
      <c r="G593" s="87">
        <f>Table1[[#This Row],[date]]</f>
        <v>45440</v>
      </c>
      <c r="H593" s="94">
        <f>SUMIF($A$2:A4228,G593,$E$2:E4228)</f>
        <v>372.1</v>
      </c>
      <c r="I593" s="93" t="str">
        <f t="shared" si="37"/>
        <v>Tuesday</v>
      </c>
      <c r="J593" s="93" t="str">
        <f t="shared" si="38"/>
        <v>May</v>
      </c>
      <c r="K593" s="93" t="str">
        <f t="shared" si="39"/>
        <v>2024</v>
      </c>
      <c r="L593" s="6"/>
      <c r="M593" s="6"/>
      <c r="N593" s="6"/>
    </row>
    <row r="594" spans="1:14" x14ac:dyDescent="0.3">
      <c r="A594" s="87">
        <v>45440</v>
      </c>
      <c r="B594" s="87" t="str">
        <f t="shared" si="36"/>
        <v>Tuesday</v>
      </c>
      <c r="C594" s="88" t="s">
        <v>1381</v>
      </c>
      <c r="D594" s="88" t="s">
        <v>241</v>
      </c>
      <c r="E594" s="89">
        <v>37.72</v>
      </c>
      <c r="F594" s="88" t="s">
        <v>41</v>
      </c>
      <c r="G594" s="87">
        <f>Table1[[#This Row],[date]]</f>
        <v>45440</v>
      </c>
      <c r="H594" s="94">
        <f>SUMIF($A$2:A4229,G594,$E$2:E4229)</f>
        <v>372.1</v>
      </c>
      <c r="I594" s="93" t="str">
        <f t="shared" si="37"/>
        <v>Tuesday</v>
      </c>
      <c r="J594" s="93" t="str">
        <f t="shared" si="38"/>
        <v>May</v>
      </c>
      <c r="K594" s="93" t="str">
        <f t="shared" si="39"/>
        <v>2024</v>
      </c>
      <c r="L594" s="6"/>
      <c r="M594" s="6"/>
      <c r="N594" s="6"/>
    </row>
    <row r="595" spans="1:14" x14ac:dyDescent="0.3">
      <c r="A595" s="92">
        <v>45440</v>
      </c>
      <c r="B595" s="92" t="str">
        <f t="shared" si="36"/>
        <v>Tuesday</v>
      </c>
      <c r="C595" s="93" t="s">
        <v>1381</v>
      </c>
      <c r="D595" s="93" t="s">
        <v>242</v>
      </c>
      <c r="E595" s="94">
        <v>37.72</v>
      </c>
      <c r="F595" s="93" t="s">
        <v>41</v>
      </c>
      <c r="G595" s="87">
        <f>Table1[[#This Row],[date]]</f>
        <v>45440</v>
      </c>
      <c r="H595" s="94">
        <f>SUMIF($A$2:A4230,G595,$E$2:E4230)</f>
        <v>372.1</v>
      </c>
      <c r="I595" s="93" t="str">
        <f t="shared" si="37"/>
        <v>Tuesday</v>
      </c>
      <c r="J595" s="93" t="str">
        <f t="shared" si="38"/>
        <v>May</v>
      </c>
      <c r="K595" s="93" t="str">
        <f t="shared" si="39"/>
        <v>2024</v>
      </c>
      <c r="L595" s="6"/>
      <c r="M595" s="6"/>
      <c r="N595" s="6"/>
    </row>
    <row r="596" spans="1:14" x14ac:dyDescent="0.3">
      <c r="A596" s="87">
        <v>45440</v>
      </c>
      <c r="B596" s="87" t="str">
        <f t="shared" si="36"/>
        <v>Tuesday</v>
      </c>
      <c r="C596" s="88" t="s">
        <v>1381</v>
      </c>
      <c r="D596" s="88" t="s">
        <v>206</v>
      </c>
      <c r="E596" s="89">
        <v>37.72</v>
      </c>
      <c r="F596" s="88" t="s">
        <v>16</v>
      </c>
      <c r="G596" s="87">
        <f>Table1[[#This Row],[date]]</f>
        <v>45440</v>
      </c>
      <c r="H596" s="94">
        <f>SUMIF($A$2:A4231,G596,$E$2:E4231)</f>
        <v>372.1</v>
      </c>
      <c r="I596" s="93" t="str">
        <f t="shared" si="37"/>
        <v>Tuesday</v>
      </c>
      <c r="J596" s="93" t="str">
        <f t="shared" si="38"/>
        <v>May</v>
      </c>
      <c r="K596" s="93" t="str">
        <f t="shared" si="39"/>
        <v>2024</v>
      </c>
      <c r="L596" s="6"/>
      <c r="M596" s="6"/>
      <c r="N596" s="6"/>
    </row>
    <row r="597" spans="1:14" x14ac:dyDescent="0.3">
      <c r="A597" s="92">
        <v>45440</v>
      </c>
      <c r="B597" s="92" t="str">
        <f t="shared" si="36"/>
        <v>Tuesday</v>
      </c>
      <c r="C597" s="93" t="s">
        <v>1381</v>
      </c>
      <c r="D597" s="93" t="s">
        <v>153</v>
      </c>
      <c r="E597" s="94">
        <v>27.92</v>
      </c>
      <c r="F597" s="93" t="s">
        <v>26</v>
      </c>
      <c r="G597" s="87">
        <f>Table1[[#This Row],[date]]</f>
        <v>45440</v>
      </c>
      <c r="H597" s="94">
        <f>SUMIF($A$2:A4232,G597,$E$2:E4232)</f>
        <v>372.1</v>
      </c>
      <c r="I597" s="93" t="str">
        <f t="shared" si="37"/>
        <v>Tuesday</v>
      </c>
      <c r="J597" s="93" t="str">
        <f t="shared" si="38"/>
        <v>May</v>
      </c>
      <c r="K597" s="93" t="str">
        <f t="shared" si="39"/>
        <v>2024</v>
      </c>
      <c r="L597" s="6"/>
      <c r="M597" s="6"/>
      <c r="N597" s="6"/>
    </row>
    <row r="598" spans="1:14" x14ac:dyDescent="0.3">
      <c r="A598" s="87">
        <v>45440</v>
      </c>
      <c r="B598" s="87" t="str">
        <f t="shared" si="36"/>
        <v>Tuesday</v>
      </c>
      <c r="C598" s="88" t="s">
        <v>1383</v>
      </c>
      <c r="D598" s="88"/>
      <c r="E598" s="89">
        <v>39</v>
      </c>
      <c r="F598" s="88" t="s">
        <v>41</v>
      </c>
      <c r="G598" s="87">
        <f>Table1[[#This Row],[date]]</f>
        <v>45440</v>
      </c>
      <c r="H598" s="94">
        <f>SUMIF($A$2:A4233,G598,$E$2:E4233)</f>
        <v>372.1</v>
      </c>
      <c r="I598" s="93" t="str">
        <f t="shared" si="37"/>
        <v>Tuesday</v>
      </c>
      <c r="J598" s="93" t="str">
        <f t="shared" si="38"/>
        <v>May</v>
      </c>
      <c r="K598" s="93" t="str">
        <f t="shared" si="39"/>
        <v>2024</v>
      </c>
      <c r="L598" s="6"/>
      <c r="M598" s="6"/>
      <c r="N598" s="6"/>
    </row>
    <row r="599" spans="1:14" x14ac:dyDescent="0.3">
      <c r="A599" s="92">
        <v>45440</v>
      </c>
      <c r="B599" s="92" t="str">
        <f t="shared" si="36"/>
        <v>Tuesday</v>
      </c>
      <c r="C599" s="93" t="s">
        <v>1381</v>
      </c>
      <c r="D599" s="93" t="s">
        <v>243</v>
      </c>
      <c r="E599" s="94">
        <v>27.92</v>
      </c>
      <c r="F599" s="93" t="s">
        <v>9</v>
      </c>
      <c r="G599" s="87">
        <f>Table1[[#This Row],[date]]</f>
        <v>45440</v>
      </c>
      <c r="H599" s="94">
        <f>SUMIF($A$2:A4234,G599,$E$2:E4234)</f>
        <v>372.1</v>
      </c>
      <c r="I599" s="93" t="str">
        <f t="shared" si="37"/>
        <v>Tuesday</v>
      </c>
      <c r="J599" s="93" t="str">
        <f t="shared" si="38"/>
        <v>May</v>
      </c>
      <c r="K599" s="93" t="str">
        <f t="shared" si="39"/>
        <v>2024</v>
      </c>
      <c r="L599" s="6"/>
      <c r="M599" s="6"/>
      <c r="N599" s="6"/>
    </row>
    <row r="600" spans="1:14" x14ac:dyDescent="0.3">
      <c r="A600" s="87">
        <v>45440</v>
      </c>
      <c r="B600" s="87" t="str">
        <f t="shared" si="36"/>
        <v>Tuesday</v>
      </c>
      <c r="C600" s="88" t="s">
        <v>1381</v>
      </c>
      <c r="D600" s="88" t="s">
        <v>243</v>
      </c>
      <c r="E600" s="89">
        <v>37.72</v>
      </c>
      <c r="F600" s="88" t="s">
        <v>5</v>
      </c>
      <c r="G600" s="87">
        <f>Table1[[#This Row],[date]]</f>
        <v>45440</v>
      </c>
      <c r="H600" s="94">
        <f>SUMIF($A$2:A4235,G600,$E$2:E4235)</f>
        <v>372.1</v>
      </c>
      <c r="I600" s="93" t="str">
        <f t="shared" si="37"/>
        <v>Tuesday</v>
      </c>
      <c r="J600" s="93" t="str">
        <f t="shared" si="38"/>
        <v>May</v>
      </c>
      <c r="K600" s="93" t="str">
        <f t="shared" si="39"/>
        <v>2024</v>
      </c>
      <c r="L600" s="6"/>
      <c r="M600" s="6"/>
      <c r="N600" s="6"/>
    </row>
    <row r="601" spans="1:14" x14ac:dyDescent="0.3">
      <c r="A601" s="92">
        <v>45440</v>
      </c>
      <c r="B601" s="92" t="str">
        <f t="shared" si="36"/>
        <v>Tuesday</v>
      </c>
      <c r="C601" s="93" t="s">
        <v>1381</v>
      </c>
      <c r="D601" s="93" t="s">
        <v>17</v>
      </c>
      <c r="E601" s="94">
        <v>32.82</v>
      </c>
      <c r="F601" s="93" t="s">
        <v>12</v>
      </c>
      <c r="G601" s="87">
        <f>Table1[[#This Row],[date]]</f>
        <v>45440</v>
      </c>
      <c r="H601" s="94">
        <f>SUMIF($A$2:A4236,G601,$E$2:E4236)</f>
        <v>372.1</v>
      </c>
      <c r="I601" s="93" t="str">
        <f t="shared" si="37"/>
        <v>Tuesday</v>
      </c>
      <c r="J601" s="93" t="str">
        <f t="shared" si="38"/>
        <v>May</v>
      </c>
      <c r="K601" s="93" t="str">
        <f t="shared" si="39"/>
        <v>2024</v>
      </c>
      <c r="L601" s="6"/>
      <c r="M601" s="6"/>
      <c r="N601" s="6"/>
    </row>
    <row r="602" spans="1:14" x14ac:dyDescent="0.3">
      <c r="A602" s="87">
        <v>45440</v>
      </c>
      <c r="B602" s="87" t="str">
        <f t="shared" si="36"/>
        <v>Tuesday</v>
      </c>
      <c r="C602" s="88" t="s">
        <v>1381</v>
      </c>
      <c r="D602" s="88" t="s">
        <v>21</v>
      </c>
      <c r="E602" s="89">
        <v>27.92</v>
      </c>
      <c r="F602" s="88" t="s">
        <v>9</v>
      </c>
      <c r="G602" s="87">
        <f>Table1[[#This Row],[date]]</f>
        <v>45440</v>
      </c>
      <c r="H602" s="94">
        <f>SUMIF($A$2:A4237,G602,$E$2:E4237)</f>
        <v>372.1</v>
      </c>
      <c r="I602" s="93" t="str">
        <f t="shared" si="37"/>
        <v>Tuesday</v>
      </c>
      <c r="J602" s="93" t="str">
        <f t="shared" si="38"/>
        <v>May</v>
      </c>
      <c r="K602" s="93" t="str">
        <f t="shared" si="39"/>
        <v>2024</v>
      </c>
      <c r="L602" s="6"/>
      <c r="M602" s="6"/>
      <c r="N602" s="6"/>
    </row>
    <row r="603" spans="1:14" x14ac:dyDescent="0.3">
      <c r="A603" s="92">
        <v>45441</v>
      </c>
      <c r="B603" s="92" t="str">
        <f t="shared" si="36"/>
        <v>Wednesday</v>
      </c>
      <c r="C603" s="93" t="s">
        <v>1381</v>
      </c>
      <c r="D603" s="93" t="s">
        <v>244</v>
      </c>
      <c r="E603" s="94">
        <v>37.72</v>
      </c>
      <c r="F603" s="93" t="s">
        <v>5</v>
      </c>
      <c r="G603" s="87">
        <f>Table1[[#This Row],[date]]</f>
        <v>45441</v>
      </c>
      <c r="H603" s="94">
        <f>SUMIF($A$2:A4238,G603,$E$2:E4238)</f>
        <v>396.6</v>
      </c>
      <c r="I603" s="93" t="str">
        <f t="shared" si="37"/>
        <v>Wednesday</v>
      </c>
      <c r="J603" s="93" t="str">
        <f t="shared" si="38"/>
        <v>May</v>
      </c>
      <c r="K603" s="93" t="str">
        <f t="shared" si="39"/>
        <v>2024</v>
      </c>
      <c r="L603" s="6"/>
      <c r="M603" s="6"/>
      <c r="N603" s="6"/>
    </row>
    <row r="604" spans="1:14" x14ac:dyDescent="0.3">
      <c r="A604" s="87">
        <v>45441</v>
      </c>
      <c r="B604" s="87" t="str">
        <f t="shared" si="36"/>
        <v>Wednesday</v>
      </c>
      <c r="C604" s="88" t="s">
        <v>1383</v>
      </c>
      <c r="D604" s="88"/>
      <c r="E604" s="89">
        <v>39</v>
      </c>
      <c r="F604" s="88" t="s">
        <v>5</v>
      </c>
      <c r="G604" s="87">
        <f>Table1[[#This Row],[date]]</f>
        <v>45441</v>
      </c>
      <c r="H604" s="94">
        <f>SUMIF($A$2:A4239,G604,$E$2:E4239)</f>
        <v>396.6</v>
      </c>
      <c r="I604" s="93" t="str">
        <f t="shared" si="37"/>
        <v>Wednesday</v>
      </c>
      <c r="J604" s="93" t="str">
        <f t="shared" si="38"/>
        <v>May</v>
      </c>
      <c r="K604" s="93" t="str">
        <f t="shared" si="39"/>
        <v>2024</v>
      </c>
      <c r="L604" s="6"/>
      <c r="M604" s="6"/>
      <c r="N604" s="6"/>
    </row>
    <row r="605" spans="1:14" x14ac:dyDescent="0.3">
      <c r="A605" s="92">
        <v>45441</v>
      </c>
      <c r="B605" s="92" t="str">
        <f t="shared" si="36"/>
        <v>Wednesday</v>
      </c>
      <c r="C605" s="93" t="s">
        <v>1381</v>
      </c>
      <c r="D605" s="93" t="s">
        <v>245</v>
      </c>
      <c r="E605" s="94">
        <v>37.72</v>
      </c>
      <c r="F605" s="93" t="s">
        <v>7</v>
      </c>
      <c r="G605" s="87">
        <f>Table1[[#This Row],[date]]</f>
        <v>45441</v>
      </c>
      <c r="H605" s="94">
        <f>SUMIF($A$2:A4240,G605,$E$2:E4240)</f>
        <v>396.6</v>
      </c>
      <c r="I605" s="93" t="str">
        <f t="shared" si="37"/>
        <v>Wednesday</v>
      </c>
      <c r="J605" s="93" t="str">
        <f t="shared" si="38"/>
        <v>May</v>
      </c>
      <c r="K605" s="93" t="str">
        <f t="shared" si="39"/>
        <v>2024</v>
      </c>
      <c r="L605" s="6"/>
      <c r="M605" s="6"/>
      <c r="N605" s="6"/>
    </row>
    <row r="606" spans="1:14" x14ac:dyDescent="0.3">
      <c r="A606" s="87">
        <v>45441</v>
      </c>
      <c r="B606" s="87" t="str">
        <f t="shared" si="36"/>
        <v>Wednesday</v>
      </c>
      <c r="C606" s="88" t="s">
        <v>1381</v>
      </c>
      <c r="D606" s="88" t="s">
        <v>246</v>
      </c>
      <c r="E606" s="89">
        <v>27.92</v>
      </c>
      <c r="F606" s="88" t="s">
        <v>9</v>
      </c>
      <c r="G606" s="87">
        <f>Table1[[#This Row],[date]]</f>
        <v>45441</v>
      </c>
      <c r="H606" s="94">
        <f>SUMIF($A$2:A4241,G606,$E$2:E4241)</f>
        <v>396.6</v>
      </c>
      <c r="I606" s="93" t="str">
        <f t="shared" si="37"/>
        <v>Wednesday</v>
      </c>
      <c r="J606" s="93" t="str">
        <f t="shared" si="38"/>
        <v>May</v>
      </c>
      <c r="K606" s="93" t="str">
        <f t="shared" si="39"/>
        <v>2024</v>
      </c>
      <c r="L606" s="6"/>
      <c r="M606" s="6"/>
      <c r="N606" s="6"/>
    </row>
    <row r="607" spans="1:14" x14ac:dyDescent="0.3">
      <c r="A607" s="92">
        <v>45441</v>
      </c>
      <c r="B607" s="92" t="str">
        <f t="shared" si="36"/>
        <v>Wednesday</v>
      </c>
      <c r="C607" s="93" t="s">
        <v>1381</v>
      </c>
      <c r="D607" s="93" t="s">
        <v>247</v>
      </c>
      <c r="E607" s="94">
        <v>37.72</v>
      </c>
      <c r="F607" s="93" t="s">
        <v>5</v>
      </c>
      <c r="G607" s="87">
        <f>Table1[[#This Row],[date]]</f>
        <v>45441</v>
      </c>
      <c r="H607" s="94">
        <f>SUMIF($A$2:A4242,G607,$E$2:E4242)</f>
        <v>396.6</v>
      </c>
      <c r="I607" s="93" t="str">
        <f t="shared" si="37"/>
        <v>Wednesday</v>
      </c>
      <c r="J607" s="93" t="str">
        <f t="shared" si="38"/>
        <v>May</v>
      </c>
      <c r="K607" s="93" t="str">
        <f t="shared" si="39"/>
        <v>2024</v>
      </c>
      <c r="L607" s="6"/>
      <c r="M607" s="6"/>
      <c r="N607" s="6"/>
    </row>
    <row r="608" spans="1:14" x14ac:dyDescent="0.3">
      <c r="A608" s="87">
        <v>45441</v>
      </c>
      <c r="B608" s="87" t="str">
        <f t="shared" si="36"/>
        <v>Wednesday</v>
      </c>
      <c r="C608" s="88" t="s">
        <v>1381</v>
      </c>
      <c r="D608" s="88" t="s">
        <v>248</v>
      </c>
      <c r="E608" s="89">
        <v>37.72</v>
      </c>
      <c r="F608" s="88" t="s">
        <v>41</v>
      </c>
      <c r="G608" s="87">
        <f>Table1[[#This Row],[date]]</f>
        <v>45441</v>
      </c>
      <c r="H608" s="94">
        <f>SUMIF($A$2:A4243,G608,$E$2:E4243)</f>
        <v>396.6</v>
      </c>
      <c r="I608" s="93" t="str">
        <f t="shared" si="37"/>
        <v>Wednesday</v>
      </c>
      <c r="J608" s="93" t="str">
        <f t="shared" si="38"/>
        <v>May</v>
      </c>
      <c r="K608" s="93" t="str">
        <f t="shared" si="39"/>
        <v>2024</v>
      </c>
      <c r="L608" s="6"/>
      <c r="M608" s="6"/>
      <c r="N608" s="6"/>
    </row>
    <row r="609" spans="1:14" x14ac:dyDescent="0.3">
      <c r="A609" s="92">
        <v>45441</v>
      </c>
      <c r="B609" s="92" t="str">
        <f t="shared" si="36"/>
        <v>Wednesday</v>
      </c>
      <c r="C609" s="93" t="s">
        <v>1381</v>
      </c>
      <c r="D609" s="93" t="s">
        <v>249</v>
      </c>
      <c r="E609" s="94">
        <v>37.72</v>
      </c>
      <c r="F609" s="93" t="s">
        <v>5</v>
      </c>
      <c r="G609" s="87">
        <f>Table1[[#This Row],[date]]</f>
        <v>45441</v>
      </c>
      <c r="H609" s="94">
        <f>SUMIF($A$2:A4244,G609,$E$2:E4244)</f>
        <v>396.6</v>
      </c>
      <c r="I609" s="93" t="str">
        <f t="shared" si="37"/>
        <v>Wednesday</v>
      </c>
      <c r="J609" s="93" t="str">
        <f t="shared" si="38"/>
        <v>May</v>
      </c>
      <c r="K609" s="93" t="str">
        <f t="shared" si="39"/>
        <v>2024</v>
      </c>
      <c r="L609" s="6"/>
      <c r="M609" s="6"/>
      <c r="N609" s="6"/>
    </row>
    <row r="610" spans="1:14" x14ac:dyDescent="0.3">
      <c r="A610" s="87">
        <v>45441</v>
      </c>
      <c r="B610" s="87" t="str">
        <f t="shared" si="36"/>
        <v>Wednesday</v>
      </c>
      <c r="C610" s="88" t="s">
        <v>1381</v>
      </c>
      <c r="D610" s="88" t="s">
        <v>250</v>
      </c>
      <c r="E610" s="89">
        <v>27.92</v>
      </c>
      <c r="F610" s="88" t="s">
        <v>26</v>
      </c>
      <c r="G610" s="87">
        <f>Table1[[#This Row],[date]]</f>
        <v>45441</v>
      </c>
      <c r="H610" s="94">
        <f>SUMIF($A$2:A4245,G610,$E$2:E4245)</f>
        <v>396.6</v>
      </c>
      <c r="I610" s="93" t="str">
        <f t="shared" si="37"/>
        <v>Wednesday</v>
      </c>
      <c r="J610" s="93" t="str">
        <f t="shared" si="38"/>
        <v>May</v>
      </c>
      <c r="K610" s="93" t="str">
        <f t="shared" si="39"/>
        <v>2024</v>
      </c>
      <c r="L610" s="6"/>
      <c r="M610" s="6"/>
      <c r="N610" s="6"/>
    </row>
    <row r="611" spans="1:14" x14ac:dyDescent="0.3">
      <c r="A611" s="92">
        <v>45441</v>
      </c>
      <c r="B611" s="92" t="str">
        <f t="shared" si="36"/>
        <v>Wednesday</v>
      </c>
      <c r="C611" s="93" t="s">
        <v>1381</v>
      </c>
      <c r="D611" s="93" t="s">
        <v>250</v>
      </c>
      <c r="E611" s="94">
        <v>37.72</v>
      </c>
      <c r="F611" s="93" t="s">
        <v>5</v>
      </c>
      <c r="G611" s="87">
        <f>Table1[[#This Row],[date]]</f>
        <v>45441</v>
      </c>
      <c r="H611" s="94">
        <f>SUMIF($A$2:A4246,G611,$E$2:E4246)</f>
        <v>396.6</v>
      </c>
      <c r="I611" s="93" t="str">
        <f t="shared" si="37"/>
        <v>Wednesday</v>
      </c>
      <c r="J611" s="93" t="str">
        <f t="shared" si="38"/>
        <v>May</v>
      </c>
      <c r="K611" s="93" t="str">
        <f t="shared" si="39"/>
        <v>2024</v>
      </c>
      <c r="L611" s="6"/>
      <c r="M611" s="6"/>
      <c r="N611" s="6"/>
    </row>
    <row r="612" spans="1:14" x14ac:dyDescent="0.3">
      <c r="A612" s="87">
        <v>45441</v>
      </c>
      <c r="B612" s="87" t="str">
        <f t="shared" si="36"/>
        <v>Wednesday</v>
      </c>
      <c r="C612" s="88" t="s">
        <v>1381</v>
      </c>
      <c r="D612" s="88" t="s">
        <v>251</v>
      </c>
      <c r="E612" s="89">
        <v>37.72</v>
      </c>
      <c r="F612" s="88" t="s">
        <v>7</v>
      </c>
      <c r="G612" s="87">
        <f>Table1[[#This Row],[date]]</f>
        <v>45441</v>
      </c>
      <c r="H612" s="94">
        <f>SUMIF($A$2:A4247,G612,$E$2:E4247)</f>
        <v>396.6</v>
      </c>
      <c r="I612" s="93" t="str">
        <f t="shared" si="37"/>
        <v>Wednesday</v>
      </c>
      <c r="J612" s="93" t="str">
        <f t="shared" si="38"/>
        <v>May</v>
      </c>
      <c r="K612" s="93" t="str">
        <f t="shared" si="39"/>
        <v>2024</v>
      </c>
      <c r="L612" s="6"/>
      <c r="M612" s="6"/>
      <c r="N612" s="6"/>
    </row>
    <row r="613" spans="1:14" x14ac:dyDescent="0.3">
      <c r="A613" s="92">
        <v>45441</v>
      </c>
      <c r="B613" s="92" t="str">
        <f t="shared" si="36"/>
        <v>Wednesday</v>
      </c>
      <c r="C613" s="93" t="s">
        <v>1381</v>
      </c>
      <c r="D613" s="93" t="s">
        <v>252</v>
      </c>
      <c r="E613" s="94">
        <v>37.72</v>
      </c>
      <c r="F613" s="93" t="s">
        <v>16</v>
      </c>
      <c r="G613" s="87">
        <f>Table1[[#This Row],[date]]</f>
        <v>45441</v>
      </c>
      <c r="H613" s="94">
        <f>SUMIF($A$2:A4248,G613,$E$2:E4248)</f>
        <v>396.6</v>
      </c>
      <c r="I613" s="93" t="str">
        <f t="shared" si="37"/>
        <v>Wednesday</v>
      </c>
      <c r="J613" s="93" t="str">
        <f t="shared" si="38"/>
        <v>May</v>
      </c>
      <c r="K613" s="93" t="str">
        <f t="shared" si="39"/>
        <v>2024</v>
      </c>
      <c r="L613" s="6"/>
      <c r="M613" s="6"/>
      <c r="N613" s="6"/>
    </row>
    <row r="614" spans="1:14" x14ac:dyDescent="0.3">
      <c r="A614" s="87">
        <v>45442</v>
      </c>
      <c r="B614" s="87" t="str">
        <f t="shared" si="36"/>
        <v>Thursday</v>
      </c>
      <c r="C614" s="88" t="s">
        <v>1381</v>
      </c>
      <c r="D614" s="88" t="s">
        <v>253</v>
      </c>
      <c r="E614" s="89">
        <v>37.72</v>
      </c>
      <c r="F614" s="88" t="s">
        <v>41</v>
      </c>
      <c r="G614" s="87">
        <f>Table1[[#This Row],[date]]</f>
        <v>45442</v>
      </c>
      <c r="H614" s="94">
        <f>SUMIF($A$2:A4249,G614,$E$2:E4249)</f>
        <v>370.82</v>
      </c>
      <c r="I614" s="93" t="str">
        <f t="shared" si="37"/>
        <v>Thursday</v>
      </c>
      <c r="J614" s="93" t="str">
        <f t="shared" si="38"/>
        <v>May</v>
      </c>
      <c r="K614" s="93" t="str">
        <f t="shared" si="39"/>
        <v>2024</v>
      </c>
      <c r="L614" s="6"/>
      <c r="M614" s="6"/>
      <c r="N614" s="6"/>
    </row>
    <row r="615" spans="1:14" x14ac:dyDescent="0.3">
      <c r="A615" s="92">
        <v>45442</v>
      </c>
      <c r="B615" s="92" t="str">
        <f t="shared" si="36"/>
        <v>Thursday</v>
      </c>
      <c r="C615" s="93" t="s">
        <v>1381</v>
      </c>
      <c r="D615" s="93" t="s">
        <v>253</v>
      </c>
      <c r="E615" s="94">
        <v>37.72</v>
      </c>
      <c r="F615" s="93" t="s">
        <v>5</v>
      </c>
      <c r="G615" s="87">
        <f>Table1[[#This Row],[date]]</f>
        <v>45442</v>
      </c>
      <c r="H615" s="94">
        <f>SUMIF($A$2:A4250,G615,$E$2:E4250)</f>
        <v>370.82</v>
      </c>
      <c r="I615" s="93" t="str">
        <f t="shared" si="37"/>
        <v>Thursday</v>
      </c>
      <c r="J615" s="93" t="str">
        <f t="shared" si="38"/>
        <v>May</v>
      </c>
      <c r="K615" s="93" t="str">
        <f t="shared" si="39"/>
        <v>2024</v>
      </c>
      <c r="L615" s="6"/>
      <c r="M615" s="6"/>
      <c r="N615" s="6"/>
    </row>
    <row r="616" spans="1:14" x14ac:dyDescent="0.3">
      <c r="A616" s="87">
        <v>45442</v>
      </c>
      <c r="B616" s="87" t="str">
        <f t="shared" si="36"/>
        <v>Thursday</v>
      </c>
      <c r="C616" s="88" t="s">
        <v>1381</v>
      </c>
      <c r="D616" s="88" t="s">
        <v>254</v>
      </c>
      <c r="E616" s="89">
        <v>32.82</v>
      </c>
      <c r="F616" s="88" t="s">
        <v>12</v>
      </c>
      <c r="G616" s="87">
        <f>Table1[[#This Row],[date]]</f>
        <v>45442</v>
      </c>
      <c r="H616" s="94">
        <f>SUMIF($A$2:A4251,G616,$E$2:E4251)</f>
        <v>370.82</v>
      </c>
      <c r="I616" s="93" t="str">
        <f t="shared" si="37"/>
        <v>Thursday</v>
      </c>
      <c r="J616" s="93" t="str">
        <f t="shared" si="38"/>
        <v>May</v>
      </c>
      <c r="K616" s="93" t="str">
        <f t="shared" si="39"/>
        <v>2024</v>
      </c>
      <c r="L616" s="6"/>
      <c r="M616" s="6"/>
      <c r="N616" s="6"/>
    </row>
    <row r="617" spans="1:14" x14ac:dyDescent="0.3">
      <c r="A617" s="92">
        <v>45442</v>
      </c>
      <c r="B617" s="92" t="str">
        <f t="shared" si="36"/>
        <v>Thursday</v>
      </c>
      <c r="C617" s="93" t="s">
        <v>1381</v>
      </c>
      <c r="D617" s="93" t="s">
        <v>4</v>
      </c>
      <c r="E617" s="94">
        <v>37.72</v>
      </c>
      <c r="F617" s="93" t="s">
        <v>5</v>
      </c>
      <c r="G617" s="87">
        <f>Table1[[#This Row],[date]]</f>
        <v>45442</v>
      </c>
      <c r="H617" s="94">
        <f>SUMIF($A$2:A4252,G617,$E$2:E4252)</f>
        <v>370.82</v>
      </c>
      <c r="I617" s="93" t="str">
        <f t="shared" si="37"/>
        <v>Thursday</v>
      </c>
      <c r="J617" s="93" t="str">
        <f t="shared" si="38"/>
        <v>May</v>
      </c>
      <c r="K617" s="93" t="str">
        <f t="shared" si="39"/>
        <v>2024</v>
      </c>
      <c r="L617" s="6"/>
      <c r="M617" s="6"/>
      <c r="N617" s="6"/>
    </row>
    <row r="618" spans="1:14" x14ac:dyDescent="0.3">
      <c r="A618" s="87">
        <v>45442</v>
      </c>
      <c r="B618" s="87" t="str">
        <f t="shared" si="36"/>
        <v>Thursday</v>
      </c>
      <c r="C618" s="88" t="s">
        <v>1381</v>
      </c>
      <c r="D618" s="88" t="s">
        <v>109</v>
      </c>
      <c r="E618" s="89">
        <v>32.82</v>
      </c>
      <c r="F618" s="88" t="s">
        <v>12</v>
      </c>
      <c r="G618" s="87">
        <f>Table1[[#This Row],[date]]</f>
        <v>45442</v>
      </c>
      <c r="H618" s="94">
        <f>SUMIF($A$2:A4253,G618,$E$2:E4253)</f>
        <v>370.82</v>
      </c>
      <c r="I618" s="93" t="str">
        <f t="shared" si="37"/>
        <v>Thursday</v>
      </c>
      <c r="J618" s="93" t="str">
        <f t="shared" si="38"/>
        <v>May</v>
      </c>
      <c r="K618" s="93" t="str">
        <f t="shared" si="39"/>
        <v>2024</v>
      </c>
      <c r="L618" s="6"/>
      <c r="M618" s="6"/>
      <c r="N618" s="6"/>
    </row>
    <row r="619" spans="1:14" x14ac:dyDescent="0.3">
      <c r="A619" s="92">
        <v>45442</v>
      </c>
      <c r="B619" s="92" t="str">
        <f t="shared" si="36"/>
        <v>Thursday</v>
      </c>
      <c r="C619" s="93" t="s">
        <v>1381</v>
      </c>
      <c r="D619" s="93" t="s">
        <v>255</v>
      </c>
      <c r="E619" s="94">
        <v>23.02</v>
      </c>
      <c r="F619" s="93" t="s">
        <v>33</v>
      </c>
      <c r="G619" s="87">
        <f>Table1[[#This Row],[date]]</f>
        <v>45442</v>
      </c>
      <c r="H619" s="94">
        <f>SUMIF($A$2:A4254,G619,$E$2:E4254)</f>
        <v>370.82</v>
      </c>
      <c r="I619" s="93" t="str">
        <f t="shared" si="37"/>
        <v>Thursday</v>
      </c>
      <c r="J619" s="93" t="str">
        <f t="shared" si="38"/>
        <v>May</v>
      </c>
      <c r="K619" s="93" t="str">
        <f t="shared" si="39"/>
        <v>2024</v>
      </c>
      <c r="L619" s="6"/>
      <c r="M619" s="6"/>
      <c r="N619" s="6"/>
    </row>
    <row r="620" spans="1:14" x14ac:dyDescent="0.3">
      <c r="A620" s="87">
        <v>45442</v>
      </c>
      <c r="B620" s="87" t="str">
        <f t="shared" si="36"/>
        <v>Thursday</v>
      </c>
      <c r="C620" s="88" t="s">
        <v>1381</v>
      </c>
      <c r="D620" s="88" t="s">
        <v>21</v>
      </c>
      <c r="E620" s="89">
        <v>23.02</v>
      </c>
      <c r="F620" s="88" t="s">
        <v>33</v>
      </c>
      <c r="G620" s="87">
        <f>Table1[[#This Row],[date]]</f>
        <v>45442</v>
      </c>
      <c r="H620" s="94">
        <f>SUMIF($A$2:A4255,G620,$E$2:E4255)</f>
        <v>370.82</v>
      </c>
      <c r="I620" s="93" t="str">
        <f t="shared" si="37"/>
        <v>Thursday</v>
      </c>
      <c r="J620" s="93" t="str">
        <f t="shared" si="38"/>
        <v>May</v>
      </c>
      <c r="K620" s="93" t="str">
        <f t="shared" si="39"/>
        <v>2024</v>
      </c>
      <c r="L620" s="6"/>
      <c r="M620" s="6"/>
      <c r="N620" s="6"/>
    </row>
    <row r="621" spans="1:14" x14ac:dyDescent="0.3">
      <c r="A621" s="92">
        <v>45442</v>
      </c>
      <c r="B621" s="92" t="str">
        <f t="shared" si="36"/>
        <v>Thursday</v>
      </c>
      <c r="C621" s="93" t="s">
        <v>1381</v>
      </c>
      <c r="D621" s="93" t="s">
        <v>218</v>
      </c>
      <c r="E621" s="94">
        <v>37.72</v>
      </c>
      <c r="F621" s="93" t="s">
        <v>41</v>
      </c>
      <c r="G621" s="87">
        <f>Table1[[#This Row],[date]]</f>
        <v>45442</v>
      </c>
      <c r="H621" s="94">
        <f>SUMIF($A$2:A4256,G621,$E$2:E4256)</f>
        <v>370.82</v>
      </c>
      <c r="I621" s="93" t="str">
        <f t="shared" si="37"/>
        <v>Thursday</v>
      </c>
      <c r="J621" s="93" t="str">
        <f t="shared" si="38"/>
        <v>May</v>
      </c>
      <c r="K621" s="93" t="str">
        <f t="shared" si="39"/>
        <v>2024</v>
      </c>
      <c r="L621" s="6"/>
      <c r="M621" s="6"/>
      <c r="N621" s="6"/>
    </row>
    <row r="622" spans="1:14" x14ac:dyDescent="0.3">
      <c r="A622" s="87">
        <v>45442</v>
      </c>
      <c r="B622" s="87" t="str">
        <f t="shared" si="36"/>
        <v>Thursday</v>
      </c>
      <c r="C622" s="88" t="s">
        <v>1381</v>
      </c>
      <c r="D622" s="88" t="s">
        <v>256</v>
      </c>
      <c r="E622" s="89">
        <v>37.72</v>
      </c>
      <c r="F622" s="88" t="s">
        <v>5</v>
      </c>
      <c r="G622" s="87">
        <f>Table1[[#This Row],[date]]</f>
        <v>45442</v>
      </c>
      <c r="H622" s="94">
        <f>SUMIF($A$2:A4257,G622,$E$2:E4257)</f>
        <v>370.82</v>
      </c>
      <c r="I622" s="93" t="str">
        <f t="shared" si="37"/>
        <v>Thursday</v>
      </c>
      <c r="J622" s="93" t="str">
        <f t="shared" si="38"/>
        <v>May</v>
      </c>
      <c r="K622" s="93" t="str">
        <f t="shared" si="39"/>
        <v>2024</v>
      </c>
      <c r="L622" s="6"/>
      <c r="M622" s="6"/>
      <c r="N622" s="6"/>
    </row>
    <row r="623" spans="1:14" x14ac:dyDescent="0.3">
      <c r="A623" s="92">
        <v>45442</v>
      </c>
      <c r="B623" s="92" t="str">
        <f t="shared" si="36"/>
        <v>Thursday</v>
      </c>
      <c r="C623" s="93" t="s">
        <v>1381</v>
      </c>
      <c r="D623" s="93" t="s">
        <v>17</v>
      </c>
      <c r="E623" s="94">
        <v>37.72</v>
      </c>
      <c r="F623" s="93" t="s">
        <v>7</v>
      </c>
      <c r="G623" s="87">
        <f>Table1[[#This Row],[date]]</f>
        <v>45442</v>
      </c>
      <c r="H623" s="94">
        <f>SUMIF($A$2:A4258,G623,$E$2:E4258)</f>
        <v>370.82</v>
      </c>
      <c r="I623" s="93" t="str">
        <f t="shared" si="37"/>
        <v>Thursday</v>
      </c>
      <c r="J623" s="93" t="str">
        <f t="shared" si="38"/>
        <v>May</v>
      </c>
      <c r="K623" s="93" t="str">
        <f t="shared" si="39"/>
        <v>2024</v>
      </c>
      <c r="L623" s="6"/>
      <c r="M623" s="6"/>
      <c r="N623" s="6"/>
    </row>
    <row r="624" spans="1:14" x14ac:dyDescent="0.3">
      <c r="A624" s="87">
        <v>45442</v>
      </c>
      <c r="B624" s="87" t="str">
        <f t="shared" si="36"/>
        <v>Thursday</v>
      </c>
      <c r="C624" s="88" t="s">
        <v>1381</v>
      </c>
      <c r="D624" s="88" t="s">
        <v>17</v>
      </c>
      <c r="E624" s="89">
        <v>32.82</v>
      </c>
      <c r="F624" s="88" t="s">
        <v>12</v>
      </c>
      <c r="G624" s="87">
        <f>Table1[[#This Row],[date]]</f>
        <v>45442</v>
      </c>
      <c r="H624" s="94">
        <f>SUMIF($A$2:A4259,G624,$E$2:E4259)</f>
        <v>370.82</v>
      </c>
      <c r="I624" s="93" t="str">
        <f t="shared" si="37"/>
        <v>Thursday</v>
      </c>
      <c r="J624" s="93" t="str">
        <f t="shared" si="38"/>
        <v>May</v>
      </c>
      <c r="K624" s="93" t="str">
        <f t="shared" si="39"/>
        <v>2024</v>
      </c>
      <c r="L624" s="6"/>
      <c r="M624" s="6"/>
      <c r="N624" s="6"/>
    </row>
    <row r="625" spans="1:14" x14ac:dyDescent="0.3">
      <c r="A625" s="92">
        <v>45443</v>
      </c>
      <c r="B625" s="92" t="str">
        <f t="shared" si="36"/>
        <v>Friday</v>
      </c>
      <c r="C625" s="93" t="s">
        <v>1381</v>
      </c>
      <c r="D625" s="93" t="s">
        <v>257</v>
      </c>
      <c r="E625" s="94">
        <v>32.82</v>
      </c>
      <c r="F625" s="93" t="s">
        <v>12</v>
      </c>
      <c r="G625" s="87">
        <f>Table1[[#This Row],[date]]</f>
        <v>45443</v>
      </c>
      <c r="H625" s="94">
        <f>SUMIF($A$2:A4260,G625,$E$2:E4260)</f>
        <v>462.24</v>
      </c>
      <c r="I625" s="93" t="str">
        <f t="shared" si="37"/>
        <v>Friday</v>
      </c>
      <c r="J625" s="93" t="str">
        <f t="shared" si="38"/>
        <v>May</v>
      </c>
      <c r="K625" s="93" t="str">
        <f t="shared" si="39"/>
        <v>2024</v>
      </c>
      <c r="L625" s="6"/>
      <c r="M625" s="6"/>
      <c r="N625" s="6"/>
    </row>
    <row r="626" spans="1:14" x14ac:dyDescent="0.3">
      <c r="A626" s="87">
        <v>45443</v>
      </c>
      <c r="B626" s="87" t="str">
        <f t="shared" si="36"/>
        <v>Friday</v>
      </c>
      <c r="C626" s="88" t="s">
        <v>1381</v>
      </c>
      <c r="D626" s="88" t="s">
        <v>258</v>
      </c>
      <c r="E626" s="89">
        <v>37.72</v>
      </c>
      <c r="F626" s="88" t="s">
        <v>5</v>
      </c>
      <c r="G626" s="87">
        <f>Table1[[#This Row],[date]]</f>
        <v>45443</v>
      </c>
      <c r="H626" s="94">
        <f>SUMIF($A$2:A4261,G626,$E$2:E4261)</f>
        <v>462.24</v>
      </c>
      <c r="I626" s="93" t="str">
        <f t="shared" si="37"/>
        <v>Friday</v>
      </c>
      <c r="J626" s="93" t="str">
        <f t="shared" si="38"/>
        <v>May</v>
      </c>
      <c r="K626" s="93" t="str">
        <f t="shared" si="39"/>
        <v>2024</v>
      </c>
      <c r="L626" s="6"/>
      <c r="M626" s="6"/>
      <c r="N626" s="6"/>
    </row>
    <row r="627" spans="1:14" x14ac:dyDescent="0.3">
      <c r="A627" s="92">
        <v>45443</v>
      </c>
      <c r="B627" s="92" t="str">
        <f t="shared" si="36"/>
        <v>Friday</v>
      </c>
      <c r="C627" s="93" t="s">
        <v>1383</v>
      </c>
      <c r="D627" s="93"/>
      <c r="E627" s="94">
        <v>39</v>
      </c>
      <c r="F627" s="93" t="s">
        <v>5</v>
      </c>
      <c r="G627" s="87">
        <f>Table1[[#This Row],[date]]</f>
        <v>45443</v>
      </c>
      <c r="H627" s="94">
        <f>SUMIF($A$2:A4262,G627,$E$2:E4262)</f>
        <v>462.24</v>
      </c>
      <c r="I627" s="93" t="str">
        <f t="shared" si="37"/>
        <v>Friday</v>
      </c>
      <c r="J627" s="93" t="str">
        <f t="shared" si="38"/>
        <v>May</v>
      </c>
      <c r="K627" s="93" t="str">
        <f t="shared" si="39"/>
        <v>2024</v>
      </c>
      <c r="L627" s="6"/>
      <c r="M627" s="6"/>
      <c r="N627" s="6"/>
    </row>
    <row r="628" spans="1:14" x14ac:dyDescent="0.3">
      <c r="A628" s="87">
        <v>45443</v>
      </c>
      <c r="B628" s="87" t="str">
        <f t="shared" si="36"/>
        <v>Friday</v>
      </c>
      <c r="C628" s="88" t="s">
        <v>1381</v>
      </c>
      <c r="D628" s="88" t="s">
        <v>259</v>
      </c>
      <c r="E628" s="89">
        <v>37.72</v>
      </c>
      <c r="F628" s="88" t="s">
        <v>7</v>
      </c>
      <c r="G628" s="87">
        <f>Table1[[#This Row],[date]]</f>
        <v>45443</v>
      </c>
      <c r="H628" s="94">
        <f>SUMIF($A$2:A4263,G628,$E$2:E4263)</f>
        <v>462.24</v>
      </c>
      <c r="I628" s="93" t="str">
        <f t="shared" si="37"/>
        <v>Friday</v>
      </c>
      <c r="J628" s="93" t="str">
        <f t="shared" si="38"/>
        <v>May</v>
      </c>
      <c r="K628" s="93" t="str">
        <f t="shared" si="39"/>
        <v>2024</v>
      </c>
      <c r="L628" s="6"/>
      <c r="M628" s="6"/>
      <c r="N628" s="6"/>
    </row>
    <row r="629" spans="1:14" x14ac:dyDescent="0.3">
      <c r="A629" s="92">
        <v>45443</v>
      </c>
      <c r="B629" s="92" t="str">
        <f t="shared" si="36"/>
        <v>Friday</v>
      </c>
      <c r="C629" s="93" t="s">
        <v>1381</v>
      </c>
      <c r="D629" s="93" t="s">
        <v>260</v>
      </c>
      <c r="E629" s="94">
        <v>37.72</v>
      </c>
      <c r="F629" s="93" t="s">
        <v>16</v>
      </c>
      <c r="G629" s="87">
        <f>Table1[[#This Row],[date]]</f>
        <v>45443</v>
      </c>
      <c r="H629" s="94">
        <f>SUMIF($A$2:A4264,G629,$E$2:E4264)</f>
        <v>462.24</v>
      </c>
      <c r="I629" s="93" t="str">
        <f t="shared" si="37"/>
        <v>Friday</v>
      </c>
      <c r="J629" s="93" t="str">
        <f t="shared" si="38"/>
        <v>May</v>
      </c>
      <c r="K629" s="93" t="str">
        <f t="shared" si="39"/>
        <v>2024</v>
      </c>
      <c r="L629" s="6"/>
      <c r="M629" s="6"/>
      <c r="N629" s="6"/>
    </row>
    <row r="630" spans="1:14" x14ac:dyDescent="0.3">
      <c r="A630" s="87">
        <v>45443</v>
      </c>
      <c r="B630" s="87" t="str">
        <f t="shared" si="36"/>
        <v>Friday</v>
      </c>
      <c r="C630" s="88" t="s">
        <v>1381</v>
      </c>
      <c r="D630" s="88" t="s">
        <v>261</v>
      </c>
      <c r="E630" s="89">
        <v>32.82</v>
      </c>
      <c r="F630" s="88" t="s">
        <v>12</v>
      </c>
      <c r="G630" s="87">
        <f>Table1[[#This Row],[date]]</f>
        <v>45443</v>
      </c>
      <c r="H630" s="94">
        <f>SUMIF($A$2:A4265,G630,$E$2:E4265)</f>
        <v>462.24</v>
      </c>
      <c r="I630" s="93" t="str">
        <f t="shared" si="37"/>
        <v>Friday</v>
      </c>
      <c r="J630" s="93" t="str">
        <f t="shared" si="38"/>
        <v>May</v>
      </c>
      <c r="K630" s="93" t="str">
        <f t="shared" si="39"/>
        <v>2024</v>
      </c>
      <c r="L630" s="6"/>
      <c r="M630" s="6"/>
      <c r="N630" s="6"/>
    </row>
    <row r="631" spans="1:14" x14ac:dyDescent="0.3">
      <c r="A631" s="92">
        <v>45443</v>
      </c>
      <c r="B631" s="92" t="str">
        <f t="shared" si="36"/>
        <v>Friday</v>
      </c>
      <c r="C631" s="93" t="s">
        <v>1381</v>
      </c>
      <c r="D631" s="93" t="s">
        <v>262</v>
      </c>
      <c r="E631" s="94">
        <v>37.72</v>
      </c>
      <c r="F631" s="93" t="s">
        <v>5</v>
      </c>
      <c r="G631" s="87">
        <f>Table1[[#This Row],[date]]</f>
        <v>45443</v>
      </c>
      <c r="H631" s="94">
        <f>SUMIF($A$2:A4266,G631,$E$2:E4266)</f>
        <v>462.24</v>
      </c>
      <c r="I631" s="93" t="str">
        <f t="shared" si="37"/>
        <v>Friday</v>
      </c>
      <c r="J631" s="93" t="str">
        <f t="shared" si="38"/>
        <v>May</v>
      </c>
      <c r="K631" s="93" t="str">
        <f t="shared" si="39"/>
        <v>2024</v>
      </c>
      <c r="L631" s="6"/>
      <c r="M631" s="6"/>
      <c r="N631" s="6"/>
    </row>
    <row r="632" spans="1:14" x14ac:dyDescent="0.3">
      <c r="A632" s="92">
        <v>45443</v>
      </c>
      <c r="B632" s="92" t="str">
        <f t="shared" si="36"/>
        <v>Friday</v>
      </c>
      <c r="C632" s="93" t="s">
        <v>1381</v>
      </c>
      <c r="D632" s="93" t="s">
        <v>192</v>
      </c>
      <c r="E632" s="94">
        <v>37.72</v>
      </c>
      <c r="F632" s="93" t="s">
        <v>41</v>
      </c>
      <c r="G632" s="87">
        <f>Table1[[#This Row],[date]]</f>
        <v>45443</v>
      </c>
      <c r="H632" s="94">
        <f>SUMIF($A$2:A4267,G632,$E$2:E4267)</f>
        <v>462.24</v>
      </c>
      <c r="I632" s="93" t="str">
        <f t="shared" si="37"/>
        <v>Friday</v>
      </c>
      <c r="J632" s="93" t="str">
        <f t="shared" si="38"/>
        <v>May</v>
      </c>
      <c r="K632" s="93" t="str">
        <f t="shared" si="39"/>
        <v>2024</v>
      </c>
      <c r="L632" s="6"/>
      <c r="M632" s="6"/>
      <c r="N632" s="6"/>
    </row>
    <row r="633" spans="1:14" x14ac:dyDescent="0.3">
      <c r="A633" s="87">
        <v>45443</v>
      </c>
      <c r="B633" s="87" t="str">
        <f t="shared" si="36"/>
        <v>Friday</v>
      </c>
      <c r="C633" s="88" t="s">
        <v>1381</v>
      </c>
      <c r="D633" s="88" t="s">
        <v>146</v>
      </c>
      <c r="E633" s="89">
        <v>32.82</v>
      </c>
      <c r="F633" s="88" t="s">
        <v>12</v>
      </c>
      <c r="G633" s="87">
        <f>Table1[[#This Row],[date]]</f>
        <v>45443</v>
      </c>
      <c r="H633" s="94">
        <f>SUMIF($A$2:A4268,G633,$E$2:E4268)</f>
        <v>462.24</v>
      </c>
      <c r="I633" s="93" t="str">
        <f t="shared" si="37"/>
        <v>Friday</v>
      </c>
      <c r="J633" s="93" t="str">
        <f t="shared" si="38"/>
        <v>May</v>
      </c>
      <c r="K633" s="93" t="str">
        <f t="shared" si="39"/>
        <v>2024</v>
      </c>
      <c r="L633" s="6"/>
      <c r="M633" s="6"/>
      <c r="N633" s="6"/>
    </row>
    <row r="634" spans="1:14" x14ac:dyDescent="0.3">
      <c r="A634" s="92">
        <v>45443</v>
      </c>
      <c r="B634" s="92" t="str">
        <f t="shared" si="36"/>
        <v>Friday</v>
      </c>
      <c r="C634" s="93" t="s">
        <v>1381</v>
      </c>
      <c r="D634" s="93" t="s">
        <v>146</v>
      </c>
      <c r="E634" s="94">
        <v>37.72</v>
      </c>
      <c r="F634" s="93" t="s">
        <v>5</v>
      </c>
      <c r="G634" s="87">
        <f>Table1[[#This Row],[date]]</f>
        <v>45443</v>
      </c>
      <c r="H634" s="94">
        <f>SUMIF($A$2:A4269,G634,$E$2:E4269)</f>
        <v>462.24</v>
      </c>
      <c r="I634" s="93" t="str">
        <f t="shared" si="37"/>
        <v>Friday</v>
      </c>
      <c r="J634" s="93" t="str">
        <f t="shared" si="38"/>
        <v>May</v>
      </c>
      <c r="K634" s="93" t="str">
        <f t="shared" si="39"/>
        <v>2024</v>
      </c>
      <c r="L634" s="6"/>
      <c r="M634" s="6"/>
      <c r="N634" s="6"/>
    </row>
    <row r="635" spans="1:14" x14ac:dyDescent="0.3">
      <c r="A635" s="87">
        <v>45443</v>
      </c>
      <c r="B635" s="87" t="str">
        <f t="shared" si="36"/>
        <v>Friday</v>
      </c>
      <c r="C635" s="88" t="s">
        <v>1381</v>
      </c>
      <c r="D635" s="88" t="s">
        <v>218</v>
      </c>
      <c r="E635" s="89">
        <v>37.72</v>
      </c>
      <c r="F635" s="88" t="s">
        <v>41</v>
      </c>
      <c r="G635" s="87">
        <f>Table1[[#This Row],[date]]</f>
        <v>45443</v>
      </c>
      <c r="H635" s="94">
        <f>SUMIF($A$2:A4270,G635,$E$2:E4270)</f>
        <v>462.24</v>
      </c>
      <c r="I635" s="93" t="str">
        <f t="shared" si="37"/>
        <v>Friday</v>
      </c>
      <c r="J635" s="93" t="str">
        <f t="shared" si="38"/>
        <v>May</v>
      </c>
      <c r="K635" s="93" t="str">
        <f t="shared" si="39"/>
        <v>2024</v>
      </c>
      <c r="L635" s="6"/>
      <c r="M635" s="6"/>
      <c r="N635" s="6"/>
    </row>
    <row r="636" spans="1:14" x14ac:dyDescent="0.3">
      <c r="A636" s="92">
        <v>45443</v>
      </c>
      <c r="B636" s="92" t="str">
        <f t="shared" si="36"/>
        <v>Friday</v>
      </c>
      <c r="C636" s="93" t="s">
        <v>1381</v>
      </c>
      <c r="D636" s="93" t="s">
        <v>218</v>
      </c>
      <c r="E636" s="94">
        <v>32.82</v>
      </c>
      <c r="F636" s="93" t="s">
        <v>12</v>
      </c>
      <c r="G636" s="87">
        <f>Table1[[#This Row],[date]]</f>
        <v>45443</v>
      </c>
      <c r="H636" s="94">
        <f>SUMIF($A$2:A4271,G636,$E$2:E4271)</f>
        <v>462.24</v>
      </c>
      <c r="I636" s="93" t="str">
        <f t="shared" si="37"/>
        <v>Friday</v>
      </c>
      <c r="J636" s="93" t="str">
        <f t="shared" si="38"/>
        <v>May</v>
      </c>
      <c r="K636" s="93" t="str">
        <f t="shared" si="39"/>
        <v>2024</v>
      </c>
      <c r="L636" s="6"/>
      <c r="M636" s="6"/>
      <c r="N636" s="6"/>
    </row>
    <row r="637" spans="1:14" x14ac:dyDescent="0.3">
      <c r="A637" s="87">
        <v>45443</v>
      </c>
      <c r="B637" s="87" t="str">
        <f t="shared" si="36"/>
        <v>Friday</v>
      </c>
      <c r="C637" s="88" t="s">
        <v>1381</v>
      </c>
      <c r="D637" s="88" t="s">
        <v>218</v>
      </c>
      <c r="E637" s="89">
        <v>27.92</v>
      </c>
      <c r="F637" s="88" t="s">
        <v>26</v>
      </c>
      <c r="G637" s="87">
        <f>Table1[[#This Row],[date]]</f>
        <v>45443</v>
      </c>
      <c r="H637" s="94">
        <f>SUMIF($A$2:A4272,G637,$E$2:E4272)</f>
        <v>462.24</v>
      </c>
      <c r="I637" s="93" t="str">
        <f t="shared" si="37"/>
        <v>Friday</v>
      </c>
      <c r="J637" s="93" t="str">
        <f t="shared" si="38"/>
        <v>May</v>
      </c>
      <c r="K637" s="93" t="str">
        <f t="shared" si="39"/>
        <v>2024</v>
      </c>
      <c r="L637" s="6"/>
      <c r="M637" s="6"/>
      <c r="N637" s="6"/>
    </row>
    <row r="638" spans="1:14" x14ac:dyDescent="0.3">
      <c r="A638" s="92">
        <v>45444</v>
      </c>
      <c r="B638" s="92" t="str">
        <f t="shared" si="36"/>
        <v>Saturday</v>
      </c>
      <c r="C638" s="93" t="s">
        <v>1381</v>
      </c>
      <c r="D638" s="93" t="s">
        <v>153</v>
      </c>
      <c r="E638" s="94">
        <v>27.92</v>
      </c>
      <c r="F638" s="93" t="s">
        <v>26</v>
      </c>
      <c r="G638" s="87">
        <f>Table1[[#This Row],[date]]</f>
        <v>45444</v>
      </c>
      <c r="H638" s="94">
        <f>SUMIF($A$2:A4273,G638,$E$2:E4273)</f>
        <v>316.26</v>
      </c>
      <c r="I638" s="93" t="str">
        <f t="shared" si="37"/>
        <v>Saturday</v>
      </c>
      <c r="J638" s="93" t="str">
        <f t="shared" si="38"/>
        <v>June</v>
      </c>
      <c r="K638" s="93" t="str">
        <f t="shared" si="39"/>
        <v>2024</v>
      </c>
      <c r="L638" s="6"/>
      <c r="M638" s="6"/>
      <c r="N638" s="6"/>
    </row>
    <row r="639" spans="1:14" x14ac:dyDescent="0.3">
      <c r="A639" s="87">
        <v>45444</v>
      </c>
      <c r="B639" s="87" t="str">
        <f t="shared" si="36"/>
        <v>Saturday</v>
      </c>
      <c r="C639" s="88" t="s">
        <v>1381</v>
      </c>
      <c r="D639" s="88" t="s">
        <v>244</v>
      </c>
      <c r="E639" s="89">
        <v>37.72</v>
      </c>
      <c r="F639" s="88" t="s">
        <v>5</v>
      </c>
      <c r="G639" s="87">
        <f>Table1[[#This Row],[date]]</f>
        <v>45444</v>
      </c>
      <c r="H639" s="94">
        <f>SUMIF($A$2:A4274,G639,$E$2:E4274)</f>
        <v>316.26</v>
      </c>
      <c r="I639" s="93" t="str">
        <f t="shared" si="37"/>
        <v>Saturday</v>
      </c>
      <c r="J639" s="93" t="str">
        <f t="shared" si="38"/>
        <v>June</v>
      </c>
      <c r="K639" s="93" t="str">
        <f t="shared" si="39"/>
        <v>2024</v>
      </c>
      <c r="L639" s="6"/>
      <c r="M639" s="6"/>
      <c r="N639" s="6"/>
    </row>
    <row r="640" spans="1:14" x14ac:dyDescent="0.3">
      <c r="A640" s="92">
        <v>45444</v>
      </c>
      <c r="B640" s="92" t="str">
        <f t="shared" si="36"/>
        <v>Saturday</v>
      </c>
      <c r="C640" s="93" t="s">
        <v>1381</v>
      </c>
      <c r="D640" s="93" t="s">
        <v>262</v>
      </c>
      <c r="E640" s="94">
        <v>37.72</v>
      </c>
      <c r="F640" s="93" t="s">
        <v>5</v>
      </c>
      <c r="G640" s="87">
        <f>Table1[[#This Row],[date]]</f>
        <v>45444</v>
      </c>
      <c r="H640" s="94">
        <f>SUMIF($A$2:A4275,G640,$E$2:E4275)</f>
        <v>316.26</v>
      </c>
      <c r="I640" s="93" t="str">
        <f t="shared" si="37"/>
        <v>Saturday</v>
      </c>
      <c r="J640" s="93" t="str">
        <f t="shared" si="38"/>
        <v>June</v>
      </c>
      <c r="K640" s="93" t="str">
        <f t="shared" si="39"/>
        <v>2024</v>
      </c>
      <c r="L640" s="6"/>
      <c r="M640" s="6"/>
      <c r="N640" s="6"/>
    </row>
    <row r="641" spans="1:14" x14ac:dyDescent="0.3">
      <c r="A641" s="87">
        <v>45444</v>
      </c>
      <c r="B641" s="87" t="str">
        <f t="shared" si="36"/>
        <v>Saturday</v>
      </c>
      <c r="C641" s="88" t="s">
        <v>1381</v>
      </c>
      <c r="D641" s="88" t="s">
        <v>109</v>
      </c>
      <c r="E641" s="89">
        <v>32.82</v>
      </c>
      <c r="F641" s="88" t="s">
        <v>12</v>
      </c>
      <c r="G641" s="87">
        <f>Table1[[#This Row],[date]]</f>
        <v>45444</v>
      </c>
      <c r="H641" s="94">
        <f>SUMIF($A$2:A4276,G641,$E$2:E4276)</f>
        <v>316.26</v>
      </c>
      <c r="I641" s="93" t="str">
        <f t="shared" si="37"/>
        <v>Saturday</v>
      </c>
      <c r="J641" s="93" t="str">
        <f t="shared" si="38"/>
        <v>June</v>
      </c>
      <c r="K641" s="93" t="str">
        <f t="shared" si="39"/>
        <v>2024</v>
      </c>
      <c r="L641" s="6"/>
      <c r="M641" s="6"/>
      <c r="N641" s="6"/>
    </row>
    <row r="642" spans="1:14" x14ac:dyDescent="0.3">
      <c r="A642" s="92">
        <v>45444</v>
      </c>
      <c r="B642" s="92" t="str">
        <f t="shared" ref="B642:B705" si="40">TEXT(A642,"dddd")</f>
        <v>Saturday</v>
      </c>
      <c r="C642" s="93" t="s">
        <v>1381</v>
      </c>
      <c r="D642" s="93" t="s">
        <v>263</v>
      </c>
      <c r="E642" s="94">
        <v>32.82</v>
      </c>
      <c r="F642" s="93" t="s">
        <v>12</v>
      </c>
      <c r="G642" s="87">
        <f>Table1[[#This Row],[date]]</f>
        <v>45444</v>
      </c>
      <c r="H642" s="94">
        <f>SUMIF($A$2:A4277,G642,$E$2:E4277)</f>
        <v>316.26</v>
      </c>
      <c r="I642" s="93" t="str">
        <f t="shared" si="37"/>
        <v>Saturday</v>
      </c>
      <c r="J642" s="93" t="str">
        <f t="shared" si="38"/>
        <v>June</v>
      </c>
      <c r="K642" s="93" t="str">
        <f t="shared" si="39"/>
        <v>2024</v>
      </c>
      <c r="L642" s="6"/>
      <c r="M642" s="6"/>
      <c r="N642" s="6"/>
    </row>
    <row r="643" spans="1:14" x14ac:dyDescent="0.3">
      <c r="A643" s="92">
        <v>45444</v>
      </c>
      <c r="B643" s="92" t="str">
        <f t="shared" si="40"/>
        <v>Saturday</v>
      </c>
      <c r="C643" s="93" t="s">
        <v>1381</v>
      </c>
      <c r="D643" s="93" t="s">
        <v>166</v>
      </c>
      <c r="E643" s="94">
        <v>37.72</v>
      </c>
      <c r="F643" s="93" t="s">
        <v>41</v>
      </c>
      <c r="G643" s="87">
        <f>Table1[[#This Row],[date]]</f>
        <v>45444</v>
      </c>
      <c r="H643" s="94">
        <f>SUMIF($A$2:A4278,G643,$E$2:E4278)</f>
        <v>316.26</v>
      </c>
      <c r="I643" s="93" t="str">
        <f t="shared" si="37"/>
        <v>Saturday</v>
      </c>
      <c r="J643" s="93" t="str">
        <f t="shared" si="38"/>
        <v>June</v>
      </c>
      <c r="K643" s="93" t="str">
        <f t="shared" si="39"/>
        <v>2024</v>
      </c>
      <c r="L643" s="6"/>
      <c r="M643" s="6"/>
      <c r="N643" s="6"/>
    </row>
    <row r="644" spans="1:14" x14ac:dyDescent="0.3">
      <c r="A644" s="92">
        <v>45444</v>
      </c>
      <c r="B644" s="92" t="str">
        <f t="shared" si="40"/>
        <v>Saturday</v>
      </c>
      <c r="C644" s="93" t="s">
        <v>1383</v>
      </c>
      <c r="D644" s="93"/>
      <c r="E644" s="94">
        <v>39</v>
      </c>
      <c r="F644" s="93" t="s">
        <v>16</v>
      </c>
      <c r="G644" s="87">
        <f>Table1[[#This Row],[date]]</f>
        <v>45444</v>
      </c>
      <c r="H644" s="94">
        <f>SUMIF($A$2:A4279,G644,$E$2:E4279)</f>
        <v>316.26</v>
      </c>
      <c r="I644" s="93" t="str">
        <f t="shared" si="37"/>
        <v>Saturday</v>
      </c>
      <c r="J644" s="93" t="str">
        <f t="shared" si="38"/>
        <v>June</v>
      </c>
      <c r="K644" s="93" t="str">
        <f t="shared" si="39"/>
        <v>2024</v>
      </c>
      <c r="L644" s="6"/>
      <c r="M644" s="6"/>
      <c r="N644" s="6"/>
    </row>
    <row r="645" spans="1:14" x14ac:dyDescent="0.3">
      <c r="A645" s="87">
        <v>45444</v>
      </c>
      <c r="B645" s="87" t="str">
        <f t="shared" si="40"/>
        <v>Saturday</v>
      </c>
      <c r="C645" s="88" t="s">
        <v>1381</v>
      </c>
      <c r="D645" s="88" t="s">
        <v>264</v>
      </c>
      <c r="E645" s="89">
        <v>37.72</v>
      </c>
      <c r="F645" s="88" t="s">
        <v>16</v>
      </c>
      <c r="G645" s="87">
        <f>Table1[[#This Row],[date]]</f>
        <v>45444</v>
      </c>
      <c r="H645" s="94">
        <f>SUMIF($A$2:A4280,G645,$E$2:E4280)</f>
        <v>316.26</v>
      </c>
      <c r="I645" s="93" t="str">
        <f t="shared" si="37"/>
        <v>Saturday</v>
      </c>
      <c r="J645" s="93" t="str">
        <f t="shared" si="38"/>
        <v>June</v>
      </c>
      <c r="K645" s="93" t="str">
        <f t="shared" si="39"/>
        <v>2024</v>
      </c>
      <c r="L645" s="6"/>
      <c r="M645" s="6"/>
      <c r="N645" s="6"/>
    </row>
    <row r="646" spans="1:14" x14ac:dyDescent="0.3">
      <c r="A646" s="92">
        <v>45444</v>
      </c>
      <c r="B646" s="92" t="str">
        <f t="shared" si="40"/>
        <v>Saturday</v>
      </c>
      <c r="C646" s="93" t="s">
        <v>1381</v>
      </c>
      <c r="D646" s="93" t="s">
        <v>17</v>
      </c>
      <c r="E646" s="94">
        <v>32.82</v>
      </c>
      <c r="F646" s="93" t="s">
        <v>12</v>
      </c>
      <c r="G646" s="87">
        <f>Table1[[#This Row],[date]]</f>
        <v>45444</v>
      </c>
      <c r="H646" s="94">
        <f>SUMIF($A$2:A4281,G646,$E$2:E4281)</f>
        <v>316.26</v>
      </c>
      <c r="I646" s="93" t="str">
        <f t="shared" ref="I646:I709" si="41">TEXT(G646,"dddd")</f>
        <v>Saturday</v>
      </c>
      <c r="J646" s="93" t="str">
        <f t="shared" si="38"/>
        <v>June</v>
      </c>
      <c r="K646" s="93" t="str">
        <f t="shared" si="39"/>
        <v>2024</v>
      </c>
      <c r="L646" s="6"/>
      <c r="M646" s="6"/>
      <c r="N646" s="6"/>
    </row>
    <row r="647" spans="1:14" x14ac:dyDescent="0.3">
      <c r="A647" s="87">
        <v>45445</v>
      </c>
      <c r="B647" s="87" t="str">
        <f t="shared" si="40"/>
        <v>Sunday</v>
      </c>
      <c r="C647" s="88" t="s">
        <v>1381</v>
      </c>
      <c r="D647" s="88" t="s">
        <v>17</v>
      </c>
      <c r="E647" s="89">
        <v>37.72</v>
      </c>
      <c r="F647" s="88" t="s">
        <v>5</v>
      </c>
      <c r="G647" s="87">
        <f>Table1[[#This Row],[date]]</f>
        <v>45445</v>
      </c>
      <c r="H647" s="94">
        <f>SUMIF($A$2:A4282,G647,$E$2:E4282)</f>
        <v>212.79999999999998</v>
      </c>
      <c r="I647" s="93" t="str">
        <f t="shared" si="41"/>
        <v>Sunday</v>
      </c>
      <c r="J647" s="93" t="str">
        <f t="shared" ref="J647:J710" si="42">TEXT(G647,"mmmm")</f>
        <v>June</v>
      </c>
      <c r="K647" s="93" t="str">
        <f t="shared" ref="K647:K710" si="43">TEXT(G647,"yyyy")</f>
        <v>2024</v>
      </c>
      <c r="L647" s="6"/>
      <c r="M647" s="6"/>
      <c r="N647" s="6"/>
    </row>
    <row r="648" spans="1:14" x14ac:dyDescent="0.3">
      <c r="A648" s="92">
        <v>45445</v>
      </c>
      <c r="B648" s="92" t="str">
        <f t="shared" si="40"/>
        <v>Sunday</v>
      </c>
      <c r="C648" s="93" t="s">
        <v>1381</v>
      </c>
      <c r="D648" s="93" t="s">
        <v>52</v>
      </c>
      <c r="E648" s="94">
        <v>32.82</v>
      </c>
      <c r="F648" s="93" t="s">
        <v>12</v>
      </c>
      <c r="G648" s="87">
        <f>Table1[[#This Row],[date]]</f>
        <v>45445</v>
      </c>
      <c r="H648" s="94">
        <f>SUMIF($A$2:A4283,G648,$E$2:E4283)</f>
        <v>212.79999999999998</v>
      </c>
      <c r="I648" s="93" t="str">
        <f t="shared" si="41"/>
        <v>Sunday</v>
      </c>
      <c r="J648" s="93" t="str">
        <f t="shared" si="42"/>
        <v>June</v>
      </c>
      <c r="K648" s="93" t="str">
        <f t="shared" si="43"/>
        <v>2024</v>
      </c>
      <c r="L648" s="6"/>
      <c r="M648" s="6"/>
      <c r="N648" s="6"/>
    </row>
    <row r="649" spans="1:14" x14ac:dyDescent="0.3">
      <c r="A649" s="87">
        <v>45445</v>
      </c>
      <c r="B649" s="87" t="str">
        <f t="shared" si="40"/>
        <v>Sunday</v>
      </c>
      <c r="C649" s="88" t="s">
        <v>1381</v>
      </c>
      <c r="D649" s="88" t="s">
        <v>52</v>
      </c>
      <c r="E649" s="89">
        <v>37.72</v>
      </c>
      <c r="F649" s="88" t="s">
        <v>41</v>
      </c>
      <c r="G649" s="87">
        <f>Table1[[#This Row],[date]]</f>
        <v>45445</v>
      </c>
      <c r="H649" s="94">
        <f>SUMIF($A$2:A4284,G649,$E$2:E4284)</f>
        <v>212.79999999999998</v>
      </c>
      <c r="I649" s="93" t="str">
        <f t="shared" si="41"/>
        <v>Sunday</v>
      </c>
      <c r="J649" s="93" t="str">
        <f t="shared" si="42"/>
        <v>June</v>
      </c>
      <c r="K649" s="93" t="str">
        <f t="shared" si="43"/>
        <v>2024</v>
      </c>
      <c r="L649" s="6"/>
      <c r="M649" s="6"/>
      <c r="N649" s="6"/>
    </row>
    <row r="650" spans="1:14" x14ac:dyDescent="0.3">
      <c r="A650" s="92">
        <v>45445</v>
      </c>
      <c r="B650" s="92" t="str">
        <f t="shared" si="40"/>
        <v>Sunday</v>
      </c>
      <c r="C650" s="93" t="s">
        <v>1381</v>
      </c>
      <c r="D650" s="93" t="s">
        <v>109</v>
      </c>
      <c r="E650" s="94">
        <v>32.82</v>
      </c>
      <c r="F650" s="93" t="s">
        <v>12</v>
      </c>
      <c r="G650" s="87">
        <f>Table1[[#This Row],[date]]</f>
        <v>45445</v>
      </c>
      <c r="H650" s="94">
        <f>SUMIF($A$2:A4285,G650,$E$2:E4285)</f>
        <v>212.79999999999998</v>
      </c>
      <c r="I650" s="93" t="str">
        <f t="shared" si="41"/>
        <v>Sunday</v>
      </c>
      <c r="J650" s="93" t="str">
        <f t="shared" si="42"/>
        <v>June</v>
      </c>
      <c r="K650" s="93" t="str">
        <f t="shared" si="43"/>
        <v>2024</v>
      </c>
      <c r="L650" s="6"/>
      <c r="M650" s="6"/>
      <c r="N650" s="6"/>
    </row>
    <row r="651" spans="1:14" x14ac:dyDescent="0.3">
      <c r="A651" s="87">
        <v>45445</v>
      </c>
      <c r="B651" s="87" t="str">
        <f t="shared" si="40"/>
        <v>Sunday</v>
      </c>
      <c r="C651" s="88" t="s">
        <v>1381</v>
      </c>
      <c r="D651" s="88" t="s">
        <v>265</v>
      </c>
      <c r="E651" s="89">
        <v>37.72</v>
      </c>
      <c r="F651" s="88" t="s">
        <v>5</v>
      </c>
      <c r="G651" s="87">
        <f>Table1[[#This Row],[date]]</f>
        <v>45445</v>
      </c>
      <c r="H651" s="94">
        <f>SUMIF($A$2:A4286,G651,$E$2:E4286)</f>
        <v>212.79999999999998</v>
      </c>
      <c r="I651" s="93" t="str">
        <f t="shared" si="41"/>
        <v>Sunday</v>
      </c>
      <c r="J651" s="93" t="str">
        <f t="shared" si="42"/>
        <v>June</v>
      </c>
      <c r="K651" s="93" t="str">
        <f t="shared" si="43"/>
        <v>2024</v>
      </c>
      <c r="L651" s="6"/>
      <c r="M651" s="6"/>
      <c r="N651" s="6"/>
    </row>
    <row r="652" spans="1:14" x14ac:dyDescent="0.3">
      <c r="A652" s="92">
        <v>45445</v>
      </c>
      <c r="B652" s="92" t="str">
        <f t="shared" si="40"/>
        <v>Sunday</v>
      </c>
      <c r="C652" s="93" t="s">
        <v>1383</v>
      </c>
      <c r="D652" s="93"/>
      <c r="E652" s="94">
        <v>34</v>
      </c>
      <c r="F652" s="93" t="s">
        <v>12</v>
      </c>
      <c r="G652" s="87">
        <f>Table1[[#This Row],[date]]</f>
        <v>45445</v>
      </c>
      <c r="H652" s="94">
        <f>SUMIF($A$2:A4287,G652,$E$2:E4287)</f>
        <v>212.79999999999998</v>
      </c>
      <c r="I652" s="93" t="str">
        <f t="shared" si="41"/>
        <v>Sunday</v>
      </c>
      <c r="J652" s="93" t="str">
        <f t="shared" si="42"/>
        <v>June</v>
      </c>
      <c r="K652" s="93" t="str">
        <f t="shared" si="43"/>
        <v>2024</v>
      </c>
      <c r="L652" s="6"/>
      <c r="M652" s="6"/>
      <c r="N652" s="6"/>
    </row>
    <row r="653" spans="1:14" x14ac:dyDescent="0.3">
      <c r="A653" s="87">
        <v>45446</v>
      </c>
      <c r="B653" s="87" t="str">
        <f t="shared" si="40"/>
        <v>Monday</v>
      </c>
      <c r="C653" s="88" t="s">
        <v>1381</v>
      </c>
      <c r="D653" s="88" t="s">
        <v>4</v>
      </c>
      <c r="E653" s="89">
        <v>37.72</v>
      </c>
      <c r="F653" s="88" t="s">
        <v>5</v>
      </c>
      <c r="G653" s="87">
        <f>Table1[[#This Row],[date]]</f>
        <v>45446</v>
      </c>
      <c r="H653" s="94">
        <f>SUMIF($A$2:A4288,G653,$E$2:E4288)</f>
        <v>217.7</v>
      </c>
      <c r="I653" s="93" t="str">
        <f t="shared" si="41"/>
        <v>Monday</v>
      </c>
      <c r="J653" s="93" t="str">
        <f t="shared" si="42"/>
        <v>June</v>
      </c>
      <c r="K653" s="93" t="str">
        <f t="shared" si="43"/>
        <v>2024</v>
      </c>
      <c r="L653" s="6"/>
      <c r="M653" s="6"/>
      <c r="N653" s="6"/>
    </row>
    <row r="654" spans="1:14" x14ac:dyDescent="0.3">
      <c r="A654" s="92">
        <v>45446</v>
      </c>
      <c r="B654" s="92" t="str">
        <f t="shared" si="40"/>
        <v>Monday</v>
      </c>
      <c r="C654" s="93" t="s">
        <v>1381</v>
      </c>
      <c r="D654" s="93" t="s">
        <v>203</v>
      </c>
      <c r="E654" s="94">
        <v>37.72</v>
      </c>
      <c r="F654" s="93" t="s">
        <v>5</v>
      </c>
      <c r="G654" s="87">
        <f>Table1[[#This Row],[date]]</f>
        <v>45446</v>
      </c>
      <c r="H654" s="94">
        <f>SUMIF($A$2:A4289,G654,$E$2:E4289)</f>
        <v>217.7</v>
      </c>
      <c r="I654" s="93" t="str">
        <f t="shared" si="41"/>
        <v>Monday</v>
      </c>
      <c r="J654" s="93" t="str">
        <f t="shared" si="42"/>
        <v>June</v>
      </c>
      <c r="K654" s="93" t="str">
        <f t="shared" si="43"/>
        <v>2024</v>
      </c>
      <c r="L654" s="6"/>
      <c r="M654" s="6"/>
      <c r="N654" s="6"/>
    </row>
    <row r="655" spans="1:14" x14ac:dyDescent="0.3">
      <c r="A655" s="87">
        <v>45446</v>
      </c>
      <c r="B655" s="87" t="str">
        <f t="shared" si="40"/>
        <v>Monday</v>
      </c>
      <c r="C655" s="88" t="s">
        <v>1381</v>
      </c>
      <c r="D655" s="88" t="s">
        <v>36</v>
      </c>
      <c r="E655" s="89">
        <v>37.72</v>
      </c>
      <c r="F655" s="88" t="s">
        <v>41</v>
      </c>
      <c r="G655" s="87">
        <f>Table1[[#This Row],[date]]</f>
        <v>45446</v>
      </c>
      <c r="H655" s="94">
        <f>SUMIF($A$2:A4290,G655,$E$2:E4290)</f>
        <v>217.7</v>
      </c>
      <c r="I655" s="93" t="str">
        <f t="shared" si="41"/>
        <v>Monday</v>
      </c>
      <c r="J655" s="93" t="str">
        <f t="shared" si="42"/>
        <v>June</v>
      </c>
      <c r="K655" s="93" t="str">
        <f t="shared" si="43"/>
        <v>2024</v>
      </c>
      <c r="L655" s="6"/>
      <c r="M655" s="6"/>
      <c r="N655" s="6"/>
    </row>
    <row r="656" spans="1:14" x14ac:dyDescent="0.3">
      <c r="A656" s="92">
        <v>45446</v>
      </c>
      <c r="B656" s="92" t="str">
        <f t="shared" si="40"/>
        <v>Monday</v>
      </c>
      <c r="C656" s="93" t="s">
        <v>1381</v>
      </c>
      <c r="D656" s="93" t="s">
        <v>35</v>
      </c>
      <c r="E656" s="94">
        <v>32.82</v>
      </c>
      <c r="F656" s="93" t="s">
        <v>12</v>
      </c>
      <c r="G656" s="87">
        <f>Table1[[#This Row],[date]]</f>
        <v>45446</v>
      </c>
      <c r="H656" s="94">
        <f>SUMIF($A$2:A4291,G656,$E$2:E4291)</f>
        <v>217.7</v>
      </c>
      <c r="I656" s="93" t="str">
        <f t="shared" si="41"/>
        <v>Monday</v>
      </c>
      <c r="J656" s="93" t="str">
        <f t="shared" si="42"/>
        <v>June</v>
      </c>
      <c r="K656" s="93" t="str">
        <f t="shared" si="43"/>
        <v>2024</v>
      </c>
      <c r="L656" s="6"/>
      <c r="M656" s="6"/>
      <c r="N656" s="6"/>
    </row>
    <row r="657" spans="1:14" x14ac:dyDescent="0.3">
      <c r="A657" s="87">
        <v>45446</v>
      </c>
      <c r="B657" s="87" t="str">
        <f t="shared" si="40"/>
        <v>Monday</v>
      </c>
      <c r="C657" s="88" t="s">
        <v>1381</v>
      </c>
      <c r="D657" s="88" t="s">
        <v>17</v>
      </c>
      <c r="E657" s="89">
        <v>37.72</v>
      </c>
      <c r="F657" s="88" t="s">
        <v>5</v>
      </c>
      <c r="G657" s="87">
        <f>Table1[[#This Row],[date]]</f>
        <v>45446</v>
      </c>
      <c r="H657" s="94">
        <f>SUMIF($A$2:A4292,G657,$E$2:E4292)</f>
        <v>217.7</v>
      </c>
      <c r="I657" s="93" t="str">
        <f t="shared" si="41"/>
        <v>Monday</v>
      </c>
      <c r="J657" s="93" t="str">
        <f t="shared" si="42"/>
        <v>June</v>
      </c>
      <c r="K657" s="93" t="str">
        <f t="shared" si="43"/>
        <v>2024</v>
      </c>
      <c r="L657" s="6"/>
      <c r="M657" s="6"/>
      <c r="N657" s="6"/>
    </row>
    <row r="658" spans="1:14" x14ac:dyDescent="0.3">
      <c r="A658" s="92">
        <v>45446</v>
      </c>
      <c r="B658" s="92" t="str">
        <f t="shared" si="40"/>
        <v>Monday</v>
      </c>
      <c r="C658" s="93" t="s">
        <v>1383</v>
      </c>
      <c r="D658" s="93"/>
      <c r="E658" s="94">
        <v>34</v>
      </c>
      <c r="F658" s="93" t="s">
        <v>12</v>
      </c>
      <c r="G658" s="87">
        <f>Table1[[#This Row],[date]]</f>
        <v>45446</v>
      </c>
      <c r="H658" s="94">
        <f>SUMIF($A$2:A4293,G658,$E$2:E4293)</f>
        <v>217.7</v>
      </c>
      <c r="I658" s="93" t="str">
        <f t="shared" si="41"/>
        <v>Monday</v>
      </c>
      <c r="J658" s="93" t="str">
        <f t="shared" si="42"/>
        <v>June</v>
      </c>
      <c r="K658" s="93" t="str">
        <f t="shared" si="43"/>
        <v>2024</v>
      </c>
      <c r="L658" s="6"/>
      <c r="M658" s="6"/>
      <c r="N658" s="6"/>
    </row>
    <row r="659" spans="1:14" x14ac:dyDescent="0.3">
      <c r="A659" s="92">
        <v>45447</v>
      </c>
      <c r="B659" s="92" t="str">
        <f t="shared" si="40"/>
        <v>Tuesday</v>
      </c>
      <c r="C659" s="93" t="s">
        <v>1381</v>
      </c>
      <c r="D659" s="93" t="s">
        <v>153</v>
      </c>
      <c r="E659" s="94">
        <v>27.92</v>
      </c>
      <c r="F659" s="93" t="s">
        <v>26</v>
      </c>
      <c r="G659" s="87">
        <f>Table1[[#This Row],[date]]</f>
        <v>45447</v>
      </c>
      <c r="H659" s="94">
        <f>SUMIF($A$2:A4294,G659,$E$2:E4294)</f>
        <v>408.54</v>
      </c>
      <c r="I659" s="93" t="str">
        <f t="shared" si="41"/>
        <v>Tuesday</v>
      </c>
      <c r="J659" s="93" t="str">
        <f t="shared" si="42"/>
        <v>June</v>
      </c>
      <c r="K659" s="93" t="str">
        <f t="shared" si="43"/>
        <v>2024</v>
      </c>
      <c r="L659" s="6"/>
      <c r="M659" s="6"/>
      <c r="N659" s="6"/>
    </row>
    <row r="660" spans="1:14" x14ac:dyDescent="0.3">
      <c r="A660" s="87">
        <v>45447</v>
      </c>
      <c r="B660" s="87" t="str">
        <f t="shared" si="40"/>
        <v>Tuesday</v>
      </c>
      <c r="C660" s="88" t="s">
        <v>1381</v>
      </c>
      <c r="D660" s="88" t="s">
        <v>109</v>
      </c>
      <c r="E660" s="89">
        <v>32.82</v>
      </c>
      <c r="F660" s="88" t="s">
        <v>12</v>
      </c>
      <c r="G660" s="87">
        <f>Table1[[#This Row],[date]]</f>
        <v>45447</v>
      </c>
      <c r="H660" s="94">
        <f>SUMIF($A$2:A4295,G660,$E$2:E4295)</f>
        <v>408.54</v>
      </c>
      <c r="I660" s="93" t="str">
        <f t="shared" si="41"/>
        <v>Tuesday</v>
      </c>
      <c r="J660" s="93" t="str">
        <f t="shared" si="42"/>
        <v>June</v>
      </c>
      <c r="K660" s="93" t="str">
        <f t="shared" si="43"/>
        <v>2024</v>
      </c>
      <c r="L660" s="6"/>
      <c r="M660" s="6"/>
      <c r="N660" s="6"/>
    </row>
    <row r="661" spans="1:14" x14ac:dyDescent="0.3">
      <c r="A661" s="92">
        <v>45447</v>
      </c>
      <c r="B661" s="92" t="str">
        <f t="shared" si="40"/>
        <v>Tuesday</v>
      </c>
      <c r="C661" s="93" t="s">
        <v>1381</v>
      </c>
      <c r="D661" s="93" t="s">
        <v>266</v>
      </c>
      <c r="E661" s="94">
        <v>37.72</v>
      </c>
      <c r="F661" s="93" t="s">
        <v>5</v>
      </c>
      <c r="G661" s="87">
        <f>Table1[[#This Row],[date]]</f>
        <v>45447</v>
      </c>
      <c r="H661" s="94">
        <f>SUMIF($A$2:A4296,G661,$E$2:E4296)</f>
        <v>408.54</v>
      </c>
      <c r="I661" s="93" t="str">
        <f t="shared" si="41"/>
        <v>Tuesday</v>
      </c>
      <c r="J661" s="93" t="str">
        <f t="shared" si="42"/>
        <v>June</v>
      </c>
      <c r="K661" s="93" t="str">
        <f t="shared" si="43"/>
        <v>2024</v>
      </c>
      <c r="L661" s="6"/>
      <c r="M661" s="6"/>
      <c r="N661" s="6"/>
    </row>
    <row r="662" spans="1:14" x14ac:dyDescent="0.3">
      <c r="A662" s="87">
        <v>45447</v>
      </c>
      <c r="B662" s="87" t="str">
        <f t="shared" si="40"/>
        <v>Tuesday</v>
      </c>
      <c r="C662" s="88" t="s">
        <v>1381</v>
      </c>
      <c r="D662" s="88" t="s">
        <v>266</v>
      </c>
      <c r="E662" s="89">
        <v>37.72</v>
      </c>
      <c r="F662" s="88" t="s">
        <v>7</v>
      </c>
      <c r="G662" s="87">
        <f>Table1[[#This Row],[date]]</f>
        <v>45447</v>
      </c>
      <c r="H662" s="94">
        <f>SUMIF($A$2:A4297,G662,$E$2:E4297)</f>
        <v>408.54</v>
      </c>
      <c r="I662" s="93" t="str">
        <f t="shared" si="41"/>
        <v>Tuesday</v>
      </c>
      <c r="J662" s="93" t="str">
        <f t="shared" si="42"/>
        <v>June</v>
      </c>
      <c r="K662" s="93" t="str">
        <f t="shared" si="43"/>
        <v>2024</v>
      </c>
      <c r="L662" s="6"/>
      <c r="M662" s="6"/>
      <c r="N662" s="6"/>
    </row>
    <row r="663" spans="1:14" x14ac:dyDescent="0.3">
      <c r="A663" s="92">
        <v>45447</v>
      </c>
      <c r="B663" s="92" t="str">
        <f t="shared" si="40"/>
        <v>Tuesday</v>
      </c>
      <c r="C663" s="93" t="s">
        <v>1381</v>
      </c>
      <c r="D663" s="93" t="s">
        <v>267</v>
      </c>
      <c r="E663" s="94">
        <v>37.72</v>
      </c>
      <c r="F663" s="93" t="s">
        <v>5</v>
      </c>
      <c r="G663" s="87">
        <f>Table1[[#This Row],[date]]</f>
        <v>45447</v>
      </c>
      <c r="H663" s="94">
        <f>SUMIF($A$2:A4298,G663,$E$2:E4298)</f>
        <v>408.54</v>
      </c>
      <c r="I663" s="93" t="str">
        <f t="shared" si="41"/>
        <v>Tuesday</v>
      </c>
      <c r="J663" s="93" t="str">
        <f t="shared" si="42"/>
        <v>June</v>
      </c>
      <c r="K663" s="93" t="str">
        <f t="shared" si="43"/>
        <v>2024</v>
      </c>
      <c r="L663" s="6"/>
      <c r="M663" s="6"/>
      <c r="N663" s="6"/>
    </row>
    <row r="664" spans="1:14" x14ac:dyDescent="0.3">
      <c r="A664" s="87">
        <v>45447</v>
      </c>
      <c r="B664" s="87" t="str">
        <f t="shared" si="40"/>
        <v>Tuesday</v>
      </c>
      <c r="C664" s="88" t="s">
        <v>1381</v>
      </c>
      <c r="D664" s="88" t="s">
        <v>204</v>
      </c>
      <c r="E664" s="89">
        <v>27.92</v>
      </c>
      <c r="F664" s="88" t="s">
        <v>26</v>
      </c>
      <c r="G664" s="87">
        <f>Table1[[#This Row],[date]]</f>
        <v>45447</v>
      </c>
      <c r="H664" s="94">
        <f>SUMIF($A$2:A4299,G664,$E$2:E4299)</f>
        <v>408.54</v>
      </c>
      <c r="I664" s="93" t="str">
        <f t="shared" si="41"/>
        <v>Tuesday</v>
      </c>
      <c r="J664" s="93" t="str">
        <f t="shared" si="42"/>
        <v>June</v>
      </c>
      <c r="K664" s="93" t="str">
        <f t="shared" si="43"/>
        <v>2024</v>
      </c>
      <c r="L664" s="6"/>
      <c r="M664" s="6"/>
      <c r="N664" s="6"/>
    </row>
    <row r="665" spans="1:14" x14ac:dyDescent="0.3">
      <c r="A665" s="92">
        <v>45447</v>
      </c>
      <c r="B665" s="92" t="str">
        <f t="shared" si="40"/>
        <v>Tuesday</v>
      </c>
      <c r="C665" s="93" t="s">
        <v>1381</v>
      </c>
      <c r="D665" s="93" t="s">
        <v>204</v>
      </c>
      <c r="E665" s="94">
        <v>37.72</v>
      </c>
      <c r="F665" s="93" t="s">
        <v>41</v>
      </c>
      <c r="G665" s="87">
        <f>Table1[[#This Row],[date]]</f>
        <v>45447</v>
      </c>
      <c r="H665" s="94">
        <f>SUMIF($A$2:A4300,G665,$E$2:E4300)</f>
        <v>408.54</v>
      </c>
      <c r="I665" s="93" t="str">
        <f t="shared" si="41"/>
        <v>Tuesday</v>
      </c>
      <c r="J665" s="93" t="str">
        <f t="shared" si="42"/>
        <v>June</v>
      </c>
      <c r="K665" s="93" t="str">
        <f t="shared" si="43"/>
        <v>2024</v>
      </c>
      <c r="L665" s="6"/>
      <c r="M665" s="6"/>
      <c r="N665" s="6"/>
    </row>
    <row r="666" spans="1:14" x14ac:dyDescent="0.3">
      <c r="A666" s="87">
        <v>45447</v>
      </c>
      <c r="B666" s="87" t="str">
        <f t="shared" si="40"/>
        <v>Tuesday</v>
      </c>
      <c r="C666" s="88" t="s">
        <v>1381</v>
      </c>
      <c r="D666" s="88" t="s">
        <v>268</v>
      </c>
      <c r="E666" s="89">
        <v>37.72</v>
      </c>
      <c r="F666" s="88" t="s">
        <v>7</v>
      </c>
      <c r="G666" s="87">
        <f>Table1[[#This Row],[date]]</f>
        <v>45447</v>
      </c>
      <c r="H666" s="94">
        <f>SUMIF($A$2:A4301,G666,$E$2:E4301)</f>
        <v>408.54</v>
      </c>
      <c r="I666" s="93" t="str">
        <f t="shared" si="41"/>
        <v>Tuesday</v>
      </c>
      <c r="J666" s="93" t="str">
        <f t="shared" si="42"/>
        <v>June</v>
      </c>
      <c r="K666" s="93" t="str">
        <f t="shared" si="43"/>
        <v>2024</v>
      </c>
      <c r="L666" s="6"/>
      <c r="M666" s="6"/>
      <c r="N666" s="6"/>
    </row>
    <row r="667" spans="1:14" x14ac:dyDescent="0.3">
      <c r="A667" s="92">
        <v>45447</v>
      </c>
      <c r="B667" s="92" t="str">
        <f t="shared" si="40"/>
        <v>Tuesday</v>
      </c>
      <c r="C667" s="93" t="s">
        <v>1381</v>
      </c>
      <c r="D667" s="93" t="s">
        <v>269</v>
      </c>
      <c r="E667" s="94">
        <v>37.72</v>
      </c>
      <c r="F667" s="93" t="s">
        <v>41</v>
      </c>
      <c r="G667" s="87">
        <f>Table1[[#This Row],[date]]</f>
        <v>45447</v>
      </c>
      <c r="H667" s="94">
        <f>SUMIF($A$2:A4302,G667,$E$2:E4302)</f>
        <v>408.54</v>
      </c>
      <c r="I667" s="93" t="str">
        <f t="shared" si="41"/>
        <v>Tuesday</v>
      </c>
      <c r="J667" s="93" t="str">
        <f t="shared" si="42"/>
        <v>June</v>
      </c>
      <c r="K667" s="93" t="str">
        <f t="shared" si="43"/>
        <v>2024</v>
      </c>
      <c r="L667" s="6"/>
      <c r="M667" s="6"/>
      <c r="N667" s="6"/>
    </row>
    <row r="668" spans="1:14" x14ac:dyDescent="0.3">
      <c r="A668" s="87">
        <v>45447</v>
      </c>
      <c r="B668" s="87" t="str">
        <f t="shared" si="40"/>
        <v>Tuesday</v>
      </c>
      <c r="C668" s="88" t="s">
        <v>1381</v>
      </c>
      <c r="D668" s="88" t="s">
        <v>270</v>
      </c>
      <c r="E668" s="89">
        <v>27.92</v>
      </c>
      <c r="F668" s="88" t="s">
        <v>26</v>
      </c>
      <c r="G668" s="87">
        <f>Table1[[#This Row],[date]]</f>
        <v>45447</v>
      </c>
      <c r="H668" s="94">
        <f>SUMIF($A$2:A4303,G668,$E$2:E4303)</f>
        <v>408.54</v>
      </c>
      <c r="I668" s="93" t="str">
        <f t="shared" si="41"/>
        <v>Tuesday</v>
      </c>
      <c r="J668" s="93" t="str">
        <f t="shared" si="42"/>
        <v>June</v>
      </c>
      <c r="K668" s="93" t="str">
        <f t="shared" si="43"/>
        <v>2024</v>
      </c>
      <c r="L668" s="6"/>
      <c r="M668" s="6"/>
      <c r="N668" s="6"/>
    </row>
    <row r="669" spans="1:14" x14ac:dyDescent="0.3">
      <c r="A669" s="92">
        <v>45447</v>
      </c>
      <c r="B669" s="92" t="str">
        <f t="shared" si="40"/>
        <v>Tuesday</v>
      </c>
      <c r="C669" s="93" t="s">
        <v>1381</v>
      </c>
      <c r="D669" s="93" t="s">
        <v>271</v>
      </c>
      <c r="E669" s="94">
        <v>32.82</v>
      </c>
      <c r="F669" s="93" t="s">
        <v>12</v>
      </c>
      <c r="G669" s="87">
        <f>Table1[[#This Row],[date]]</f>
        <v>45447</v>
      </c>
      <c r="H669" s="94">
        <f>SUMIF($A$2:A4304,G669,$E$2:E4304)</f>
        <v>408.54</v>
      </c>
      <c r="I669" s="93" t="str">
        <f t="shared" si="41"/>
        <v>Tuesday</v>
      </c>
      <c r="J669" s="93" t="str">
        <f t="shared" si="42"/>
        <v>June</v>
      </c>
      <c r="K669" s="93" t="str">
        <f t="shared" si="43"/>
        <v>2024</v>
      </c>
      <c r="L669" s="6"/>
      <c r="M669" s="6"/>
      <c r="N669" s="6"/>
    </row>
    <row r="670" spans="1:14" x14ac:dyDescent="0.3">
      <c r="A670" s="87">
        <v>45447</v>
      </c>
      <c r="B670" s="87" t="str">
        <f t="shared" si="40"/>
        <v>Tuesday</v>
      </c>
      <c r="C670" s="88" t="s">
        <v>1381</v>
      </c>
      <c r="D670" s="88" t="s">
        <v>272</v>
      </c>
      <c r="E670" s="89">
        <v>32.82</v>
      </c>
      <c r="F670" s="88" t="s">
        <v>12</v>
      </c>
      <c r="G670" s="87">
        <f>Table1[[#This Row],[date]]</f>
        <v>45447</v>
      </c>
      <c r="H670" s="94">
        <f>SUMIF($A$2:A4305,G670,$E$2:E4305)</f>
        <v>408.54</v>
      </c>
      <c r="I670" s="93" t="str">
        <f t="shared" si="41"/>
        <v>Tuesday</v>
      </c>
      <c r="J670" s="93" t="str">
        <f t="shared" si="42"/>
        <v>June</v>
      </c>
      <c r="K670" s="93" t="str">
        <f t="shared" si="43"/>
        <v>2024</v>
      </c>
      <c r="L670" s="6"/>
      <c r="M670" s="6"/>
      <c r="N670" s="6"/>
    </row>
    <row r="671" spans="1:14" x14ac:dyDescent="0.3">
      <c r="A671" s="92">
        <v>45448</v>
      </c>
      <c r="B671" s="92" t="str">
        <f t="shared" si="40"/>
        <v>Wednesday</v>
      </c>
      <c r="C671" s="93" t="s">
        <v>1381</v>
      </c>
      <c r="D671" s="93" t="s">
        <v>273</v>
      </c>
      <c r="E671" s="94">
        <v>37.72</v>
      </c>
      <c r="F671" s="93" t="s">
        <v>41</v>
      </c>
      <c r="G671" s="87">
        <f>Table1[[#This Row],[date]]</f>
        <v>45448</v>
      </c>
      <c r="H671" s="94">
        <f>SUMIF($A$2:A4306,G671,$E$2:E4306)</f>
        <v>272.36</v>
      </c>
      <c r="I671" s="93" t="str">
        <f t="shared" si="41"/>
        <v>Wednesday</v>
      </c>
      <c r="J671" s="93" t="str">
        <f t="shared" si="42"/>
        <v>June</v>
      </c>
      <c r="K671" s="93" t="str">
        <f t="shared" si="43"/>
        <v>2024</v>
      </c>
      <c r="L671" s="6"/>
      <c r="M671" s="6"/>
      <c r="N671" s="6"/>
    </row>
    <row r="672" spans="1:14" x14ac:dyDescent="0.3">
      <c r="A672" s="92">
        <v>45448</v>
      </c>
      <c r="B672" s="92" t="str">
        <f t="shared" si="40"/>
        <v>Wednesday</v>
      </c>
      <c r="C672" s="93" t="s">
        <v>1381</v>
      </c>
      <c r="D672" s="93" t="s">
        <v>274</v>
      </c>
      <c r="E672" s="94">
        <v>27.92</v>
      </c>
      <c r="F672" s="93" t="s">
        <v>9</v>
      </c>
      <c r="G672" s="87">
        <f>Table1[[#This Row],[date]]</f>
        <v>45448</v>
      </c>
      <c r="H672" s="94">
        <f>SUMIF($A$2:A4307,G672,$E$2:E4307)</f>
        <v>272.36</v>
      </c>
      <c r="I672" s="93" t="str">
        <f t="shared" si="41"/>
        <v>Wednesday</v>
      </c>
      <c r="J672" s="93" t="str">
        <f t="shared" si="42"/>
        <v>June</v>
      </c>
      <c r="K672" s="93" t="str">
        <f t="shared" si="43"/>
        <v>2024</v>
      </c>
      <c r="L672" s="6"/>
      <c r="M672" s="6"/>
      <c r="N672" s="6"/>
    </row>
    <row r="673" spans="1:14" x14ac:dyDescent="0.3">
      <c r="A673" s="87">
        <v>45448</v>
      </c>
      <c r="B673" s="87" t="str">
        <f t="shared" si="40"/>
        <v>Wednesday</v>
      </c>
      <c r="C673" s="88" t="s">
        <v>1381</v>
      </c>
      <c r="D673" s="88" t="s">
        <v>4</v>
      </c>
      <c r="E673" s="89">
        <v>37.72</v>
      </c>
      <c r="F673" s="88" t="s">
        <v>5</v>
      </c>
      <c r="G673" s="87">
        <f>Table1[[#This Row],[date]]</f>
        <v>45448</v>
      </c>
      <c r="H673" s="94">
        <f>SUMIF($A$2:A4308,G673,$E$2:E4308)</f>
        <v>272.36</v>
      </c>
      <c r="I673" s="93" t="str">
        <f t="shared" si="41"/>
        <v>Wednesday</v>
      </c>
      <c r="J673" s="93" t="str">
        <f t="shared" si="42"/>
        <v>June</v>
      </c>
      <c r="K673" s="93" t="str">
        <f t="shared" si="43"/>
        <v>2024</v>
      </c>
      <c r="L673" s="6"/>
      <c r="M673" s="6"/>
      <c r="N673" s="6"/>
    </row>
    <row r="674" spans="1:14" x14ac:dyDescent="0.3">
      <c r="A674" s="92">
        <v>45448</v>
      </c>
      <c r="B674" s="92" t="str">
        <f t="shared" si="40"/>
        <v>Wednesday</v>
      </c>
      <c r="C674" s="93" t="s">
        <v>1381</v>
      </c>
      <c r="D674" s="93" t="s">
        <v>109</v>
      </c>
      <c r="E674" s="94">
        <v>32.82</v>
      </c>
      <c r="F674" s="93" t="s">
        <v>12</v>
      </c>
      <c r="G674" s="87">
        <f>Table1[[#This Row],[date]]</f>
        <v>45448</v>
      </c>
      <c r="H674" s="94">
        <f>SUMIF($A$2:A4309,G674,$E$2:E4309)</f>
        <v>272.36</v>
      </c>
      <c r="I674" s="93" t="str">
        <f t="shared" si="41"/>
        <v>Wednesday</v>
      </c>
      <c r="J674" s="93" t="str">
        <f t="shared" si="42"/>
        <v>June</v>
      </c>
      <c r="K674" s="93" t="str">
        <f t="shared" si="43"/>
        <v>2024</v>
      </c>
      <c r="L674" s="6"/>
      <c r="M674" s="6"/>
      <c r="N674" s="6"/>
    </row>
    <row r="675" spans="1:14" x14ac:dyDescent="0.3">
      <c r="A675" s="87">
        <v>45448</v>
      </c>
      <c r="B675" s="87" t="str">
        <f t="shared" si="40"/>
        <v>Wednesday</v>
      </c>
      <c r="C675" s="88" t="s">
        <v>1381</v>
      </c>
      <c r="D675" s="88" t="s">
        <v>275</v>
      </c>
      <c r="E675" s="89">
        <v>32.82</v>
      </c>
      <c r="F675" s="88" t="s">
        <v>12</v>
      </c>
      <c r="G675" s="87">
        <f>Table1[[#This Row],[date]]</f>
        <v>45448</v>
      </c>
      <c r="H675" s="94">
        <f>SUMIF($A$2:A4310,G675,$E$2:E4310)</f>
        <v>272.36</v>
      </c>
      <c r="I675" s="93" t="str">
        <f t="shared" si="41"/>
        <v>Wednesday</v>
      </c>
      <c r="J675" s="93" t="str">
        <f t="shared" si="42"/>
        <v>June</v>
      </c>
      <c r="K675" s="93" t="str">
        <f t="shared" si="43"/>
        <v>2024</v>
      </c>
      <c r="L675" s="6"/>
      <c r="M675" s="6"/>
      <c r="N675" s="6"/>
    </row>
    <row r="676" spans="1:14" x14ac:dyDescent="0.3">
      <c r="A676" s="92">
        <v>45448</v>
      </c>
      <c r="B676" s="92" t="str">
        <f t="shared" si="40"/>
        <v>Wednesday</v>
      </c>
      <c r="C676" s="93" t="s">
        <v>1381</v>
      </c>
      <c r="D676" s="93" t="s">
        <v>276</v>
      </c>
      <c r="E676" s="94">
        <v>37.72</v>
      </c>
      <c r="F676" s="93" t="s">
        <v>5</v>
      </c>
      <c r="G676" s="87">
        <f>Table1[[#This Row],[date]]</f>
        <v>45448</v>
      </c>
      <c r="H676" s="94">
        <f>SUMIF($A$2:A4311,G676,$E$2:E4311)</f>
        <v>272.36</v>
      </c>
      <c r="I676" s="93" t="str">
        <f t="shared" si="41"/>
        <v>Wednesday</v>
      </c>
      <c r="J676" s="93" t="str">
        <f t="shared" si="42"/>
        <v>June</v>
      </c>
      <c r="K676" s="93" t="str">
        <f t="shared" si="43"/>
        <v>2024</v>
      </c>
      <c r="L676" s="6"/>
      <c r="M676" s="6"/>
      <c r="N676" s="6"/>
    </row>
    <row r="677" spans="1:14" x14ac:dyDescent="0.3">
      <c r="A677" s="87">
        <v>45448</v>
      </c>
      <c r="B677" s="87" t="str">
        <f t="shared" si="40"/>
        <v>Wednesday</v>
      </c>
      <c r="C677" s="88" t="s">
        <v>1381</v>
      </c>
      <c r="D677" s="88" t="s">
        <v>232</v>
      </c>
      <c r="E677" s="89">
        <v>37.72</v>
      </c>
      <c r="F677" s="88" t="s">
        <v>16</v>
      </c>
      <c r="G677" s="87">
        <f>Table1[[#This Row],[date]]</f>
        <v>45448</v>
      </c>
      <c r="H677" s="94">
        <f>SUMIF($A$2:A4312,G677,$E$2:E4312)</f>
        <v>272.36</v>
      </c>
      <c r="I677" s="93" t="str">
        <f t="shared" si="41"/>
        <v>Wednesday</v>
      </c>
      <c r="J677" s="93" t="str">
        <f t="shared" si="42"/>
        <v>June</v>
      </c>
      <c r="K677" s="93" t="str">
        <f t="shared" si="43"/>
        <v>2024</v>
      </c>
      <c r="L677" s="6"/>
      <c r="M677" s="6"/>
      <c r="N677" s="6"/>
    </row>
    <row r="678" spans="1:14" x14ac:dyDescent="0.3">
      <c r="A678" s="92">
        <v>45448</v>
      </c>
      <c r="B678" s="92" t="str">
        <f t="shared" si="40"/>
        <v>Wednesday</v>
      </c>
      <c r="C678" s="93" t="s">
        <v>1381</v>
      </c>
      <c r="D678" s="93" t="s">
        <v>232</v>
      </c>
      <c r="E678" s="94">
        <v>27.92</v>
      </c>
      <c r="F678" s="93" t="s">
        <v>26</v>
      </c>
      <c r="G678" s="87">
        <f>Table1[[#This Row],[date]]</f>
        <v>45448</v>
      </c>
      <c r="H678" s="94">
        <f>SUMIF($A$2:A4313,G678,$E$2:E4313)</f>
        <v>272.36</v>
      </c>
      <c r="I678" s="93" t="str">
        <f t="shared" si="41"/>
        <v>Wednesday</v>
      </c>
      <c r="J678" s="93" t="str">
        <f t="shared" si="42"/>
        <v>June</v>
      </c>
      <c r="K678" s="93" t="str">
        <f t="shared" si="43"/>
        <v>2024</v>
      </c>
      <c r="L678" s="6"/>
      <c r="M678" s="6"/>
      <c r="N678" s="6"/>
    </row>
    <row r="679" spans="1:14" x14ac:dyDescent="0.3">
      <c r="A679" s="87">
        <v>45449</v>
      </c>
      <c r="B679" s="87" t="str">
        <f t="shared" si="40"/>
        <v>Thursday</v>
      </c>
      <c r="C679" s="88" t="s">
        <v>1381</v>
      </c>
      <c r="D679" s="88" t="s">
        <v>109</v>
      </c>
      <c r="E679" s="89">
        <v>32.82</v>
      </c>
      <c r="F679" s="88" t="s">
        <v>12</v>
      </c>
      <c r="G679" s="87">
        <f>Table1[[#This Row],[date]]</f>
        <v>45449</v>
      </c>
      <c r="H679" s="94">
        <f>SUMIF($A$2:A4314,G679,$E$2:E4314)</f>
        <v>277.26</v>
      </c>
      <c r="I679" s="93" t="str">
        <f t="shared" si="41"/>
        <v>Thursday</v>
      </c>
      <c r="J679" s="93" t="str">
        <f t="shared" si="42"/>
        <v>June</v>
      </c>
      <c r="K679" s="93" t="str">
        <f t="shared" si="43"/>
        <v>2024</v>
      </c>
      <c r="L679" s="6"/>
      <c r="M679" s="6"/>
      <c r="N679" s="6"/>
    </row>
    <row r="680" spans="1:14" x14ac:dyDescent="0.3">
      <c r="A680" s="87">
        <v>45449</v>
      </c>
      <c r="B680" s="87" t="str">
        <f t="shared" si="40"/>
        <v>Thursday</v>
      </c>
      <c r="C680" s="88" t="s">
        <v>1381</v>
      </c>
      <c r="D680" s="88" t="s">
        <v>4</v>
      </c>
      <c r="E680" s="89">
        <v>37.72</v>
      </c>
      <c r="F680" s="88" t="s">
        <v>5</v>
      </c>
      <c r="G680" s="87">
        <f>Table1[[#This Row],[date]]</f>
        <v>45449</v>
      </c>
      <c r="H680" s="94">
        <f>SUMIF($A$2:A4315,G680,$E$2:E4315)</f>
        <v>277.26</v>
      </c>
      <c r="I680" s="93" t="str">
        <f t="shared" si="41"/>
        <v>Thursday</v>
      </c>
      <c r="J680" s="93" t="str">
        <f t="shared" si="42"/>
        <v>June</v>
      </c>
      <c r="K680" s="93" t="str">
        <f t="shared" si="43"/>
        <v>2024</v>
      </c>
      <c r="L680" s="6"/>
      <c r="M680" s="6"/>
      <c r="N680" s="6"/>
    </row>
    <row r="681" spans="1:14" x14ac:dyDescent="0.3">
      <c r="A681" s="92">
        <v>45449</v>
      </c>
      <c r="B681" s="92" t="str">
        <f t="shared" si="40"/>
        <v>Thursday</v>
      </c>
      <c r="C681" s="93" t="s">
        <v>1381</v>
      </c>
      <c r="D681" s="93" t="s">
        <v>277</v>
      </c>
      <c r="E681" s="94">
        <v>27.92</v>
      </c>
      <c r="F681" s="93" t="s">
        <v>9</v>
      </c>
      <c r="G681" s="87">
        <f>Table1[[#This Row],[date]]</f>
        <v>45449</v>
      </c>
      <c r="H681" s="94">
        <f>SUMIF($A$2:A4316,G681,$E$2:E4316)</f>
        <v>277.26</v>
      </c>
      <c r="I681" s="93" t="str">
        <f t="shared" si="41"/>
        <v>Thursday</v>
      </c>
      <c r="J681" s="93" t="str">
        <f t="shared" si="42"/>
        <v>June</v>
      </c>
      <c r="K681" s="93" t="str">
        <f t="shared" si="43"/>
        <v>2024</v>
      </c>
      <c r="L681" s="6"/>
      <c r="M681" s="6"/>
      <c r="N681" s="6"/>
    </row>
    <row r="682" spans="1:14" x14ac:dyDescent="0.3">
      <c r="A682" s="87">
        <v>45449</v>
      </c>
      <c r="B682" s="87" t="str">
        <f t="shared" si="40"/>
        <v>Thursday</v>
      </c>
      <c r="C682" s="88" t="s">
        <v>1381</v>
      </c>
      <c r="D682" s="88" t="s">
        <v>236</v>
      </c>
      <c r="E682" s="89">
        <v>32.82</v>
      </c>
      <c r="F682" s="88" t="s">
        <v>12</v>
      </c>
      <c r="G682" s="87">
        <f>Table1[[#This Row],[date]]</f>
        <v>45449</v>
      </c>
      <c r="H682" s="94">
        <f>SUMIF($A$2:A4317,G682,$E$2:E4317)</f>
        <v>277.26</v>
      </c>
      <c r="I682" s="93" t="str">
        <f t="shared" si="41"/>
        <v>Thursday</v>
      </c>
      <c r="J682" s="93" t="str">
        <f t="shared" si="42"/>
        <v>June</v>
      </c>
      <c r="K682" s="93" t="str">
        <f t="shared" si="43"/>
        <v>2024</v>
      </c>
      <c r="L682" s="6"/>
      <c r="M682" s="6"/>
      <c r="N682" s="6"/>
    </row>
    <row r="683" spans="1:14" x14ac:dyDescent="0.3">
      <c r="A683" s="92">
        <v>45449</v>
      </c>
      <c r="B683" s="92" t="str">
        <f t="shared" si="40"/>
        <v>Thursday</v>
      </c>
      <c r="C683" s="93" t="s">
        <v>1381</v>
      </c>
      <c r="D683" s="93" t="s">
        <v>278</v>
      </c>
      <c r="E683" s="94">
        <v>37.72</v>
      </c>
      <c r="F683" s="93" t="s">
        <v>41</v>
      </c>
      <c r="G683" s="87">
        <f>Table1[[#This Row],[date]]</f>
        <v>45449</v>
      </c>
      <c r="H683" s="94">
        <f>SUMIF($A$2:A4318,G683,$E$2:E4318)</f>
        <v>277.26</v>
      </c>
      <c r="I683" s="93" t="str">
        <f t="shared" si="41"/>
        <v>Thursday</v>
      </c>
      <c r="J683" s="93" t="str">
        <f t="shared" si="42"/>
        <v>June</v>
      </c>
      <c r="K683" s="93" t="str">
        <f t="shared" si="43"/>
        <v>2024</v>
      </c>
      <c r="L683" s="6"/>
      <c r="M683" s="6"/>
      <c r="N683" s="6"/>
    </row>
    <row r="684" spans="1:14" x14ac:dyDescent="0.3">
      <c r="A684" s="87">
        <v>45449</v>
      </c>
      <c r="B684" s="87" t="str">
        <f t="shared" si="40"/>
        <v>Thursday</v>
      </c>
      <c r="C684" s="88" t="s">
        <v>1381</v>
      </c>
      <c r="D684" s="88" t="s">
        <v>279</v>
      </c>
      <c r="E684" s="89">
        <v>37.72</v>
      </c>
      <c r="F684" s="88" t="s">
        <v>5</v>
      </c>
      <c r="G684" s="87">
        <f>Table1[[#This Row],[date]]</f>
        <v>45449</v>
      </c>
      <c r="H684" s="94">
        <f>SUMIF($A$2:A4319,G684,$E$2:E4319)</f>
        <v>277.26</v>
      </c>
      <c r="I684" s="93" t="str">
        <f t="shared" si="41"/>
        <v>Thursday</v>
      </c>
      <c r="J684" s="93" t="str">
        <f t="shared" si="42"/>
        <v>June</v>
      </c>
      <c r="K684" s="93" t="str">
        <f t="shared" si="43"/>
        <v>2024</v>
      </c>
      <c r="L684" s="6"/>
      <c r="M684" s="6"/>
      <c r="N684" s="6"/>
    </row>
    <row r="685" spans="1:14" x14ac:dyDescent="0.3">
      <c r="A685" s="87">
        <v>45449</v>
      </c>
      <c r="B685" s="87" t="str">
        <f t="shared" si="40"/>
        <v>Thursday</v>
      </c>
      <c r="C685" s="88" t="s">
        <v>1381</v>
      </c>
      <c r="D685" s="88" t="s">
        <v>218</v>
      </c>
      <c r="E685" s="89">
        <v>37.72</v>
      </c>
      <c r="F685" s="88" t="s">
        <v>41</v>
      </c>
      <c r="G685" s="87">
        <f>Table1[[#This Row],[date]]</f>
        <v>45449</v>
      </c>
      <c r="H685" s="94">
        <f>SUMIF($A$2:A4320,G685,$E$2:E4320)</f>
        <v>277.26</v>
      </c>
      <c r="I685" s="93" t="str">
        <f t="shared" si="41"/>
        <v>Thursday</v>
      </c>
      <c r="J685" s="93" t="str">
        <f t="shared" si="42"/>
        <v>June</v>
      </c>
      <c r="K685" s="93" t="str">
        <f t="shared" si="43"/>
        <v>2024</v>
      </c>
      <c r="L685" s="6"/>
      <c r="M685" s="6"/>
      <c r="N685" s="6"/>
    </row>
    <row r="686" spans="1:14" x14ac:dyDescent="0.3">
      <c r="A686" s="92">
        <v>45449</v>
      </c>
      <c r="B686" s="92" t="str">
        <f t="shared" si="40"/>
        <v>Thursday</v>
      </c>
      <c r="C686" s="93" t="s">
        <v>1381</v>
      </c>
      <c r="D686" s="93" t="s">
        <v>218</v>
      </c>
      <c r="E686" s="94">
        <v>32.82</v>
      </c>
      <c r="F686" s="93" t="s">
        <v>12</v>
      </c>
      <c r="G686" s="87">
        <f>Table1[[#This Row],[date]]</f>
        <v>45449</v>
      </c>
      <c r="H686" s="94">
        <f>SUMIF($A$2:A4321,G686,$E$2:E4321)</f>
        <v>277.26</v>
      </c>
      <c r="I686" s="93" t="str">
        <f t="shared" si="41"/>
        <v>Thursday</v>
      </c>
      <c r="J686" s="93" t="str">
        <f t="shared" si="42"/>
        <v>June</v>
      </c>
      <c r="K686" s="93" t="str">
        <f t="shared" si="43"/>
        <v>2024</v>
      </c>
      <c r="L686" s="6"/>
      <c r="M686" s="6"/>
      <c r="N686" s="6"/>
    </row>
    <row r="687" spans="1:14" x14ac:dyDescent="0.3">
      <c r="A687" s="92">
        <v>45450</v>
      </c>
      <c r="B687" s="92" t="str">
        <f t="shared" si="40"/>
        <v>Friday</v>
      </c>
      <c r="C687" s="93" t="s">
        <v>1381</v>
      </c>
      <c r="D687" s="93" t="s">
        <v>280</v>
      </c>
      <c r="E687" s="94">
        <v>37.72</v>
      </c>
      <c r="F687" s="93" t="s">
        <v>41</v>
      </c>
      <c r="G687" s="87">
        <f>Table1[[#This Row],[date]]</f>
        <v>45450</v>
      </c>
      <c r="H687" s="94">
        <f>SUMIF($A$2:A4322,G687,$E$2:E4322)</f>
        <v>121.48</v>
      </c>
      <c r="I687" s="93" t="str">
        <f t="shared" si="41"/>
        <v>Friday</v>
      </c>
      <c r="J687" s="93" t="str">
        <f t="shared" si="42"/>
        <v>June</v>
      </c>
      <c r="K687" s="93" t="str">
        <f t="shared" si="43"/>
        <v>2024</v>
      </c>
      <c r="L687" s="6"/>
      <c r="M687" s="6"/>
      <c r="N687" s="6"/>
    </row>
    <row r="688" spans="1:14" x14ac:dyDescent="0.3">
      <c r="A688" s="87">
        <v>45450</v>
      </c>
      <c r="B688" s="87" t="str">
        <f t="shared" si="40"/>
        <v>Friday</v>
      </c>
      <c r="C688" s="88" t="s">
        <v>1381</v>
      </c>
      <c r="D688" s="88" t="s">
        <v>281</v>
      </c>
      <c r="E688" s="89">
        <v>23.02</v>
      </c>
      <c r="F688" s="88" t="s">
        <v>33</v>
      </c>
      <c r="G688" s="87">
        <f>Table1[[#This Row],[date]]</f>
        <v>45450</v>
      </c>
      <c r="H688" s="94">
        <f>SUMIF($A$2:A4323,G688,$E$2:E4323)</f>
        <v>121.48</v>
      </c>
      <c r="I688" s="93" t="str">
        <f t="shared" si="41"/>
        <v>Friday</v>
      </c>
      <c r="J688" s="93" t="str">
        <f t="shared" si="42"/>
        <v>June</v>
      </c>
      <c r="K688" s="93" t="str">
        <f t="shared" si="43"/>
        <v>2024</v>
      </c>
      <c r="L688" s="6"/>
      <c r="M688" s="6"/>
      <c r="N688" s="6"/>
    </row>
    <row r="689" spans="1:14" x14ac:dyDescent="0.3">
      <c r="A689" s="92">
        <v>45450</v>
      </c>
      <c r="B689" s="92" t="str">
        <f t="shared" si="40"/>
        <v>Friday</v>
      </c>
      <c r="C689" s="93" t="s">
        <v>1381</v>
      </c>
      <c r="D689" s="93" t="s">
        <v>176</v>
      </c>
      <c r="E689" s="94">
        <v>32.82</v>
      </c>
      <c r="F689" s="93" t="s">
        <v>12</v>
      </c>
      <c r="G689" s="87">
        <f>Table1[[#This Row],[date]]</f>
        <v>45450</v>
      </c>
      <c r="H689" s="94">
        <f>SUMIF($A$2:A4324,G689,$E$2:E4324)</f>
        <v>121.48</v>
      </c>
      <c r="I689" s="93" t="str">
        <f t="shared" si="41"/>
        <v>Friday</v>
      </c>
      <c r="J689" s="93" t="str">
        <f t="shared" si="42"/>
        <v>June</v>
      </c>
      <c r="K689" s="93" t="str">
        <f t="shared" si="43"/>
        <v>2024</v>
      </c>
      <c r="L689" s="6"/>
      <c r="M689" s="6"/>
      <c r="N689" s="6"/>
    </row>
    <row r="690" spans="1:14" x14ac:dyDescent="0.3">
      <c r="A690" s="87">
        <v>45450</v>
      </c>
      <c r="B690" s="87" t="str">
        <f t="shared" si="40"/>
        <v>Friday</v>
      </c>
      <c r="C690" s="88" t="s">
        <v>1381</v>
      </c>
      <c r="D690" s="88" t="s">
        <v>282</v>
      </c>
      <c r="E690" s="89">
        <v>27.92</v>
      </c>
      <c r="F690" s="88" t="s">
        <v>26</v>
      </c>
      <c r="G690" s="87">
        <f>Table1[[#This Row],[date]]</f>
        <v>45450</v>
      </c>
      <c r="H690" s="94">
        <f>SUMIF($A$2:A4325,G690,$E$2:E4325)</f>
        <v>121.48</v>
      </c>
      <c r="I690" s="93" t="str">
        <f t="shared" si="41"/>
        <v>Friday</v>
      </c>
      <c r="J690" s="93" t="str">
        <f t="shared" si="42"/>
        <v>June</v>
      </c>
      <c r="K690" s="93" t="str">
        <f t="shared" si="43"/>
        <v>2024</v>
      </c>
      <c r="L690" s="6"/>
      <c r="M690" s="6"/>
      <c r="N690" s="6"/>
    </row>
    <row r="691" spans="1:14" x14ac:dyDescent="0.3">
      <c r="A691" s="87">
        <v>45451</v>
      </c>
      <c r="B691" s="87" t="str">
        <f t="shared" si="40"/>
        <v>Saturday</v>
      </c>
      <c r="C691" s="88" t="s">
        <v>1381</v>
      </c>
      <c r="D691" s="88" t="s">
        <v>283</v>
      </c>
      <c r="E691" s="89">
        <v>27.92</v>
      </c>
      <c r="F691" s="88" t="s">
        <v>26</v>
      </c>
      <c r="G691" s="87">
        <f>Table1[[#This Row],[date]]</f>
        <v>45451</v>
      </c>
      <c r="H691" s="94">
        <f>SUMIF($A$2:A4326,G691,$E$2:E4326)</f>
        <v>98.460000000000008</v>
      </c>
      <c r="I691" s="93" t="str">
        <f t="shared" si="41"/>
        <v>Saturday</v>
      </c>
      <c r="J691" s="93" t="str">
        <f t="shared" si="42"/>
        <v>June</v>
      </c>
      <c r="K691" s="93" t="str">
        <f t="shared" si="43"/>
        <v>2024</v>
      </c>
      <c r="L691" s="6"/>
      <c r="M691" s="6"/>
      <c r="N691" s="6"/>
    </row>
    <row r="692" spans="1:14" x14ac:dyDescent="0.3">
      <c r="A692" s="92">
        <v>45451</v>
      </c>
      <c r="B692" s="92" t="str">
        <f t="shared" si="40"/>
        <v>Saturday</v>
      </c>
      <c r="C692" s="93" t="s">
        <v>1381</v>
      </c>
      <c r="D692" s="93" t="s">
        <v>109</v>
      </c>
      <c r="E692" s="94">
        <v>32.82</v>
      </c>
      <c r="F692" s="93" t="s">
        <v>12</v>
      </c>
      <c r="G692" s="87">
        <f>Table1[[#This Row],[date]]</f>
        <v>45451</v>
      </c>
      <c r="H692" s="94">
        <f>SUMIF($A$2:A4327,G692,$E$2:E4327)</f>
        <v>98.460000000000008</v>
      </c>
      <c r="I692" s="93" t="str">
        <f t="shared" si="41"/>
        <v>Saturday</v>
      </c>
      <c r="J692" s="93" t="str">
        <f t="shared" si="42"/>
        <v>June</v>
      </c>
      <c r="K692" s="93" t="str">
        <f t="shared" si="43"/>
        <v>2024</v>
      </c>
      <c r="L692" s="6"/>
      <c r="M692" s="6"/>
      <c r="N692" s="6"/>
    </row>
    <row r="693" spans="1:14" x14ac:dyDescent="0.3">
      <c r="A693" s="87">
        <v>45451</v>
      </c>
      <c r="B693" s="87" t="str">
        <f t="shared" si="40"/>
        <v>Saturday</v>
      </c>
      <c r="C693" s="88" t="s">
        <v>1381</v>
      </c>
      <c r="D693" s="88" t="s">
        <v>146</v>
      </c>
      <c r="E693" s="89">
        <v>37.72</v>
      </c>
      <c r="F693" s="88" t="s">
        <v>41</v>
      </c>
      <c r="G693" s="87">
        <f>Table1[[#This Row],[date]]</f>
        <v>45451</v>
      </c>
      <c r="H693" s="94">
        <f>SUMIF($A$2:A4328,G693,$E$2:E4328)</f>
        <v>98.460000000000008</v>
      </c>
      <c r="I693" s="93" t="str">
        <f t="shared" si="41"/>
        <v>Saturday</v>
      </c>
      <c r="J693" s="93" t="str">
        <f t="shared" si="42"/>
        <v>June</v>
      </c>
      <c r="K693" s="93" t="str">
        <f t="shared" si="43"/>
        <v>2024</v>
      </c>
      <c r="L693" s="6"/>
      <c r="M693" s="6"/>
      <c r="N693" s="6"/>
    </row>
    <row r="694" spans="1:14" x14ac:dyDescent="0.3">
      <c r="A694" s="87">
        <v>45452</v>
      </c>
      <c r="B694" s="87" t="str">
        <f t="shared" si="40"/>
        <v>Sunday</v>
      </c>
      <c r="C694" s="88" t="s">
        <v>1381</v>
      </c>
      <c r="D694" s="88" t="s">
        <v>109</v>
      </c>
      <c r="E694" s="89">
        <v>37.72</v>
      </c>
      <c r="F694" s="88" t="s">
        <v>5</v>
      </c>
      <c r="G694" s="87">
        <f>Table1[[#This Row],[date]]</f>
        <v>45452</v>
      </c>
      <c r="H694" s="94">
        <f>SUMIF($A$2:A4329,G694,$E$2:E4329)</f>
        <v>398.74</v>
      </c>
      <c r="I694" s="93" t="str">
        <f t="shared" si="41"/>
        <v>Sunday</v>
      </c>
      <c r="J694" s="93" t="str">
        <f t="shared" si="42"/>
        <v>June</v>
      </c>
      <c r="K694" s="93" t="str">
        <f t="shared" si="43"/>
        <v>2024</v>
      </c>
      <c r="L694" s="6"/>
      <c r="M694" s="6"/>
      <c r="N694" s="6"/>
    </row>
    <row r="695" spans="1:14" x14ac:dyDescent="0.3">
      <c r="A695" s="92">
        <v>45452</v>
      </c>
      <c r="B695" s="92" t="str">
        <f t="shared" si="40"/>
        <v>Sunday</v>
      </c>
      <c r="C695" s="93" t="s">
        <v>1381</v>
      </c>
      <c r="D695" s="93" t="s">
        <v>284</v>
      </c>
      <c r="E695" s="94">
        <v>37.72</v>
      </c>
      <c r="F695" s="93" t="s">
        <v>5</v>
      </c>
      <c r="G695" s="87">
        <f>Table1[[#This Row],[date]]</f>
        <v>45452</v>
      </c>
      <c r="H695" s="94">
        <f>SUMIF($A$2:A4330,G695,$E$2:E4330)</f>
        <v>398.74</v>
      </c>
      <c r="I695" s="93" t="str">
        <f t="shared" si="41"/>
        <v>Sunday</v>
      </c>
      <c r="J695" s="93" t="str">
        <f t="shared" si="42"/>
        <v>June</v>
      </c>
      <c r="K695" s="93" t="str">
        <f t="shared" si="43"/>
        <v>2024</v>
      </c>
      <c r="L695" s="6"/>
      <c r="M695" s="6"/>
      <c r="N695" s="6"/>
    </row>
    <row r="696" spans="1:14" x14ac:dyDescent="0.3">
      <c r="A696" s="87">
        <v>45452</v>
      </c>
      <c r="B696" s="87" t="str">
        <f t="shared" si="40"/>
        <v>Sunday</v>
      </c>
      <c r="C696" s="88" t="s">
        <v>1381</v>
      </c>
      <c r="D696" s="88" t="s">
        <v>285</v>
      </c>
      <c r="E696" s="89">
        <v>37.72</v>
      </c>
      <c r="F696" s="88" t="s">
        <v>41</v>
      </c>
      <c r="G696" s="87">
        <f>Table1[[#This Row],[date]]</f>
        <v>45452</v>
      </c>
      <c r="H696" s="94">
        <f>SUMIF($A$2:A4331,G696,$E$2:E4331)</f>
        <v>398.74</v>
      </c>
      <c r="I696" s="93" t="str">
        <f t="shared" si="41"/>
        <v>Sunday</v>
      </c>
      <c r="J696" s="93" t="str">
        <f t="shared" si="42"/>
        <v>June</v>
      </c>
      <c r="K696" s="93" t="str">
        <f t="shared" si="43"/>
        <v>2024</v>
      </c>
      <c r="L696" s="6"/>
      <c r="M696" s="6"/>
      <c r="N696" s="6"/>
    </row>
    <row r="697" spans="1:14" x14ac:dyDescent="0.3">
      <c r="A697" s="92">
        <v>45452</v>
      </c>
      <c r="B697" s="92" t="str">
        <f t="shared" si="40"/>
        <v>Sunday</v>
      </c>
      <c r="C697" s="93" t="s">
        <v>1381</v>
      </c>
      <c r="D697" s="93" t="s">
        <v>153</v>
      </c>
      <c r="E697" s="94">
        <v>27.92</v>
      </c>
      <c r="F697" s="93" t="s">
        <v>26</v>
      </c>
      <c r="G697" s="87">
        <f>Table1[[#This Row],[date]]</f>
        <v>45452</v>
      </c>
      <c r="H697" s="94">
        <f>SUMIF($A$2:A4332,G697,$E$2:E4332)</f>
        <v>398.74</v>
      </c>
      <c r="I697" s="93" t="str">
        <f t="shared" si="41"/>
        <v>Sunday</v>
      </c>
      <c r="J697" s="93" t="str">
        <f t="shared" si="42"/>
        <v>June</v>
      </c>
      <c r="K697" s="93" t="str">
        <f t="shared" si="43"/>
        <v>2024</v>
      </c>
      <c r="L697" s="6"/>
      <c r="M697" s="6"/>
      <c r="N697" s="6"/>
    </row>
    <row r="698" spans="1:14" x14ac:dyDescent="0.3">
      <c r="A698" s="87">
        <v>45452</v>
      </c>
      <c r="B698" s="87" t="str">
        <f t="shared" si="40"/>
        <v>Sunday</v>
      </c>
      <c r="C698" s="88" t="s">
        <v>1381</v>
      </c>
      <c r="D698" s="88" t="s">
        <v>286</v>
      </c>
      <c r="E698" s="89">
        <v>23.02</v>
      </c>
      <c r="F698" s="88" t="s">
        <v>33</v>
      </c>
      <c r="G698" s="87">
        <f>Table1[[#This Row],[date]]</f>
        <v>45452</v>
      </c>
      <c r="H698" s="94">
        <f>SUMIF($A$2:A4333,G698,$E$2:E4333)</f>
        <v>398.74</v>
      </c>
      <c r="I698" s="93" t="str">
        <f t="shared" si="41"/>
        <v>Sunday</v>
      </c>
      <c r="J698" s="93" t="str">
        <f t="shared" si="42"/>
        <v>June</v>
      </c>
      <c r="K698" s="93" t="str">
        <f t="shared" si="43"/>
        <v>2024</v>
      </c>
      <c r="L698" s="6"/>
      <c r="M698" s="6"/>
      <c r="N698" s="6"/>
    </row>
    <row r="699" spans="1:14" x14ac:dyDescent="0.3">
      <c r="A699" s="92">
        <v>45452</v>
      </c>
      <c r="B699" s="92" t="str">
        <f t="shared" si="40"/>
        <v>Sunday</v>
      </c>
      <c r="C699" s="93" t="s">
        <v>1381</v>
      </c>
      <c r="D699" s="93" t="s">
        <v>287</v>
      </c>
      <c r="E699" s="94">
        <v>37.72</v>
      </c>
      <c r="F699" s="93" t="s">
        <v>41</v>
      </c>
      <c r="G699" s="87">
        <f>Table1[[#This Row],[date]]</f>
        <v>45452</v>
      </c>
      <c r="H699" s="94">
        <f>SUMIF($A$2:A4334,G699,$E$2:E4334)</f>
        <v>398.74</v>
      </c>
      <c r="I699" s="93" t="str">
        <f t="shared" si="41"/>
        <v>Sunday</v>
      </c>
      <c r="J699" s="93" t="str">
        <f t="shared" si="42"/>
        <v>June</v>
      </c>
      <c r="K699" s="93" t="str">
        <f t="shared" si="43"/>
        <v>2024</v>
      </c>
      <c r="L699" s="6"/>
      <c r="M699" s="6"/>
      <c r="N699" s="6"/>
    </row>
    <row r="700" spans="1:14" x14ac:dyDescent="0.3">
      <c r="A700" s="87">
        <v>45452</v>
      </c>
      <c r="B700" s="87" t="str">
        <f t="shared" si="40"/>
        <v>Sunday</v>
      </c>
      <c r="C700" s="88" t="s">
        <v>1381</v>
      </c>
      <c r="D700" s="88" t="s">
        <v>288</v>
      </c>
      <c r="E700" s="89">
        <v>32.82</v>
      </c>
      <c r="F700" s="88" t="s">
        <v>12</v>
      </c>
      <c r="G700" s="87">
        <f>Table1[[#This Row],[date]]</f>
        <v>45452</v>
      </c>
      <c r="H700" s="94">
        <f>SUMIF($A$2:A4335,G700,$E$2:E4335)</f>
        <v>398.74</v>
      </c>
      <c r="I700" s="93" t="str">
        <f t="shared" si="41"/>
        <v>Sunday</v>
      </c>
      <c r="J700" s="93" t="str">
        <f t="shared" si="42"/>
        <v>June</v>
      </c>
      <c r="K700" s="93" t="str">
        <f t="shared" si="43"/>
        <v>2024</v>
      </c>
      <c r="L700" s="6"/>
      <c r="M700" s="6"/>
      <c r="N700" s="6"/>
    </row>
    <row r="701" spans="1:14" x14ac:dyDescent="0.3">
      <c r="A701" s="92">
        <v>45452</v>
      </c>
      <c r="B701" s="92" t="str">
        <f t="shared" si="40"/>
        <v>Sunday</v>
      </c>
      <c r="C701" s="93" t="s">
        <v>1381</v>
      </c>
      <c r="D701" s="93" t="s">
        <v>288</v>
      </c>
      <c r="E701" s="94">
        <v>37.72</v>
      </c>
      <c r="F701" s="93" t="s">
        <v>5</v>
      </c>
      <c r="G701" s="87">
        <f>Table1[[#This Row],[date]]</f>
        <v>45452</v>
      </c>
      <c r="H701" s="94">
        <f>SUMIF($A$2:A4336,G701,$E$2:E4336)</f>
        <v>398.74</v>
      </c>
      <c r="I701" s="93" t="str">
        <f t="shared" si="41"/>
        <v>Sunday</v>
      </c>
      <c r="J701" s="93" t="str">
        <f t="shared" si="42"/>
        <v>June</v>
      </c>
      <c r="K701" s="93" t="str">
        <f t="shared" si="43"/>
        <v>2024</v>
      </c>
      <c r="L701" s="6"/>
      <c r="M701" s="6"/>
      <c r="N701" s="6"/>
    </row>
    <row r="702" spans="1:14" x14ac:dyDescent="0.3">
      <c r="A702" s="92">
        <v>45452</v>
      </c>
      <c r="B702" s="92" t="str">
        <f t="shared" si="40"/>
        <v>Sunday</v>
      </c>
      <c r="C702" s="93" t="s">
        <v>1381</v>
      </c>
      <c r="D702" s="93" t="s">
        <v>289</v>
      </c>
      <c r="E702" s="94">
        <v>27.92</v>
      </c>
      <c r="F702" s="93" t="s">
        <v>26</v>
      </c>
      <c r="G702" s="87">
        <f>Table1[[#This Row],[date]]</f>
        <v>45452</v>
      </c>
      <c r="H702" s="94">
        <f>SUMIF($A$2:A4337,G702,$E$2:E4337)</f>
        <v>398.74</v>
      </c>
      <c r="I702" s="93" t="str">
        <f t="shared" si="41"/>
        <v>Sunday</v>
      </c>
      <c r="J702" s="93" t="str">
        <f t="shared" si="42"/>
        <v>June</v>
      </c>
      <c r="K702" s="93" t="str">
        <f t="shared" si="43"/>
        <v>2024</v>
      </c>
      <c r="L702" s="6"/>
      <c r="M702" s="6"/>
      <c r="N702" s="6"/>
    </row>
    <row r="703" spans="1:14" x14ac:dyDescent="0.3">
      <c r="A703" s="87">
        <v>45452</v>
      </c>
      <c r="B703" s="87" t="str">
        <f t="shared" si="40"/>
        <v>Sunday</v>
      </c>
      <c r="C703" s="88" t="s">
        <v>1381</v>
      </c>
      <c r="D703" s="88" t="s">
        <v>290</v>
      </c>
      <c r="E703" s="89">
        <v>37.72</v>
      </c>
      <c r="F703" s="88" t="s">
        <v>41</v>
      </c>
      <c r="G703" s="87">
        <f>Table1[[#This Row],[date]]</f>
        <v>45452</v>
      </c>
      <c r="H703" s="94">
        <f>SUMIF($A$2:A4338,G703,$E$2:E4338)</f>
        <v>398.74</v>
      </c>
      <c r="I703" s="93" t="str">
        <f t="shared" si="41"/>
        <v>Sunday</v>
      </c>
      <c r="J703" s="93" t="str">
        <f t="shared" si="42"/>
        <v>June</v>
      </c>
      <c r="K703" s="93" t="str">
        <f t="shared" si="43"/>
        <v>2024</v>
      </c>
      <c r="L703" s="6"/>
      <c r="M703" s="6"/>
      <c r="N703" s="6"/>
    </row>
    <row r="704" spans="1:14" x14ac:dyDescent="0.3">
      <c r="A704" s="92">
        <v>45452</v>
      </c>
      <c r="B704" s="92" t="str">
        <f t="shared" si="40"/>
        <v>Sunday</v>
      </c>
      <c r="C704" s="93" t="s">
        <v>1381</v>
      </c>
      <c r="D704" s="93" t="s">
        <v>291</v>
      </c>
      <c r="E704" s="94">
        <v>32.82</v>
      </c>
      <c r="F704" s="93" t="s">
        <v>12</v>
      </c>
      <c r="G704" s="87">
        <f>Table1[[#This Row],[date]]</f>
        <v>45452</v>
      </c>
      <c r="H704" s="94">
        <f>SUMIF($A$2:A4339,G704,$E$2:E4339)</f>
        <v>398.74</v>
      </c>
      <c r="I704" s="93" t="str">
        <f t="shared" si="41"/>
        <v>Sunday</v>
      </c>
      <c r="J704" s="93" t="str">
        <f t="shared" si="42"/>
        <v>June</v>
      </c>
      <c r="K704" s="93" t="str">
        <f t="shared" si="43"/>
        <v>2024</v>
      </c>
      <c r="L704" s="6"/>
      <c r="M704" s="6"/>
      <c r="N704" s="6"/>
    </row>
    <row r="705" spans="1:14" x14ac:dyDescent="0.3">
      <c r="A705" s="87">
        <v>45452</v>
      </c>
      <c r="B705" s="87" t="str">
        <f t="shared" si="40"/>
        <v>Sunday</v>
      </c>
      <c r="C705" s="88" t="s">
        <v>1381</v>
      </c>
      <c r="D705" s="88" t="s">
        <v>292</v>
      </c>
      <c r="E705" s="89">
        <v>27.92</v>
      </c>
      <c r="F705" s="88" t="s">
        <v>9</v>
      </c>
      <c r="G705" s="87">
        <f>Table1[[#This Row],[date]]</f>
        <v>45452</v>
      </c>
      <c r="H705" s="94">
        <f>SUMIF($A$2:A4340,G705,$E$2:E4340)</f>
        <v>398.74</v>
      </c>
      <c r="I705" s="93" t="str">
        <f t="shared" si="41"/>
        <v>Sunday</v>
      </c>
      <c r="J705" s="93" t="str">
        <f t="shared" si="42"/>
        <v>June</v>
      </c>
      <c r="K705" s="93" t="str">
        <f t="shared" si="43"/>
        <v>2024</v>
      </c>
      <c r="L705" s="6"/>
      <c r="M705" s="6"/>
      <c r="N705" s="6"/>
    </row>
    <row r="706" spans="1:14" x14ac:dyDescent="0.3">
      <c r="A706" s="92">
        <v>45453</v>
      </c>
      <c r="B706" s="92" t="str">
        <f t="shared" ref="B706:B769" si="44">TEXT(A706,"dddd")</f>
        <v>Monday</v>
      </c>
      <c r="C706" s="93" t="s">
        <v>1381</v>
      </c>
      <c r="D706" s="93" t="s">
        <v>293</v>
      </c>
      <c r="E706" s="94">
        <v>37.72</v>
      </c>
      <c r="F706" s="93" t="s">
        <v>41</v>
      </c>
      <c r="G706" s="87">
        <f>Table1[[#This Row],[date]]</f>
        <v>45453</v>
      </c>
      <c r="H706" s="94">
        <f>SUMIF($A$2:A4341,G706,$E$2:E4341)</f>
        <v>150.88</v>
      </c>
      <c r="I706" s="93" t="str">
        <f t="shared" si="41"/>
        <v>Monday</v>
      </c>
      <c r="J706" s="93" t="str">
        <f t="shared" si="42"/>
        <v>June</v>
      </c>
      <c r="K706" s="93" t="str">
        <f t="shared" si="43"/>
        <v>2024</v>
      </c>
      <c r="L706" s="6"/>
      <c r="M706" s="6"/>
      <c r="N706" s="6"/>
    </row>
    <row r="707" spans="1:14" x14ac:dyDescent="0.3">
      <c r="A707" s="87">
        <v>45453</v>
      </c>
      <c r="B707" s="87" t="str">
        <f t="shared" si="44"/>
        <v>Monday</v>
      </c>
      <c r="C707" s="88" t="s">
        <v>1381</v>
      </c>
      <c r="D707" s="88" t="s">
        <v>109</v>
      </c>
      <c r="E707" s="89">
        <v>37.72</v>
      </c>
      <c r="F707" s="88" t="s">
        <v>5</v>
      </c>
      <c r="G707" s="87">
        <f>Table1[[#This Row],[date]]</f>
        <v>45453</v>
      </c>
      <c r="H707" s="94">
        <f>SUMIF($A$2:A4342,G707,$E$2:E4342)</f>
        <v>150.88</v>
      </c>
      <c r="I707" s="93" t="str">
        <f t="shared" si="41"/>
        <v>Monday</v>
      </c>
      <c r="J707" s="93" t="str">
        <f t="shared" si="42"/>
        <v>June</v>
      </c>
      <c r="K707" s="93" t="str">
        <f t="shared" si="43"/>
        <v>2024</v>
      </c>
      <c r="L707" s="6"/>
      <c r="M707" s="6"/>
      <c r="N707" s="6"/>
    </row>
    <row r="708" spans="1:14" x14ac:dyDescent="0.3">
      <c r="A708" s="92">
        <v>45453</v>
      </c>
      <c r="B708" s="92" t="str">
        <f t="shared" si="44"/>
        <v>Monday</v>
      </c>
      <c r="C708" s="93" t="s">
        <v>1381</v>
      </c>
      <c r="D708" s="93" t="s">
        <v>294</v>
      </c>
      <c r="E708" s="94">
        <v>37.72</v>
      </c>
      <c r="F708" s="93" t="s">
        <v>7</v>
      </c>
      <c r="G708" s="87">
        <f>Table1[[#This Row],[date]]</f>
        <v>45453</v>
      </c>
      <c r="H708" s="94">
        <f>SUMIF($A$2:A4343,G708,$E$2:E4343)</f>
        <v>150.88</v>
      </c>
      <c r="I708" s="93" t="str">
        <f t="shared" si="41"/>
        <v>Monday</v>
      </c>
      <c r="J708" s="93" t="str">
        <f t="shared" si="42"/>
        <v>June</v>
      </c>
      <c r="K708" s="93" t="str">
        <f t="shared" si="43"/>
        <v>2024</v>
      </c>
      <c r="L708" s="6"/>
      <c r="M708" s="6"/>
      <c r="N708" s="6"/>
    </row>
    <row r="709" spans="1:14" x14ac:dyDescent="0.3">
      <c r="A709" s="92">
        <v>45453</v>
      </c>
      <c r="B709" s="92" t="str">
        <f t="shared" si="44"/>
        <v>Monday</v>
      </c>
      <c r="C709" s="93" t="s">
        <v>1381</v>
      </c>
      <c r="D709" s="93" t="s">
        <v>295</v>
      </c>
      <c r="E709" s="94">
        <v>37.72</v>
      </c>
      <c r="F709" s="93" t="s">
        <v>5</v>
      </c>
      <c r="G709" s="87">
        <f>Table1[[#This Row],[date]]</f>
        <v>45453</v>
      </c>
      <c r="H709" s="94">
        <f>SUMIF($A$2:A4344,G709,$E$2:E4344)</f>
        <v>150.88</v>
      </c>
      <c r="I709" s="93" t="str">
        <f t="shared" si="41"/>
        <v>Monday</v>
      </c>
      <c r="J709" s="93" t="str">
        <f t="shared" si="42"/>
        <v>June</v>
      </c>
      <c r="K709" s="93" t="str">
        <f t="shared" si="43"/>
        <v>2024</v>
      </c>
      <c r="L709" s="6"/>
      <c r="M709" s="6"/>
      <c r="N709" s="6"/>
    </row>
    <row r="710" spans="1:14" x14ac:dyDescent="0.3">
      <c r="A710" s="92">
        <v>45454</v>
      </c>
      <c r="B710" s="92" t="str">
        <f t="shared" si="44"/>
        <v>Tuesday</v>
      </c>
      <c r="C710" s="93" t="s">
        <v>1381</v>
      </c>
      <c r="D710" s="93" t="s">
        <v>296</v>
      </c>
      <c r="E710" s="94">
        <v>32.82</v>
      </c>
      <c r="F710" s="93" t="s">
        <v>12</v>
      </c>
      <c r="G710" s="87">
        <f>Table1[[#This Row],[date]]</f>
        <v>45454</v>
      </c>
      <c r="H710" s="94">
        <f>SUMIF($A$2:A4345,G710,$E$2:E4345)</f>
        <v>141.07999999999998</v>
      </c>
      <c r="I710" s="93" t="str">
        <f t="shared" ref="I710:I773" si="45">TEXT(G710,"dddd")</f>
        <v>Tuesday</v>
      </c>
      <c r="J710" s="93" t="str">
        <f t="shared" si="42"/>
        <v>June</v>
      </c>
      <c r="K710" s="93" t="str">
        <f t="shared" si="43"/>
        <v>2024</v>
      </c>
      <c r="L710" s="6"/>
      <c r="M710" s="6"/>
      <c r="N710" s="6"/>
    </row>
    <row r="711" spans="1:14" x14ac:dyDescent="0.3">
      <c r="A711" s="87">
        <v>45454</v>
      </c>
      <c r="B711" s="87" t="str">
        <f t="shared" si="44"/>
        <v>Tuesday</v>
      </c>
      <c r="C711" s="88" t="s">
        <v>1381</v>
      </c>
      <c r="D711" s="88" t="s">
        <v>297</v>
      </c>
      <c r="E711" s="89">
        <v>37.72</v>
      </c>
      <c r="F711" s="88" t="s">
        <v>5</v>
      </c>
      <c r="G711" s="87">
        <f>Table1[[#This Row],[date]]</f>
        <v>45454</v>
      </c>
      <c r="H711" s="94">
        <f>SUMIF($A$2:A4346,G711,$E$2:E4346)</f>
        <v>141.07999999999998</v>
      </c>
      <c r="I711" s="93" t="str">
        <f t="shared" si="45"/>
        <v>Tuesday</v>
      </c>
      <c r="J711" s="93" t="str">
        <f t="shared" ref="J711:J774" si="46">TEXT(G711,"mmmm")</f>
        <v>June</v>
      </c>
      <c r="K711" s="93" t="str">
        <f t="shared" ref="K711:K774" si="47">TEXT(G711,"yyyy")</f>
        <v>2024</v>
      </c>
      <c r="L711" s="6"/>
      <c r="M711" s="6"/>
      <c r="N711" s="6"/>
    </row>
    <row r="712" spans="1:14" x14ac:dyDescent="0.3">
      <c r="A712" s="87">
        <v>45454</v>
      </c>
      <c r="B712" s="87" t="str">
        <f t="shared" si="44"/>
        <v>Tuesday</v>
      </c>
      <c r="C712" s="88" t="s">
        <v>1381</v>
      </c>
      <c r="D712" s="88" t="s">
        <v>298</v>
      </c>
      <c r="E712" s="89">
        <v>37.72</v>
      </c>
      <c r="F712" s="88" t="s">
        <v>7</v>
      </c>
      <c r="G712" s="87">
        <f>Table1[[#This Row],[date]]</f>
        <v>45454</v>
      </c>
      <c r="H712" s="94">
        <f>SUMIF($A$2:A4347,G712,$E$2:E4347)</f>
        <v>141.07999999999998</v>
      </c>
      <c r="I712" s="93" t="str">
        <f t="shared" si="45"/>
        <v>Tuesday</v>
      </c>
      <c r="J712" s="93" t="str">
        <f t="shared" si="46"/>
        <v>June</v>
      </c>
      <c r="K712" s="93" t="str">
        <f t="shared" si="47"/>
        <v>2024</v>
      </c>
      <c r="L712" s="6"/>
      <c r="M712" s="6"/>
      <c r="N712" s="6"/>
    </row>
    <row r="713" spans="1:14" x14ac:dyDescent="0.3">
      <c r="A713" s="92">
        <v>45454</v>
      </c>
      <c r="B713" s="92" t="str">
        <f t="shared" si="44"/>
        <v>Tuesday</v>
      </c>
      <c r="C713" s="93" t="s">
        <v>1381</v>
      </c>
      <c r="D713" s="93" t="s">
        <v>299</v>
      </c>
      <c r="E713" s="94">
        <v>32.82</v>
      </c>
      <c r="F713" s="93" t="s">
        <v>12</v>
      </c>
      <c r="G713" s="87">
        <f>Table1[[#This Row],[date]]</f>
        <v>45454</v>
      </c>
      <c r="H713" s="94">
        <f>SUMIF($A$2:A4348,G713,$E$2:E4348)</f>
        <v>141.07999999999998</v>
      </c>
      <c r="I713" s="93" t="str">
        <f t="shared" si="45"/>
        <v>Tuesday</v>
      </c>
      <c r="J713" s="93" t="str">
        <f t="shared" si="46"/>
        <v>June</v>
      </c>
      <c r="K713" s="93" t="str">
        <f t="shared" si="47"/>
        <v>2024</v>
      </c>
      <c r="L713" s="6"/>
      <c r="M713" s="6"/>
      <c r="N713" s="6"/>
    </row>
    <row r="714" spans="1:14" x14ac:dyDescent="0.3">
      <c r="A714" s="92">
        <v>45455</v>
      </c>
      <c r="B714" s="92" t="str">
        <f t="shared" si="44"/>
        <v>Wednesday</v>
      </c>
      <c r="C714" s="93" t="s">
        <v>1381</v>
      </c>
      <c r="D714" s="93" t="s">
        <v>300</v>
      </c>
      <c r="E714" s="94">
        <v>37.72</v>
      </c>
      <c r="F714" s="93" t="s">
        <v>7</v>
      </c>
      <c r="G714" s="87">
        <f>Table1[[#This Row],[date]]</f>
        <v>45455</v>
      </c>
      <c r="H714" s="94">
        <f>SUMIF($A$2:A4349,G714,$E$2:E4349)</f>
        <v>221.42</v>
      </c>
      <c r="I714" s="93" t="str">
        <f t="shared" si="45"/>
        <v>Wednesday</v>
      </c>
      <c r="J714" s="93" t="str">
        <f t="shared" si="46"/>
        <v>June</v>
      </c>
      <c r="K714" s="93" t="str">
        <f t="shared" si="47"/>
        <v>2024</v>
      </c>
      <c r="L714" s="6"/>
      <c r="M714" s="6"/>
      <c r="N714" s="6"/>
    </row>
    <row r="715" spans="1:14" x14ac:dyDescent="0.3">
      <c r="A715" s="87">
        <v>45455</v>
      </c>
      <c r="B715" s="87" t="str">
        <f t="shared" si="44"/>
        <v>Wednesday</v>
      </c>
      <c r="C715" s="88" t="s">
        <v>1381</v>
      </c>
      <c r="D715" s="88" t="s">
        <v>301</v>
      </c>
      <c r="E715" s="89">
        <v>37.72</v>
      </c>
      <c r="F715" s="88" t="s">
        <v>41</v>
      </c>
      <c r="G715" s="87">
        <f>Table1[[#This Row],[date]]</f>
        <v>45455</v>
      </c>
      <c r="H715" s="94">
        <f>SUMIF($A$2:A4350,G715,$E$2:E4350)</f>
        <v>221.42</v>
      </c>
      <c r="I715" s="93" t="str">
        <f t="shared" si="45"/>
        <v>Wednesday</v>
      </c>
      <c r="J715" s="93" t="str">
        <f t="shared" si="46"/>
        <v>June</v>
      </c>
      <c r="K715" s="93" t="str">
        <f t="shared" si="47"/>
        <v>2024</v>
      </c>
      <c r="L715" s="6"/>
      <c r="M715" s="6"/>
      <c r="N715" s="6"/>
    </row>
    <row r="716" spans="1:14" x14ac:dyDescent="0.3">
      <c r="A716" s="92">
        <v>45455</v>
      </c>
      <c r="B716" s="92" t="str">
        <f t="shared" si="44"/>
        <v>Wednesday</v>
      </c>
      <c r="C716" s="93" t="s">
        <v>1381</v>
      </c>
      <c r="D716" s="93" t="s">
        <v>295</v>
      </c>
      <c r="E716" s="94">
        <v>37.72</v>
      </c>
      <c r="F716" s="93" t="s">
        <v>5</v>
      </c>
      <c r="G716" s="87">
        <f>Table1[[#This Row],[date]]</f>
        <v>45455</v>
      </c>
      <c r="H716" s="94">
        <f>SUMIF($A$2:A4351,G716,$E$2:E4351)</f>
        <v>221.42</v>
      </c>
      <c r="I716" s="93" t="str">
        <f t="shared" si="45"/>
        <v>Wednesday</v>
      </c>
      <c r="J716" s="93" t="str">
        <f t="shared" si="46"/>
        <v>June</v>
      </c>
      <c r="K716" s="93" t="str">
        <f t="shared" si="47"/>
        <v>2024</v>
      </c>
      <c r="L716" s="6"/>
      <c r="M716" s="6"/>
      <c r="N716" s="6"/>
    </row>
    <row r="717" spans="1:14" x14ac:dyDescent="0.3">
      <c r="A717" s="87">
        <v>45455</v>
      </c>
      <c r="B717" s="87" t="str">
        <f t="shared" si="44"/>
        <v>Wednesday</v>
      </c>
      <c r="C717" s="88" t="s">
        <v>1381</v>
      </c>
      <c r="D717" s="88" t="s">
        <v>302</v>
      </c>
      <c r="E717" s="89">
        <v>37.72</v>
      </c>
      <c r="F717" s="88" t="s">
        <v>5</v>
      </c>
      <c r="G717" s="87">
        <f>Table1[[#This Row],[date]]</f>
        <v>45455</v>
      </c>
      <c r="H717" s="94">
        <f>SUMIF($A$2:A4352,G717,$E$2:E4352)</f>
        <v>221.42</v>
      </c>
      <c r="I717" s="93" t="str">
        <f t="shared" si="45"/>
        <v>Wednesday</v>
      </c>
      <c r="J717" s="93" t="str">
        <f t="shared" si="46"/>
        <v>June</v>
      </c>
      <c r="K717" s="93" t="str">
        <f t="shared" si="47"/>
        <v>2024</v>
      </c>
      <c r="L717" s="6"/>
      <c r="M717" s="6"/>
      <c r="N717" s="6"/>
    </row>
    <row r="718" spans="1:14" x14ac:dyDescent="0.3">
      <c r="A718" s="92">
        <v>45455</v>
      </c>
      <c r="B718" s="92" t="str">
        <f t="shared" si="44"/>
        <v>Wednesday</v>
      </c>
      <c r="C718" s="93" t="s">
        <v>1381</v>
      </c>
      <c r="D718" s="93" t="s">
        <v>268</v>
      </c>
      <c r="E718" s="94">
        <v>37.72</v>
      </c>
      <c r="F718" s="93" t="s">
        <v>7</v>
      </c>
      <c r="G718" s="87">
        <f>Table1[[#This Row],[date]]</f>
        <v>45455</v>
      </c>
      <c r="H718" s="94">
        <f>SUMIF($A$2:A4353,G718,$E$2:E4353)</f>
        <v>221.42</v>
      </c>
      <c r="I718" s="93" t="str">
        <f t="shared" si="45"/>
        <v>Wednesday</v>
      </c>
      <c r="J718" s="93" t="str">
        <f t="shared" si="46"/>
        <v>June</v>
      </c>
      <c r="K718" s="93" t="str">
        <f t="shared" si="47"/>
        <v>2024</v>
      </c>
      <c r="L718" s="6"/>
      <c r="M718" s="6"/>
      <c r="N718" s="6"/>
    </row>
    <row r="719" spans="1:14" x14ac:dyDescent="0.3">
      <c r="A719" s="87">
        <v>45455</v>
      </c>
      <c r="B719" s="87" t="str">
        <f t="shared" si="44"/>
        <v>Wednesday</v>
      </c>
      <c r="C719" s="88" t="s">
        <v>1381</v>
      </c>
      <c r="D719" s="88" t="s">
        <v>303</v>
      </c>
      <c r="E719" s="89">
        <v>32.82</v>
      </c>
      <c r="F719" s="88" t="s">
        <v>12</v>
      </c>
      <c r="G719" s="87">
        <f>Table1[[#This Row],[date]]</f>
        <v>45455</v>
      </c>
      <c r="H719" s="94">
        <f>SUMIF($A$2:A4354,G719,$E$2:E4354)</f>
        <v>221.42</v>
      </c>
      <c r="I719" s="93" t="str">
        <f t="shared" si="45"/>
        <v>Wednesday</v>
      </c>
      <c r="J719" s="93" t="str">
        <f t="shared" si="46"/>
        <v>June</v>
      </c>
      <c r="K719" s="93" t="str">
        <f t="shared" si="47"/>
        <v>2024</v>
      </c>
      <c r="L719" s="6"/>
      <c r="M719" s="6"/>
      <c r="N719" s="6"/>
    </row>
    <row r="720" spans="1:14" x14ac:dyDescent="0.3">
      <c r="A720" s="92">
        <v>45456</v>
      </c>
      <c r="B720" s="92" t="str">
        <f t="shared" si="44"/>
        <v>Thursday</v>
      </c>
      <c r="C720" s="93" t="s">
        <v>1381</v>
      </c>
      <c r="D720" s="93" t="s">
        <v>304</v>
      </c>
      <c r="E720" s="94">
        <v>27.92</v>
      </c>
      <c r="F720" s="93" t="s">
        <v>9</v>
      </c>
      <c r="G720" s="87">
        <f>Table1[[#This Row],[date]]</f>
        <v>45456</v>
      </c>
      <c r="H720" s="94">
        <f>SUMIF($A$2:A4355,G720,$E$2:E4355)</f>
        <v>346.32</v>
      </c>
      <c r="I720" s="93" t="str">
        <f t="shared" si="45"/>
        <v>Thursday</v>
      </c>
      <c r="J720" s="93" t="str">
        <f t="shared" si="46"/>
        <v>June</v>
      </c>
      <c r="K720" s="93" t="str">
        <f t="shared" si="47"/>
        <v>2024</v>
      </c>
      <c r="L720" s="6"/>
      <c r="M720" s="6"/>
      <c r="N720" s="6"/>
    </row>
    <row r="721" spans="1:14" x14ac:dyDescent="0.3">
      <c r="A721" s="87">
        <v>45456</v>
      </c>
      <c r="B721" s="87" t="str">
        <f t="shared" si="44"/>
        <v>Thursday</v>
      </c>
      <c r="C721" s="88" t="s">
        <v>1381</v>
      </c>
      <c r="D721" s="88" t="s">
        <v>109</v>
      </c>
      <c r="E721" s="89">
        <v>37.72</v>
      </c>
      <c r="F721" s="88" t="s">
        <v>5</v>
      </c>
      <c r="G721" s="87">
        <f>Table1[[#This Row],[date]]</f>
        <v>45456</v>
      </c>
      <c r="H721" s="94">
        <f>SUMIF($A$2:A4356,G721,$E$2:E4356)</f>
        <v>346.32</v>
      </c>
      <c r="I721" s="93" t="str">
        <f t="shared" si="45"/>
        <v>Thursday</v>
      </c>
      <c r="J721" s="93" t="str">
        <f t="shared" si="46"/>
        <v>June</v>
      </c>
      <c r="K721" s="93" t="str">
        <f t="shared" si="47"/>
        <v>2024</v>
      </c>
      <c r="L721" s="6"/>
      <c r="M721" s="6"/>
      <c r="N721" s="6"/>
    </row>
    <row r="722" spans="1:14" x14ac:dyDescent="0.3">
      <c r="A722" s="92">
        <v>45456</v>
      </c>
      <c r="B722" s="92" t="str">
        <f t="shared" si="44"/>
        <v>Thursday</v>
      </c>
      <c r="C722" s="93" t="s">
        <v>1381</v>
      </c>
      <c r="D722" s="93" t="s">
        <v>305</v>
      </c>
      <c r="E722" s="94">
        <v>32.82</v>
      </c>
      <c r="F722" s="93" t="s">
        <v>12</v>
      </c>
      <c r="G722" s="87">
        <f>Table1[[#This Row],[date]]</f>
        <v>45456</v>
      </c>
      <c r="H722" s="94">
        <f>SUMIF($A$2:A4357,G722,$E$2:E4357)</f>
        <v>346.32</v>
      </c>
      <c r="I722" s="93" t="str">
        <f t="shared" si="45"/>
        <v>Thursday</v>
      </c>
      <c r="J722" s="93" t="str">
        <f t="shared" si="46"/>
        <v>June</v>
      </c>
      <c r="K722" s="93" t="str">
        <f t="shared" si="47"/>
        <v>2024</v>
      </c>
      <c r="L722" s="6"/>
      <c r="M722" s="6"/>
      <c r="N722" s="6"/>
    </row>
    <row r="723" spans="1:14" x14ac:dyDescent="0.3">
      <c r="A723" s="87">
        <v>45456</v>
      </c>
      <c r="B723" s="87" t="str">
        <f t="shared" si="44"/>
        <v>Thursday</v>
      </c>
      <c r="C723" s="88" t="s">
        <v>1381</v>
      </c>
      <c r="D723" s="88" t="s">
        <v>153</v>
      </c>
      <c r="E723" s="89">
        <v>27.92</v>
      </c>
      <c r="F723" s="88" t="s">
        <v>26</v>
      </c>
      <c r="G723" s="87">
        <f>Table1[[#This Row],[date]]</f>
        <v>45456</v>
      </c>
      <c r="H723" s="94">
        <f>SUMIF($A$2:A4358,G723,$E$2:E4358)</f>
        <v>346.32</v>
      </c>
      <c r="I723" s="93" t="str">
        <f t="shared" si="45"/>
        <v>Thursday</v>
      </c>
      <c r="J723" s="93" t="str">
        <f t="shared" si="46"/>
        <v>June</v>
      </c>
      <c r="K723" s="93" t="str">
        <f t="shared" si="47"/>
        <v>2024</v>
      </c>
      <c r="L723" s="6"/>
      <c r="M723" s="6"/>
      <c r="N723" s="6"/>
    </row>
    <row r="724" spans="1:14" x14ac:dyDescent="0.3">
      <c r="A724" s="92">
        <v>45456</v>
      </c>
      <c r="B724" s="92" t="str">
        <f t="shared" si="44"/>
        <v>Thursday</v>
      </c>
      <c r="C724" s="93" t="s">
        <v>1381</v>
      </c>
      <c r="D724" s="93" t="s">
        <v>306</v>
      </c>
      <c r="E724" s="94">
        <v>32.82</v>
      </c>
      <c r="F724" s="93" t="s">
        <v>12</v>
      </c>
      <c r="G724" s="87">
        <f>Table1[[#This Row],[date]]</f>
        <v>45456</v>
      </c>
      <c r="H724" s="94">
        <f>SUMIF($A$2:A4359,G724,$E$2:E4359)</f>
        <v>346.32</v>
      </c>
      <c r="I724" s="93" t="str">
        <f t="shared" si="45"/>
        <v>Thursday</v>
      </c>
      <c r="J724" s="93" t="str">
        <f t="shared" si="46"/>
        <v>June</v>
      </c>
      <c r="K724" s="93" t="str">
        <f t="shared" si="47"/>
        <v>2024</v>
      </c>
      <c r="L724" s="6"/>
      <c r="M724" s="6"/>
      <c r="N724" s="6"/>
    </row>
    <row r="725" spans="1:14" x14ac:dyDescent="0.3">
      <c r="A725" s="87">
        <v>45456</v>
      </c>
      <c r="B725" s="87" t="str">
        <f t="shared" si="44"/>
        <v>Thursday</v>
      </c>
      <c r="C725" s="88" t="s">
        <v>1381</v>
      </c>
      <c r="D725" s="88" t="s">
        <v>307</v>
      </c>
      <c r="E725" s="89">
        <v>37.72</v>
      </c>
      <c r="F725" s="88" t="s">
        <v>7</v>
      </c>
      <c r="G725" s="87">
        <f>Table1[[#This Row],[date]]</f>
        <v>45456</v>
      </c>
      <c r="H725" s="94">
        <f>SUMIF($A$2:A4360,G725,$E$2:E4360)</f>
        <v>346.32</v>
      </c>
      <c r="I725" s="93" t="str">
        <f t="shared" si="45"/>
        <v>Thursday</v>
      </c>
      <c r="J725" s="93" t="str">
        <f t="shared" si="46"/>
        <v>June</v>
      </c>
      <c r="K725" s="93" t="str">
        <f t="shared" si="47"/>
        <v>2024</v>
      </c>
      <c r="L725" s="6"/>
      <c r="M725" s="6"/>
      <c r="N725" s="6"/>
    </row>
    <row r="726" spans="1:14" x14ac:dyDescent="0.3">
      <c r="A726" s="92">
        <v>45456</v>
      </c>
      <c r="B726" s="92" t="str">
        <f t="shared" si="44"/>
        <v>Thursday</v>
      </c>
      <c r="C726" s="93" t="s">
        <v>1381</v>
      </c>
      <c r="D726" s="93" t="s">
        <v>308</v>
      </c>
      <c r="E726" s="94">
        <v>37.72</v>
      </c>
      <c r="F726" s="93" t="s">
        <v>5</v>
      </c>
      <c r="G726" s="87">
        <f>Table1[[#This Row],[date]]</f>
        <v>45456</v>
      </c>
      <c r="H726" s="94">
        <f>SUMIF($A$2:A4361,G726,$E$2:E4361)</f>
        <v>346.32</v>
      </c>
      <c r="I726" s="93" t="str">
        <f t="shared" si="45"/>
        <v>Thursday</v>
      </c>
      <c r="J726" s="93" t="str">
        <f t="shared" si="46"/>
        <v>June</v>
      </c>
      <c r="K726" s="93" t="str">
        <f t="shared" si="47"/>
        <v>2024</v>
      </c>
      <c r="L726" s="6"/>
      <c r="M726" s="6"/>
      <c r="N726" s="6"/>
    </row>
    <row r="727" spans="1:14" x14ac:dyDescent="0.3">
      <c r="A727" s="87">
        <v>45456</v>
      </c>
      <c r="B727" s="87" t="str">
        <f t="shared" si="44"/>
        <v>Thursday</v>
      </c>
      <c r="C727" s="88" t="s">
        <v>1381</v>
      </c>
      <c r="D727" s="88" t="s">
        <v>21</v>
      </c>
      <c r="E727" s="89">
        <v>32.82</v>
      </c>
      <c r="F727" s="88" t="s">
        <v>12</v>
      </c>
      <c r="G727" s="87">
        <f>Table1[[#This Row],[date]]</f>
        <v>45456</v>
      </c>
      <c r="H727" s="94">
        <f>SUMIF($A$2:A4362,G727,$E$2:E4362)</f>
        <v>346.32</v>
      </c>
      <c r="I727" s="93" t="str">
        <f t="shared" si="45"/>
        <v>Thursday</v>
      </c>
      <c r="J727" s="93" t="str">
        <f t="shared" si="46"/>
        <v>June</v>
      </c>
      <c r="K727" s="93" t="str">
        <f t="shared" si="47"/>
        <v>2024</v>
      </c>
      <c r="L727" s="6"/>
      <c r="M727" s="6"/>
      <c r="N727" s="6"/>
    </row>
    <row r="728" spans="1:14" x14ac:dyDescent="0.3">
      <c r="A728" s="92">
        <v>45456</v>
      </c>
      <c r="B728" s="92" t="str">
        <f t="shared" si="44"/>
        <v>Thursday</v>
      </c>
      <c r="C728" s="93" t="s">
        <v>1381</v>
      </c>
      <c r="D728" s="93" t="s">
        <v>21</v>
      </c>
      <c r="E728" s="94">
        <v>23.02</v>
      </c>
      <c r="F728" s="93" t="s">
        <v>33</v>
      </c>
      <c r="G728" s="87">
        <f>Table1[[#This Row],[date]]</f>
        <v>45456</v>
      </c>
      <c r="H728" s="94">
        <f>SUMIF($A$2:A4363,G728,$E$2:E4363)</f>
        <v>346.32</v>
      </c>
      <c r="I728" s="93" t="str">
        <f t="shared" si="45"/>
        <v>Thursday</v>
      </c>
      <c r="J728" s="93" t="str">
        <f t="shared" si="46"/>
        <v>June</v>
      </c>
      <c r="K728" s="93" t="str">
        <f t="shared" si="47"/>
        <v>2024</v>
      </c>
      <c r="L728" s="6"/>
      <c r="M728" s="6"/>
      <c r="N728" s="6"/>
    </row>
    <row r="729" spans="1:14" x14ac:dyDescent="0.3">
      <c r="A729" s="87">
        <v>45456</v>
      </c>
      <c r="B729" s="87" t="str">
        <f t="shared" si="44"/>
        <v>Thursday</v>
      </c>
      <c r="C729" s="88" t="s">
        <v>1381</v>
      </c>
      <c r="D729" s="88" t="s">
        <v>307</v>
      </c>
      <c r="E729" s="89">
        <v>23.02</v>
      </c>
      <c r="F729" s="88" t="s">
        <v>33</v>
      </c>
      <c r="G729" s="87">
        <f>Table1[[#This Row],[date]]</f>
        <v>45456</v>
      </c>
      <c r="H729" s="94">
        <f>SUMIF($A$2:A4364,G729,$E$2:E4364)</f>
        <v>346.32</v>
      </c>
      <c r="I729" s="93" t="str">
        <f t="shared" si="45"/>
        <v>Thursday</v>
      </c>
      <c r="J729" s="93" t="str">
        <f t="shared" si="46"/>
        <v>June</v>
      </c>
      <c r="K729" s="93" t="str">
        <f t="shared" si="47"/>
        <v>2024</v>
      </c>
      <c r="L729" s="6"/>
      <c r="M729" s="6"/>
      <c r="N729" s="6"/>
    </row>
    <row r="730" spans="1:14" x14ac:dyDescent="0.3">
      <c r="A730" s="92">
        <v>45456</v>
      </c>
      <c r="B730" s="92" t="str">
        <f t="shared" si="44"/>
        <v>Thursday</v>
      </c>
      <c r="C730" s="93" t="s">
        <v>1381</v>
      </c>
      <c r="D730" s="93" t="s">
        <v>17</v>
      </c>
      <c r="E730" s="94">
        <v>32.82</v>
      </c>
      <c r="F730" s="93" t="s">
        <v>12</v>
      </c>
      <c r="G730" s="87">
        <f>Table1[[#This Row],[date]]</f>
        <v>45456</v>
      </c>
      <c r="H730" s="94">
        <f>SUMIF($A$2:A4365,G730,$E$2:E4365)</f>
        <v>346.32</v>
      </c>
      <c r="I730" s="93" t="str">
        <f t="shared" si="45"/>
        <v>Thursday</v>
      </c>
      <c r="J730" s="93" t="str">
        <f t="shared" si="46"/>
        <v>June</v>
      </c>
      <c r="K730" s="93" t="str">
        <f t="shared" si="47"/>
        <v>2024</v>
      </c>
      <c r="L730" s="6"/>
      <c r="M730" s="6"/>
      <c r="N730" s="6"/>
    </row>
    <row r="731" spans="1:14" x14ac:dyDescent="0.3">
      <c r="A731" s="92">
        <v>45457</v>
      </c>
      <c r="B731" s="92" t="str">
        <f t="shared" si="44"/>
        <v>Friday</v>
      </c>
      <c r="C731" s="93" t="s">
        <v>1381</v>
      </c>
      <c r="D731" s="93" t="s">
        <v>153</v>
      </c>
      <c r="E731" s="94">
        <v>27.92</v>
      </c>
      <c r="F731" s="93" t="s">
        <v>26</v>
      </c>
      <c r="G731" s="87">
        <f>Table1[[#This Row],[date]]</f>
        <v>45457</v>
      </c>
      <c r="H731" s="94">
        <f>SUMIF($A$2:A4366,G731,$E$2:E4366)</f>
        <v>126.38</v>
      </c>
      <c r="I731" s="93" t="str">
        <f t="shared" si="45"/>
        <v>Friday</v>
      </c>
      <c r="J731" s="93" t="str">
        <f t="shared" si="46"/>
        <v>June</v>
      </c>
      <c r="K731" s="93" t="str">
        <f t="shared" si="47"/>
        <v>2024</v>
      </c>
      <c r="L731" s="6"/>
      <c r="M731" s="6"/>
      <c r="N731" s="6"/>
    </row>
    <row r="732" spans="1:14" x14ac:dyDescent="0.3">
      <c r="A732" s="87">
        <v>45457</v>
      </c>
      <c r="B732" s="87" t="str">
        <f t="shared" si="44"/>
        <v>Friday</v>
      </c>
      <c r="C732" s="88" t="s">
        <v>1381</v>
      </c>
      <c r="D732" s="88" t="s">
        <v>309</v>
      </c>
      <c r="E732" s="89">
        <v>27.92</v>
      </c>
      <c r="F732" s="88" t="s">
        <v>9</v>
      </c>
      <c r="G732" s="87">
        <f>Table1[[#This Row],[date]]</f>
        <v>45457</v>
      </c>
      <c r="H732" s="94">
        <f>SUMIF($A$2:A4367,G732,$E$2:E4367)</f>
        <v>126.38</v>
      </c>
      <c r="I732" s="93" t="str">
        <f t="shared" si="45"/>
        <v>Friday</v>
      </c>
      <c r="J732" s="93" t="str">
        <f t="shared" si="46"/>
        <v>June</v>
      </c>
      <c r="K732" s="93" t="str">
        <f t="shared" si="47"/>
        <v>2024</v>
      </c>
      <c r="L732" s="6"/>
      <c r="M732" s="6"/>
      <c r="N732" s="6"/>
    </row>
    <row r="733" spans="1:14" x14ac:dyDescent="0.3">
      <c r="A733" s="92">
        <v>45457</v>
      </c>
      <c r="B733" s="92" t="str">
        <f t="shared" si="44"/>
        <v>Friday</v>
      </c>
      <c r="C733" s="93" t="s">
        <v>1381</v>
      </c>
      <c r="D733" s="93" t="s">
        <v>109</v>
      </c>
      <c r="E733" s="94">
        <v>37.72</v>
      </c>
      <c r="F733" s="93" t="s">
        <v>5</v>
      </c>
      <c r="G733" s="87">
        <f>Table1[[#This Row],[date]]</f>
        <v>45457</v>
      </c>
      <c r="H733" s="94">
        <f>SUMIF($A$2:A4368,G733,$E$2:E4368)</f>
        <v>126.38</v>
      </c>
      <c r="I733" s="93" t="str">
        <f t="shared" si="45"/>
        <v>Friday</v>
      </c>
      <c r="J733" s="93" t="str">
        <f t="shared" si="46"/>
        <v>June</v>
      </c>
      <c r="K733" s="93" t="str">
        <f t="shared" si="47"/>
        <v>2024</v>
      </c>
      <c r="L733" s="6"/>
      <c r="M733" s="6"/>
      <c r="N733" s="6"/>
    </row>
    <row r="734" spans="1:14" x14ac:dyDescent="0.3">
      <c r="A734" s="87">
        <v>45457</v>
      </c>
      <c r="B734" s="87" t="str">
        <f t="shared" si="44"/>
        <v>Friday</v>
      </c>
      <c r="C734" s="88" t="s">
        <v>1381</v>
      </c>
      <c r="D734" s="88" t="s">
        <v>310</v>
      </c>
      <c r="E734" s="89">
        <v>32.82</v>
      </c>
      <c r="F734" s="88" t="s">
        <v>12</v>
      </c>
      <c r="G734" s="87">
        <f>Table1[[#This Row],[date]]</f>
        <v>45457</v>
      </c>
      <c r="H734" s="94">
        <f>SUMIF($A$2:A4369,G734,$E$2:E4369)</f>
        <v>126.38</v>
      </c>
      <c r="I734" s="93" t="str">
        <f t="shared" si="45"/>
        <v>Friday</v>
      </c>
      <c r="J734" s="93" t="str">
        <f t="shared" si="46"/>
        <v>June</v>
      </c>
      <c r="K734" s="93" t="str">
        <f t="shared" si="47"/>
        <v>2024</v>
      </c>
      <c r="L734" s="6"/>
      <c r="M734" s="6"/>
      <c r="N734" s="6"/>
    </row>
    <row r="735" spans="1:14" x14ac:dyDescent="0.3">
      <c r="A735" s="92">
        <v>45458</v>
      </c>
      <c r="B735" s="92" t="str">
        <f t="shared" si="44"/>
        <v>Saturday</v>
      </c>
      <c r="C735" s="93" t="s">
        <v>1381</v>
      </c>
      <c r="D735" s="93" t="s">
        <v>311</v>
      </c>
      <c r="E735" s="94">
        <v>37.72</v>
      </c>
      <c r="F735" s="93" t="s">
        <v>41</v>
      </c>
      <c r="G735" s="87">
        <f>Table1[[#This Row],[date]]</f>
        <v>45458</v>
      </c>
      <c r="H735" s="94">
        <f>SUMIF($A$2:A4370,G735,$E$2:E4370)</f>
        <v>229.74</v>
      </c>
      <c r="I735" s="93" t="str">
        <f t="shared" si="45"/>
        <v>Saturday</v>
      </c>
      <c r="J735" s="93" t="str">
        <f t="shared" si="46"/>
        <v>June</v>
      </c>
      <c r="K735" s="93" t="str">
        <f t="shared" si="47"/>
        <v>2024</v>
      </c>
      <c r="L735" s="6"/>
      <c r="M735" s="6"/>
      <c r="N735" s="6"/>
    </row>
    <row r="736" spans="1:14" x14ac:dyDescent="0.3">
      <c r="A736" s="87">
        <v>45458</v>
      </c>
      <c r="B736" s="87" t="str">
        <f t="shared" si="44"/>
        <v>Saturday</v>
      </c>
      <c r="C736" s="88" t="s">
        <v>1381</v>
      </c>
      <c r="D736" s="88" t="s">
        <v>312</v>
      </c>
      <c r="E736" s="89">
        <v>37.72</v>
      </c>
      <c r="F736" s="88" t="s">
        <v>5</v>
      </c>
      <c r="G736" s="87">
        <f>Table1[[#This Row],[date]]</f>
        <v>45458</v>
      </c>
      <c r="H736" s="94">
        <f>SUMIF($A$2:A4371,G736,$E$2:E4371)</f>
        <v>229.74</v>
      </c>
      <c r="I736" s="93" t="str">
        <f t="shared" si="45"/>
        <v>Saturday</v>
      </c>
      <c r="J736" s="93" t="str">
        <f t="shared" si="46"/>
        <v>June</v>
      </c>
      <c r="K736" s="93" t="str">
        <f t="shared" si="47"/>
        <v>2024</v>
      </c>
      <c r="L736" s="6"/>
      <c r="M736" s="6"/>
      <c r="N736" s="6"/>
    </row>
    <row r="737" spans="1:14" x14ac:dyDescent="0.3">
      <c r="A737" s="92">
        <v>45458</v>
      </c>
      <c r="B737" s="92" t="str">
        <f t="shared" si="44"/>
        <v>Saturday</v>
      </c>
      <c r="C737" s="93" t="s">
        <v>1381</v>
      </c>
      <c r="D737" s="93" t="s">
        <v>312</v>
      </c>
      <c r="E737" s="94">
        <v>32.82</v>
      </c>
      <c r="F737" s="93" t="s">
        <v>12</v>
      </c>
      <c r="G737" s="87">
        <f>Table1[[#This Row],[date]]</f>
        <v>45458</v>
      </c>
      <c r="H737" s="94">
        <f>SUMIF($A$2:A4372,G737,$E$2:E4372)</f>
        <v>229.74</v>
      </c>
      <c r="I737" s="93" t="str">
        <f t="shared" si="45"/>
        <v>Saturday</v>
      </c>
      <c r="J737" s="93" t="str">
        <f t="shared" si="46"/>
        <v>June</v>
      </c>
      <c r="K737" s="93" t="str">
        <f t="shared" si="47"/>
        <v>2024</v>
      </c>
      <c r="L737" s="6"/>
      <c r="M737" s="6"/>
      <c r="N737" s="6"/>
    </row>
    <row r="738" spans="1:14" x14ac:dyDescent="0.3">
      <c r="A738" s="87">
        <v>45458</v>
      </c>
      <c r="B738" s="87" t="str">
        <f t="shared" si="44"/>
        <v>Saturday</v>
      </c>
      <c r="C738" s="88" t="s">
        <v>1381</v>
      </c>
      <c r="D738" s="88" t="s">
        <v>312</v>
      </c>
      <c r="E738" s="89">
        <v>23.02</v>
      </c>
      <c r="F738" s="88" t="s">
        <v>33</v>
      </c>
      <c r="G738" s="87">
        <f>Table1[[#This Row],[date]]</f>
        <v>45458</v>
      </c>
      <c r="H738" s="94">
        <f>SUMIF($A$2:A4373,G738,$E$2:E4373)</f>
        <v>229.74</v>
      </c>
      <c r="I738" s="93" t="str">
        <f t="shared" si="45"/>
        <v>Saturday</v>
      </c>
      <c r="J738" s="93" t="str">
        <f t="shared" si="46"/>
        <v>June</v>
      </c>
      <c r="K738" s="93" t="str">
        <f t="shared" si="47"/>
        <v>2024</v>
      </c>
      <c r="L738" s="6"/>
      <c r="M738" s="6"/>
      <c r="N738" s="6"/>
    </row>
    <row r="739" spans="1:14" x14ac:dyDescent="0.3">
      <c r="A739" s="92">
        <v>45458</v>
      </c>
      <c r="B739" s="92" t="str">
        <f t="shared" si="44"/>
        <v>Saturday</v>
      </c>
      <c r="C739" s="93" t="s">
        <v>1381</v>
      </c>
      <c r="D739" s="93" t="s">
        <v>312</v>
      </c>
      <c r="E739" s="94">
        <v>37.72</v>
      </c>
      <c r="F739" s="93" t="s">
        <v>16</v>
      </c>
      <c r="G739" s="87">
        <f>Table1[[#This Row],[date]]</f>
        <v>45458</v>
      </c>
      <c r="H739" s="94">
        <f>SUMIF($A$2:A4374,G739,$E$2:E4374)</f>
        <v>229.74</v>
      </c>
      <c r="I739" s="93" t="str">
        <f t="shared" si="45"/>
        <v>Saturday</v>
      </c>
      <c r="J739" s="93" t="str">
        <f t="shared" si="46"/>
        <v>June</v>
      </c>
      <c r="K739" s="93" t="str">
        <f t="shared" si="47"/>
        <v>2024</v>
      </c>
      <c r="L739" s="6"/>
      <c r="M739" s="6"/>
      <c r="N739" s="6"/>
    </row>
    <row r="740" spans="1:14" x14ac:dyDescent="0.3">
      <c r="A740" s="92">
        <v>45458</v>
      </c>
      <c r="B740" s="92" t="str">
        <f t="shared" si="44"/>
        <v>Saturday</v>
      </c>
      <c r="C740" s="93" t="s">
        <v>1381</v>
      </c>
      <c r="D740" s="93" t="s">
        <v>313</v>
      </c>
      <c r="E740" s="94">
        <v>32.82</v>
      </c>
      <c r="F740" s="93" t="s">
        <v>12</v>
      </c>
      <c r="G740" s="87">
        <f>Table1[[#This Row],[date]]</f>
        <v>45458</v>
      </c>
      <c r="H740" s="94">
        <f>SUMIF($A$2:A4375,G740,$E$2:E4375)</f>
        <v>229.74</v>
      </c>
      <c r="I740" s="93" t="str">
        <f t="shared" si="45"/>
        <v>Saturday</v>
      </c>
      <c r="J740" s="93" t="str">
        <f t="shared" si="46"/>
        <v>June</v>
      </c>
      <c r="K740" s="93" t="str">
        <f t="shared" si="47"/>
        <v>2024</v>
      </c>
      <c r="L740" s="6"/>
      <c r="M740" s="6"/>
      <c r="N740" s="6"/>
    </row>
    <row r="741" spans="1:14" x14ac:dyDescent="0.3">
      <c r="A741" s="87">
        <v>45458</v>
      </c>
      <c r="B741" s="87" t="str">
        <f t="shared" si="44"/>
        <v>Saturday</v>
      </c>
      <c r="C741" s="88" t="s">
        <v>1381</v>
      </c>
      <c r="D741" s="88" t="s">
        <v>314</v>
      </c>
      <c r="E741" s="89">
        <v>27.92</v>
      </c>
      <c r="F741" s="88" t="s">
        <v>9</v>
      </c>
      <c r="G741" s="87">
        <f>Table1[[#This Row],[date]]</f>
        <v>45458</v>
      </c>
      <c r="H741" s="94">
        <f>SUMIF($A$2:A4376,G741,$E$2:E4376)</f>
        <v>229.74</v>
      </c>
      <c r="I741" s="93" t="str">
        <f t="shared" si="45"/>
        <v>Saturday</v>
      </c>
      <c r="J741" s="93" t="str">
        <f t="shared" si="46"/>
        <v>June</v>
      </c>
      <c r="K741" s="93" t="str">
        <f t="shared" si="47"/>
        <v>2024</v>
      </c>
      <c r="L741" s="6"/>
      <c r="M741" s="6"/>
      <c r="N741" s="6"/>
    </row>
    <row r="742" spans="1:14" x14ac:dyDescent="0.3">
      <c r="A742" s="92">
        <v>45459</v>
      </c>
      <c r="B742" s="92" t="str">
        <f t="shared" si="44"/>
        <v>Sunday</v>
      </c>
      <c r="C742" s="93" t="s">
        <v>1381</v>
      </c>
      <c r="D742" s="93" t="s">
        <v>71</v>
      </c>
      <c r="E742" s="94">
        <v>32.82</v>
      </c>
      <c r="F742" s="93" t="s">
        <v>12</v>
      </c>
      <c r="G742" s="87">
        <f>Table1[[#This Row],[date]]</f>
        <v>45459</v>
      </c>
      <c r="H742" s="94">
        <f>SUMIF($A$2:A4377,G742,$E$2:E4377)</f>
        <v>272.36</v>
      </c>
      <c r="I742" s="93" t="str">
        <f t="shared" si="45"/>
        <v>Sunday</v>
      </c>
      <c r="J742" s="93" t="str">
        <f t="shared" si="46"/>
        <v>June</v>
      </c>
      <c r="K742" s="93" t="str">
        <f t="shared" si="47"/>
        <v>2024</v>
      </c>
      <c r="L742" s="6"/>
      <c r="M742" s="6"/>
      <c r="N742" s="6"/>
    </row>
    <row r="743" spans="1:14" x14ac:dyDescent="0.3">
      <c r="A743" s="87">
        <v>45459</v>
      </c>
      <c r="B743" s="87" t="str">
        <f t="shared" si="44"/>
        <v>Sunday</v>
      </c>
      <c r="C743" s="88" t="s">
        <v>1381</v>
      </c>
      <c r="D743" s="88" t="s">
        <v>315</v>
      </c>
      <c r="E743" s="89">
        <v>37.72</v>
      </c>
      <c r="F743" s="88" t="s">
        <v>5</v>
      </c>
      <c r="G743" s="87">
        <f>Table1[[#This Row],[date]]</f>
        <v>45459</v>
      </c>
      <c r="H743" s="94">
        <f>SUMIF($A$2:A4378,G743,$E$2:E4378)</f>
        <v>272.36</v>
      </c>
      <c r="I743" s="93" t="str">
        <f t="shared" si="45"/>
        <v>Sunday</v>
      </c>
      <c r="J743" s="93" t="str">
        <f t="shared" si="46"/>
        <v>June</v>
      </c>
      <c r="K743" s="93" t="str">
        <f t="shared" si="47"/>
        <v>2024</v>
      </c>
      <c r="L743" s="6"/>
      <c r="M743" s="6"/>
      <c r="N743" s="6"/>
    </row>
    <row r="744" spans="1:14" x14ac:dyDescent="0.3">
      <c r="A744" s="92">
        <v>45459</v>
      </c>
      <c r="B744" s="92" t="str">
        <f t="shared" si="44"/>
        <v>Sunday</v>
      </c>
      <c r="C744" s="93" t="s">
        <v>1381</v>
      </c>
      <c r="D744" s="93" t="s">
        <v>315</v>
      </c>
      <c r="E744" s="94">
        <v>37.72</v>
      </c>
      <c r="F744" s="93" t="s">
        <v>7</v>
      </c>
      <c r="G744" s="87">
        <f>Table1[[#This Row],[date]]</f>
        <v>45459</v>
      </c>
      <c r="H744" s="94">
        <f>SUMIF($A$2:A4379,G744,$E$2:E4379)</f>
        <v>272.36</v>
      </c>
      <c r="I744" s="93" t="str">
        <f t="shared" si="45"/>
        <v>Sunday</v>
      </c>
      <c r="J744" s="93" t="str">
        <f t="shared" si="46"/>
        <v>June</v>
      </c>
      <c r="K744" s="93" t="str">
        <f t="shared" si="47"/>
        <v>2024</v>
      </c>
      <c r="L744" s="6"/>
      <c r="M744" s="6"/>
      <c r="N744" s="6"/>
    </row>
    <row r="745" spans="1:14" x14ac:dyDescent="0.3">
      <c r="A745" s="92">
        <v>45459</v>
      </c>
      <c r="B745" s="92" t="str">
        <f t="shared" si="44"/>
        <v>Sunday</v>
      </c>
      <c r="C745" s="93" t="s">
        <v>1381</v>
      </c>
      <c r="D745" s="93" t="s">
        <v>288</v>
      </c>
      <c r="E745" s="94">
        <v>32.82</v>
      </c>
      <c r="F745" s="93" t="s">
        <v>12</v>
      </c>
      <c r="G745" s="87">
        <f>Table1[[#This Row],[date]]</f>
        <v>45459</v>
      </c>
      <c r="H745" s="94">
        <f>SUMIF($A$2:A4380,G745,$E$2:E4380)</f>
        <v>272.36</v>
      </c>
      <c r="I745" s="93" t="str">
        <f t="shared" si="45"/>
        <v>Sunday</v>
      </c>
      <c r="J745" s="93" t="str">
        <f t="shared" si="46"/>
        <v>June</v>
      </c>
      <c r="K745" s="93" t="str">
        <f t="shared" si="47"/>
        <v>2024</v>
      </c>
      <c r="L745" s="6"/>
      <c r="M745" s="6"/>
      <c r="N745" s="6"/>
    </row>
    <row r="746" spans="1:14" x14ac:dyDescent="0.3">
      <c r="A746" s="87">
        <v>45459</v>
      </c>
      <c r="B746" s="87" t="str">
        <f t="shared" si="44"/>
        <v>Sunday</v>
      </c>
      <c r="C746" s="88" t="s">
        <v>1381</v>
      </c>
      <c r="D746" s="88" t="s">
        <v>286</v>
      </c>
      <c r="E746" s="89">
        <v>23.02</v>
      </c>
      <c r="F746" s="88" t="s">
        <v>33</v>
      </c>
      <c r="G746" s="87">
        <f>Table1[[#This Row],[date]]</f>
        <v>45459</v>
      </c>
      <c r="H746" s="94">
        <f>SUMIF($A$2:A4381,G746,$E$2:E4381)</f>
        <v>272.36</v>
      </c>
      <c r="I746" s="93" t="str">
        <f t="shared" si="45"/>
        <v>Sunday</v>
      </c>
      <c r="J746" s="93" t="str">
        <f t="shared" si="46"/>
        <v>June</v>
      </c>
      <c r="K746" s="93" t="str">
        <f t="shared" si="47"/>
        <v>2024</v>
      </c>
      <c r="L746" s="6"/>
      <c r="M746" s="6"/>
      <c r="N746" s="6"/>
    </row>
    <row r="747" spans="1:14" x14ac:dyDescent="0.3">
      <c r="A747" s="92">
        <v>45459</v>
      </c>
      <c r="B747" s="92" t="str">
        <f t="shared" si="44"/>
        <v>Sunday</v>
      </c>
      <c r="C747" s="93" t="s">
        <v>1381</v>
      </c>
      <c r="D747" s="93" t="s">
        <v>316</v>
      </c>
      <c r="E747" s="94">
        <v>32.82</v>
      </c>
      <c r="F747" s="93" t="s">
        <v>12</v>
      </c>
      <c r="G747" s="87">
        <f>Table1[[#This Row],[date]]</f>
        <v>45459</v>
      </c>
      <c r="H747" s="94">
        <f>SUMIF($A$2:A4382,G747,$E$2:E4382)</f>
        <v>272.36</v>
      </c>
      <c r="I747" s="93" t="str">
        <f t="shared" si="45"/>
        <v>Sunday</v>
      </c>
      <c r="J747" s="93" t="str">
        <f t="shared" si="46"/>
        <v>June</v>
      </c>
      <c r="K747" s="93" t="str">
        <f t="shared" si="47"/>
        <v>2024</v>
      </c>
      <c r="L747" s="6"/>
      <c r="M747" s="6"/>
      <c r="N747" s="6"/>
    </row>
    <row r="748" spans="1:14" x14ac:dyDescent="0.3">
      <c r="A748" s="92">
        <v>45459</v>
      </c>
      <c r="B748" s="92" t="str">
        <f t="shared" si="44"/>
        <v>Sunday</v>
      </c>
      <c r="C748" s="93" t="s">
        <v>1381</v>
      </c>
      <c r="D748" s="93" t="s">
        <v>317</v>
      </c>
      <c r="E748" s="94">
        <v>37.72</v>
      </c>
      <c r="F748" s="93" t="s">
        <v>7</v>
      </c>
      <c r="G748" s="87">
        <f>Table1[[#This Row],[date]]</f>
        <v>45459</v>
      </c>
      <c r="H748" s="94">
        <f>SUMIF($A$2:A4383,G748,$E$2:E4383)</f>
        <v>272.36</v>
      </c>
      <c r="I748" s="93" t="str">
        <f t="shared" si="45"/>
        <v>Sunday</v>
      </c>
      <c r="J748" s="93" t="str">
        <f t="shared" si="46"/>
        <v>June</v>
      </c>
      <c r="K748" s="93" t="str">
        <f t="shared" si="47"/>
        <v>2024</v>
      </c>
      <c r="L748" s="6"/>
      <c r="M748" s="6"/>
      <c r="N748" s="6"/>
    </row>
    <row r="749" spans="1:14" x14ac:dyDescent="0.3">
      <c r="A749" s="87">
        <v>45459</v>
      </c>
      <c r="B749" s="87" t="str">
        <f t="shared" si="44"/>
        <v>Sunday</v>
      </c>
      <c r="C749" s="88" t="s">
        <v>1381</v>
      </c>
      <c r="D749" s="88" t="s">
        <v>318</v>
      </c>
      <c r="E749" s="89">
        <v>37.72</v>
      </c>
      <c r="F749" s="88" t="s">
        <v>7</v>
      </c>
      <c r="G749" s="87">
        <f>Table1[[#This Row],[date]]</f>
        <v>45459</v>
      </c>
      <c r="H749" s="94">
        <f>SUMIF($A$2:A4384,G749,$E$2:E4384)</f>
        <v>272.36</v>
      </c>
      <c r="I749" s="93" t="str">
        <f t="shared" si="45"/>
        <v>Sunday</v>
      </c>
      <c r="J749" s="93" t="str">
        <f t="shared" si="46"/>
        <v>June</v>
      </c>
      <c r="K749" s="93" t="str">
        <f t="shared" si="47"/>
        <v>2024</v>
      </c>
      <c r="L749" s="6"/>
      <c r="M749" s="6"/>
      <c r="N749" s="6"/>
    </row>
    <row r="750" spans="1:14" x14ac:dyDescent="0.3">
      <c r="A750" s="92">
        <v>45460</v>
      </c>
      <c r="B750" s="92" t="str">
        <f t="shared" si="44"/>
        <v>Monday</v>
      </c>
      <c r="C750" s="93" t="s">
        <v>1381</v>
      </c>
      <c r="D750" s="93" t="s">
        <v>319</v>
      </c>
      <c r="E750" s="94">
        <v>27.92</v>
      </c>
      <c r="F750" s="93" t="s">
        <v>9</v>
      </c>
      <c r="G750" s="87">
        <f>Table1[[#This Row],[date]]</f>
        <v>45460</v>
      </c>
      <c r="H750" s="94">
        <f>SUMIF($A$2:A4385,G750,$E$2:E4385)</f>
        <v>257.66000000000003</v>
      </c>
      <c r="I750" s="93" t="str">
        <f t="shared" si="45"/>
        <v>Monday</v>
      </c>
      <c r="J750" s="93" t="str">
        <f t="shared" si="46"/>
        <v>June</v>
      </c>
      <c r="K750" s="93" t="str">
        <f t="shared" si="47"/>
        <v>2024</v>
      </c>
      <c r="L750" s="6"/>
      <c r="M750" s="6"/>
      <c r="N750" s="6"/>
    </row>
    <row r="751" spans="1:14" x14ac:dyDescent="0.3">
      <c r="A751" s="87">
        <v>45460</v>
      </c>
      <c r="B751" s="87" t="str">
        <f t="shared" si="44"/>
        <v>Monday</v>
      </c>
      <c r="C751" s="88" t="s">
        <v>1381</v>
      </c>
      <c r="D751" s="88" t="s">
        <v>320</v>
      </c>
      <c r="E751" s="89">
        <v>27.92</v>
      </c>
      <c r="F751" s="88" t="s">
        <v>26</v>
      </c>
      <c r="G751" s="87">
        <f>Table1[[#This Row],[date]]</f>
        <v>45460</v>
      </c>
      <c r="H751" s="94">
        <f>SUMIF($A$2:A4386,G751,$E$2:E4386)</f>
        <v>257.66000000000003</v>
      </c>
      <c r="I751" s="93" t="str">
        <f t="shared" si="45"/>
        <v>Monday</v>
      </c>
      <c r="J751" s="93" t="str">
        <f t="shared" si="46"/>
        <v>June</v>
      </c>
      <c r="K751" s="93" t="str">
        <f t="shared" si="47"/>
        <v>2024</v>
      </c>
      <c r="L751" s="6"/>
      <c r="M751" s="6"/>
      <c r="N751" s="6"/>
    </row>
    <row r="752" spans="1:14" x14ac:dyDescent="0.3">
      <c r="A752" s="87">
        <v>45460</v>
      </c>
      <c r="B752" s="87" t="str">
        <f t="shared" si="44"/>
        <v>Monday</v>
      </c>
      <c r="C752" s="88" t="s">
        <v>1381</v>
      </c>
      <c r="D752" s="88" t="s">
        <v>54</v>
      </c>
      <c r="E752" s="89">
        <v>37.72</v>
      </c>
      <c r="F752" s="88" t="s">
        <v>41</v>
      </c>
      <c r="G752" s="87">
        <f>Table1[[#This Row],[date]]</f>
        <v>45460</v>
      </c>
      <c r="H752" s="94">
        <f>SUMIF($A$2:A4387,G752,$E$2:E4387)</f>
        <v>257.66000000000003</v>
      </c>
      <c r="I752" s="93" t="str">
        <f t="shared" si="45"/>
        <v>Monday</v>
      </c>
      <c r="J752" s="93" t="str">
        <f t="shared" si="46"/>
        <v>June</v>
      </c>
      <c r="K752" s="93" t="str">
        <f t="shared" si="47"/>
        <v>2024</v>
      </c>
      <c r="L752" s="6"/>
      <c r="M752" s="6"/>
      <c r="N752" s="6"/>
    </row>
    <row r="753" spans="1:14" x14ac:dyDescent="0.3">
      <c r="A753" s="92">
        <v>45460</v>
      </c>
      <c r="B753" s="92" t="str">
        <f t="shared" si="44"/>
        <v>Monday</v>
      </c>
      <c r="C753" s="93" t="s">
        <v>1381</v>
      </c>
      <c r="D753" s="93" t="s">
        <v>176</v>
      </c>
      <c r="E753" s="94">
        <v>37.72</v>
      </c>
      <c r="F753" s="93" t="s">
        <v>41</v>
      </c>
      <c r="G753" s="87">
        <f>Table1[[#This Row],[date]]</f>
        <v>45460</v>
      </c>
      <c r="H753" s="94">
        <f>SUMIF($A$2:A4388,G753,$E$2:E4388)</f>
        <v>257.66000000000003</v>
      </c>
      <c r="I753" s="93" t="str">
        <f t="shared" si="45"/>
        <v>Monday</v>
      </c>
      <c r="J753" s="93" t="str">
        <f t="shared" si="46"/>
        <v>June</v>
      </c>
      <c r="K753" s="93" t="str">
        <f t="shared" si="47"/>
        <v>2024</v>
      </c>
      <c r="L753" s="6"/>
      <c r="M753" s="6"/>
      <c r="N753" s="6"/>
    </row>
    <row r="754" spans="1:14" x14ac:dyDescent="0.3">
      <c r="A754" s="87">
        <v>45460</v>
      </c>
      <c r="B754" s="87" t="str">
        <f t="shared" si="44"/>
        <v>Monday</v>
      </c>
      <c r="C754" s="88" t="s">
        <v>1381</v>
      </c>
      <c r="D754" s="88" t="s">
        <v>21</v>
      </c>
      <c r="E754" s="89">
        <v>37.72</v>
      </c>
      <c r="F754" s="88" t="s">
        <v>41</v>
      </c>
      <c r="G754" s="87">
        <f>Table1[[#This Row],[date]]</f>
        <v>45460</v>
      </c>
      <c r="H754" s="94">
        <f>SUMIF($A$2:A4389,G754,$E$2:E4389)</f>
        <v>257.66000000000003</v>
      </c>
      <c r="I754" s="93" t="str">
        <f t="shared" si="45"/>
        <v>Monday</v>
      </c>
      <c r="J754" s="93" t="str">
        <f t="shared" si="46"/>
        <v>June</v>
      </c>
      <c r="K754" s="93" t="str">
        <f t="shared" si="47"/>
        <v>2024</v>
      </c>
      <c r="L754" s="6"/>
      <c r="M754" s="6"/>
      <c r="N754" s="6"/>
    </row>
    <row r="755" spans="1:14" x14ac:dyDescent="0.3">
      <c r="A755" s="87">
        <v>45460</v>
      </c>
      <c r="B755" s="87" t="str">
        <f t="shared" si="44"/>
        <v>Monday</v>
      </c>
      <c r="C755" s="88" t="s">
        <v>1381</v>
      </c>
      <c r="D755" s="88" t="s">
        <v>21</v>
      </c>
      <c r="E755" s="89">
        <v>27.92</v>
      </c>
      <c r="F755" s="88" t="s">
        <v>9</v>
      </c>
      <c r="G755" s="87">
        <f>Table1[[#This Row],[date]]</f>
        <v>45460</v>
      </c>
      <c r="H755" s="94">
        <f>SUMIF($A$2:A4390,G755,$E$2:E4390)</f>
        <v>257.66000000000003</v>
      </c>
      <c r="I755" s="93" t="str">
        <f t="shared" si="45"/>
        <v>Monday</v>
      </c>
      <c r="J755" s="93" t="str">
        <f t="shared" si="46"/>
        <v>June</v>
      </c>
      <c r="K755" s="93" t="str">
        <f t="shared" si="47"/>
        <v>2024</v>
      </c>
      <c r="L755" s="6"/>
      <c r="M755" s="6"/>
      <c r="N755" s="6"/>
    </row>
    <row r="756" spans="1:14" x14ac:dyDescent="0.3">
      <c r="A756" s="92">
        <v>45460</v>
      </c>
      <c r="B756" s="92" t="str">
        <f t="shared" si="44"/>
        <v>Monday</v>
      </c>
      <c r="C756" s="93" t="s">
        <v>1381</v>
      </c>
      <c r="D756" s="93" t="s">
        <v>321</v>
      </c>
      <c r="E756" s="94">
        <v>27.92</v>
      </c>
      <c r="F756" s="93" t="s">
        <v>9</v>
      </c>
      <c r="G756" s="87">
        <f>Table1[[#This Row],[date]]</f>
        <v>45460</v>
      </c>
      <c r="H756" s="94">
        <f>SUMIF($A$2:A4391,G756,$E$2:E4391)</f>
        <v>257.66000000000003</v>
      </c>
      <c r="I756" s="93" t="str">
        <f t="shared" si="45"/>
        <v>Monday</v>
      </c>
      <c r="J756" s="93" t="str">
        <f t="shared" si="46"/>
        <v>June</v>
      </c>
      <c r="K756" s="93" t="str">
        <f t="shared" si="47"/>
        <v>2024</v>
      </c>
      <c r="L756" s="6"/>
      <c r="M756" s="6"/>
      <c r="N756" s="6"/>
    </row>
    <row r="757" spans="1:14" x14ac:dyDescent="0.3">
      <c r="A757" s="87">
        <v>45460</v>
      </c>
      <c r="B757" s="87" t="str">
        <f t="shared" si="44"/>
        <v>Monday</v>
      </c>
      <c r="C757" s="88" t="s">
        <v>1381</v>
      </c>
      <c r="D757" s="88" t="s">
        <v>17</v>
      </c>
      <c r="E757" s="89">
        <v>32.82</v>
      </c>
      <c r="F757" s="88" t="s">
        <v>12</v>
      </c>
      <c r="G757" s="87">
        <f>Table1[[#This Row],[date]]</f>
        <v>45460</v>
      </c>
      <c r="H757" s="94">
        <f>SUMIF($A$2:A4392,G757,$E$2:E4392)</f>
        <v>257.66000000000003</v>
      </c>
      <c r="I757" s="93" t="str">
        <f t="shared" si="45"/>
        <v>Monday</v>
      </c>
      <c r="J757" s="93" t="str">
        <f t="shared" si="46"/>
        <v>June</v>
      </c>
      <c r="K757" s="93" t="str">
        <f t="shared" si="47"/>
        <v>2024</v>
      </c>
      <c r="L757" s="6"/>
      <c r="M757" s="6"/>
      <c r="N757" s="6"/>
    </row>
    <row r="758" spans="1:14" x14ac:dyDescent="0.3">
      <c r="A758" s="92">
        <v>45461</v>
      </c>
      <c r="B758" s="92" t="str">
        <f t="shared" si="44"/>
        <v>Tuesday</v>
      </c>
      <c r="C758" s="93" t="s">
        <v>1381</v>
      </c>
      <c r="D758" s="93" t="s">
        <v>311</v>
      </c>
      <c r="E758" s="94">
        <v>27.92</v>
      </c>
      <c r="F758" s="93" t="s">
        <v>9</v>
      </c>
      <c r="G758" s="87">
        <f>Table1[[#This Row],[date]]</f>
        <v>45461</v>
      </c>
      <c r="H758" s="94">
        <f>SUMIF($A$2:A4393,G758,$E$2:E4393)</f>
        <v>164.1</v>
      </c>
      <c r="I758" s="93" t="str">
        <f t="shared" si="45"/>
        <v>Tuesday</v>
      </c>
      <c r="J758" s="93" t="str">
        <f t="shared" si="46"/>
        <v>June</v>
      </c>
      <c r="K758" s="93" t="str">
        <f t="shared" si="47"/>
        <v>2024</v>
      </c>
      <c r="L758" s="6"/>
      <c r="M758" s="6"/>
      <c r="N758" s="6"/>
    </row>
    <row r="759" spans="1:14" x14ac:dyDescent="0.3">
      <c r="A759" s="87">
        <v>45461</v>
      </c>
      <c r="B759" s="87" t="str">
        <f t="shared" si="44"/>
        <v>Tuesday</v>
      </c>
      <c r="C759" s="88" t="s">
        <v>1381</v>
      </c>
      <c r="D759" s="88" t="s">
        <v>311</v>
      </c>
      <c r="E759" s="89">
        <v>37.72</v>
      </c>
      <c r="F759" s="88" t="s">
        <v>41</v>
      </c>
      <c r="G759" s="87">
        <f>Table1[[#This Row],[date]]</f>
        <v>45461</v>
      </c>
      <c r="H759" s="94">
        <f>SUMIF($A$2:A4394,G759,$E$2:E4394)</f>
        <v>164.1</v>
      </c>
      <c r="I759" s="93" t="str">
        <f t="shared" si="45"/>
        <v>Tuesday</v>
      </c>
      <c r="J759" s="93" t="str">
        <f t="shared" si="46"/>
        <v>June</v>
      </c>
      <c r="K759" s="93" t="str">
        <f t="shared" si="47"/>
        <v>2024</v>
      </c>
      <c r="L759" s="6"/>
      <c r="M759" s="6"/>
      <c r="N759" s="6"/>
    </row>
    <row r="760" spans="1:14" x14ac:dyDescent="0.3">
      <c r="A760" s="92">
        <v>45461</v>
      </c>
      <c r="B760" s="92" t="str">
        <f t="shared" si="44"/>
        <v>Tuesday</v>
      </c>
      <c r="C760" s="93" t="s">
        <v>1381</v>
      </c>
      <c r="D760" s="93" t="s">
        <v>166</v>
      </c>
      <c r="E760" s="94">
        <v>37.72</v>
      </c>
      <c r="F760" s="93" t="s">
        <v>41</v>
      </c>
      <c r="G760" s="87">
        <f>Table1[[#This Row],[date]]</f>
        <v>45461</v>
      </c>
      <c r="H760" s="94">
        <f>SUMIF($A$2:A4395,G760,$E$2:E4395)</f>
        <v>164.1</v>
      </c>
      <c r="I760" s="93" t="str">
        <f t="shared" si="45"/>
        <v>Tuesday</v>
      </c>
      <c r="J760" s="93" t="str">
        <f t="shared" si="46"/>
        <v>June</v>
      </c>
      <c r="K760" s="93" t="str">
        <f t="shared" si="47"/>
        <v>2024</v>
      </c>
      <c r="L760" s="6"/>
      <c r="M760" s="6"/>
      <c r="N760" s="6"/>
    </row>
    <row r="761" spans="1:14" x14ac:dyDescent="0.3">
      <c r="A761" s="92">
        <v>45461</v>
      </c>
      <c r="B761" s="92" t="str">
        <f t="shared" si="44"/>
        <v>Tuesday</v>
      </c>
      <c r="C761" s="93" t="s">
        <v>1381</v>
      </c>
      <c r="D761" s="93" t="s">
        <v>322</v>
      </c>
      <c r="E761" s="94">
        <v>27.92</v>
      </c>
      <c r="F761" s="93" t="s">
        <v>26</v>
      </c>
      <c r="G761" s="87">
        <f>Table1[[#This Row],[date]]</f>
        <v>45461</v>
      </c>
      <c r="H761" s="94">
        <f>SUMIF($A$2:A4396,G761,$E$2:E4396)</f>
        <v>164.1</v>
      </c>
      <c r="I761" s="93" t="str">
        <f t="shared" si="45"/>
        <v>Tuesday</v>
      </c>
      <c r="J761" s="93" t="str">
        <f t="shared" si="46"/>
        <v>June</v>
      </c>
      <c r="K761" s="93" t="str">
        <f t="shared" si="47"/>
        <v>2024</v>
      </c>
      <c r="L761" s="6"/>
      <c r="M761" s="6"/>
      <c r="N761" s="6"/>
    </row>
    <row r="762" spans="1:14" x14ac:dyDescent="0.3">
      <c r="A762" s="87">
        <v>45461</v>
      </c>
      <c r="B762" s="87" t="str">
        <f t="shared" si="44"/>
        <v>Tuesday</v>
      </c>
      <c r="C762" s="88" t="s">
        <v>1381</v>
      </c>
      <c r="D762" s="88" t="s">
        <v>21</v>
      </c>
      <c r="E762" s="89">
        <v>32.82</v>
      </c>
      <c r="F762" s="88" t="s">
        <v>12</v>
      </c>
      <c r="G762" s="87">
        <f>Table1[[#This Row],[date]]</f>
        <v>45461</v>
      </c>
      <c r="H762" s="94">
        <f>SUMIF($A$2:A4397,G762,$E$2:E4397)</f>
        <v>164.1</v>
      </c>
      <c r="I762" s="93" t="str">
        <f t="shared" si="45"/>
        <v>Tuesday</v>
      </c>
      <c r="J762" s="93" t="str">
        <f t="shared" si="46"/>
        <v>June</v>
      </c>
      <c r="K762" s="93" t="str">
        <f t="shared" si="47"/>
        <v>2024</v>
      </c>
      <c r="L762" s="6"/>
      <c r="M762" s="6"/>
      <c r="N762" s="6"/>
    </row>
    <row r="763" spans="1:14" x14ac:dyDescent="0.3">
      <c r="A763" s="87">
        <v>45462</v>
      </c>
      <c r="B763" s="87" t="str">
        <f t="shared" si="44"/>
        <v>Wednesday</v>
      </c>
      <c r="C763" s="88" t="s">
        <v>1381</v>
      </c>
      <c r="D763" s="88" t="s">
        <v>323</v>
      </c>
      <c r="E763" s="89">
        <v>37.72</v>
      </c>
      <c r="F763" s="88" t="s">
        <v>5</v>
      </c>
      <c r="G763" s="87">
        <f>Table1[[#This Row],[date]]</f>
        <v>45462</v>
      </c>
      <c r="H763" s="94">
        <f>SUMIF($A$2:A4398,G763,$E$2:E4398)</f>
        <v>380.61999999999995</v>
      </c>
      <c r="I763" s="93" t="str">
        <f t="shared" si="45"/>
        <v>Wednesday</v>
      </c>
      <c r="J763" s="93" t="str">
        <f t="shared" si="46"/>
        <v>June</v>
      </c>
      <c r="K763" s="93" t="str">
        <f t="shared" si="47"/>
        <v>2024</v>
      </c>
      <c r="L763" s="6"/>
      <c r="M763" s="6"/>
      <c r="N763" s="6"/>
    </row>
    <row r="764" spans="1:14" x14ac:dyDescent="0.3">
      <c r="A764" s="92">
        <v>45462</v>
      </c>
      <c r="B764" s="92" t="str">
        <f t="shared" si="44"/>
        <v>Wednesday</v>
      </c>
      <c r="C764" s="93" t="s">
        <v>1381</v>
      </c>
      <c r="D764" s="93" t="s">
        <v>153</v>
      </c>
      <c r="E764" s="94">
        <v>27.92</v>
      </c>
      <c r="F764" s="93" t="s">
        <v>26</v>
      </c>
      <c r="G764" s="87">
        <f>Table1[[#This Row],[date]]</f>
        <v>45462</v>
      </c>
      <c r="H764" s="94">
        <f>SUMIF($A$2:A4399,G764,$E$2:E4399)</f>
        <v>380.61999999999995</v>
      </c>
      <c r="I764" s="93" t="str">
        <f t="shared" si="45"/>
        <v>Wednesday</v>
      </c>
      <c r="J764" s="93" t="str">
        <f t="shared" si="46"/>
        <v>June</v>
      </c>
      <c r="K764" s="93" t="str">
        <f t="shared" si="47"/>
        <v>2024</v>
      </c>
      <c r="L764" s="6"/>
      <c r="M764" s="6"/>
      <c r="N764" s="6"/>
    </row>
    <row r="765" spans="1:14" x14ac:dyDescent="0.3">
      <c r="A765" s="87">
        <v>45462</v>
      </c>
      <c r="B765" s="87" t="str">
        <f t="shared" si="44"/>
        <v>Wednesday</v>
      </c>
      <c r="C765" s="88" t="s">
        <v>1381</v>
      </c>
      <c r="D765" s="88" t="s">
        <v>324</v>
      </c>
      <c r="E765" s="89">
        <v>27.92</v>
      </c>
      <c r="F765" s="88" t="s">
        <v>9</v>
      </c>
      <c r="G765" s="87">
        <f>Table1[[#This Row],[date]]</f>
        <v>45462</v>
      </c>
      <c r="H765" s="94">
        <f>SUMIF($A$2:A4400,G765,$E$2:E4400)</f>
        <v>380.61999999999995</v>
      </c>
      <c r="I765" s="93" t="str">
        <f t="shared" si="45"/>
        <v>Wednesday</v>
      </c>
      <c r="J765" s="93" t="str">
        <f t="shared" si="46"/>
        <v>June</v>
      </c>
      <c r="K765" s="93" t="str">
        <f t="shared" si="47"/>
        <v>2024</v>
      </c>
      <c r="L765" s="6"/>
      <c r="M765" s="6"/>
      <c r="N765" s="6"/>
    </row>
    <row r="766" spans="1:14" x14ac:dyDescent="0.3">
      <c r="A766" s="92">
        <v>45462</v>
      </c>
      <c r="B766" s="92" t="str">
        <f t="shared" si="44"/>
        <v>Wednesday</v>
      </c>
      <c r="C766" s="93" t="s">
        <v>1381</v>
      </c>
      <c r="D766" s="93" t="s">
        <v>325</v>
      </c>
      <c r="E766" s="94">
        <v>37.72</v>
      </c>
      <c r="F766" s="93" t="s">
        <v>5</v>
      </c>
      <c r="G766" s="87">
        <f>Table1[[#This Row],[date]]</f>
        <v>45462</v>
      </c>
      <c r="H766" s="94">
        <f>SUMIF($A$2:A4401,G766,$E$2:E4401)</f>
        <v>380.61999999999995</v>
      </c>
      <c r="I766" s="93" t="str">
        <f t="shared" si="45"/>
        <v>Wednesday</v>
      </c>
      <c r="J766" s="93" t="str">
        <f t="shared" si="46"/>
        <v>June</v>
      </c>
      <c r="K766" s="93" t="str">
        <f t="shared" si="47"/>
        <v>2024</v>
      </c>
      <c r="L766" s="6"/>
      <c r="M766" s="6"/>
      <c r="N766" s="6"/>
    </row>
    <row r="767" spans="1:14" x14ac:dyDescent="0.3">
      <c r="A767" s="87">
        <v>45462</v>
      </c>
      <c r="B767" s="87" t="str">
        <f t="shared" si="44"/>
        <v>Wednesday</v>
      </c>
      <c r="C767" s="88" t="s">
        <v>1381</v>
      </c>
      <c r="D767" s="88" t="s">
        <v>325</v>
      </c>
      <c r="E767" s="89">
        <v>37.72</v>
      </c>
      <c r="F767" s="88" t="s">
        <v>16</v>
      </c>
      <c r="G767" s="87">
        <f>Table1[[#This Row],[date]]</f>
        <v>45462</v>
      </c>
      <c r="H767" s="94">
        <f>SUMIF($A$2:A4402,G767,$E$2:E4402)</f>
        <v>380.61999999999995</v>
      </c>
      <c r="I767" s="93" t="str">
        <f t="shared" si="45"/>
        <v>Wednesday</v>
      </c>
      <c r="J767" s="93" t="str">
        <f t="shared" si="46"/>
        <v>June</v>
      </c>
      <c r="K767" s="93" t="str">
        <f t="shared" si="47"/>
        <v>2024</v>
      </c>
      <c r="L767" s="6"/>
      <c r="M767" s="6"/>
      <c r="N767" s="6"/>
    </row>
    <row r="768" spans="1:14" x14ac:dyDescent="0.3">
      <c r="A768" s="92">
        <v>45462</v>
      </c>
      <c r="B768" s="92" t="str">
        <f t="shared" si="44"/>
        <v>Wednesday</v>
      </c>
      <c r="C768" s="93" t="s">
        <v>1381</v>
      </c>
      <c r="D768" s="93" t="s">
        <v>176</v>
      </c>
      <c r="E768" s="94">
        <v>32.82</v>
      </c>
      <c r="F768" s="93" t="s">
        <v>12</v>
      </c>
      <c r="G768" s="87">
        <f>Table1[[#This Row],[date]]</f>
        <v>45462</v>
      </c>
      <c r="H768" s="94">
        <f>SUMIF($A$2:A4403,G768,$E$2:E4403)</f>
        <v>380.61999999999995</v>
      </c>
      <c r="I768" s="93" t="str">
        <f t="shared" si="45"/>
        <v>Wednesday</v>
      </c>
      <c r="J768" s="93" t="str">
        <f t="shared" si="46"/>
        <v>June</v>
      </c>
      <c r="K768" s="93" t="str">
        <f t="shared" si="47"/>
        <v>2024</v>
      </c>
      <c r="L768" s="6"/>
      <c r="M768" s="6"/>
      <c r="N768" s="6"/>
    </row>
    <row r="769" spans="1:14" x14ac:dyDescent="0.3">
      <c r="A769" s="87">
        <v>45462</v>
      </c>
      <c r="B769" s="87" t="str">
        <f t="shared" si="44"/>
        <v>Wednesday</v>
      </c>
      <c r="C769" s="88" t="s">
        <v>1381</v>
      </c>
      <c r="D769" s="88" t="s">
        <v>165</v>
      </c>
      <c r="E769" s="89">
        <v>37.72</v>
      </c>
      <c r="F769" s="88" t="s">
        <v>41</v>
      </c>
      <c r="G769" s="87">
        <f>Table1[[#This Row],[date]]</f>
        <v>45462</v>
      </c>
      <c r="H769" s="94">
        <f>SUMIF($A$2:A4404,G769,$E$2:E4404)</f>
        <v>380.61999999999995</v>
      </c>
      <c r="I769" s="93" t="str">
        <f t="shared" si="45"/>
        <v>Wednesday</v>
      </c>
      <c r="J769" s="93" t="str">
        <f t="shared" si="46"/>
        <v>June</v>
      </c>
      <c r="K769" s="93" t="str">
        <f t="shared" si="47"/>
        <v>2024</v>
      </c>
      <c r="L769" s="6"/>
      <c r="M769" s="6"/>
      <c r="N769" s="6"/>
    </row>
    <row r="770" spans="1:14" x14ac:dyDescent="0.3">
      <c r="A770" s="92">
        <v>45462</v>
      </c>
      <c r="B770" s="92" t="str">
        <f t="shared" ref="B770:B833" si="48">TEXT(A770,"dddd")</f>
        <v>Wednesday</v>
      </c>
      <c r="C770" s="93" t="s">
        <v>1381</v>
      </c>
      <c r="D770" s="93" t="s">
        <v>165</v>
      </c>
      <c r="E770" s="94">
        <v>37.72</v>
      </c>
      <c r="F770" s="93" t="s">
        <v>5</v>
      </c>
      <c r="G770" s="87">
        <f>Table1[[#This Row],[date]]</f>
        <v>45462</v>
      </c>
      <c r="H770" s="94">
        <f>SUMIF($A$2:A4405,G770,$E$2:E4405)</f>
        <v>380.61999999999995</v>
      </c>
      <c r="I770" s="93" t="str">
        <f t="shared" si="45"/>
        <v>Wednesday</v>
      </c>
      <c r="J770" s="93" t="str">
        <f t="shared" si="46"/>
        <v>June</v>
      </c>
      <c r="K770" s="93" t="str">
        <f t="shared" si="47"/>
        <v>2024</v>
      </c>
      <c r="L770" s="6"/>
      <c r="M770" s="6"/>
      <c r="N770" s="6"/>
    </row>
    <row r="771" spans="1:14" x14ac:dyDescent="0.3">
      <c r="A771" s="87">
        <v>45462</v>
      </c>
      <c r="B771" s="87" t="str">
        <f t="shared" si="48"/>
        <v>Wednesday</v>
      </c>
      <c r="C771" s="88" t="s">
        <v>1381</v>
      </c>
      <c r="D771" s="88" t="s">
        <v>17</v>
      </c>
      <c r="E771" s="89">
        <v>32.82</v>
      </c>
      <c r="F771" s="88" t="s">
        <v>12</v>
      </c>
      <c r="G771" s="87">
        <f>Table1[[#This Row],[date]]</f>
        <v>45462</v>
      </c>
      <c r="H771" s="94">
        <f>SUMIF($A$2:A4406,G771,$E$2:E4406)</f>
        <v>380.61999999999995</v>
      </c>
      <c r="I771" s="93" t="str">
        <f t="shared" si="45"/>
        <v>Wednesday</v>
      </c>
      <c r="J771" s="93" t="str">
        <f t="shared" si="46"/>
        <v>June</v>
      </c>
      <c r="K771" s="93" t="str">
        <f t="shared" si="47"/>
        <v>2024</v>
      </c>
      <c r="L771" s="6"/>
      <c r="M771" s="6"/>
      <c r="N771" s="6"/>
    </row>
    <row r="772" spans="1:14" x14ac:dyDescent="0.3">
      <c r="A772" s="92">
        <v>45462</v>
      </c>
      <c r="B772" s="92" t="str">
        <f t="shared" si="48"/>
        <v>Wednesday</v>
      </c>
      <c r="C772" s="93" t="s">
        <v>1381</v>
      </c>
      <c r="D772" s="93" t="s">
        <v>204</v>
      </c>
      <c r="E772" s="94">
        <v>37.72</v>
      </c>
      <c r="F772" s="93" t="s">
        <v>41</v>
      </c>
      <c r="G772" s="87">
        <f>Table1[[#This Row],[date]]</f>
        <v>45462</v>
      </c>
      <c r="H772" s="94">
        <f>SUMIF($A$2:A4407,G772,$E$2:E4407)</f>
        <v>380.61999999999995</v>
      </c>
      <c r="I772" s="93" t="str">
        <f t="shared" si="45"/>
        <v>Wednesday</v>
      </c>
      <c r="J772" s="93" t="str">
        <f t="shared" si="46"/>
        <v>June</v>
      </c>
      <c r="K772" s="93" t="str">
        <f t="shared" si="47"/>
        <v>2024</v>
      </c>
      <c r="L772" s="6"/>
      <c r="M772" s="6"/>
      <c r="N772" s="6"/>
    </row>
    <row r="773" spans="1:14" x14ac:dyDescent="0.3">
      <c r="A773" s="87">
        <v>45462</v>
      </c>
      <c r="B773" s="87" t="str">
        <f t="shared" si="48"/>
        <v>Wednesday</v>
      </c>
      <c r="C773" s="88" t="s">
        <v>1381</v>
      </c>
      <c r="D773" s="88" t="s">
        <v>204</v>
      </c>
      <c r="E773" s="89">
        <v>32.82</v>
      </c>
      <c r="F773" s="88" t="s">
        <v>12</v>
      </c>
      <c r="G773" s="87">
        <f>Table1[[#This Row],[date]]</f>
        <v>45462</v>
      </c>
      <c r="H773" s="94">
        <f>SUMIF($A$2:A4408,G773,$E$2:E4408)</f>
        <v>380.61999999999995</v>
      </c>
      <c r="I773" s="93" t="str">
        <f t="shared" si="45"/>
        <v>Wednesday</v>
      </c>
      <c r="J773" s="93" t="str">
        <f t="shared" si="46"/>
        <v>June</v>
      </c>
      <c r="K773" s="93" t="str">
        <f t="shared" si="47"/>
        <v>2024</v>
      </c>
      <c r="L773" s="6"/>
      <c r="M773" s="6"/>
      <c r="N773" s="6"/>
    </row>
    <row r="774" spans="1:14" x14ac:dyDescent="0.3">
      <c r="A774" s="92">
        <v>45463</v>
      </c>
      <c r="B774" s="92" t="str">
        <f t="shared" si="48"/>
        <v>Thursday</v>
      </c>
      <c r="C774" s="93" t="s">
        <v>1381</v>
      </c>
      <c r="D774" s="93" t="s">
        <v>109</v>
      </c>
      <c r="E774" s="94">
        <v>37.72</v>
      </c>
      <c r="F774" s="93" t="s">
        <v>5</v>
      </c>
      <c r="G774" s="87">
        <f>Table1[[#This Row],[date]]</f>
        <v>45463</v>
      </c>
      <c r="H774" s="94">
        <f>SUMIF($A$2:A4409,G774,$E$2:E4409)</f>
        <v>183.7</v>
      </c>
      <c r="I774" s="93" t="str">
        <f t="shared" ref="I774:I837" si="49">TEXT(G774,"dddd")</f>
        <v>Thursday</v>
      </c>
      <c r="J774" s="93" t="str">
        <f t="shared" si="46"/>
        <v>June</v>
      </c>
      <c r="K774" s="93" t="str">
        <f t="shared" si="47"/>
        <v>2024</v>
      </c>
      <c r="L774" s="6"/>
      <c r="M774" s="6"/>
      <c r="N774" s="6"/>
    </row>
    <row r="775" spans="1:14" x14ac:dyDescent="0.3">
      <c r="A775" s="87">
        <v>45463</v>
      </c>
      <c r="B775" s="87" t="str">
        <f t="shared" si="48"/>
        <v>Thursday</v>
      </c>
      <c r="C775" s="88" t="s">
        <v>1381</v>
      </c>
      <c r="D775" s="88" t="s">
        <v>326</v>
      </c>
      <c r="E775" s="89">
        <v>37.72</v>
      </c>
      <c r="F775" s="88" t="s">
        <v>5</v>
      </c>
      <c r="G775" s="87">
        <f>Table1[[#This Row],[date]]</f>
        <v>45463</v>
      </c>
      <c r="H775" s="94">
        <f>SUMIF($A$2:A4410,G775,$E$2:E4410)</f>
        <v>183.7</v>
      </c>
      <c r="I775" s="93" t="str">
        <f t="shared" si="49"/>
        <v>Thursday</v>
      </c>
      <c r="J775" s="93" t="str">
        <f t="shared" ref="J775:J838" si="50">TEXT(G775,"mmmm")</f>
        <v>June</v>
      </c>
      <c r="K775" s="93" t="str">
        <f t="shared" ref="K775:K838" si="51">TEXT(G775,"yyyy")</f>
        <v>2024</v>
      </c>
      <c r="L775" s="6"/>
      <c r="M775" s="6"/>
      <c r="N775" s="6"/>
    </row>
    <row r="776" spans="1:14" x14ac:dyDescent="0.3">
      <c r="A776" s="87">
        <v>45463</v>
      </c>
      <c r="B776" s="87" t="str">
        <f t="shared" si="48"/>
        <v>Thursday</v>
      </c>
      <c r="C776" s="88" t="s">
        <v>1381</v>
      </c>
      <c r="D776" s="88" t="s">
        <v>269</v>
      </c>
      <c r="E776" s="89">
        <v>37.72</v>
      </c>
      <c r="F776" s="88" t="s">
        <v>5</v>
      </c>
      <c r="G776" s="87">
        <f>Table1[[#This Row],[date]]</f>
        <v>45463</v>
      </c>
      <c r="H776" s="94">
        <f>SUMIF($A$2:A4411,G776,$E$2:E4411)</f>
        <v>183.7</v>
      </c>
      <c r="I776" s="93" t="str">
        <f t="shared" si="49"/>
        <v>Thursday</v>
      </c>
      <c r="J776" s="93" t="str">
        <f t="shared" si="50"/>
        <v>June</v>
      </c>
      <c r="K776" s="93" t="str">
        <f t="shared" si="51"/>
        <v>2024</v>
      </c>
      <c r="L776" s="6"/>
      <c r="M776" s="6"/>
      <c r="N776" s="6"/>
    </row>
    <row r="777" spans="1:14" x14ac:dyDescent="0.3">
      <c r="A777" s="92">
        <v>45463</v>
      </c>
      <c r="B777" s="92" t="str">
        <f t="shared" si="48"/>
        <v>Thursday</v>
      </c>
      <c r="C777" s="93" t="s">
        <v>1381</v>
      </c>
      <c r="D777" s="93" t="s">
        <v>17</v>
      </c>
      <c r="E777" s="94">
        <v>37.72</v>
      </c>
      <c r="F777" s="93" t="s">
        <v>5</v>
      </c>
      <c r="G777" s="87">
        <f>Table1[[#This Row],[date]]</f>
        <v>45463</v>
      </c>
      <c r="H777" s="94">
        <f>SUMIF($A$2:A4412,G777,$E$2:E4412)</f>
        <v>183.7</v>
      </c>
      <c r="I777" s="93" t="str">
        <f t="shared" si="49"/>
        <v>Thursday</v>
      </c>
      <c r="J777" s="93" t="str">
        <f t="shared" si="50"/>
        <v>June</v>
      </c>
      <c r="K777" s="93" t="str">
        <f t="shared" si="51"/>
        <v>2024</v>
      </c>
      <c r="L777" s="6"/>
      <c r="M777" s="6"/>
      <c r="N777" s="6"/>
    </row>
    <row r="778" spans="1:14" x14ac:dyDescent="0.3">
      <c r="A778" s="87">
        <v>45463</v>
      </c>
      <c r="B778" s="87" t="str">
        <f t="shared" si="48"/>
        <v>Thursday</v>
      </c>
      <c r="C778" s="88" t="s">
        <v>1381</v>
      </c>
      <c r="D778" s="88" t="s">
        <v>17</v>
      </c>
      <c r="E778" s="89">
        <v>32.82</v>
      </c>
      <c r="F778" s="88" t="s">
        <v>12</v>
      </c>
      <c r="G778" s="87">
        <f>Table1[[#This Row],[date]]</f>
        <v>45463</v>
      </c>
      <c r="H778" s="94">
        <f>SUMIF($A$2:A4413,G778,$E$2:E4413)</f>
        <v>183.7</v>
      </c>
      <c r="I778" s="93" t="str">
        <f t="shared" si="49"/>
        <v>Thursday</v>
      </c>
      <c r="J778" s="93" t="str">
        <f t="shared" si="50"/>
        <v>June</v>
      </c>
      <c r="K778" s="93" t="str">
        <f t="shared" si="51"/>
        <v>2024</v>
      </c>
      <c r="L778" s="6"/>
      <c r="M778" s="6"/>
      <c r="N778" s="6"/>
    </row>
    <row r="779" spans="1:14" x14ac:dyDescent="0.3">
      <c r="A779" s="92">
        <v>45464</v>
      </c>
      <c r="B779" s="92" t="str">
        <f t="shared" si="48"/>
        <v>Friday</v>
      </c>
      <c r="C779" s="93" t="s">
        <v>1381</v>
      </c>
      <c r="D779" s="93" t="s">
        <v>323</v>
      </c>
      <c r="E779" s="94">
        <v>37.72</v>
      </c>
      <c r="F779" s="93" t="s">
        <v>5</v>
      </c>
      <c r="G779" s="87">
        <f>Table1[[#This Row],[date]]</f>
        <v>45464</v>
      </c>
      <c r="H779" s="94">
        <f>SUMIF($A$2:A4414,G779,$E$2:E4414)</f>
        <v>295.38</v>
      </c>
      <c r="I779" s="93" t="str">
        <f t="shared" si="49"/>
        <v>Friday</v>
      </c>
      <c r="J779" s="93" t="str">
        <f t="shared" si="50"/>
        <v>June</v>
      </c>
      <c r="K779" s="93" t="str">
        <f t="shared" si="51"/>
        <v>2024</v>
      </c>
      <c r="L779" s="6"/>
      <c r="M779" s="6"/>
      <c r="N779" s="6"/>
    </row>
    <row r="780" spans="1:14" x14ac:dyDescent="0.3">
      <c r="A780" s="87">
        <v>45464</v>
      </c>
      <c r="B780" s="87" t="str">
        <f t="shared" si="48"/>
        <v>Friday</v>
      </c>
      <c r="C780" s="88" t="s">
        <v>1381</v>
      </c>
      <c r="D780" s="88" t="s">
        <v>327</v>
      </c>
      <c r="E780" s="89">
        <v>27.92</v>
      </c>
      <c r="F780" s="88" t="s">
        <v>9</v>
      </c>
      <c r="G780" s="87">
        <f>Table1[[#This Row],[date]]</f>
        <v>45464</v>
      </c>
      <c r="H780" s="94">
        <f>SUMIF($A$2:A4415,G780,$E$2:E4415)</f>
        <v>295.38</v>
      </c>
      <c r="I780" s="93" t="str">
        <f t="shared" si="49"/>
        <v>Friday</v>
      </c>
      <c r="J780" s="93" t="str">
        <f t="shared" si="50"/>
        <v>June</v>
      </c>
      <c r="K780" s="93" t="str">
        <f t="shared" si="51"/>
        <v>2024</v>
      </c>
      <c r="L780" s="6"/>
      <c r="M780" s="6"/>
      <c r="N780" s="6"/>
    </row>
    <row r="781" spans="1:14" x14ac:dyDescent="0.3">
      <c r="A781" s="92">
        <v>45464</v>
      </c>
      <c r="B781" s="92" t="str">
        <f t="shared" si="48"/>
        <v>Friday</v>
      </c>
      <c r="C781" s="93" t="s">
        <v>1381</v>
      </c>
      <c r="D781" s="93" t="s">
        <v>21</v>
      </c>
      <c r="E781" s="94">
        <v>32.82</v>
      </c>
      <c r="F781" s="93" t="s">
        <v>12</v>
      </c>
      <c r="G781" s="87">
        <f>Table1[[#This Row],[date]]</f>
        <v>45464</v>
      </c>
      <c r="H781" s="94">
        <f>SUMIF($A$2:A4416,G781,$E$2:E4416)</f>
        <v>295.38</v>
      </c>
      <c r="I781" s="93" t="str">
        <f t="shared" si="49"/>
        <v>Friday</v>
      </c>
      <c r="J781" s="93" t="str">
        <f t="shared" si="50"/>
        <v>June</v>
      </c>
      <c r="K781" s="93" t="str">
        <f t="shared" si="51"/>
        <v>2024</v>
      </c>
      <c r="L781" s="6"/>
      <c r="M781" s="6"/>
      <c r="N781" s="6"/>
    </row>
    <row r="782" spans="1:14" x14ac:dyDescent="0.3">
      <c r="A782" s="92">
        <v>45464</v>
      </c>
      <c r="B782" s="92" t="str">
        <f t="shared" si="48"/>
        <v>Friday</v>
      </c>
      <c r="C782" s="93" t="s">
        <v>1381</v>
      </c>
      <c r="D782" s="93" t="s">
        <v>328</v>
      </c>
      <c r="E782" s="94">
        <v>23.02</v>
      </c>
      <c r="F782" s="93" t="s">
        <v>33</v>
      </c>
      <c r="G782" s="87">
        <f>Table1[[#This Row],[date]]</f>
        <v>45464</v>
      </c>
      <c r="H782" s="94">
        <f>SUMIF($A$2:A4417,G782,$E$2:E4417)</f>
        <v>295.38</v>
      </c>
      <c r="I782" s="93" t="str">
        <f t="shared" si="49"/>
        <v>Friday</v>
      </c>
      <c r="J782" s="93" t="str">
        <f t="shared" si="50"/>
        <v>June</v>
      </c>
      <c r="K782" s="93" t="str">
        <f t="shared" si="51"/>
        <v>2024</v>
      </c>
      <c r="L782" s="6"/>
      <c r="M782" s="6"/>
      <c r="N782" s="6"/>
    </row>
    <row r="783" spans="1:14" x14ac:dyDescent="0.3">
      <c r="A783" s="87">
        <v>45464</v>
      </c>
      <c r="B783" s="87" t="str">
        <f t="shared" si="48"/>
        <v>Friday</v>
      </c>
      <c r="C783" s="88" t="s">
        <v>1381</v>
      </c>
      <c r="D783" s="88" t="s">
        <v>17</v>
      </c>
      <c r="E783" s="89">
        <v>37.72</v>
      </c>
      <c r="F783" s="88" t="s">
        <v>5</v>
      </c>
      <c r="G783" s="87">
        <f>Table1[[#This Row],[date]]</f>
        <v>45464</v>
      </c>
      <c r="H783" s="94">
        <f>SUMIF($A$2:A4418,G783,$E$2:E4418)</f>
        <v>295.38</v>
      </c>
      <c r="I783" s="93" t="str">
        <f t="shared" si="49"/>
        <v>Friday</v>
      </c>
      <c r="J783" s="93" t="str">
        <f t="shared" si="50"/>
        <v>June</v>
      </c>
      <c r="K783" s="93" t="str">
        <f t="shared" si="51"/>
        <v>2024</v>
      </c>
      <c r="L783" s="6"/>
      <c r="M783" s="6"/>
      <c r="N783" s="6"/>
    </row>
    <row r="784" spans="1:14" x14ac:dyDescent="0.3">
      <c r="A784" s="92">
        <v>45464</v>
      </c>
      <c r="B784" s="92" t="str">
        <f t="shared" si="48"/>
        <v>Friday</v>
      </c>
      <c r="C784" s="93" t="s">
        <v>1381</v>
      </c>
      <c r="D784" s="93" t="s">
        <v>166</v>
      </c>
      <c r="E784" s="94">
        <v>37.72</v>
      </c>
      <c r="F784" s="93" t="s">
        <v>41</v>
      </c>
      <c r="G784" s="87">
        <f>Table1[[#This Row],[date]]</f>
        <v>45464</v>
      </c>
      <c r="H784" s="94">
        <f>SUMIF($A$2:A4419,G784,$E$2:E4419)</f>
        <v>295.38</v>
      </c>
      <c r="I784" s="93" t="str">
        <f t="shared" si="49"/>
        <v>Friday</v>
      </c>
      <c r="J784" s="93" t="str">
        <f t="shared" si="50"/>
        <v>June</v>
      </c>
      <c r="K784" s="93" t="str">
        <f t="shared" si="51"/>
        <v>2024</v>
      </c>
      <c r="L784" s="6"/>
      <c r="M784" s="6"/>
      <c r="N784" s="6"/>
    </row>
    <row r="785" spans="1:14" x14ac:dyDescent="0.3">
      <c r="A785" s="92">
        <v>45464</v>
      </c>
      <c r="B785" s="92" t="str">
        <f t="shared" si="48"/>
        <v>Friday</v>
      </c>
      <c r="C785" s="93" t="s">
        <v>1381</v>
      </c>
      <c r="D785" s="93" t="s">
        <v>192</v>
      </c>
      <c r="E785" s="94">
        <v>37.72</v>
      </c>
      <c r="F785" s="93" t="s">
        <v>41</v>
      </c>
      <c r="G785" s="87">
        <f>Table1[[#This Row],[date]]</f>
        <v>45464</v>
      </c>
      <c r="H785" s="94">
        <f>SUMIF($A$2:A4420,G785,$E$2:E4420)</f>
        <v>295.38</v>
      </c>
      <c r="I785" s="93" t="str">
        <f t="shared" si="49"/>
        <v>Friday</v>
      </c>
      <c r="J785" s="93" t="str">
        <f t="shared" si="50"/>
        <v>June</v>
      </c>
      <c r="K785" s="93" t="str">
        <f t="shared" si="51"/>
        <v>2024</v>
      </c>
      <c r="L785" s="6"/>
      <c r="M785" s="6"/>
      <c r="N785" s="6"/>
    </row>
    <row r="786" spans="1:14" x14ac:dyDescent="0.3">
      <c r="A786" s="92">
        <v>45464</v>
      </c>
      <c r="B786" s="92" t="str">
        <f t="shared" si="48"/>
        <v>Friday</v>
      </c>
      <c r="C786" s="93" t="s">
        <v>1381</v>
      </c>
      <c r="D786" s="93" t="s">
        <v>192</v>
      </c>
      <c r="E786" s="94">
        <v>27.92</v>
      </c>
      <c r="F786" s="93" t="s">
        <v>9</v>
      </c>
      <c r="G786" s="87">
        <f>Table1[[#This Row],[date]]</f>
        <v>45464</v>
      </c>
      <c r="H786" s="94">
        <f>SUMIF($A$2:A4421,G786,$E$2:E4421)</f>
        <v>295.38</v>
      </c>
      <c r="I786" s="93" t="str">
        <f t="shared" si="49"/>
        <v>Friday</v>
      </c>
      <c r="J786" s="93" t="str">
        <f t="shared" si="50"/>
        <v>June</v>
      </c>
      <c r="K786" s="93" t="str">
        <f t="shared" si="51"/>
        <v>2024</v>
      </c>
      <c r="L786" s="6"/>
      <c r="M786" s="6"/>
      <c r="N786" s="6"/>
    </row>
    <row r="787" spans="1:14" x14ac:dyDescent="0.3">
      <c r="A787" s="87">
        <v>45464</v>
      </c>
      <c r="B787" s="87" t="str">
        <f t="shared" si="48"/>
        <v>Friday</v>
      </c>
      <c r="C787" s="88" t="s">
        <v>1381</v>
      </c>
      <c r="D787" s="88" t="s">
        <v>323</v>
      </c>
      <c r="E787" s="89">
        <v>32.82</v>
      </c>
      <c r="F787" s="88" t="s">
        <v>12</v>
      </c>
      <c r="G787" s="87">
        <f>Table1[[#This Row],[date]]</f>
        <v>45464</v>
      </c>
      <c r="H787" s="94">
        <f>SUMIF($A$2:A4422,G787,$E$2:E4422)</f>
        <v>295.38</v>
      </c>
      <c r="I787" s="93" t="str">
        <f t="shared" si="49"/>
        <v>Friday</v>
      </c>
      <c r="J787" s="93" t="str">
        <f t="shared" si="50"/>
        <v>June</v>
      </c>
      <c r="K787" s="93" t="str">
        <f t="shared" si="51"/>
        <v>2024</v>
      </c>
      <c r="L787" s="6"/>
      <c r="M787" s="6"/>
      <c r="N787" s="6"/>
    </row>
    <row r="788" spans="1:14" x14ac:dyDescent="0.3">
      <c r="A788" s="92">
        <v>45465</v>
      </c>
      <c r="B788" s="92" t="str">
        <f t="shared" si="48"/>
        <v>Saturday</v>
      </c>
      <c r="C788" s="93" t="s">
        <v>1381</v>
      </c>
      <c r="D788" s="93" t="s">
        <v>153</v>
      </c>
      <c r="E788" s="94">
        <v>27.92</v>
      </c>
      <c r="F788" s="93" t="s">
        <v>26</v>
      </c>
      <c r="G788" s="87">
        <f>Table1[[#This Row],[date]]</f>
        <v>45465</v>
      </c>
      <c r="H788" s="94">
        <f>SUMIF($A$2:A4423,G788,$E$2:E4423)</f>
        <v>169</v>
      </c>
      <c r="I788" s="93" t="str">
        <f t="shared" si="49"/>
        <v>Saturday</v>
      </c>
      <c r="J788" s="93" t="str">
        <f t="shared" si="50"/>
        <v>June</v>
      </c>
      <c r="K788" s="93" t="str">
        <f t="shared" si="51"/>
        <v>2024</v>
      </c>
      <c r="L788" s="6"/>
      <c r="M788" s="6"/>
      <c r="N788" s="6"/>
    </row>
    <row r="789" spans="1:14" x14ac:dyDescent="0.3">
      <c r="A789" s="87">
        <v>45465</v>
      </c>
      <c r="B789" s="87" t="str">
        <f t="shared" si="48"/>
        <v>Saturday</v>
      </c>
      <c r="C789" s="88" t="s">
        <v>1381</v>
      </c>
      <c r="D789" s="88" t="s">
        <v>323</v>
      </c>
      <c r="E789" s="89">
        <v>32.82</v>
      </c>
      <c r="F789" s="88" t="s">
        <v>12</v>
      </c>
      <c r="G789" s="87">
        <f>Table1[[#This Row],[date]]</f>
        <v>45465</v>
      </c>
      <c r="H789" s="94">
        <f>SUMIF($A$2:A4424,G789,$E$2:E4424)</f>
        <v>169</v>
      </c>
      <c r="I789" s="93" t="str">
        <f t="shared" si="49"/>
        <v>Saturday</v>
      </c>
      <c r="J789" s="93" t="str">
        <f t="shared" si="50"/>
        <v>June</v>
      </c>
      <c r="K789" s="93" t="str">
        <f t="shared" si="51"/>
        <v>2024</v>
      </c>
      <c r="L789" s="6"/>
      <c r="M789" s="6"/>
      <c r="N789" s="6"/>
    </row>
    <row r="790" spans="1:14" x14ac:dyDescent="0.3">
      <c r="A790" s="92">
        <v>45465</v>
      </c>
      <c r="B790" s="92" t="str">
        <f t="shared" si="48"/>
        <v>Saturday</v>
      </c>
      <c r="C790" s="93" t="s">
        <v>1381</v>
      </c>
      <c r="D790" s="93" t="s">
        <v>329</v>
      </c>
      <c r="E790" s="94">
        <v>32.82</v>
      </c>
      <c r="F790" s="93" t="s">
        <v>12</v>
      </c>
      <c r="G790" s="87">
        <f>Table1[[#This Row],[date]]</f>
        <v>45465</v>
      </c>
      <c r="H790" s="94">
        <f>SUMIF($A$2:A4425,G790,$E$2:E4425)</f>
        <v>169</v>
      </c>
      <c r="I790" s="93" t="str">
        <f t="shared" si="49"/>
        <v>Saturday</v>
      </c>
      <c r="J790" s="93" t="str">
        <f t="shared" si="50"/>
        <v>June</v>
      </c>
      <c r="K790" s="93" t="str">
        <f t="shared" si="51"/>
        <v>2024</v>
      </c>
      <c r="L790" s="6"/>
      <c r="M790" s="6"/>
      <c r="N790" s="6"/>
    </row>
    <row r="791" spans="1:14" x14ac:dyDescent="0.3">
      <c r="A791" s="87">
        <v>45465</v>
      </c>
      <c r="B791" s="87" t="str">
        <f t="shared" si="48"/>
        <v>Saturday</v>
      </c>
      <c r="C791" s="88" t="s">
        <v>1381</v>
      </c>
      <c r="D791" s="88" t="s">
        <v>17</v>
      </c>
      <c r="E791" s="89">
        <v>37.72</v>
      </c>
      <c r="F791" s="88" t="s">
        <v>5</v>
      </c>
      <c r="G791" s="87">
        <f>Table1[[#This Row],[date]]</f>
        <v>45465</v>
      </c>
      <c r="H791" s="94">
        <f>SUMIF($A$2:A4426,G791,$E$2:E4426)</f>
        <v>169</v>
      </c>
      <c r="I791" s="93" t="str">
        <f t="shared" si="49"/>
        <v>Saturday</v>
      </c>
      <c r="J791" s="93" t="str">
        <f t="shared" si="50"/>
        <v>June</v>
      </c>
      <c r="K791" s="93" t="str">
        <f t="shared" si="51"/>
        <v>2024</v>
      </c>
      <c r="L791" s="6"/>
      <c r="M791" s="6"/>
      <c r="N791" s="6"/>
    </row>
    <row r="792" spans="1:14" x14ac:dyDescent="0.3">
      <c r="A792" s="92">
        <v>45465</v>
      </c>
      <c r="B792" s="92" t="str">
        <f t="shared" si="48"/>
        <v>Saturday</v>
      </c>
      <c r="C792" s="93" t="s">
        <v>1381</v>
      </c>
      <c r="D792" s="93" t="s">
        <v>330</v>
      </c>
      <c r="E792" s="94">
        <v>37.72</v>
      </c>
      <c r="F792" s="93" t="s">
        <v>41</v>
      </c>
      <c r="G792" s="87">
        <f>Table1[[#This Row],[date]]</f>
        <v>45465</v>
      </c>
      <c r="H792" s="94">
        <f>SUMIF($A$2:A4427,G792,$E$2:E4427)</f>
        <v>169</v>
      </c>
      <c r="I792" s="93" t="str">
        <f t="shared" si="49"/>
        <v>Saturday</v>
      </c>
      <c r="J792" s="93" t="str">
        <f t="shared" si="50"/>
        <v>June</v>
      </c>
      <c r="K792" s="93" t="str">
        <f t="shared" si="51"/>
        <v>2024</v>
      </c>
      <c r="L792" s="6"/>
      <c r="M792" s="6"/>
      <c r="N792" s="6"/>
    </row>
    <row r="793" spans="1:14" x14ac:dyDescent="0.3">
      <c r="A793" s="87">
        <v>45466</v>
      </c>
      <c r="B793" s="87" t="str">
        <f t="shared" si="48"/>
        <v>Sunday</v>
      </c>
      <c r="C793" s="88" t="s">
        <v>1381</v>
      </c>
      <c r="D793" s="88" t="s">
        <v>21</v>
      </c>
      <c r="E793" s="89">
        <v>32.82</v>
      </c>
      <c r="F793" s="88" t="s">
        <v>12</v>
      </c>
      <c r="G793" s="87">
        <f>Table1[[#This Row],[date]]</f>
        <v>45466</v>
      </c>
      <c r="H793" s="94">
        <f>SUMIF($A$2:A4428,G793,$E$2:E4428)</f>
        <v>145.97999999999999</v>
      </c>
      <c r="I793" s="93" t="str">
        <f t="shared" si="49"/>
        <v>Sunday</v>
      </c>
      <c r="J793" s="93" t="str">
        <f t="shared" si="50"/>
        <v>June</v>
      </c>
      <c r="K793" s="93" t="str">
        <f t="shared" si="51"/>
        <v>2024</v>
      </c>
      <c r="L793" s="6"/>
      <c r="M793" s="6"/>
      <c r="N793" s="6"/>
    </row>
    <row r="794" spans="1:14" x14ac:dyDescent="0.3">
      <c r="A794" s="87">
        <v>45466</v>
      </c>
      <c r="B794" s="87" t="str">
        <f t="shared" si="48"/>
        <v>Sunday</v>
      </c>
      <c r="C794" s="88" t="s">
        <v>1381</v>
      </c>
      <c r="D794" s="88" t="s">
        <v>331</v>
      </c>
      <c r="E794" s="89">
        <v>37.72</v>
      </c>
      <c r="F794" s="88" t="s">
        <v>41</v>
      </c>
      <c r="G794" s="87">
        <f>Table1[[#This Row],[date]]</f>
        <v>45466</v>
      </c>
      <c r="H794" s="94">
        <f>SUMIF($A$2:A4429,G794,$E$2:E4429)</f>
        <v>145.97999999999999</v>
      </c>
      <c r="I794" s="93" t="str">
        <f t="shared" si="49"/>
        <v>Sunday</v>
      </c>
      <c r="J794" s="93" t="str">
        <f t="shared" si="50"/>
        <v>June</v>
      </c>
      <c r="K794" s="93" t="str">
        <f t="shared" si="51"/>
        <v>2024</v>
      </c>
      <c r="L794" s="6"/>
      <c r="M794" s="6"/>
      <c r="N794" s="6"/>
    </row>
    <row r="795" spans="1:14" x14ac:dyDescent="0.3">
      <c r="A795" s="92">
        <v>45466</v>
      </c>
      <c r="B795" s="92" t="str">
        <f t="shared" si="48"/>
        <v>Sunday</v>
      </c>
      <c r="C795" s="93" t="s">
        <v>1381</v>
      </c>
      <c r="D795" s="93" t="s">
        <v>332</v>
      </c>
      <c r="E795" s="94">
        <v>37.72</v>
      </c>
      <c r="F795" s="93" t="s">
        <v>5</v>
      </c>
      <c r="G795" s="87">
        <f>Table1[[#This Row],[date]]</f>
        <v>45466</v>
      </c>
      <c r="H795" s="94">
        <f>SUMIF($A$2:A4430,G795,$E$2:E4430)</f>
        <v>145.97999999999999</v>
      </c>
      <c r="I795" s="93" t="str">
        <f t="shared" si="49"/>
        <v>Sunday</v>
      </c>
      <c r="J795" s="93" t="str">
        <f t="shared" si="50"/>
        <v>June</v>
      </c>
      <c r="K795" s="93" t="str">
        <f t="shared" si="51"/>
        <v>2024</v>
      </c>
      <c r="L795" s="6"/>
      <c r="M795" s="6"/>
      <c r="N795" s="6"/>
    </row>
    <row r="796" spans="1:14" x14ac:dyDescent="0.3">
      <c r="A796" s="87">
        <v>45466</v>
      </c>
      <c r="B796" s="87" t="str">
        <f t="shared" si="48"/>
        <v>Sunday</v>
      </c>
      <c r="C796" s="88" t="s">
        <v>1381</v>
      </c>
      <c r="D796" s="88" t="s">
        <v>332</v>
      </c>
      <c r="E796" s="89">
        <v>37.72</v>
      </c>
      <c r="F796" s="88" t="s">
        <v>41</v>
      </c>
      <c r="G796" s="87">
        <f>Table1[[#This Row],[date]]</f>
        <v>45466</v>
      </c>
      <c r="H796" s="94">
        <f>SUMIF($A$2:A4431,G796,$E$2:E4431)</f>
        <v>145.97999999999999</v>
      </c>
      <c r="I796" s="93" t="str">
        <f t="shared" si="49"/>
        <v>Sunday</v>
      </c>
      <c r="J796" s="93" t="str">
        <f t="shared" si="50"/>
        <v>June</v>
      </c>
      <c r="K796" s="93" t="str">
        <f t="shared" si="51"/>
        <v>2024</v>
      </c>
      <c r="L796" s="6"/>
      <c r="M796" s="6"/>
      <c r="N796" s="6"/>
    </row>
    <row r="797" spans="1:14" x14ac:dyDescent="0.3">
      <c r="A797" s="92">
        <v>45467</v>
      </c>
      <c r="B797" s="92" t="str">
        <f t="shared" si="48"/>
        <v>Monday</v>
      </c>
      <c r="C797" s="93" t="s">
        <v>1381</v>
      </c>
      <c r="D797" s="93" t="s">
        <v>176</v>
      </c>
      <c r="E797" s="94">
        <v>32.82</v>
      </c>
      <c r="F797" s="93" t="s">
        <v>12</v>
      </c>
      <c r="G797" s="87">
        <f>Table1[[#This Row],[date]]</f>
        <v>45467</v>
      </c>
      <c r="H797" s="94">
        <f>SUMIF($A$2:A4432,G797,$E$2:E4432)</f>
        <v>145.97999999999999</v>
      </c>
      <c r="I797" s="93" t="str">
        <f t="shared" si="49"/>
        <v>Monday</v>
      </c>
      <c r="J797" s="93" t="str">
        <f t="shared" si="50"/>
        <v>June</v>
      </c>
      <c r="K797" s="93" t="str">
        <f t="shared" si="51"/>
        <v>2024</v>
      </c>
      <c r="L797" s="6"/>
      <c r="M797" s="6"/>
      <c r="N797" s="6"/>
    </row>
    <row r="798" spans="1:14" x14ac:dyDescent="0.3">
      <c r="A798" s="87">
        <v>45467</v>
      </c>
      <c r="B798" s="87" t="str">
        <f t="shared" si="48"/>
        <v>Monday</v>
      </c>
      <c r="C798" s="88" t="s">
        <v>1381</v>
      </c>
      <c r="D798" s="88" t="s">
        <v>192</v>
      </c>
      <c r="E798" s="89">
        <v>37.72</v>
      </c>
      <c r="F798" s="88" t="s">
        <v>41</v>
      </c>
      <c r="G798" s="87">
        <f>Table1[[#This Row],[date]]</f>
        <v>45467</v>
      </c>
      <c r="H798" s="94">
        <f>SUMIF($A$2:A4433,G798,$E$2:E4433)</f>
        <v>145.97999999999999</v>
      </c>
      <c r="I798" s="93" t="str">
        <f t="shared" si="49"/>
        <v>Monday</v>
      </c>
      <c r="J798" s="93" t="str">
        <f t="shared" si="50"/>
        <v>June</v>
      </c>
      <c r="K798" s="93" t="str">
        <f t="shared" si="51"/>
        <v>2024</v>
      </c>
      <c r="L798" s="6"/>
      <c r="M798" s="6"/>
      <c r="N798" s="6"/>
    </row>
    <row r="799" spans="1:14" x14ac:dyDescent="0.3">
      <c r="A799" s="87">
        <v>45467</v>
      </c>
      <c r="B799" s="87" t="str">
        <f t="shared" si="48"/>
        <v>Monday</v>
      </c>
      <c r="C799" s="88" t="s">
        <v>1381</v>
      </c>
      <c r="D799" s="88" t="s">
        <v>333</v>
      </c>
      <c r="E799" s="89">
        <v>37.72</v>
      </c>
      <c r="F799" s="88" t="s">
        <v>5</v>
      </c>
      <c r="G799" s="87">
        <f>Table1[[#This Row],[date]]</f>
        <v>45467</v>
      </c>
      <c r="H799" s="94">
        <f>SUMIF($A$2:A4434,G799,$E$2:E4434)</f>
        <v>145.97999999999999</v>
      </c>
      <c r="I799" s="93" t="str">
        <f t="shared" si="49"/>
        <v>Monday</v>
      </c>
      <c r="J799" s="93" t="str">
        <f t="shared" si="50"/>
        <v>June</v>
      </c>
      <c r="K799" s="93" t="str">
        <f t="shared" si="51"/>
        <v>2024</v>
      </c>
      <c r="L799" s="6"/>
      <c r="M799" s="6"/>
      <c r="N799" s="6"/>
    </row>
    <row r="800" spans="1:14" x14ac:dyDescent="0.3">
      <c r="A800" s="92">
        <v>45467</v>
      </c>
      <c r="B800" s="92" t="str">
        <f t="shared" si="48"/>
        <v>Monday</v>
      </c>
      <c r="C800" s="93" t="s">
        <v>1381</v>
      </c>
      <c r="D800" s="93" t="s">
        <v>215</v>
      </c>
      <c r="E800" s="94">
        <v>37.72</v>
      </c>
      <c r="F800" s="93" t="s">
        <v>41</v>
      </c>
      <c r="G800" s="87">
        <f>Table1[[#This Row],[date]]</f>
        <v>45467</v>
      </c>
      <c r="H800" s="94">
        <f>SUMIF($A$2:A4435,G800,$E$2:E4435)</f>
        <v>145.97999999999999</v>
      </c>
      <c r="I800" s="93" t="str">
        <f t="shared" si="49"/>
        <v>Monday</v>
      </c>
      <c r="J800" s="93" t="str">
        <f t="shared" si="50"/>
        <v>June</v>
      </c>
      <c r="K800" s="93" t="str">
        <f t="shared" si="51"/>
        <v>2024</v>
      </c>
      <c r="L800" s="6"/>
      <c r="M800" s="6"/>
      <c r="N800" s="6"/>
    </row>
    <row r="801" spans="1:14" x14ac:dyDescent="0.3">
      <c r="A801" s="92">
        <v>45468</v>
      </c>
      <c r="B801" s="92" t="str">
        <f t="shared" si="48"/>
        <v>Tuesday</v>
      </c>
      <c r="C801" s="93" t="s">
        <v>1381</v>
      </c>
      <c r="D801" s="93" t="s">
        <v>334</v>
      </c>
      <c r="E801" s="94">
        <v>37.72</v>
      </c>
      <c r="F801" s="93" t="s">
        <v>5</v>
      </c>
      <c r="G801" s="87">
        <f>Table1[[#This Row],[date]]</f>
        <v>45468</v>
      </c>
      <c r="H801" s="94">
        <f>SUMIF($A$2:A4436,G801,$E$2:E4436)</f>
        <v>141.07999999999998</v>
      </c>
      <c r="I801" s="93" t="str">
        <f t="shared" si="49"/>
        <v>Tuesday</v>
      </c>
      <c r="J801" s="93" t="str">
        <f t="shared" si="50"/>
        <v>June</v>
      </c>
      <c r="K801" s="93" t="str">
        <f t="shared" si="51"/>
        <v>2024</v>
      </c>
      <c r="L801" s="6"/>
      <c r="M801" s="6"/>
      <c r="N801" s="6"/>
    </row>
    <row r="802" spans="1:14" x14ac:dyDescent="0.3">
      <c r="A802" s="87">
        <v>45468</v>
      </c>
      <c r="B802" s="87" t="str">
        <f t="shared" si="48"/>
        <v>Tuesday</v>
      </c>
      <c r="C802" s="88" t="s">
        <v>1381</v>
      </c>
      <c r="D802" s="88" t="s">
        <v>21</v>
      </c>
      <c r="E802" s="89">
        <v>32.82</v>
      </c>
      <c r="F802" s="88" t="s">
        <v>12</v>
      </c>
      <c r="G802" s="87">
        <f>Table1[[#This Row],[date]]</f>
        <v>45468</v>
      </c>
      <c r="H802" s="94">
        <f>SUMIF($A$2:A4437,G802,$E$2:E4437)</f>
        <v>141.07999999999998</v>
      </c>
      <c r="I802" s="93" t="str">
        <f t="shared" si="49"/>
        <v>Tuesday</v>
      </c>
      <c r="J802" s="93" t="str">
        <f t="shared" si="50"/>
        <v>June</v>
      </c>
      <c r="K802" s="93" t="str">
        <f t="shared" si="51"/>
        <v>2024</v>
      </c>
      <c r="L802" s="6"/>
      <c r="M802" s="6"/>
      <c r="N802" s="6"/>
    </row>
    <row r="803" spans="1:14" x14ac:dyDescent="0.3">
      <c r="A803" s="92">
        <v>45468</v>
      </c>
      <c r="B803" s="92" t="str">
        <f t="shared" si="48"/>
        <v>Tuesday</v>
      </c>
      <c r="C803" s="93" t="s">
        <v>1381</v>
      </c>
      <c r="D803" s="93" t="s">
        <v>52</v>
      </c>
      <c r="E803" s="94">
        <v>32.82</v>
      </c>
      <c r="F803" s="93" t="s">
        <v>12</v>
      </c>
      <c r="G803" s="87">
        <f>Table1[[#This Row],[date]]</f>
        <v>45468</v>
      </c>
      <c r="H803" s="94">
        <f>SUMIF($A$2:A4438,G803,$E$2:E4438)</f>
        <v>141.07999999999998</v>
      </c>
      <c r="I803" s="93" t="str">
        <f t="shared" si="49"/>
        <v>Tuesday</v>
      </c>
      <c r="J803" s="93" t="str">
        <f t="shared" si="50"/>
        <v>June</v>
      </c>
      <c r="K803" s="93" t="str">
        <f t="shared" si="51"/>
        <v>2024</v>
      </c>
      <c r="L803" s="6"/>
      <c r="M803" s="6"/>
      <c r="N803" s="6"/>
    </row>
    <row r="804" spans="1:14" x14ac:dyDescent="0.3">
      <c r="A804" s="87">
        <v>45468</v>
      </c>
      <c r="B804" s="87" t="str">
        <f t="shared" si="48"/>
        <v>Tuesday</v>
      </c>
      <c r="C804" s="88" t="s">
        <v>1381</v>
      </c>
      <c r="D804" s="88" t="s">
        <v>215</v>
      </c>
      <c r="E804" s="89">
        <v>37.72</v>
      </c>
      <c r="F804" s="88" t="s">
        <v>41</v>
      </c>
      <c r="G804" s="87">
        <f>Table1[[#This Row],[date]]</f>
        <v>45468</v>
      </c>
      <c r="H804" s="94">
        <f>SUMIF($A$2:A4439,G804,$E$2:E4439)</f>
        <v>141.07999999999998</v>
      </c>
      <c r="I804" s="93" t="str">
        <f t="shared" si="49"/>
        <v>Tuesday</v>
      </c>
      <c r="J804" s="93" t="str">
        <f t="shared" si="50"/>
        <v>June</v>
      </c>
      <c r="K804" s="93" t="str">
        <f t="shared" si="51"/>
        <v>2024</v>
      </c>
      <c r="L804" s="6"/>
      <c r="M804" s="6"/>
      <c r="N804" s="6"/>
    </row>
    <row r="805" spans="1:14" x14ac:dyDescent="0.3">
      <c r="A805" s="92">
        <v>45469</v>
      </c>
      <c r="B805" s="92" t="str">
        <f t="shared" si="48"/>
        <v>Wednesday</v>
      </c>
      <c r="C805" s="93" t="s">
        <v>1381</v>
      </c>
      <c r="D805" s="93" t="s">
        <v>335</v>
      </c>
      <c r="E805" s="94">
        <v>37.72</v>
      </c>
      <c r="F805" s="93" t="s">
        <v>5</v>
      </c>
      <c r="G805" s="87">
        <f>Table1[[#This Row],[date]]</f>
        <v>45469</v>
      </c>
      <c r="H805" s="94">
        <f>SUMIF($A$2:A4440,G805,$E$2:E4440)</f>
        <v>196.92</v>
      </c>
      <c r="I805" s="93" t="str">
        <f t="shared" si="49"/>
        <v>Wednesday</v>
      </c>
      <c r="J805" s="93" t="str">
        <f t="shared" si="50"/>
        <v>June</v>
      </c>
      <c r="K805" s="93" t="str">
        <f t="shared" si="51"/>
        <v>2024</v>
      </c>
      <c r="L805" s="6"/>
      <c r="M805" s="6"/>
      <c r="N805" s="6"/>
    </row>
    <row r="806" spans="1:14" x14ac:dyDescent="0.3">
      <c r="A806" s="87">
        <v>45469</v>
      </c>
      <c r="B806" s="87" t="str">
        <f t="shared" si="48"/>
        <v>Wednesday</v>
      </c>
      <c r="C806" s="88" t="s">
        <v>1381</v>
      </c>
      <c r="D806" s="88" t="s">
        <v>336</v>
      </c>
      <c r="E806" s="89">
        <v>23.02</v>
      </c>
      <c r="F806" s="88" t="s">
        <v>33</v>
      </c>
      <c r="G806" s="87">
        <f>Table1[[#This Row],[date]]</f>
        <v>45469</v>
      </c>
      <c r="H806" s="94">
        <f>SUMIF($A$2:A4441,G806,$E$2:E4441)</f>
        <v>196.92</v>
      </c>
      <c r="I806" s="93" t="str">
        <f t="shared" si="49"/>
        <v>Wednesday</v>
      </c>
      <c r="J806" s="93" t="str">
        <f t="shared" si="50"/>
        <v>June</v>
      </c>
      <c r="K806" s="93" t="str">
        <f t="shared" si="51"/>
        <v>2024</v>
      </c>
      <c r="L806" s="6"/>
      <c r="M806" s="6"/>
      <c r="N806" s="6"/>
    </row>
    <row r="807" spans="1:14" x14ac:dyDescent="0.3">
      <c r="A807" s="92">
        <v>45469</v>
      </c>
      <c r="B807" s="92" t="str">
        <f t="shared" si="48"/>
        <v>Wednesday</v>
      </c>
      <c r="C807" s="93" t="s">
        <v>1381</v>
      </c>
      <c r="D807" s="93" t="s">
        <v>337</v>
      </c>
      <c r="E807" s="94">
        <v>27.92</v>
      </c>
      <c r="F807" s="93" t="s">
        <v>9</v>
      </c>
      <c r="G807" s="87">
        <f>Table1[[#This Row],[date]]</f>
        <v>45469</v>
      </c>
      <c r="H807" s="94">
        <f>SUMIF($A$2:A4442,G807,$E$2:E4442)</f>
        <v>196.92</v>
      </c>
      <c r="I807" s="93" t="str">
        <f t="shared" si="49"/>
        <v>Wednesday</v>
      </c>
      <c r="J807" s="93" t="str">
        <f t="shared" si="50"/>
        <v>June</v>
      </c>
      <c r="K807" s="93" t="str">
        <f t="shared" si="51"/>
        <v>2024</v>
      </c>
      <c r="L807" s="6"/>
      <c r="M807" s="6"/>
      <c r="N807" s="6"/>
    </row>
    <row r="808" spans="1:14" x14ac:dyDescent="0.3">
      <c r="A808" s="87">
        <v>45469</v>
      </c>
      <c r="B808" s="87" t="str">
        <f t="shared" si="48"/>
        <v>Wednesday</v>
      </c>
      <c r="C808" s="88" t="s">
        <v>1381</v>
      </c>
      <c r="D808" s="88" t="s">
        <v>17</v>
      </c>
      <c r="E808" s="89">
        <v>37.72</v>
      </c>
      <c r="F808" s="88" t="s">
        <v>5</v>
      </c>
      <c r="G808" s="87">
        <f>Table1[[#This Row],[date]]</f>
        <v>45469</v>
      </c>
      <c r="H808" s="94">
        <f>SUMIF($A$2:A4443,G808,$E$2:E4443)</f>
        <v>196.92</v>
      </c>
      <c r="I808" s="93" t="str">
        <f t="shared" si="49"/>
        <v>Wednesday</v>
      </c>
      <c r="J808" s="93" t="str">
        <f t="shared" si="50"/>
        <v>June</v>
      </c>
      <c r="K808" s="93" t="str">
        <f t="shared" si="51"/>
        <v>2024</v>
      </c>
      <c r="L808" s="6"/>
      <c r="M808" s="6"/>
      <c r="N808" s="6"/>
    </row>
    <row r="809" spans="1:14" x14ac:dyDescent="0.3">
      <c r="A809" s="92">
        <v>45469</v>
      </c>
      <c r="B809" s="92" t="str">
        <f t="shared" si="48"/>
        <v>Wednesday</v>
      </c>
      <c r="C809" s="93" t="s">
        <v>1381</v>
      </c>
      <c r="D809" s="93" t="s">
        <v>17</v>
      </c>
      <c r="E809" s="94">
        <v>37.72</v>
      </c>
      <c r="F809" s="93" t="s">
        <v>41</v>
      </c>
      <c r="G809" s="87">
        <f>Table1[[#This Row],[date]]</f>
        <v>45469</v>
      </c>
      <c r="H809" s="94">
        <f>SUMIF($A$2:A4444,G809,$E$2:E4444)</f>
        <v>196.92</v>
      </c>
      <c r="I809" s="93" t="str">
        <f t="shared" si="49"/>
        <v>Wednesday</v>
      </c>
      <c r="J809" s="93" t="str">
        <f t="shared" si="50"/>
        <v>June</v>
      </c>
      <c r="K809" s="93" t="str">
        <f t="shared" si="51"/>
        <v>2024</v>
      </c>
      <c r="L809" s="6"/>
      <c r="M809" s="6"/>
      <c r="N809" s="6"/>
    </row>
    <row r="810" spans="1:14" x14ac:dyDescent="0.3">
      <c r="A810" s="87">
        <v>45469</v>
      </c>
      <c r="B810" s="87" t="str">
        <f t="shared" si="48"/>
        <v>Wednesday</v>
      </c>
      <c r="C810" s="88" t="s">
        <v>1381</v>
      </c>
      <c r="D810" s="88" t="s">
        <v>218</v>
      </c>
      <c r="E810" s="89">
        <v>32.82</v>
      </c>
      <c r="F810" s="88" t="s">
        <v>12</v>
      </c>
      <c r="G810" s="87">
        <f>Table1[[#This Row],[date]]</f>
        <v>45469</v>
      </c>
      <c r="H810" s="94">
        <f>SUMIF($A$2:A4445,G810,$E$2:E4445)</f>
        <v>196.92</v>
      </c>
      <c r="I810" s="93" t="str">
        <f t="shared" si="49"/>
        <v>Wednesday</v>
      </c>
      <c r="J810" s="93" t="str">
        <f t="shared" si="50"/>
        <v>June</v>
      </c>
      <c r="K810" s="93" t="str">
        <f t="shared" si="51"/>
        <v>2024</v>
      </c>
      <c r="L810" s="6"/>
      <c r="M810" s="6"/>
      <c r="N810" s="6"/>
    </row>
    <row r="811" spans="1:14" x14ac:dyDescent="0.3">
      <c r="A811" s="92">
        <v>45470</v>
      </c>
      <c r="B811" s="92" t="str">
        <f t="shared" si="48"/>
        <v>Thursday</v>
      </c>
      <c r="C811" s="93" t="s">
        <v>1381</v>
      </c>
      <c r="D811" s="93" t="s">
        <v>338</v>
      </c>
      <c r="E811" s="94">
        <v>32.82</v>
      </c>
      <c r="F811" s="93" t="s">
        <v>12</v>
      </c>
      <c r="G811" s="87">
        <f>Table1[[#This Row],[date]]</f>
        <v>45470</v>
      </c>
      <c r="H811" s="94">
        <f>SUMIF($A$2:A4446,G811,$E$2:E4446)</f>
        <v>131.28</v>
      </c>
      <c r="I811" s="93" t="str">
        <f t="shared" si="49"/>
        <v>Thursday</v>
      </c>
      <c r="J811" s="93" t="str">
        <f t="shared" si="50"/>
        <v>June</v>
      </c>
      <c r="K811" s="93" t="str">
        <f t="shared" si="51"/>
        <v>2024</v>
      </c>
      <c r="L811" s="6"/>
      <c r="M811" s="6"/>
      <c r="N811" s="6"/>
    </row>
    <row r="812" spans="1:14" x14ac:dyDescent="0.3">
      <c r="A812" s="87">
        <v>45470</v>
      </c>
      <c r="B812" s="87" t="str">
        <f t="shared" si="48"/>
        <v>Thursday</v>
      </c>
      <c r="C812" s="88" t="s">
        <v>1381</v>
      </c>
      <c r="D812" s="88" t="s">
        <v>339</v>
      </c>
      <c r="E812" s="89">
        <v>27.92</v>
      </c>
      <c r="F812" s="88" t="s">
        <v>26</v>
      </c>
      <c r="G812" s="87">
        <f>Table1[[#This Row],[date]]</f>
        <v>45470</v>
      </c>
      <c r="H812" s="94">
        <f>SUMIF($A$2:A4447,G812,$E$2:E4447)</f>
        <v>131.28</v>
      </c>
      <c r="I812" s="93" t="str">
        <f t="shared" si="49"/>
        <v>Thursday</v>
      </c>
      <c r="J812" s="93" t="str">
        <f t="shared" si="50"/>
        <v>June</v>
      </c>
      <c r="K812" s="93" t="str">
        <f t="shared" si="51"/>
        <v>2024</v>
      </c>
      <c r="L812" s="6"/>
      <c r="M812" s="6"/>
      <c r="N812" s="6"/>
    </row>
    <row r="813" spans="1:14" x14ac:dyDescent="0.3">
      <c r="A813" s="92">
        <v>45470</v>
      </c>
      <c r="B813" s="92" t="str">
        <f t="shared" si="48"/>
        <v>Thursday</v>
      </c>
      <c r="C813" s="93" t="s">
        <v>1381</v>
      </c>
      <c r="D813" s="93" t="s">
        <v>340</v>
      </c>
      <c r="E813" s="94">
        <v>32.82</v>
      </c>
      <c r="F813" s="93" t="s">
        <v>12</v>
      </c>
      <c r="G813" s="87">
        <f>Table1[[#This Row],[date]]</f>
        <v>45470</v>
      </c>
      <c r="H813" s="94">
        <f>SUMIF($A$2:A4448,G813,$E$2:E4448)</f>
        <v>131.28</v>
      </c>
      <c r="I813" s="93" t="str">
        <f t="shared" si="49"/>
        <v>Thursday</v>
      </c>
      <c r="J813" s="93" t="str">
        <f t="shared" si="50"/>
        <v>June</v>
      </c>
      <c r="K813" s="93" t="str">
        <f t="shared" si="51"/>
        <v>2024</v>
      </c>
      <c r="L813" s="6"/>
      <c r="M813" s="6"/>
      <c r="N813" s="6"/>
    </row>
    <row r="814" spans="1:14" x14ac:dyDescent="0.3">
      <c r="A814" s="87">
        <v>45470</v>
      </c>
      <c r="B814" s="87" t="str">
        <f t="shared" si="48"/>
        <v>Thursday</v>
      </c>
      <c r="C814" s="88" t="s">
        <v>1381</v>
      </c>
      <c r="D814" s="88" t="s">
        <v>341</v>
      </c>
      <c r="E814" s="89">
        <v>37.72</v>
      </c>
      <c r="F814" s="88" t="s">
        <v>41</v>
      </c>
      <c r="G814" s="87">
        <f>Table1[[#This Row],[date]]</f>
        <v>45470</v>
      </c>
      <c r="H814" s="94">
        <f>SUMIF($A$2:A4449,G814,$E$2:E4449)</f>
        <v>131.28</v>
      </c>
      <c r="I814" s="93" t="str">
        <f t="shared" si="49"/>
        <v>Thursday</v>
      </c>
      <c r="J814" s="93" t="str">
        <f t="shared" si="50"/>
        <v>June</v>
      </c>
      <c r="K814" s="93" t="str">
        <f t="shared" si="51"/>
        <v>2024</v>
      </c>
      <c r="L814" s="6"/>
      <c r="M814" s="6"/>
      <c r="N814" s="6"/>
    </row>
    <row r="815" spans="1:14" x14ac:dyDescent="0.3">
      <c r="A815" s="92">
        <v>45471</v>
      </c>
      <c r="B815" s="92" t="str">
        <f t="shared" si="48"/>
        <v>Friday</v>
      </c>
      <c r="C815" s="93" t="s">
        <v>1381</v>
      </c>
      <c r="D815" s="93" t="s">
        <v>153</v>
      </c>
      <c r="E815" s="94">
        <v>27.92</v>
      </c>
      <c r="F815" s="93" t="s">
        <v>26</v>
      </c>
      <c r="G815" s="87">
        <f>Table1[[#This Row],[date]]</f>
        <v>45471</v>
      </c>
      <c r="H815" s="94">
        <f>SUMIF($A$2:A4450,G815,$E$2:E4450)</f>
        <v>159.19999999999999</v>
      </c>
      <c r="I815" s="93" t="str">
        <f t="shared" si="49"/>
        <v>Friday</v>
      </c>
      <c r="J815" s="93" t="str">
        <f t="shared" si="50"/>
        <v>June</v>
      </c>
      <c r="K815" s="93" t="str">
        <f t="shared" si="51"/>
        <v>2024</v>
      </c>
      <c r="L815" s="6"/>
      <c r="M815" s="6"/>
      <c r="N815" s="6"/>
    </row>
    <row r="816" spans="1:14" x14ac:dyDescent="0.3">
      <c r="A816" s="87">
        <v>45471</v>
      </c>
      <c r="B816" s="87" t="str">
        <f t="shared" si="48"/>
        <v>Friday</v>
      </c>
      <c r="C816" s="88" t="s">
        <v>1381</v>
      </c>
      <c r="D816" s="88" t="s">
        <v>286</v>
      </c>
      <c r="E816" s="89">
        <v>23.02</v>
      </c>
      <c r="F816" s="88" t="s">
        <v>33</v>
      </c>
      <c r="G816" s="87">
        <f>Table1[[#This Row],[date]]</f>
        <v>45471</v>
      </c>
      <c r="H816" s="94">
        <f>SUMIF($A$2:A4451,G816,$E$2:E4451)</f>
        <v>159.19999999999999</v>
      </c>
      <c r="I816" s="93" t="str">
        <f t="shared" si="49"/>
        <v>Friday</v>
      </c>
      <c r="J816" s="93" t="str">
        <f t="shared" si="50"/>
        <v>June</v>
      </c>
      <c r="K816" s="93" t="str">
        <f t="shared" si="51"/>
        <v>2024</v>
      </c>
      <c r="L816" s="6"/>
      <c r="M816" s="6"/>
      <c r="N816" s="6"/>
    </row>
    <row r="817" spans="1:14" x14ac:dyDescent="0.3">
      <c r="A817" s="92">
        <v>45471</v>
      </c>
      <c r="B817" s="92" t="str">
        <f t="shared" si="48"/>
        <v>Friday</v>
      </c>
      <c r="C817" s="93" t="s">
        <v>1381</v>
      </c>
      <c r="D817" s="93" t="s">
        <v>342</v>
      </c>
      <c r="E817" s="94">
        <v>32.82</v>
      </c>
      <c r="F817" s="93" t="s">
        <v>12</v>
      </c>
      <c r="G817" s="87">
        <f>Table1[[#This Row],[date]]</f>
        <v>45471</v>
      </c>
      <c r="H817" s="94">
        <f>SUMIF($A$2:A4452,G817,$E$2:E4452)</f>
        <v>159.19999999999999</v>
      </c>
      <c r="I817" s="93" t="str">
        <f t="shared" si="49"/>
        <v>Friday</v>
      </c>
      <c r="J817" s="93" t="str">
        <f t="shared" si="50"/>
        <v>June</v>
      </c>
      <c r="K817" s="93" t="str">
        <f t="shared" si="51"/>
        <v>2024</v>
      </c>
      <c r="L817" s="6"/>
      <c r="M817" s="6"/>
      <c r="N817" s="6"/>
    </row>
    <row r="818" spans="1:14" x14ac:dyDescent="0.3">
      <c r="A818" s="87">
        <v>45471</v>
      </c>
      <c r="B818" s="87" t="str">
        <f t="shared" si="48"/>
        <v>Friday</v>
      </c>
      <c r="C818" s="88" t="s">
        <v>1381</v>
      </c>
      <c r="D818" s="88" t="s">
        <v>343</v>
      </c>
      <c r="E818" s="89">
        <v>37.72</v>
      </c>
      <c r="F818" s="88" t="s">
        <v>5</v>
      </c>
      <c r="G818" s="87">
        <f>Table1[[#This Row],[date]]</f>
        <v>45471</v>
      </c>
      <c r="H818" s="94">
        <f>SUMIF($A$2:A4453,G818,$E$2:E4453)</f>
        <v>159.19999999999999</v>
      </c>
      <c r="I818" s="93" t="str">
        <f t="shared" si="49"/>
        <v>Friday</v>
      </c>
      <c r="J818" s="93" t="str">
        <f t="shared" si="50"/>
        <v>June</v>
      </c>
      <c r="K818" s="93" t="str">
        <f t="shared" si="51"/>
        <v>2024</v>
      </c>
      <c r="L818" s="6"/>
      <c r="M818" s="6"/>
      <c r="N818" s="6"/>
    </row>
    <row r="819" spans="1:14" x14ac:dyDescent="0.3">
      <c r="A819" s="92">
        <v>45471</v>
      </c>
      <c r="B819" s="92" t="str">
        <f t="shared" si="48"/>
        <v>Friday</v>
      </c>
      <c r="C819" s="93" t="s">
        <v>1381</v>
      </c>
      <c r="D819" s="93" t="s">
        <v>344</v>
      </c>
      <c r="E819" s="94">
        <v>37.72</v>
      </c>
      <c r="F819" s="93" t="s">
        <v>41</v>
      </c>
      <c r="G819" s="87">
        <f>Table1[[#This Row],[date]]</f>
        <v>45471</v>
      </c>
      <c r="H819" s="94">
        <f>SUMIF($A$2:A4454,G819,$E$2:E4454)</f>
        <v>159.19999999999999</v>
      </c>
      <c r="I819" s="93" t="str">
        <f t="shared" si="49"/>
        <v>Friday</v>
      </c>
      <c r="J819" s="93" t="str">
        <f t="shared" si="50"/>
        <v>June</v>
      </c>
      <c r="K819" s="93" t="str">
        <f t="shared" si="51"/>
        <v>2024</v>
      </c>
      <c r="L819" s="6"/>
      <c r="M819" s="6"/>
      <c r="N819" s="6"/>
    </row>
    <row r="820" spans="1:14" x14ac:dyDescent="0.3">
      <c r="A820" s="87">
        <v>45472</v>
      </c>
      <c r="B820" s="87" t="str">
        <f t="shared" si="48"/>
        <v>Saturday</v>
      </c>
      <c r="C820" s="88" t="s">
        <v>1381</v>
      </c>
      <c r="D820" s="88" t="s">
        <v>109</v>
      </c>
      <c r="E820" s="89">
        <v>32.82</v>
      </c>
      <c r="F820" s="88" t="s">
        <v>12</v>
      </c>
      <c r="G820" s="87">
        <f>Table1[[#This Row],[date]]</f>
        <v>45472</v>
      </c>
      <c r="H820" s="94">
        <f>SUMIF($A$2:A4455,G820,$E$2:E4455)</f>
        <v>216.51999999999998</v>
      </c>
      <c r="I820" s="93" t="str">
        <f t="shared" si="49"/>
        <v>Saturday</v>
      </c>
      <c r="J820" s="93" t="str">
        <f t="shared" si="50"/>
        <v>June</v>
      </c>
      <c r="K820" s="93" t="str">
        <f t="shared" si="51"/>
        <v>2024</v>
      </c>
      <c r="L820" s="6"/>
      <c r="M820" s="6"/>
      <c r="N820" s="6"/>
    </row>
    <row r="821" spans="1:14" x14ac:dyDescent="0.3">
      <c r="A821" s="92">
        <v>45472</v>
      </c>
      <c r="B821" s="92" t="str">
        <f t="shared" si="48"/>
        <v>Saturday</v>
      </c>
      <c r="C821" s="93" t="s">
        <v>1381</v>
      </c>
      <c r="D821" s="93" t="s">
        <v>345</v>
      </c>
      <c r="E821" s="94">
        <v>32.82</v>
      </c>
      <c r="F821" s="93" t="s">
        <v>12</v>
      </c>
      <c r="G821" s="87">
        <f>Table1[[#This Row],[date]]</f>
        <v>45472</v>
      </c>
      <c r="H821" s="94">
        <f>SUMIF($A$2:A4456,G821,$E$2:E4456)</f>
        <v>216.51999999999998</v>
      </c>
      <c r="I821" s="93" t="str">
        <f t="shared" si="49"/>
        <v>Saturday</v>
      </c>
      <c r="J821" s="93" t="str">
        <f t="shared" si="50"/>
        <v>June</v>
      </c>
      <c r="K821" s="93" t="str">
        <f t="shared" si="51"/>
        <v>2024</v>
      </c>
      <c r="L821" s="6"/>
      <c r="M821" s="6"/>
      <c r="N821" s="6"/>
    </row>
    <row r="822" spans="1:14" x14ac:dyDescent="0.3">
      <c r="A822" s="92">
        <v>45472</v>
      </c>
      <c r="B822" s="92" t="str">
        <f t="shared" si="48"/>
        <v>Saturday</v>
      </c>
      <c r="C822" s="93" t="s">
        <v>1381</v>
      </c>
      <c r="D822" s="93" t="s">
        <v>346</v>
      </c>
      <c r="E822" s="94">
        <v>37.72</v>
      </c>
      <c r="F822" s="93" t="s">
        <v>41</v>
      </c>
      <c r="G822" s="87">
        <f>Table1[[#This Row],[date]]</f>
        <v>45472</v>
      </c>
      <c r="H822" s="94">
        <f>SUMIF($A$2:A4457,G822,$E$2:E4457)</f>
        <v>216.51999999999998</v>
      </c>
      <c r="I822" s="93" t="str">
        <f t="shared" si="49"/>
        <v>Saturday</v>
      </c>
      <c r="J822" s="93" t="str">
        <f t="shared" si="50"/>
        <v>June</v>
      </c>
      <c r="K822" s="93" t="str">
        <f t="shared" si="51"/>
        <v>2024</v>
      </c>
      <c r="L822" s="6"/>
      <c r="M822" s="6"/>
      <c r="N822" s="6"/>
    </row>
    <row r="823" spans="1:14" x14ac:dyDescent="0.3">
      <c r="A823" s="92">
        <v>45472</v>
      </c>
      <c r="B823" s="92" t="str">
        <f t="shared" si="48"/>
        <v>Saturday</v>
      </c>
      <c r="C823" s="93" t="s">
        <v>1381</v>
      </c>
      <c r="D823" s="93" t="s">
        <v>347</v>
      </c>
      <c r="E823" s="94">
        <v>37.72</v>
      </c>
      <c r="F823" s="93" t="s">
        <v>41</v>
      </c>
      <c r="G823" s="87">
        <f>Table1[[#This Row],[date]]</f>
        <v>45472</v>
      </c>
      <c r="H823" s="94">
        <f>SUMIF($A$2:A4458,G823,$E$2:E4458)</f>
        <v>216.51999999999998</v>
      </c>
      <c r="I823" s="93" t="str">
        <f t="shared" si="49"/>
        <v>Saturday</v>
      </c>
      <c r="J823" s="93" t="str">
        <f t="shared" si="50"/>
        <v>June</v>
      </c>
      <c r="K823" s="93" t="str">
        <f t="shared" si="51"/>
        <v>2024</v>
      </c>
      <c r="L823" s="6"/>
      <c r="M823" s="6"/>
      <c r="N823" s="6"/>
    </row>
    <row r="824" spans="1:14" x14ac:dyDescent="0.3">
      <c r="A824" s="87">
        <v>45472</v>
      </c>
      <c r="B824" s="87" t="str">
        <f t="shared" si="48"/>
        <v>Saturday</v>
      </c>
      <c r="C824" s="88" t="s">
        <v>1381</v>
      </c>
      <c r="D824" s="88" t="s">
        <v>347</v>
      </c>
      <c r="E824" s="89">
        <v>37.72</v>
      </c>
      <c r="F824" s="88" t="s">
        <v>7</v>
      </c>
      <c r="G824" s="87">
        <f>Table1[[#This Row],[date]]</f>
        <v>45472</v>
      </c>
      <c r="H824" s="94">
        <f>SUMIF($A$2:A4459,G824,$E$2:E4459)</f>
        <v>216.51999999999998</v>
      </c>
      <c r="I824" s="93" t="str">
        <f t="shared" si="49"/>
        <v>Saturday</v>
      </c>
      <c r="J824" s="93" t="str">
        <f t="shared" si="50"/>
        <v>June</v>
      </c>
      <c r="K824" s="93" t="str">
        <f t="shared" si="51"/>
        <v>2024</v>
      </c>
      <c r="L824" s="6"/>
      <c r="M824" s="6"/>
      <c r="N824" s="6"/>
    </row>
    <row r="825" spans="1:14" x14ac:dyDescent="0.3">
      <c r="A825" s="92">
        <v>45472</v>
      </c>
      <c r="B825" s="92" t="str">
        <f t="shared" si="48"/>
        <v>Saturday</v>
      </c>
      <c r="C825" s="93" t="s">
        <v>1381</v>
      </c>
      <c r="D825" s="93" t="s">
        <v>17</v>
      </c>
      <c r="E825" s="94">
        <v>37.72</v>
      </c>
      <c r="F825" s="93" t="s">
        <v>5</v>
      </c>
      <c r="G825" s="87">
        <f>Table1[[#This Row],[date]]</f>
        <v>45472</v>
      </c>
      <c r="H825" s="94">
        <f>SUMIF($A$2:A4460,G825,$E$2:E4460)</f>
        <v>216.51999999999998</v>
      </c>
      <c r="I825" s="93" t="str">
        <f t="shared" si="49"/>
        <v>Saturday</v>
      </c>
      <c r="J825" s="93" t="str">
        <f t="shared" si="50"/>
        <v>June</v>
      </c>
      <c r="K825" s="93" t="str">
        <f t="shared" si="51"/>
        <v>2024</v>
      </c>
      <c r="L825" s="6"/>
      <c r="M825" s="6"/>
      <c r="N825" s="6"/>
    </row>
    <row r="826" spans="1:14" x14ac:dyDescent="0.3">
      <c r="A826" s="87">
        <v>45473</v>
      </c>
      <c r="B826" s="87" t="str">
        <f t="shared" si="48"/>
        <v>Sunday</v>
      </c>
      <c r="C826" s="88" t="s">
        <v>1381</v>
      </c>
      <c r="D826" s="88" t="s">
        <v>348</v>
      </c>
      <c r="E826" s="89">
        <v>37.72</v>
      </c>
      <c r="F826" s="88" t="s">
        <v>5</v>
      </c>
      <c r="G826" s="87">
        <f>Table1[[#This Row],[date]]</f>
        <v>45473</v>
      </c>
      <c r="H826" s="94">
        <f>SUMIF($A$2:A4461,G826,$E$2:E4461)</f>
        <v>131.28</v>
      </c>
      <c r="I826" s="93" t="str">
        <f t="shared" si="49"/>
        <v>Sunday</v>
      </c>
      <c r="J826" s="93" t="str">
        <f t="shared" si="50"/>
        <v>June</v>
      </c>
      <c r="K826" s="93" t="str">
        <f t="shared" si="51"/>
        <v>2024</v>
      </c>
      <c r="L826" s="6"/>
      <c r="M826" s="6"/>
      <c r="N826" s="6"/>
    </row>
    <row r="827" spans="1:14" x14ac:dyDescent="0.3">
      <c r="A827" s="92">
        <v>45473</v>
      </c>
      <c r="B827" s="92" t="str">
        <f t="shared" si="48"/>
        <v>Sunday</v>
      </c>
      <c r="C827" s="93" t="s">
        <v>1381</v>
      </c>
      <c r="D827" s="93" t="s">
        <v>349</v>
      </c>
      <c r="E827" s="94">
        <v>23.02</v>
      </c>
      <c r="F827" s="93" t="s">
        <v>33</v>
      </c>
      <c r="G827" s="87">
        <f>Table1[[#This Row],[date]]</f>
        <v>45473</v>
      </c>
      <c r="H827" s="94">
        <f>SUMIF($A$2:A4462,G827,$E$2:E4462)</f>
        <v>131.28</v>
      </c>
      <c r="I827" s="93" t="str">
        <f t="shared" si="49"/>
        <v>Sunday</v>
      </c>
      <c r="J827" s="93" t="str">
        <f t="shared" si="50"/>
        <v>June</v>
      </c>
      <c r="K827" s="93" t="str">
        <f t="shared" si="51"/>
        <v>2024</v>
      </c>
      <c r="L827" s="6"/>
      <c r="M827" s="6"/>
      <c r="N827" s="6"/>
    </row>
    <row r="828" spans="1:14" x14ac:dyDescent="0.3">
      <c r="A828" s="87">
        <v>45473</v>
      </c>
      <c r="B828" s="87" t="str">
        <f t="shared" si="48"/>
        <v>Sunday</v>
      </c>
      <c r="C828" s="88" t="s">
        <v>1381</v>
      </c>
      <c r="D828" s="88" t="s">
        <v>17</v>
      </c>
      <c r="E828" s="89">
        <v>37.72</v>
      </c>
      <c r="F828" s="88" t="s">
        <v>7</v>
      </c>
      <c r="G828" s="87">
        <f>Table1[[#This Row],[date]]</f>
        <v>45473</v>
      </c>
      <c r="H828" s="94">
        <f>SUMIF($A$2:A4463,G828,$E$2:E4463)</f>
        <v>131.28</v>
      </c>
      <c r="I828" s="93" t="str">
        <f t="shared" si="49"/>
        <v>Sunday</v>
      </c>
      <c r="J828" s="93" t="str">
        <f t="shared" si="50"/>
        <v>June</v>
      </c>
      <c r="K828" s="93" t="str">
        <f t="shared" si="51"/>
        <v>2024</v>
      </c>
      <c r="L828" s="6"/>
      <c r="M828" s="6"/>
      <c r="N828" s="6"/>
    </row>
    <row r="829" spans="1:14" x14ac:dyDescent="0.3">
      <c r="A829" s="92">
        <v>45473</v>
      </c>
      <c r="B829" s="92" t="str">
        <f t="shared" si="48"/>
        <v>Sunday</v>
      </c>
      <c r="C829" s="93" t="s">
        <v>1381</v>
      </c>
      <c r="D829" s="93" t="s">
        <v>109</v>
      </c>
      <c r="E829" s="94">
        <v>32.82</v>
      </c>
      <c r="F829" s="93" t="s">
        <v>12</v>
      </c>
      <c r="G829" s="87">
        <f>Table1[[#This Row],[date]]</f>
        <v>45473</v>
      </c>
      <c r="H829" s="94">
        <f>SUMIF($A$2:A4464,G829,$E$2:E4464)</f>
        <v>131.28</v>
      </c>
      <c r="I829" s="93" t="str">
        <f t="shared" si="49"/>
        <v>Sunday</v>
      </c>
      <c r="J829" s="93" t="str">
        <f t="shared" si="50"/>
        <v>June</v>
      </c>
      <c r="K829" s="93" t="str">
        <f t="shared" si="51"/>
        <v>2024</v>
      </c>
      <c r="L829" s="6"/>
      <c r="M829" s="6"/>
      <c r="N829" s="6"/>
    </row>
    <row r="830" spans="1:14" x14ac:dyDescent="0.3">
      <c r="A830" s="87">
        <v>45474</v>
      </c>
      <c r="B830" s="87" t="str">
        <f t="shared" si="48"/>
        <v>Monday</v>
      </c>
      <c r="C830" s="88" t="s">
        <v>1381</v>
      </c>
      <c r="D830" s="88" t="s">
        <v>21</v>
      </c>
      <c r="E830" s="89">
        <v>23.02</v>
      </c>
      <c r="F830" s="88" t="s">
        <v>33</v>
      </c>
      <c r="G830" s="87">
        <f>Table1[[#This Row],[date]]</f>
        <v>45474</v>
      </c>
      <c r="H830" s="94">
        <f>SUMIF($A$2:A4465,G830,$E$2:E4465)</f>
        <v>98.46</v>
      </c>
      <c r="I830" s="93" t="str">
        <f t="shared" si="49"/>
        <v>Monday</v>
      </c>
      <c r="J830" s="93" t="str">
        <f t="shared" si="50"/>
        <v>July</v>
      </c>
      <c r="K830" s="93" t="str">
        <f t="shared" si="51"/>
        <v>2024</v>
      </c>
      <c r="L830" s="6"/>
      <c r="M830" s="6"/>
      <c r="N830" s="6"/>
    </row>
    <row r="831" spans="1:14" x14ac:dyDescent="0.3">
      <c r="A831" s="92">
        <v>45474</v>
      </c>
      <c r="B831" s="92" t="str">
        <f t="shared" si="48"/>
        <v>Monday</v>
      </c>
      <c r="C831" s="93" t="s">
        <v>1381</v>
      </c>
      <c r="D831" s="93" t="s">
        <v>350</v>
      </c>
      <c r="E831" s="94">
        <v>37.72</v>
      </c>
      <c r="F831" s="93" t="s">
        <v>41</v>
      </c>
      <c r="G831" s="87">
        <f>Table1[[#This Row],[date]]</f>
        <v>45474</v>
      </c>
      <c r="H831" s="94">
        <f>SUMIF($A$2:A4466,G831,$E$2:E4466)</f>
        <v>98.46</v>
      </c>
      <c r="I831" s="93" t="str">
        <f t="shared" si="49"/>
        <v>Monday</v>
      </c>
      <c r="J831" s="93" t="str">
        <f t="shared" si="50"/>
        <v>July</v>
      </c>
      <c r="K831" s="93" t="str">
        <f t="shared" si="51"/>
        <v>2024</v>
      </c>
      <c r="L831" s="6"/>
      <c r="M831" s="6"/>
      <c r="N831" s="6"/>
    </row>
    <row r="832" spans="1:14" x14ac:dyDescent="0.3">
      <c r="A832" s="87">
        <v>45474</v>
      </c>
      <c r="B832" s="87" t="str">
        <f t="shared" si="48"/>
        <v>Monday</v>
      </c>
      <c r="C832" s="88" t="s">
        <v>1381</v>
      </c>
      <c r="D832" s="88" t="s">
        <v>351</v>
      </c>
      <c r="E832" s="89">
        <v>37.72</v>
      </c>
      <c r="F832" s="88" t="s">
        <v>41</v>
      </c>
      <c r="G832" s="87">
        <f>Table1[[#This Row],[date]]</f>
        <v>45474</v>
      </c>
      <c r="H832" s="94">
        <f>SUMIF($A$2:A4467,G832,$E$2:E4467)</f>
        <v>98.46</v>
      </c>
      <c r="I832" s="93" t="str">
        <f t="shared" si="49"/>
        <v>Monday</v>
      </c>
      <c r="J832" s="93" t="str">
        <f t="shared" si="50"/>
        <v>July</v>
      </c>
      <c r="K832" s="93" t="str">
        <f t="shared" si="51"/>
        <v>2024</v>
      </c>
      <c r="L832" s="6"/>
      <c r="M832" s="6"/>
      <c r="N832" s="6"/>
    </row>
    <row r="833" spans="1:14" x14ac:dyDescent="0.3">
      <c r="A833" s="92">
        <v>45475</v>
      </c>
      <c r="B833" s="92" t="str">
        <f t="shared" si="48"/>
        <v>Tuesday</v>
      </c>
      <c r="C833" s="93" t="s">
        <v>1381</v>
      </c>
      <c r="D833" s="93" t="s">
        <v>316</v>
      </c>
      <c r="E833" s="94">
        <v>32.82</v>
      </c>
      <c r="F833" s="93" t="s">
        <v>12</v>
      </c>
      <c r="G833" s="87">
        <f>Table1[[#This Row],[date]]</f>
        <v>45475</v>
      </c>
      <c r="H833" s="94">
        <f>SUMIF($A$2:A4468,G833,$E$2:E4468)</f>
        <v>192.02</v>
      </c>
      <c r="I833" s="93" t="str">
        <f t="shared" si="49"/>
        <v>Tuesday</v>
      </c>
      <c r="J833" s="93" t="str">
        <f t="shared" si="50"/>
        <v>July</v>
      </c>
      <c r="K833" s="93" t="str">
        <f t="shared" si="51"/>
        <v>2024</v>
      </c>
      <c r="L833" s="6"/>
      <c r="M833" s="6"/>
      <c r="N833" s="6"/>
    </row>
    <row r="834" spans="1:14" x14ac:dyDescent="0.3">
      <c r="A834" s="87">
        <v>45475</v>
      </c>
      <c r="B834" s="87" t="str">
        <f t="shared" ref="B834:B897" si="52">TEXT(A834,"dddd")</f>
        <v>Tuesday</v>
      </c>
      <c r="C834" s="88" t="s">
        <v>1381</v>
      </c>
      <c r="D834" s="88" t="s">
        <v>316</v>
      </c>
      <c r="E834" s="89">
        <v>27.92</v>
      </c>
      <c r="F834" s="88" t="s">
        <v>9</v>
      </c>
      <c r="G834" s="87">
        <f>Table1[[#This Row],[date]]</f>
        <v>45475</v>
      </c>
      <c r="H834" s="94">
        <f>SUMIF($A$2:A4469,G834,$E$2:E4469)</f>
        <v>192.02</v>
      </c>
      <c r="I834" s="93" t="str">
        <f t="shared" si="49"/>
        <v>Tuesday</v>
      </c>
      <c r="J834" s="93" t="str">
        <f t="shared" si="50"/>
        <v>July</v>
      </c>
      <c r="K834" s="93" t="str">
        <f t="shared" si="51"/>
        <v>2024</v>
      </c>
      <c r="L834" s="6"/>
      <c r="M834" s="6"/>
      <c r="N834" s="6"/>
    </row>
    <row r="835" spans="1:14" x14ac:dyDescent="0.3">
      <c r="A835" s="92">
        <v>45475</v>
      </c>
      <c r="B835" s="92" t="str">
        <f t="shared" si="52"/>
        <v>Tuesday</v>
      </c>
      <c r="C835" s="93" t="s">
        <v>1381</v>
      </c>
      <c r="D835" s="93" t="s">
        <v>29</v>
      </c>
      <c r="E835" s="94">
        <v>37.72</v>
      </c>
      <c r="F835" s="93" t="s">
        <v>5</v>
      </c>
      <c r="G835" s="87">
        <f>Table1[[#This Row],[date]]</f>
        <v>45475</v>
      </c>
      <c r="H835" s="94">
        <f>SUMIF($A$2:A4470,G835,$E$2:E4470)</f>
        <v>192.02</v>
      </c>
      <c r="I835" s="93" t="str">
        <f t="shared" si="49"/>
        <v>Tuesday</v>
      </c>
      <c r="J835" s="93" t="str">
        <f t="shared" si="50"/>
        <v>July</v>
      </c>
      <c r="K835" s="93" t="str">
        <f t="shared" si="51"/>
        <v>2024</v>
      </c>
      <c r="L835" s="6"/>
      <c r="M835" s="6"/>
      <c r="N835" s="6"/>
    </row>
    <row r="836" spans="1:14" x14ac:dyDescent="0.3">
      <c r="A836" s="87">
        <v>45475</v>
      </c>
      <c r="B836" s="87" t="str">
        <f t="shared" si="52"/>
        <v>Tuesday</v>
      </c>
      <c r="C836" s="88" t="s">
        <v>1381</v>
      </c>
      <c r="D836" s="88" t="s">
        <v>352</v>
      </c>
      <c r="E836" s="89">
        <v>27.92</v>
      </c>
      <c r="F836" s="88" t="s">
        <v>9</v>
      </c>
      <c r="G836" s="87">
        <f>Table1[[#This Row],[date]]</f>
        <v>45475</v>
      </c>
      <c r="H836" s="94">
        <f>SUMIF($A$2:A4471,G836,$E$2:E4471)</f>
        <v>192.02</v>
      </c>
      <c r="I836" s="93" t="str">
        <f t="shared" si="49"/>
        <v>Tuesday</v>
      </c>
      <c r="J836" s="93" t="str">
        <f t="shared" si="50"/>
        <v>July</v>
      </c>
      <c r="K836" s="93" t="str">
        <f t="shared" si="51"/>
        <v>2024</v>
      </c>
      <c r="L836" s="6"/>
      <c r="M836" s="6"/>
      <c r="N836" s="6"/>
    </row>
    <row r="837" spans="1:14" x14ac:dyDescent="0.3">
      <c r="A837" s="92">
        <v>45475</v>
      </c>
      <c r="B837" s="92" t="str">
        <f t="shared" si="52"/>
        <v>Tuesday</v>
      </c>
      <c r="C837" s="93" t="s">
        <v>1381</v>
      </c>
      <c r="D837" s="93" t="s">
        <v>353</v>
      </c>
      <c r="E837" s="94">
        <v>32.82</v>
      </c>
      <c r="F837" s="93" t="s">
        <v>12</v>
      </c>
      <c r="G837" s="87">
        <f>Table1[[#This Row],[date]]</f>
        <v>45475</v>
      </c>
      <c r="H837" s="94">
        <f>SUMIF($A$2:A4472,G837,$E$2:E4472)</f>
        <v>192.02</v>
      </c>
      <c r="I837" s="93" t="str">
        <f t="shared" si="49"/>
        <v>Tuesday</v>
      </c>
      <c r="J837" s="93" t="str">
        <f t="shared" si="50"/>
        <v>July</v>
      </c>
      <c r="K837" s="93" t="str">
        <f t="shared" si="51"/>
        <v>2024</v>
      </c>
      <c r="L837" s="6"/>
      <c r="M837" s="6"/>
      <c r="N837" s="6"/>
    </row>
    <row r="838" spans="1:14" x14ac:dyDescent="0.3">
      <c r="A838" s="87">
        <v>45475</v>
      </c>
      <c r="B838" s="87" t="str">
        <f t="shared" si="52"/>
        <v>Tuesday</v>
      </c>
      <c r="C838" s="88" t="s">
        <v>1381</v>
      </c>
      <c r="D838" s="88" t="s">
        <v>341</v>
      </c>
      <c r="E838" s="89">
        <v>32.82</v>
      </c>
      <c r="F838" s="88" t="s">
        <v>12</v>
      </c>
      <c r="G838" s="87">
        <f>Table1[[#This Row],[date]]</f>
        <v>45475</v>
      </c>
      <c r="H838" s="94">
        <f>SUMIF($A$2:A4473,G838,$E$2:E4473)</f>
        <v>192.02</v>
      </c>
      <c r="I838" s="93" t="str">
        <f t="shared" ref="I838:I901" si="53">TEXT(G838,"dddd")</f>
        <v>Tuesday</v>
      </c>
      <c r="J838" s="93" t="str">
        <f t="shared" si="50"/>
        <v>July</v>
      </c>
      <c r="K838" s="93" t="str">
        <f t="shared" si="51"/>
        <v>2024</v>
      </c>
      <c r="L838" s="6"/>
      <c r="M838" s="6"/>
      <c r="N838" s="6"/>
    </row>
    <row r="839" spans="1:14" x14ac:dyDescent="0.3">
      <c r="A839" s="92">
        <v>45476</v>
      </c>
      <c r="B839" s="92" t="str">
        <f t="shared" si="52"/>
        <v>Wednesday</v>
      </c>
      <c r="C839" s="93" t="s">
        <v>1381</v>
      </c>
      <c r="D839" s="93" t="s">
        <v>21</v>
      </c>
      <c r="E839" s="94">
        <v>32.82</v>
      </c>
      <c r="F839" s="93" t="s">
        <v>12</v>
      </c>
      <c r="G839" s="87">
        <f>Table1[[#This Row],[date]]</f>
        <v>45476</v>
      </c>
      <c r="H839" s="94">
        <f>SUMIF($A$2:A4474,G839,$E$2:E4474)</f>
        <v>310.08000000000004</v>
      </c>
      <c r="I839" s="93" t="str">
        <f t="shared" si="53"/>
        <v>Wednesday</v>
      </c>
      <c r="J839" s="93" t="str">
        <f t="shared" ref="J839:J902" si="54">TEXT(G839,"mmmm")</f>
        <v>July</v>
      </c>
      <c r="K839" s="93" t="str">
        <f t="shared" ref="K839:K902" si="55">TEXT(G839,"yyyy")</f>
        <v>2024</v>
      </c>
      <c r="L839" s="6"/>
      <c r="M839" s="6"/>
      <c r="N839" s="6"/>
    </row>
    <row r="840" spans="1:14" x14ac:dyDescent="0.3">
      <c r="A840" s="87">
        <v>45476</v>
      </c>
      <c r="B840" s="87" t="str">
        <f t="shared" si="52"/>
        <v>Wednesday</v>
      </c>
      <c r="C840" s="88" t="s">
        <v>1381</v>
      </c>
      <c r="D840" s="88" t="s">
        <v>354</v>
      </c>
      <c r="E840" s="89">
        <v>37.72</v>
      </c>
      <c r="F840" s="88" t="s">
        <v>41</v>
      </c>
      <c r="G840" s="87">
        <f>Table1[[#This Row],[date]]</f>
        <v>45476</v>
      </c>
      <c r="H840" s="94">
        <f>SUMIF($A$2:A4475,G840,$E$2:E4475)</f>
        <v>310.08000000000004</v>
      </c>
      <c r="I840" s="93" t="str">
        <f t="shared" si="53"/>
        <v>Wednesday</v>
      </c>
      <c r="J840" s="93" t="str">
        <f t="shared" si="54"/>
        <v>July</v>
      </c>
      <c r="K840" s="93" t="str">
        <f t="shared" si="55"/>
        <v>2024</v>
      </c>
      <c r="L840" s="6"/>
      <c r="M840" s="6"/>
      <c r="N840" s="6"/>
    </row>
    <row r="841" spans="1:14" x14ac:dyDescent="0.3">
      <c r="A841" s="92">
        <v>45476</v>
      </c>
      <c r="B841" s="92" t="str">
        <f t="shared" si="52"/>
        <v>Wednesday</v>
      </c>
      <c r="C841" s="93" t="s">
        <v>1381</v>
      </c>
      <c r="D841" s="93" t="s">
        <v>355</v>
      </c>
      <c r="E841" s="94">
        <v>37.72</v>
      </c>
      <c r="F841" s="93" t="s">
        <v>41</v>
      </c>
      <c r="G841" s="87">
        <f>Table1[[#This Row],[date]]</f>
        <v>45476</v>
      </c>
      <c r="H841" s="94">
        <f>SUMIF($A$2:A4476,G841,$E$2:E4476)</f>
        <v>310.08000000000004</v>
      </c>
      <c r="I841" s="93" t="str">
        <f t="shared" si="53"/>
        <v>Wednesday</v>
      </c>
      <c r="J841" s="93" t="str">
        <f t="shared" si="54"/>
        <v>July</v>
      </c>
      <c r="K841" s="93" t="str">
        <f t="shared" si="55"/>
        <v>2024</v>
      </c>
      <c r="L841" s="6"/>
      <c r="M841" s="6"/>
      <c r="N841" s="6"/>
    </row>
    <row r="842" spans="1:14" x14ac:dyDescent="0.3">
      <c r="A842" s="87">
        <v>45476</v>
      </c>
      <c r="B842" s="87" t="str">
        <f t="shared" si="52"/>
        <v>Wednesday</v>
      </c>
      <c r="C842" s="88" t="s">
        <v>1381</v>
      </c>
      <c r="D842" s="88" t="s">
        <v>282</v>
      </c>
      <c r="E842" s="89">
        <v>32.82</v>
      </c>
      <c r="F842" s="88" t="s">
        <v>12</v>
      </c>
      <c r="G842" s="87">
        <f>Table1[[#This Row],[date]]</f>
        <v>45476</v>
      </c>
      <c r="H842" s="94">
        <f>SUMIF($A$2:A4477,G842,$E$2:E4477)</f>
        <v>310.08000000000004</v>
      </c>
      <c r="I842" s="93" t="str">
        <f t="shared" si="53"/>
        <v>Wednesday</v>
      </c>
      <c r="J842" s="93" t="str">
        <f t="shared" si="54"/>
        <v>July</v>
      </c>
      <c r="K842" s="93" t="str">
        <f t="shared" si="55"/>
        <v>2024</v>
      </c>
      <c r="L842" s="6"/>
      <c r="M842" s="6"/>
      <c r="N842" s="6"/>
    </row>
    <row r="843" spans="1:14" x14ac:dyDescent="0.3">
      <c r="A843" s="92">
        <v>45476</v>
      </c>
      <c r="B843" s="92" t="str">
        <f t="shared" si="52"/>
        <v>Wednesday</v>
      </c>
      <c r="C843" s="93" t="s">
        <v>1381</v>
      </c>
      <c r="D843" s="93" t="s">
        <v>356</v>
      </c>
      <c r="E843" s="94">
        <v>32.82</v>
      </c>
      <c r="F843" s="93" t="s">
        <v>12</v>
      </c>
      <c r="G843" s="87">
        <f>Table1[[#This Row],[date]]</f>
        <v>45476</v>
      </c>
      <c r="H843" s="94">
        <f>SUMIF($A$2:A4478,G843,$E$2:E4478)</f>
        <v>310.08000000000004</v>
      </c>
      <c r="I843" s="93" t="str">
        <f t="shared" si="53"/>
        <v>Wednesday</v>
      </c>
      <c r="J843" s="93" t="str">
        <f t="shared" si="54"/>
        <v>July</v>
      </c>
      <c r="K843" s="93" t="str">
        <f t="shared" si="55"/>
        <v>2024</v>
      </c>
      <c r="L843" s="6"/>
      <c r="M843" s="6"/>
      <c r="N843" s="6"/>
    </row>
    <row r="844" spans="1:14" x14ac:dyDescent="0.3">
      <c r="A844" s="87">
        <v>45476</v>
      </c>
      <c r="B844" s="87" t="str">
        <f t="shared" si="52"/>
        <v>Wednesday</v>
      </c>
      <c r="C844" s="88" t="s">
        <v>1381</v>
      </c>
      <c r="D844" s="88" t="s">
        <v>282</v>
      </c>
      <c r="E844" s="89">
        <v>37.72</v>
      </c>
      <c r="F844" s="88" t="s">
        <v>5</v>
      </c>
      <c r="G844" s="87">
        <f>Table1[[#This Row],[date]]</f>
        <v>45476</v>
      </c>
      <c r="H844" s="94">
        <f>SUMIF($A$2:A4479,G844,$E$2:E4479)</f>
        <v>310.08000000000004</v>
      </c>
      <c r="I844" s="93" t="str">
        <f t="shared" si="53"/>
        <v>Wednesday</v>
      </c>
      <c r="J844" s="93" t="str">
        <f t="shared" si="54"/>
        <v>July</v>
      </c>
      <c r="K844" s="93" t="str">
        <f t="shared" si="55"/>
        <v>2024</v>
      </c>
      <c r="L844" s="6"/>
      <c r="M844" s="6"/>
      <c r="N844" s="6"/>
    </row>
    <row r="845" spans="1:14" x14ac:dyDescent="0.3">
      <c r="A845" s="92">
        <v>45476</v>
      </c>
      <c r="B845" s="92" t="str">
        <f t="shared" si="52"/>
        <v>Wednesday</v>
      </c>
      <c r="C845" s="93" t="s">
        <v>1381</v>
      </c>
      <c r="D845" s="93" t="s">
        <v>357</v>
      </c>
      <c r="E845" s="94">
        <v>23.02</v>
      </c>
      <c r="F845" s="93" t="s">
        <v>33</v>
      </c>
      <c r="G845" s="87">
        <f>Table1[[#This Row],[date]]</f>
        <v>45476</v>
      </c>
      <c r="H845" s="94">
        <f>SUMIF($A$2:A4480,G845,$E$2:E4480)</f>
        <v>310.08000000000004</v>
      </c>
      <c r="I845" s="93" t="str">
        <f t="shared" si="53"/>
        <v>Wednesday</v>
      </c>
      <c r="J845" s="93" t="str">
        <f t="shared" si="54"/>
        <v>July</v>
      </c>
      <c r="K845" s="93" t="str">
        <f t="shared" si="55"/>
        <v>2024</v>
      </c>
      <c r="L845" s="6"/>
      <c r="M845" s="6"/>
      <c r="N845" s="6"/>
    </row>
    <row r="846" spans="1:14" x14ac:dyDescent="0.3">
      <c r="A846" s="87">
        <v>45476</v>
      </c>
      <c r="B846" s="87" t="str">
        <f t="shared" si="52"/>
        <v>Wednesday</v>
      </c>
      <c r="C846" s="88" t="s">
        <v>1381</v>
      </c>
      <c r="D846" s="88" t="s">
        <v>358</v>
      </c>
      <c r="E846" s="89">
        <v>37.72</v>
      </c>
      <c r="F846" s="88" t="s">
        <v>41</v>
      </c>
      <c r="G846" s="87">
        <f>Table1[[#This Row],[date]]</f>
        <v>45476</v>
      </c>
      <c r="H846" s="94">
        <f>SUMIF($A$2:A4481,G846,$E$2:E4481)</f>
        <v>310.08000000000004</v>
      </c>
      <c r="I846" s="93" t="str">
        <f t="shared" si="53"/>
        <v>Wednesday</v>
      </c>
      <c r="J846" s="93" t="str">
        <f t="shared" si="54"/>
        <v>July</v>
      </c>
      <c r="K846" s="93" t="str">
        <f t="shared" si="55"/>
        <v>2024</v>
      </c>
      <c r="L846" s="6"/>
      <c r="M846" s="6"/>
      <c r="N846" s="6"/>
    </row>
    <row r="847" spans="1:14" x14ac:dyDescent="0.3">
      <c r="A847" s="92">
        <v>45476</v>
      </c>
      <c r="B847" s="92" t="str">
        <f t="shared" si="52"/>
        <v>Wednesday</v>
      </c>
      <c r="C847" s="93" t="s">
        <v>1381</v>
      </c>
      <c r="D847" s="93" t="s">
        <v>17</v>
      </c>
      <c r="E847" s="94">
        <v>37.72</v>
      </c>
      <c r="F847" s="93" t="s">
        <v>5</v>
      </c>
      <c r="G847" s="87">
        <f>Table1[[#This Row],[date]]</f>
        <v>45476</v>
      </c>
      <c r="H847" s="94">
        <f>SUMIF($A$2:A4482,G847,$E$2:E4482)</f>
        <v>310.08000000000004</v>
      </c>
      <c r="I847" s="93" t="str">
        <f t="shared" si="53"/>
        <v>Wednesday</v>
      </c>
      <c r="J847" s="93" t="str">
        <f t="shared" si="54"/>
        <v>July</v>
      </c>
      <c r="K847" s="93" t="str">
        <f t="shared" si="55"/>
        <v>2024</v>
      </c>
      <c r="L847" s="6"/>
      <c r="M847" s="6"/>
      <c r="N847" s="6"/>
    </row>
    <row r="848" spans="1:14" x14ac:dyDescent="0.3">
      <c r="A848" s="87">
        <v>45477</v>
      </c>
      <c r="B848" s="87" t="str">
        <f t="shared" si="52"/>
        <v>Thursday</v>
      </c>
      <c r="C848" s="88" t="s">
        <v>1381</v>
      </c>
      <c r="D848" s="88" t="s">
        <v>155</v>
      </c>
      <c r="E848" s="89">
        <v>32.82</v>
      </c>
      <c r="F848" s="88" t="s">
        <v>12</v>
      </c>
      <c r="G848" s="87">
        <f>Table1[[#This Row],[date]]</f>
        <v>45477</v>
      </c>
      <c r="H848" s="94">
        <f>SUMIF($A$2:A4483,G848,$E$2:E4483)</f>
        <v>60.74</v>
      </c>
      <c r="I848" s="93" t="str">
        <f t="shared" si="53"/>
        <v>Thursday</v>
      </c>
      <c r="J848" s="93" t="str">
        <f t="shared" si="54"/>
        <v>July</v>
      </c>
      <c r="K848" s="93" t="str">
        <f t="shared" si="55"/>
        <v>2024</v>
      </c>
      <c r="L848" s="6"/>
      <c r="M848" s="6"/>
      <c r="N848" s="6"/>
    </row>
    <row r="849" spans="1:14" x14ac:dyDescent="0.3">
      <c r="A849" s="92">
        <v>45477</v>
      </c>
      <c r="B849" s="92" t="str">
        <f t="shared" si="52"/>
        <v>Thursday</v>
      </c>
      <c r="C849" s="93" t="s">
        <v>1381</v>
      </c>
      <c r="D849" s="93" t="s">
        <v>21</v>
      </c>
      <c r="E849" s="94">
        <v>27.92</v>
      </c>
      <c r="F849" s="93" t="s">
        <v>9</v>
      </c>
      <c r="G849" s="87">
        <f>Table1[[#This Row],[date]]</f>
        <v>45477</v>
      </c>
      <c r="H849" s="94">
        <f>SUMIF($A$2:A4484,G849,$E$2:E4484)</f>
        <v>60.74</v>
      </c>
      <c r="I849" s="93" t="str">
        <f t="shared" si="53"/>
        <v>Thursday</v>
      </c>
      <c r="J849" s="93" t="str">
        <f t="shared" si="54"/>
        <v>July</v>
      </c>
      <c r="K849" s="93" t="str">
        <f t="shared" si="55"/>
        <v>2024</v>
      </c>
      <c r="L849" s="6"/>
      <c r="M849" s="6"/>
      <c r="N849" s="6"/>
    </row>
    <row r="850" spans="1:14" x14ac:dyDescent="0.3">
      <c r="A850" s="87">
        <v>45478</v>
      </c>
      <c r="B850" s="87" t="str">
        <f t="shared" si="52"/>
        <v>Friday</v>
      </c>
      <c r="C850" s="88" t="s">
        <v>1381</v>
      </c>
      <c r="D850" s="88" t="s">
        <v>70</v>
      </c>
      <c r="E850" s="89">
        <v>37.72</v>
      </c>
      <c r="F850" s="88" t="s">
        <v>16</v>
      </c>
      <c r="G850" s="87">
        <f>Table1[[#This Row],[date]]</f>
        <v>45478</v>
      </c>
      <c r="H850" s="94">
        <f>SUMIF($A$2:A4485,G850,$E$2:E4485)</f>
        <v>275.78000000000003</v>
      </c>
      <c r="I850" s="93" t="str">
        <f t="shared" si="53"/>
        <v>Friday</v>
      </c>
      <c r="J850" s="93" t="str">
        <f t="shared" si="54"/>
        <v>July</v>
      </c>
      <c r="K850" s="93" t="str">
        <f t="shared" si="55"/>
        <v>2024</v>
      </c>
      <c r="L850" s="6"/>
      <c r="M850" s="6"/>
      <c r="N850" s="6"/>
    </row>
    <row r="851" spans="1:14" x14ac:dyDescent="0.3">
      <c r="A851" s="92">
        <v>45478</v>
      </c>
      <c r="B851" s="92" t="str">
        <f t="shared" si="52"/>
        <v>Friday</v>
      </c>
      <c r="C851" s="93" t="s">
        <v>1381</v>
      </c>
      <c r="D851" s="93" t="s">
        <v>52</v>
      </c>
      <c r="E851" s="94">
        <v>32.82</v>
      </c>
      <c r="F851" s="93" t="s">
        <v>12</v>
      </c>
      <c r="G851" s="87">
        <f>Table1[[#This Row],[date]]</f>
        <v>45478</v>
      </c>
      <c r="H851" s="94">
        <f>SUMIF($A$2:A4486,G851,$E$2:E4486)</f>
        <v>275.78000000000003</v>
      </c>
      <c r="I851" s="93" t="str">
        <f t="shared" si="53"/>
        <v>Friday</v>
      </c>
      <c r="J851" s="93" t="str">
        <f t="shared" si="54"/>
        <v>July</v>
      </c>
      <c r="K851" s="93" t="str">
        <f t="shared" si="55"/>
        <v>2024</v>
      </c>
      <c r="L851" s="6"/>
      <c r="M851" s="6"/>
      <c r="N851" s="6"/>
    </row>
    <row r="852" spans="1:14" x14ac:dyDescent="0.3">
      <c r="A852" s="87">
        <v>45478</v>
      </c>
      <c r="B852" s="87" t="str">
        <f t="shared" si="52"/>
        <v>Friday</v>
      </c>
      <c r="C852" s="88" t="s">
        <v>1381</v>
      </c>
      <c r="D852" s="88" t="s">
        <v>359</v>
      </c>
      <c r="E852" s="89">
        <v>32.82</v>
      </c>
      <c r="F852" s="88" t="s">
        <v>12</v>
      </c>
      <c r="G852" s="87">
        <f>Table1[[#This Row],[date]]</f>
        <v>45478</v>
      </c>
      <c r="H852" s="94">
        <f>SUMIF($A$2:A4487,G852,$E$2:E4487)</f>
        <v>275.78000000000003</v>
      </c>
      <c r="I852" s="93" t="str">
        <f t="shared" si="53"/>
        <v>Friday</v>
      </c>
      <c r="J852" s="93" t="str">
        <f t="shared" si="54"/>
        <v>July</v>
      </c>
      <c r="K852" s="93" t="str">
        <f t="shared" si="55"/>
        <v>2024</v>
      </c>
      <c r="L852" s="6"/>
      <c r="M852" s="6"/>
      <c r="N852" s="6"/>
    </row>
    <row r="853" spans="1:14" x14ac:dyDescent="0.3">
      <c r="A853" s="92">
        <v>45478</v>
      </c>
      <c r="B853" s="92" t="str">
        <f t="shared" si="52"/>
        <v>Friday</v>
      </c>
      <c r="C853" s="93" t="s">
        <v>1381</v>
      </c>
      <c r="D853" s="93" t="s">
        <v>360</v>
      </c>
      <c r="E853" s="94">
        <v>23.02</v>
      </c>
      <c r="F853" s="93" t="s">
        <v>33</v>
      </c>
      <c r="G853" s="87">
        <f>Table1[[#This Row],[date]]</f>
        <v>45478</v>
      </c>
      <c r="H853" s="94">
        <f>SUMIF($A$2:A4488,G853,$E$2:E4488)</f>
        <v>275.78000000000003</v>
      </c>
      <c r="I853" s="93" t="str">
        <f t="shared" si="53"/>
        <v>Friday</v>
      </c>
      <c r="J853" s="93" t="str">
        <f t="shared" si="54"/>
        <v>July</v>
      </c>
      <c r="K853" s="93" t="str">
        <f t="shared" si="55"/>
        <v>2024</v>
      </c>
      <c r="L853" s="6"/>
      <c r="M853" s="6"/>
      <c r="N853" s="6"/>
    </row>
    <row r="854" spans="1:14" x14ac:dyDescent="0.3">
      <c r="A854" s="87">
        <v>45478</v>
      </c>
      <c r="B854" s="87" t="str">
        <f t="shared" si="52"/>
        <v>Friday</v>
      </c>
      <c r="C854" s="88" t="s">
        <v>1381</v>
      </c>
      <c r="D854" s="88" t="s">
        <v>111</v>
      </c>
      <c r="E854" s="89">
        <v>27.92</v>
      </c>
      <c r="F854" s="88" t="s">
        <v>9</v>
      </c>
      <c r="G854" s="87">
        <f>Table1[[#This Row],[date]]</f>
        <v>45478</v>
      </c>
      <c r="H854" s="94">
        <f>SUMIF($A$2:A4489,G854,$E$2:E4489)</f>
        <v>275.78000000000003</v>
      </c>
      <c r="I854" s="93" t="str">
        <f t="shared" si="53"/>
        <v>Friday</v>
      </c>
      <c r="J854" s="93" t="str">
        <f t="shared" si="54"/>
        <v>July</v>
      </c>
      <c r="K854" s="93" t="str">
        <f t="shared" si="55"/>
        <v>2024</v>
      </c>
      <c r="L854" s="6"/>
      <c r="M854" s="6"/>
      <c r="N854" s="6"/>
    </row>
    <row r="855" spans="1:14" x14ac:dyDescent="0.3">
      <c r="A855" s="92">
        <v>45478</v>
      </c>
      <c r="B855" s="92" t="str">
        <f t="shared" si="52"/>
        <v>Friday</v>
      </c>
      <c r="C855" s="93" t="s">
        <v>1381</v>
      </c>
      <c r="D855" s="93" t="s">
        <v>361</v>
      </c>
      <c r="E855" s="94">
        <v>23.02</v>
      </c>
      <c r="F855" s="93" t="s">
        <v>33</v>
      </c>
      <c r="G855" s="87">
        <f>Table1[[#This Row],[date]]</f>
        <v>45478</v>
      </c>
      <c r="H855" s="94">
        <f>SUMIF($A$2:A4490,G855,$E$2:E4490)</f>
        <v>275.78000000000003</v>
      </c>
      <c r="I855" s="93" t="str">
        <f t="shared" si="53"/>
        <v>Friday</v>
      </c>
      <c r="J855" s="93" t="str">
        <f t="shared" si="54"/>
        <v>July</v>
      </c>
      <c r="K855" s="93" t="str">
        <f t="shared" si="55"/>
        <v>2024</v>
      </c>
      <c r="L855" s="6"/>
      <c r="M855" s="6"/>
      <c r="N855" s="6"/>
    </row>
    <row r="856" spans="1:14" x14ac:dyDescent="0.3">
      <c r="A856" s="87">
        <v>45478</v>
      </c>
      <c r="B856" s="87" t="str">
        <f t="shared" si="52"/>
        <v>Friday</v>
      </c>
      <c r="C856" s="88" t="s">
        <v>1381</v>
      </c>
      <c r="D856" s="88" t="s">
        <v>362</v>
      </c>
      <c r="E856" s="89">
        <v>27.92</v>
      </c>
      <c r="F856" s="88" t="s">
        <v>9</v>
      </c>
      <c r="G856" s="87">
        <f>Table1[[#This Row],[date]]</f>
        <v>45478</v>
      </c>
      <c r="H856" s="94">
        <f>SUMIF($A$2:A4491,G856,$E$2:E4491)</f>
        <v>275.78000000000003</v>
      </c>
      <c r="I856" s="93" t="str">
        <f t="shared" si="53"/>
        <v>Friday</v>
      </c>
      <c r="J856" s="93" t="str">
        <f t="shared" si="54"/>
        <v>July</v>
      </c>
      <c r="K856" s="93" t="str">
        <f t="shared" si="55"/>
        <v>2024</v>
      </c>
      <c r="L856" s="6"/>
      <c r="M856" s="6"/>
      <c r="N856" s="6"/>
    </row>
    <row r="857" spans="1:14" x14ac:dyDescent="0.3">
      <c r="A857" s="87">
        <v>45478</v>
      </c>
      <c r="B857" s="87" t="str">
        <f t="shared" si="52"/>
        <v>Friday</v>
      </c>
      <c r="C857" s="88" t="s">
        <v>1381</v>
      </c>
      <c r="D857" s="88" t="s">
        <v>363</v>
      </c>
      <c r="E857" s="89">
        <v>37.72</v>
      </c>
      <c r="F857" s="88" t="s">
        <v>41</v>
      </c>
      <c r="G857" s="87">
        <f>Table1[[#This Row],[date]]</f>
        <v>45478</v>
      </c>
      <c r="H857" s="94">
        <f>SUMIF($A$2:A4492,G857,$E$2:E4492)</f>
        <v>275.78000000000003</v>
      </c>
      <c r="I857" s="93" t="str">
        <f t="shared" si="53"/>
        <v>Friday</v>
      </c>
      <c r="J857" s="93" t="str">
        <f t="shared" si="54"/>
        <v>July</v>
      </c>
      <c r="K857" s="93" t="str">
        <f t="shared" si="55"/>
        <v>2024</v>
      </c>
      <c r="L857" s="6"/>
      <c r="M857" s="6"/>
      <c r="N857" s="6"/>
    </row>
    <row r="858" spans="1:14" x14ac:dyDescent="0.3">
      <c r="A858" s="92">
        <v>45478</v>
      </c>
      <c r="B858" s="92" t="str">
        <f t="shared" si="52"/>
        <v>Friday</v>
      </c>
      <c r="C858" s="93" t="s">
        <v>1381</v>
      </c>
      <c r="D858" s="93" t="s">
        <v>363</v>
      </c>
      <c r="E858" s="94">
        <v>32.82</v>
      </c>
      <c r="F858" s="93" t="s">
        <v>12</v>
      </c>
      <c r="G858" s="87">
        <f>Table1[[#This Row],[date]]</f>
        <v>45478</v>
      </c>
      <c r="H858" s="94">
        <f>SUMIF($A$2:A4493,G858,$E$2:E4493)</f>
        <v>275.78000000000003</v>
      </c>
      <c r="I858" s="93" t="str">
        <f t="shared" si="53"/>
        <v>Friday</v>
      </c>
      <c r="J858" s="93" t="str">
        <f t="shared" si="54"/>
        <v>July</v>
      </c>
      <c r="K858" s="93" t="str">
        <f t="shared" si="55"/>
        <v>2024</v>
      </c>
      <c r="L858" s="6"/>
      <c r="M858" s="6"/>
      <c r="N858" s="6"/>
    </row>
    <row r="859" spans="1:14" x14ac:dyDescent="0.3">
      <c r="A859" s="87">
        <v>45479</v>
      </c>
      <c r="B859" s="87" t="str">
        <f t="shared" si="52"/>
        <v>Saturday</v>
      </c>
      <c r="C859" s="88" t="s">
        <v>1381</v>
      </c>
      <c r="D859" s="88" t="s">
        <v>364</v>
      </c>
      <c r="E859" s="89">
        <v>37.72</v>
      </c>
      <c r="F859" s="88" t="s">
        <v>5</v>
      </c>
      <c r="G859" s="87">
        <f>Table1[[#This Row],[date]]</f>
        <v>45479</v>
      </c>
      <c r="H859" s="94">
        <f>SUMIF($A$2:A4494,G859,$E$2:E4494)</f>
        <v>131.27999999999997</v>
      </c>
      <c r="I859" s="93" t="str">
        <f t="shared" si="53"/>
        <v>Saturday</v>
      </c>
      <c r="J859" s="93" t="str">
        <f t="shared" si="54"/>
        <v>July</v>
      </c>
      <c r="K859" s="93" t="str">
        <f t="shared" si="55"/>
        <v>2024</v>
      </c>
      <c r="L859" s="6"/>
      <c r="M859" s="6"/>
      <c r="N859" s="6"/>
    </row>
    <row r="860" spans="1:14" x14ac:dyDescent="0.3">
      <c r="A860" s="92">
        <v>45479</v>
      </c>
      <c r="B860" s="92" t="str">
        <f t="shared" si="52"/>
        <v>Saturday</v>
      </c>
      <c r="C860" s="93" t="s">
        <v>1381</v>
      </c>
      <c r="D860" s="93" t="s">
        <v>17</v>
      </c>
      <c r="E860" s="94">
        <v>32.82</v>
      </c>
      <c r="F860" s="93" t="s">
        <v>5</v>
      </c>
      <c r="G860" s="87">
        <f>Table1[[#This Row],[date]]</f>
        <v>45479</v>
      </c>
      <c r="H860" s="94">
        <f>SUMIF($A$2:A4495,G860,$E$2:E4495)</f>
        <v>131.27999999999997</v>
      </c>
      <c r="I860" s="93" t="str">
        <f t="shared" si="53"/>
        <v>Saturday</v>
      </c>
      <c r="J860" s="93" t="str">
        <f t="shared" si="54"/>
        <v>July</v>
      </c>
      <c r="K860" s="93" t="str">
        <f t="shared" si="55"/>
        <v>2024</v>
      </c>
      <c r="L860" s="6"/>
      <c r="M860" s="6"/>
      <c r="N860" s="6"/>
    </row>
    <row r="861" spans="1:14" x14ac:dyDescent="0.3">
      <c r="A861" s="92">
        <v>45479</v>
      </c>
      <c r="B861" s="92" t="str">
        <f t="shared" si="52"/>
        <v>Saturday</v>
      </c>
      <c r="C861" s="93" t="s">
        <v>1381</v>
      </c>
      <c r="D861" s="93" t="s">
        <v>21</v>
      </c>
      <c r="E861" s="94">
        <v>32.82</v>
      </c>
      <c r="F861" s="93" t="s">
        <v>5</v>
      </c>
      <c r="G861" s="87">
        <f>Table1[[#This Row],[date]]</f>
        <v>45479</v>
      </c>
      <c r="H861" s="94">
        <f>SUMIF($A$2:A4496,G861,$E$2:E4496)</f>
        <v>131.27999999999997</v>
      </c>
      <c r="I861" s="93" t="str">
        <f t="shared" si="53"/>
        <v>Saturday</v>
      </c>
      <c r="J861" s="93" t="str">
        <f t="shared" si="54"/>
        <v>July</v>
      </c>
      <c r="K861" s="93" t="str">
        <f t="shared" si="55"/>
        <v>2024</v>
      </c>
      <c r="L861" s="6"/>
      <c r="M861" s="6"/>
      <c r="N861" s="6"/>
    </row>
    <row r="862" spans="1:14" x14ac:dyDescent="0.3">
      <c r="A862" s="87">
        <v>45479</v>
      </c>
      <c r="B862" s="87" t="str">
        <f t="shared" si="52"/>
        <v>Saturday</v>
      </c>
      <c r="C862" s="88" t="s">
        <v>1381</v>
      </c>
      <c r="D862" s="88" t="s">
        <v>21</v>
      </c>
      <c r="E862" s="89">
        <v>27.92</v>
      </c>
      <c r="F862" s="88" t="s">
        <v>12</v>
      </c>
      <c r="G862" s="87">
        <f>Table1[[#This Row],[date]]</f>
        <v>45479</v>
      </c>
      <c r="H862" s="94">
        <f>SUMIF($A$2:A4497,G862,$E$2:E4497)</f>
        <v>131.27999999999997</v>
      </c>
      <c r="I862" s="93" t="str">
        <f t="shared" si="53"/>
        <v>Saturday</v>
      </c>
      <c r="J862" s="93" t="str">
        <f t="shared" si="54"/>
        <v>July</v>
      </c>
      <c r="K862" s="93" t="str">
        <f t="shared" si="55"/>
        <v>2024</v>
      </c>
      <c r="L862" s="6"/>
      <c r="M862" s="6"/>
      <c r="N862" s="6"/>
    </row>
    <row r="863" spans="1:14" x14ac:dyDescent="0.3">
      <c r="A863" s="92">
        <v>45480</v>
      </c>
      <c r="B863" s="92" t="str">
        <f t="shared" si="52"/>
        <v>Sunday</v>
      </c>
      <c r="C863" s="93" t="s">
        <v>1381</v>
      </c>
      <c r="D863" s="93" t="s">
        <v>315</v>
      </c>
      <c r="E863" s="94">
        <v>32.82</v>
      </c>
      <c r="F863" s="93" t="s">
        <v>41</v>
      </c>
      <c r="G863" s="87">
        <f>Table1[[#This Row],[date]]</f>
        <v>45480</v>
      </c>
      <c r="H863" s="94">
        <f>SUMIF($A$2:A4498,G863,$E$2:E4498)</f>
        <v>285.58</v>
      </c>
      <c r="I863" s="93" t="str">
        <f t="shared" si="53"/>
        <v>Sunday</v>
      </c>
      <c r="J863" s="93" t="str">
        <f t="shared" si="54"/>
        <v>July</v>
      </c>
      <c r="K863" s="93" t="str">
        <f t="shared" si="55"/>
        <v>2024</v>
      </c>
      <c r="L863" s="6"/>
      <c r="M863" s="6"/>
      <c r="N863" s="6"/>
    </row>
    <row r="864" spans="1:14" x14ac:dyDescent="0.3">
      <c r="A864" s="87">
        <v>45480</v>
      </c>
      <c r="B864" s="87" t="str">
        <f t="shared" si="52"/>
        <v>Sunday</v>
      </c>
      <c r="C864" s="88" t="s">
        <v>1381</v>
      </c>
      <c r="D864" s="88" t="s">
        <v>365</v>
      </c>
      <c r="E864" s="89">
        <v>27.92</v>
      </c>
      <c r="F864" s="88" t="s">
        <v>12</v>
      </c>
      <c r="G864" s="87">
        <f>Table1[[#This Row],[date]]</f>
        <v>45480</v>
      </c>
      <c r="H864" s="94">
        <f>SUMIF($A$2:A4499,G864,$E$2:E4499)</f>
        <v>285.58</v>
      </c>
      <c r="I864" s="93" t="str">
        <f t="shared" si="53"/>
        <v>Sunday</v>
      </c>
      <c r="J864" s="93" t="str">
        <f t="shared" si="54"/>
        <v>July</v>
      </c>
      <c r="K864" s="93" t="str">
        <f t="shared" si="55"/>
        <v>2024</v>
      </c>
      <c r="L864" s="6"/>
      <c r="M864" s="6"/>
      <c r="N864" s="6"/>
    </row>
    <row r="865" spans="1:14" x14ac:dyDescent="0.3">
      <c r="A865" s="87">
        <v>45480</v>
      </c>
      <c r="B865" s="87" t="str">
        <f t="shared" si="52"/>
        <v>Sunday</v>
      </c>
      <c r="C865" s="88" t="s">
        <v>1381</v>
      </c>
      <c r="D865" s="88" t="s">
        <v>366</v>
      </c>
      <c r="E865" s="89">
        <v>32.82</v>
      </c>
      <c r="F865" s="88" t="s">
        <v>41</v>
      </c>
      <c r="G865" s="87">
        <f>Table1[[#This Row],[date]]</f>
        <v>45480</v>
      </c>
      <c r="H865" s="94">
        <f>SUMIF($A$2:A4500,G865,$E$2:E4500)</f>
        <v>285.58</v>
      </c>
      <c r="I865" s="93" t="str">
        <f t="shared" si="53"/>
        <v>Sunday</v>
      </c>
      <c r="J865" s="93" t="str">
        <f t="shared" si="54"/>
        <v>July</v>
      </c>
      <c r="K865" s="93" t="str">
        <f t="shared" si="55"/>
        <v>2024</v>
      </c>
      <c r="L865" s="6"/>
      <c r="M865" s="6"/>
      <c r="N865" s="6"/>
    </row>
    <row r="866" spans="1:14" x14ac:dyDescent="0.3">
      <c r="A866" s="87">
        <v>45480</v>
      </c>
      <c r="B866" s="87" t="str">
        <f t="shared" si="52"/>
        <v>Sunday</v>
      </c>
      <c r="C866" s="88" t="s">
        <v>1381</v>
      </c>
      <c r="D866" s="88" t="s">
        <v>367</v>
      </c>
      <c r="E866" s="89">
        <v>32.82</v>
      </c>
      <c r="F866" s="88" t="s">
        <v>7</v>
      </c>
      <c r="G866" s="87">
        <f>Table1[[#This Row],[date]]</f>
        <v>45480</v>
      </c>
      <c r="H866" s="94">
        <f>SUMIF($A$2:A4501,G866,$E$2:E4501)</f>
        <v>285.58</v>
      </c>
      <c r="I866" s="93" t="str">
        <f t="shared" si="53"/>
        <v>Sunday</v>
      </c>
      <c r="J866" s="93" t="str">
        <f t="shared" si="54"/>
        <v>July</v>
      </c>
      <c r="K866" s="93" t="str">
        <f t="shared" si="55"/>
        <v>2024</v>
      </c>
      <c r="L866" s="6"/>
      <c r="M866" s="6"/>
      <c r="N866" s="6"/>
    </row>
    <row r="867" spans="1:14" x14ac:dyDescent="0.3">
      <c r="A867" s="92">
        <v>45480</v>
      </c>
      <c r="B867" s="92" t="str">
        <f t="shared" si="52"/>
        <v>Sunday</v>
      </c>
      <c r="C867" s="93" t="s">
        <v>1381</v>
      </c>
      <c r="D867" s="93" t="s">
        <v>367</v>
      </c>
      <c r="E867" s="94">
        <v>32.82</v>
      </c>
      <c r="F867" s="93" t="s">
        <v>16</v>
      </c>
      <c r="G867" s="87">
        <f>Table1[[#This Row],[date]]</f>
        <v>45480</v>
      </c>
      <c r="H867" s="94">
        <f>SUMIF($A$2:A4502,G867,$E$2:E4502)</f>
        <v>285.58</v>
      </c>
      <c r="I867" s="93" t="str">
        <f t="shared" si="53"/>
        <v>Sunday</v>
      </c>
      <c r="J867" s="93" t="str">
        <f t="shared" si="54"/>
        <v>July</v>
      </c>
      <c r="K867" s="93" t="str">
        <f t="shared" si="55"/>
        <v>2024</v>
      </c>
      <c r="L867" s="6"/>
      <c r="M867" s="6"/>
      <c r="N867" s="6"/>
    </row>
    <row r="868" spans="1:14" x14ac:dyDescent="0.3">
      <c r="A868" s="87">
        <v>45480</v>
      </c>
      <c r="B868" s="87" t="str">
        <f t="shared" si="52"/>
        <v>Sunday</v>
      </c>
      <c r="C868" s="88" t="s">
        <v>1381</v>
      </c>
      <c r="D868" s="88" t="s">
        <v>368</v>
      </c>
      <c r="E868" s="89">
        <v>32.82</v>
      </c>
      <c r="F868" s="88" t="s">
        <v>5</v>
      </c>
      <c r="G868" s="87">
        <f>Table1[[#This Row],[date]]</f>
        <v>45480</v>
      </c>
      <c r="H868" s="94">
        <f>SUMIF($A$2:A4503,G868,$E$2:E4503)</f>
        <v>285.58</v>
      </c>
      <c r="I868" s="93" t="str">
        <f t="shared" si="53"/>
        <v>Sunday</v>
      </c>
      <c r="J868" s="93" t="str">
        <f t="shared" si="54"/>
        <v>July</v>
      </c>
      <c r="K868" s="93" t="str">
        <f t="shared" si="55"/>
        <v>2024</v>
      </c>
      <c r="L868" s="6"/>
      <c r="M868" s="6"/>
      <c r="N868" s="6"/>
    </row>
    <row r="869" spans="1:14" x14ac:dyDescent="0.3">
      <c r="A869" s="92">
        <v>45480</v>
      </c>
      <c r="B869" s="92" t="str">
        <f t="shared" si="52"/>
        <v>Sunday</v>
      </c>
      <c r="C869" s="93" t="s">
        <v>1381</v>
      </c>
      <c r="D869" s="93" t="s">
        <v>369</v>
      </c>
      <c r="E869" s="94">
        <v>32.82</v>
      </c>
      <c r="F869" s="93" t="s">
        <v>41</v>
      </c>
      <c r="G869" s="87">
        <f>Table1[[#This Row],[date]]</f>
        <v>45480</v>
      </c>
      <c r="H869" s="94">
        <f>SUMIF($A$2:A4504,G869,$E$2:E4504)</f>
        <v>285.58</v>
      </c>
      <c r="I869" s="93" t="str">
        <f t="shared" si="53"/>
        <v>Sunday</v>
      </c>
      <c r="J869" s="93" t="str">
        <f t="shared" si="54"/>
        <v>July</v>
      </c>
      <c r="K869" s="93" t="str">
        <f t="shared" si="55"/>
        <v>2024</v>
      </c>
      <c r="L869" s="6"/>
      <c r="M869" s="6"/>
      <c r="N869" s="6"/>
    </row>
    <row r="870" spans="1:14" x14ac:dyDescent="0.3">
      <c r="A870" s="87">
        <v>45480</v>
      </c>
      <c r="B870" s="87" t="str">
        <f t="shared" si="52"/>
        <v>Sunday</v>
      </c>
      <c r="C870" s="88" t="s">
        <v>1381</v>
      </c>
      <c r="D870" s="88" t="s">
        <v>370</v>
      </c>
      <c r="E870" s="89">
        <v>32.82</v>
      </c>
      <c r="F870" s="88" t="s">
        <v>7</v>
      </c>
      <c r="G870" s="87">
        <f>Table1[[#This Row],[date]]</f>
        <v>45480</v>
      </c>
      <c r="H870" s="94">
        <f>SUMIF($A$2:A4505,G870,$E$2:E4505)</f>
        <v>285.58</v>
      </c>
      <c r="I870" s="93" t="str">
        <f t="shared" si="53"/>
        <v>Sunday</v>
      </c>
      <c r="J870" s="93" t="str">
        <f t="shared" si="54"/>
        <v>July</v>
      </c>
      <c r="K870" s="93" t="str">
        <f t="shared" si="55"/>
        <v>2024</v>
      </c>
      <c r="L870" s="6"/>
      <c r="M870" s="6"/>
      <c r="N870" s="6"/>
    </row>
    <row r="871" spans="1:14" x14ac:dyDescent="0.3">
      <c r="A871" s="92">
        <v>45480</v>
      </c>
      <c r="B871" s="92" t="str">
        <f t="shared" si="52"/>
        <v>Sunday</v>
      </c>
      <c r="C871" s="93" t="s">
        <v>1381</v>
      </c>
      <c r="D871" s="93" t="s">
        <v>371</v>
      </c>
      <c r="E871" s="94">
        <v>27.92</v>
      </c>
      <c r="F871" s="93" t="s">
        <v>12</v>
      </c>
      <c r="G871" s="87">
        <f>Table1[[#This Row],[date]]</f>
        <v>45480</v>
      </c>
      <c r="H871" s="94">
        <f>SUMIF($A$2:A4506,G871,$E$2:E4506)</f>
        <v>285.58</v>
      </c>
      <c r="I871" s="93" t="str">
        <f t="shared" si="53"/>
        <v>Sunday</v>
      </c>
      <c r="J871" s="93" t="str">
        <f t="shared" si="54"/>
        <v>July</v>
      </c>
      <c r="K871" s="93" t="str">
        <f t="shared" si="55"/>
        <v>2024</v>
      </c>
      <c r="L871" s="6"/>
      <c r="M871" s="6"/>
      <c r="N871" s="6"/>
    </row>
    <row r="872" spans="1:14" x14ac:dyDescent="0.3">
      <c r="A872" s="87">
        <v>45481</v>
      </c>
      <c r="B872" s="87" t="str">
        <f t="shared" si="52"/>
        <v>Monday</v>
      </c>
      <c r="C872" s="88" t="s">
        <v>1381</v>
      </c>
      <c r="D872" s="88" t="s">
        <v>372</v>
      </c>
      <c r="E872" s="89">
        <v>32.82</v>
      </c>
      <c r="F872" s="88" t="s">
        <v>5</v>
      </c>
      <c r="G872" s="87">
        <f>Table1[[#This Row],[date]]</f>
        <v>45481</v>
      </c>
      <c r="H872" s="94">
        <f>SUMIF($A$2:A4507,G872,$E$2:E4507)</f>
        <v>139.6</v>
      </c>
      <c r="I872" s="93" t="str">
        <f t="shared" si="53"/>
        <v>Monday</v>
      </c>
      <c r="J872" s="93" t="str">
        <f t="shared" si="54"/>
        <v>July</v>
      </c>
      <c r="K872" s="93" t="str">
        <f t="shared" si="55"/>
        <v>2024</v>
      </c>
      <c r="L872" s="6"/>
      <c r="M872" s="6"/>
      <c r="N872" s="6"/>
    </row>
    <row r="873" spans="1:14" x14ac:dyDescent="0.3">
      <c r="A873" s="92">
        <v>45481</v>
      </c>
      <c r="B873" s="92" t="str">
        <f t="shared" si="52"/>
        <v>Monday</v>
      </c>
      <c r="C873" s="93" t="s">
        <v>1381</v>
      </c>
      <c r="D873" s="93" t="s">
        <v>373</v>
      </c>
      <c r="E873" s="94">
        <v>23.02</v>
      </c>
      <c r="F873" s="93" t="s">
        <v>9</v>
      </c>
      <c r="G873" s="87">
        <f>Table1[[#This Row],[date]]</f>
        <v>45481</v>
      </c>
      <c r="H873" s="94">
        <f>SUMIF($A$2:A4508,G873,$E$2:E4508)</f>
        <v>139.6</v>
      </c>
      <c r="I873" s="93" t="str">
        <f t="shared" si="53"/>
        <v>Monday</v>
      </c>
      <c r="J873" s="93" t="str">
        <f t="shared" si="54"/>
        <v>July</v>
      </c>
      <c r="K873" s="93" t="str">
        <f t="shared" si="55"/>
        <v>2024</v>
      </c>
      <c r="L873" s="6"/>
      <c r="M873" s="6"/>
      <c r="N873" s="6"/>
    </row>
    <row r="874" spans="1:14" x14ac:dyDescent="0.3">
      <c r="A874" s="87">
        <v>45481</v>
      </c>
      <c r="B874" s="87" t="str">
        <f t="shared" si="52"/>
        <v>Monday</v>
      </c>
      <c r="C874" s="88" t="s">
        <v>1381</v>
      </c>
      <c r="D874" s="88" t="s">
        <v>374</v>
      </c>
      <c r="E874" s="89">
        <v>23.02</v>
      </c>
      <c r="F874" s="88" t="s">
        <v>9</v>
      </c>
      <c r="G874" s="87">
        <f>Table1[[#This Row],[date]]</f>
        <v>45481</v>
      </c>
      <c r="H874" s="94">
        <f>SUMIF($A$2:A4509,G874,$E$2:E4509)</f>
        <v>139.6</v>
      </c>
      <c r="I874" s="93" t="str">
        <f t="shared" si="53"/>
        <v>Monday</v>
      </c>
      <c r="J874" s="93" t="str">
        <f t="shared" si="54"/>
        <v>July</v>
      </c>
      <c r="K874" s="93" t="str">
        <f t="shared" si="55"/>
        <v>2024</v>
      </c>
      <c r="L874" s="6"/>
      <c r="M874" s="6"/>
      <c r="N874" s="6"/>
    </row>
    <row r="875" spans="1:14" x14ac:dyDescent="0.3">
      <c r="A875" s="92">
        <v>45481</v>
      </c>
      <c r="B875" s="92" t="str">
        <f t="shared" si="52"/>
        <v>Monday</v>
      </c>
      <c r="C875" s="93" t="s">
        <v>1381</v>
      </c>
      <c r="D875" s="93" t="s">
        <v>375</v>
      </c>
      <c r="E875" s="94">
        <v>27.92</v>
      </c>
      <c r="F875" s="93" t="s">
        <v>12</v>
      </c>
      <c r="G875" s="87">
        <f>Table1[[#This Row],[date]]</f>
        <v>45481</v>
      </c>
      <c r="H875" s="94">
        <f>SUMIF($A$2:A4510,G875,$E$2:E4510)</f>
        <v>139.6</v>
      </c>
      <c r="I875" s="93" t="str">
        <f t="shared" si="53"/>
        <v>Monday</v>
      </c>
      <c r="J875" s="93" t="str">
        <f t="shared" si="54"/>
        <v>July</v>
      </c>
      <c r="K875" s="93" t="str">
        <f t="shared" si="55"/>
        <v>2024</v>
      </c>
      <c r="L875" s="6"/>
      <c r="M875" s="6"/>
      <c r="N875" s="6"/>
    </row>
    <row r="876" spans="1:14" x14ac:dyDescent="0.3">
      <c r="A876" s="87">
        <v>45481</v>
      </c>
      <c r="B876" s="87" t="str">
        <f t="shared" si="52"/>
        <v>Monday</v>
      </c>
      <c r="C876" s="88" t="s">
        <v>1381</v>
      </c>
      <c r="D876" s="88" t="s">
        <v>29</v>
      </c>
      <c r="E876" s="89">
        <v>32.82</v>
      </c>
      <c r="F876" s="88" t="s">
        <v>5</v>
      </c>
      <c r="G876" s="87">
        <f>Table1[[#This Row],[date]]</f>
        <v>45481</v>
      </c>
      <c r="H876" s="94">
        <f>SUMIF($A$2:A4511,G876,$E$2:E4511)</f>
        <v>139.6</v>
      </c>
      <c r="I876" s="93" t="str">
        <f t="shared" si="53"/>
        <v>Monday</v>
      </c>
      <c r="J876" s="93" t="str">
        <f t="shared" si="54"/>
        <v>July</v>
      </c>
      <c r="K876" s="93" t="str">
        <f t="shared" si="55"/>
        <v>2024</v>
      </c>
      <c r="L876" s="6"/>
      <c r="M876" s="6"/>
      <c r="N876" s="6"/>
    </row>
    <row r="877" spans="1:14" x14ac:dyDescent="0.3">
      <c r="A877" s="92">
        <v>45482</v>
      </c>
      <c r="B877" s="92" t="str">
        <f t="shared" si="52"/>
        <v>Tuesday</v>
      </c>
      <c r="C877" s="93" t="s">
        <v>1381</v>
      </c>
      <c r="D877" s="93" t="s">
        <v>345</v>
      </c>
      <c r="E877" s="94">
        <v>27.92</v>
      </c>
      <c r="F877" s="93" t="s">
        <v>12</v>
      </c>
      <c r="G877" s="87">
        <f>Table1[[#This Row],[date]]</f>
        <v>45482</v>
      </c>
      <c r="H877" s="94">
        <f>SUMIF($A$2:A4512,G877,$E$2:E4512)</f>
        <v>144.5</v>
      </c>
      <c r="I877" s="93" t="str">
        <f t="shared" si="53"/>
        <v>Tuesday</v>
      </c>
      <c r="J877" s="93" t="str">
        <f t="shared" si="54"/>
        <v>July</v>
      </c>
      <c r="K877" s="93" t="str">
        <f t="shared" si="55"/>
        <v>2024</v>
      </c>
      <c r="L877" s="6"/>
      <c r="M877" s="6"/>
      <c r="N877" s="6"/>
    </row>
    <row r="878" spans="1:14" x14ac:dyDescent="0.3">
      <c r="A878" s="87">
        <v>45482</v>
      </c>
      <c r="B878" s="87" t="str">
        <f t="shared" si="52"/>
        <v>Tuesday</v>
      </c>
      <c r="C878" s="88" t="s">
        <v>1381</v>
      </c>
      <c r="D878" s="88" t="s">
        <v>288</v>
      </c>
      <c r="E878" s="89">
        <v>27.92</v>
      </c>
      <c r="F878" s="88" t="s">
        <v>12</v>
      </c>
      <c r="G878" s="87">
        <f>Table1[[#This Row],[date]]</f>
        <v>45482</v>
      </c>
      <c r="H878" s="94">
        <f>SUMIF($A$2:A4513,G878,$E$2:E4513)</f>
        <v>144.5</v>
      </c>
      <c r="I878" s="93" t="str">
        <f t="shared" si="53"/>
        <v>Tuesday</v>
      </c>
      <c r="J878" s="93" t="str">
        <f t="shared" si="54"/>
        <v>July</v>
      </c>
      <c r="K878" s="93" t="str">
        <f t="shared" si="55"/>
        <v>2024</v>
      </c>
      <c r="L878" s="6"/>
      <c r="M878" s="6"/>
      <c r="N878" s="6"/>
    </row>
    <row r="879" spans="1:14" x14ac:dyDescent="0.3">
      <c r="A879" s="92">
        <v>45482</v>
      </c>
      <c r="B879" s="92" t="str">
        <f t="shared" si="52"/>
        <v>Tuesday</v>
      </c>
      <c r="C879" s="93" t="s">
        <v>1381</v>
      </c>
      <c r="D879" s="93" t="s">
        <v>206</v>
      </c>
      <c r="E879" s="94">
        <v>27.92</v>
      </c>
      <c r="F879" s="93" t="s">
        <v>12</v>
      </c>
      <c r="G879" s="87">
        <f>Table1[[#This Row],[date]]</f>
        <v>45482</v>
      </c>
      <c r="H879" s="94">
        <f>SUMIF($A$2:A4514,G879,$E$2:E4514)</f>
        <v>144.5</v>
      </c>
      <c r="I879" s="93" t="str">
        <f t="shared" si="53"/>
        <v>Tuesday</v>
      </c>
      <c r="J879" s="93" t="str">
        <f t="shared" si="54"/>
        <v>July</v>
      </c>
      <c r="K879" s="93" t="str">
        <f t="shared" si="55"/>
        <v>2024</v>
      </c>
      <c r="L879" s="6"/>
      <c r="M879" s="6"/>
      <c r="N879" s="6"/>
    </row>
    <row r="880" spans="1:14" x14ac:dyDescent="0.3">
      <c r="A880" s="87">
        <v>45482</v>
      </c>
      <c r="B880" s="87" t="str">
        <f t="shared" si="52"/>
        <v>Tuesday</v>
      </c>
      <c r="C880" s="88" t="s">
        <v>1381</v>
      </c>
      <c r="D880" s="88" t="s">
        <v>206</v>
      </c>
      <c r="E880" s="89">
        <v>32.82</v>
      </c>
      <c r="F880" s="88" t="s">
        <v>41</v>
      </c>
      <c r="G880" s="87">
        <f>Table1[[#This Row],[date]]</f>
        <v>45482</v>
      </c>
      <c r="H880" s="94">
        <f>SUMIF($A$2:A4515,G880,$E$2:E4515)</f>
        <v>144.5</v>
      </c>
      <c r="I880" s="93" t="str">
        <f t="shared" si="53"/>
        <v>Tuesday</v>
      </c>
      <c r="J880" s="93" t="str">
        <f t="shared" si="54"/>
        <v>July</v>
      </c>
      <c r="K880" s="93" t="str">
        <f t="shared" si="55"/>
        <v>2024</v>
      </c>
      <c r="L880" s="6"/>
      <c r="M880" s="6"/>
      <c r="N880" s="6"/>
    </row>
    <row r="881" spans="1:14" x14ac:dyDescent="0.3">
      <c r="A881" s="92">
        <v>45482</v>
      </c>
      <c r="B881" s="92" t="str">
        <f t="shared" si="52"/>
        <v>Tuesday</v>
      </c>
      <c r="C881" s="93" t="s">
        <v>1381</v>
      </c>
      <c r="D881" s="93" t="s">
        <v>376</v>
      </c>
      <c r="E881" s="94">
        <v>27.92</v>
      </c>
      <c r="F881" s="93" t="s">
        <v>12</v>
      </c>
      <c r="G881" s="87">
        <f>Table1[[#This Row],[date]]</f>
        <v>45482</v>
      </c>
      <c r="H881" s="94">
        <f>SUMIF($A$2:A4516,G881,$E$2:E4516)</f>
        <v>144.5</v>
      </c>
      <c r="I881" s="93" t="str">
        <f t="shared" si="53"/>
        <v>Tuesday</v>
      </c>
      <c r="J881" s="93" t="str">
        <f t="shared" si="54"/>
        <v>July</v>
      </c>
      <c r="K881" s="93" t="str">
        <f t="shared" si="55"/>
        <v>2024</v>
      </c>
      <c r="L881" s="6"/>
      <c r="M881" s="6"/>
      <c r="N881" s="6"/>
    </row>
    <row r="882" spans="1:14" x14ac:dyDescent="0.3">
      <c r="A882" s="87">
        <v>45483</v>
      </c>
      <c r="B882" s="87" t="str">
        <f t="shared" si="52"/>
        <v>Wednesday</v>
      </c>
      <c r="C882" s="88" t="s">
        <v>1381</v>
      </c>
      <c r="D882" s="88" t="s">
        <v>377</v>
      </c>
      <c r="E882" s="89">
        <v>23.02</v>
      </c>
      <c r="F882" s="88" t="s">
        <v>9</v>
      </c>
      <c r="G882" s="87">
        <f>Table1[[#This Row],[date]]</f>
        <v>45483</v>
      </c>
      <c r="H882" s="94">
        <f>SUMIF($A$2:A4517,G882,$E$2:E4517)</f>
        <v>83.759999999999991</v>
      </c>
      <c r="I882" s="93" t="str">
        <f t="shared" si="53"/>
        <v>Wednesday</v>
      </c>
      <c r="J882" s="93" t="str">
        <f t="shared" si="54"/>
        <v>July</v>
      </c>
      <c r="K882" s="93" t="str">
        <f t="shared" si="55"/>
        <v>2024</v>
      </c>
      <c r="L882" s="6"/>
      <c r="M882" s="6"/>
      <c r="N882" s="6"/>
    </row>
    <row r="883" spans="1:14" x14ac:dyDescent="0.3">
      <c r="A883" s="92">
        <v>45483</v>
      </c>
      <c r="B883" s="92" t="str">
        <f t="shared" si="52"/>
        <v>Wednesday</v>
      </c>
      <c r="C883" s="93" t="s">
        <v>1381</v>
      </c>
      <c r="D883" s="93" t="s">
        <v>378</v>
      </c>
      <c r="E883" s="94">
        <v>27.92</v>
      </c>
      <c r="F883" s="93" t="s">
        <v>12</v>
      </c>
      <c r="G883" s="87">
        <f>Table1[[#This Row],[date]]</f>
        <v>45483</v>
      </c>
      <c r="H883" s="94">
        <f>SUMIF($A$2:A4518,G883,$E$2:E4518)</f>
        <v>83.759999999999991</v>
      </c>
      <c r="I883" s="93" t="str">
        <f t="shared" si="53"/>
        <v>Wednesday</v>
      </c>
      <c r="J883" s="93" t="str">
        <f t="shared" si="54"/>
        <v>July</v>
      </c>
      <c r="K883" s="93" t="str">
        <f t="shared" si="55"/>
        <v>2024</v>
      </c>
      <c r="L883" s="6"/>
      <c r="M883" s="6"/>
      <c r="N883" s="6"/>
    </row>
    <row r="884" spans="1:14" x14ac:dyDescent="0.3">
      <c r="A884" s="87">
        <v>45483</v>
      </c>
      <c r="B884" s="87" t="str">
        <f t="shared" si="52"/>
        <v>Wednesday</v>
      </c>
      <c r="C884" s="88" t="s">
        <v>1381</v>
      </c>
      <c r="D884" s="88" t="s">
        <v>340</v>
      </c>
      <c r="E884" s="89">
        <v>32.82</v>
      </c>
      <c r="F884" s="88" t="s">
        <v>5</v>
      </c>
      <c r="G884" s="87">
        <f>Table1[[#This Row],[date]]</f>
        <v>45483</v>
      </c>
      <c r="H884" s="94">
        <f>SUMIF($A$2:A4519,G884,$E$2:E4519)</f>
        <v>83.759999999999991</v>
      </c>
      <c r="I884" s="93" t="str">
        <f t="shared" si="53"/>
        <v>Wednesday</v>
      </c>
      <c r="J884" s="93" t="str">
        <f t="shared" si="54"/>
        <v>July</v>
      </c>
      <c r="K884" s="93" t="str">
        <f t="shared" si="55"/>
        <v>2024</v>
      </c>
      <c r="L884" s="6"/>
      <c r="M884" s="6"/>
      <c r="N884" s="6"/>
    </row>
    <row r="885" spans="1:14" x14ac:dyDescent="0.3">
      <c r="A885" s="92">
        <v>45484</v>
      </c>
      <c r="B885" s="92" t="str">
        <f t="shared" si="52"/>
        <v>Thursday</v>
      </c>
      <c r="C885" s="93" t="s">
        <v>1381</v>
      </c>
      <c r="D885" s="93" t="s">
        <v>379</v>
      </c>
      <c r="E885" s="94">
        <v>32.82</v>
      </c>
      <c r="F885" s="93" t="s">
        <v>7</v>
      </c>
      <c r="G885" s="87">
        <f>Table1[[#This Row],[date]]</f>
        <v>45484</v>
      </c>
      <c r="H885" s="94">
        <f>SUMIF($A$2:A4520,G885,$E$2:E4520)</f>
        <v>116.58</v>
      </c>
      <c r="I885" s="93" t="str">
        <f t="shared" si="53"/>
        <v>Thursday</v>
      </c>
      <c r="J885" s="93" t="str">
        <f t="shared" si="54"/>
        <v>July</v>
      </c>
      <c r="K885" s="93" t="str">
        <f t="shared" si="55"/>
        <v>2024</v>
      </c>
      <c r="L885" s="6"/>
      <c r="M885" s="6"/>
      <c r="N885" s="6"/>
    </row>
    <row r="886" spans="1:14" x14ac:dyDescent="0.3">
      <c r="A886" s="87">
        <v>45484</v>
      </c>
      <c r="B886" s="87" t="str">
        <f t="shared" si="52"/>
        <v>Thursday</v>
      </c>
      <c r="C886" s="88" t="s">
        <v>1381</v>
      </c>
      <c r="D886" s="88" t="s">
        <v>380</v>
      </c>
      <c r="E886" s="89">
        <v>27.92</v>
      </c>
      <c r="F886" s="88" t="s">
        <v>12</v>
      </c>
      <c r="G886" s="87">
        <f>Table1[[#This Row],[date]]</f>
        <v>45484</v>
      </c>
      <c r="H886" s="94">
        <f>SUMIF($A$2:A4521,G886,$E$2:E4521)</f>
        <v>116.58</v>
      </c>
      <c r="I886" s="93" t="str">
        <f t="shared" si="53"/>
        <v>Thursday</v>
      </c>
      <c r="J886" s="93" t="str">
        <f t="shared" si="54"/>
        <v>July</v>
      </c>
      <c r="K886" s="93" t="str">
        <f t="shared" si="55"/>
        <v>2024</v>
      </c>
      <c r="L886" s="6"/>
      <c r="M886" s="6"/>
      <c r="N886" s="6"/>
    </row>
    <row r="887" spans="1:14" x14ac:dyDescent="0.3">
      <c r="A887" s="92">
        <v>45484</v>
      </c>
      <c r="B887" s="92" t="str">
        <f t="shared" si="52"/>
        <v>Thursday</v>
      </c>
      <c r="C887" s="93" t="s">
        <v>1381</v>
      </c>
      <c r="D887" s="93" t="s">
        <v>381</v>
      </c>
      <c r="E887" s="94">
        <v>32.82</v>
      </c>
      <c r="F887" s="93" t="s">
        <v>5</v>
      </c>
      <c r="G887" s="87">
        <f>Table1[[#This Row],[date]]</f>
        <v>45484</v>
      </c>
      <c r="H887" s="94">
        <f>SUMIF($A$2:A4522,G887,$E$2:E4522)</f>
        <v>116.58</v>
      </c>
      <c r="I887" s="93" t="str">
        <f t="shared" si="53"/>
        <v>Thursday</v>
      </c>
      <c r="J887" s="93" t="str">
        <f t="shared" si="54"/>
        <v>July</v>
      </c>
      <c r="K887" s="93" t="str">
        <f t="shared" si="55"/>
        <v>2024</v>
      </c>
      <c r="L887" s="6"/>
      <c r="M887" s="6"/>
      <c r="N887" s="6"/>
    </row>
    <row r="888" spans="1:14" x14ac:dyDescent="0.3">
      <c r="A888" s="87">
        <v>45484</v>
      </c>
      <c r="B888" s="87" t="str">
        <f t="shared" si="52"/>
        <v>Thursday</v>
      </c>
      <c r="C888" s="88" t="s">
        <v>1381</v>
      </c>
      <c r="D888" s="88" t="s">
        <v>382</v>
      </c>
      <c r="E888" s="89">
        <v>23.02</v>
      </c>
      <c r="F888" s="88" t="s">
        <v>9</v>
      </c>
      <c r="G888" s="87">
        <f>Table1[[#This Row],[date]]</f>
        <v>45484</v>
      </c>
      <c r="H888" s="94">
        <f>SUMIF($A$2:A4523,G888,$E$2:E4523)</f>
        <v>116.58</v>
      </c>
      <c r="I888" s="93" t="str">
        <f t="shared" si="53"/>
        <v>Thursday</v>
      </c>
      <c r="J888" s="93" t="str">
        <f t="shared" si="54"/>
        <v>July</v>
      </c>
      <c r="K888" s="93" t="str">
        <f t="shared" si="55"/>
        <v>2024</v>
      </c>
      <c r="L888" s="6"/>
      <c r="M888" s="6"/>
      <c r="N888" s="6"/>
    </row>
    <row r="889" spans="1:14" x14ac:dyDescent="0.3">
      <c r="A889" s="92">
        <v>45485</v>
      </c>
      <c r="B889" s="92" t="str">
        <f t="shared" si="52"/>
        <v>Friday</v>
      </c>
      <c r="C889" s="93" t="s">
        <v>1381</v>
      </c>
      <c r="D889" s="93" t="s">
        <v>383</v>
      </c>
      <c r="E889" s="94">
        <v>23.02</v>
      </c>
      <c r="F889" s="93" t="s">
        <v>26</v>
      </c>
      <c r="G889" s="87">
        <f>Table1[[#This Row],[date]]</f>
        <v>45485</v>
      </c>
      <c r="H889" s="94">
        <f>SUMIF($A$2:A4524,G889,$E$2:E4524)</f>
        <v>154.29999999999998</v>
      </c>
      <c r="I889" s="93" t="str">
        <f t="shared" si="53"/>
        <v>Friday</v>
      </c>
      <c r="J889" s="93" t="str">
        <f t="shared" si="54"/>
        <v>July</v>
      </c>
      <c r="K889" s="93" t="str">
        <f t="shared" si="55"/>
        <v>2024</v>
      </c>
      <c r="L889" s="6"/>
      <c r="M889" s="6"/>
      <c r="N889" s="6"/>
    </row>
    <row r="890" spans="1:14" x14ac:dyDescent="0.3">
      <c r="A890" s="87">
        <v>45485</v>
      </c>
      <c r="B890" s="87" t="str">
        <f t="shared" si="52"/>
        <v>Friday</v>
      </c>
      <c r="C890" s="88" t="s">
        <v>1381</v>
      </c>
      <c r="D890" s="88" t="s">
        <v>384</v>
      </c>
      <c r="E890" s="89">
        <v>32.82</v>
      </c>
      <c r="F890" s="88" t="s">
        <v>7</v>
      </c>
      <c r="G890" s="87">
        <f>Table1[[#This Row],[date]]</f>
        <v>45485</v>
      </c>
      <c r="H890" s="94">
        <f>SUMIF($A$2:A4525,G890,$E$2:E4525)</f>
        <v>154.29999999999998</v>
      </c>
      <c r="I890" s="93" t="str">
        <f t="shared" si="53"/>
        <v>Friday</v>
      </c>
      <c r="J890" s="93" t="str">
        <f t="shared" si="54"/>
        <v>July</v>
      </c>
      <c r="K890" s="93" t="str">
        <f t="shared" si="55"/>
        <v>2024</v>
      </c>
      <c r="L890" s="6"/>
      <c r="M890" s="6"/>
      <c r="N890" s="6"/>
    </row>
    <row r="891" spans="1:14" x14ac:dyDescent="0.3">
      <c r="A891" s="92">
        <v>45485</v>
      </c>
      <c r="B891" s="92" t="str">
        <f t="shared" si="52"/>
        <v>Friday</v>
      </c>
      <c r="C891" s="93" t="s">
        <v>1381</v>
      </c>
      <c r="D891" s="93" t="s">
        <v>190</v>
      </c>
      <c r="E891" s="94">
        <v>32.82</v>
      </c>
      <c r="F891" s="93" t="s">
        <v>7</v>
      </c>
      <c r="G891" s="87">
        <f>Table1[[#This Row],[date]]</f>
        <v>45485</v>
      </c>
      <c r="H891" s="94">
        <f>SUMIF($A$2:A4526,G891,$E$2:E4526)</f>
        <v>154.29999999999998</v>
      </c>
      <c r="I891" s="93" t="str">
        <f t="shared" si="53"/>
        <v>Friday</v>
      </c>
      <c r="J891" s="93" t="str">
        <f t="shared" si="54"/>
        <v>July</v>
      </c>
      <c r="K891" s="93" t="str">
        <f t="shared" si="55"/>
        <v>2024</v>
      </c>
      <c r="L891" s="6"/>
      <c r="M891" s="6"/>
      <c r="N891" s="6"/>
    </row>
    <row r="892" spans="1:14" x14ac:dyDescent="0.3">
      <c r="A892" s="87">
        <v>45485</v>
      </c>
      <c r="B892" s="87" t="str">
        <f t="shared" si="52"/>
        <v>Friday</v>
      </c>
      <c r="C892" s="88" t="s">
        <v>1381</v>
      </c>
      <c r="D892" s="88" t="s">
        <v>189</v>
      </c>
      <c r="E892" s="89">
        <v>32.82</v>
      </c>
      <c r="F892" s="88" t="s">
        <v>7</v>
      </c>
      <c r="G892" s="87">
        <f>Table1[[#This Row],[date]]</f>
        <v>45485</v>
      </c>
      <c r="H892" s="94">
        <f>SUMIF($A$2:A4527,G892,$E$2:E4527)</f>
        <v>154.29999999999998</v>
      </c>
      <c r="I892" s="93" t="str">
        <f t="shared" si="53"/>
        <v>Friday</v>
      </c>
      <c r="J892" s="93" t="str">
        <f t="shared" si="54"/>
        <v>July</v>
      </c>
      <c r="K892" s="93" t="str">
        <f t="shared" si="55"/>
        <v>2024</v>
      </c>
      <c r="L892" s="6"/>
      <c r="M892" s="6"/>
      <c r="N892" s="6"/>
    </row>
    <row r="893" spans="1:14" x14ac:dyDescent="0.3">
      <c r="A893" s="92">
        <v>45485</v>
      </c>
      <c r="B893" s="92" t="str">
        <f t="shared" si="52"/>
        <v>Friday</v>
      </c>
      <c r="C893" s="93" t="s">
        <v>1381</v>
      </c>
      <c r="D893" s="93" t="s">
        <v>191</v>
      </c>
      <c r="E893" s="94">
        <v>32.82</v>
      </c>
      <c r="F893" s="93" t="s">
        <v>7</v>
      </c>
      <c r="G893" s="87">
        <f>Table1[[#This Row],[date]]</f>
        <v>45485</v>
      </c>
      <c r="H893" s="94">
        <f>SUMIF($A$2:A4528,G893,$E$2:E4528)</f>
        <v>154.29999999999998</v>
      </c>
      <c r="I893" s="93" t="str">
        <f t="shared" si="53"/>
        <v>Friday</v>
      </c>
      <c r="J893" s="93" t="str">
        <f t="shared" si="54"/>
        <v>July</v>
      </c>
      <c r="K893" s="93" t="str">
        <f t="shared" si="55"/>
        <v>2024</v>
      </c>
      <c r="L893" s="6"/>
      <c r="M893" s="6"/>
      <c r="N893" s="6"/>
    </row>
    <row r="894" spans="1:14" x14ac:dyDescent="0.3">
      <c r="A894" s="87">
        <v>45486</v>
      </c>
      <c r="B894" s="87" t="str">
        <f t="shared" si="52"/>
        <v>Saturday</v>
      </c>
      <c r="C894" s="88" t="s">
        <v>1381</v>
      </c>
      <c r="D894" s="88" t="s">
        <v>377</v>
      </c>
      <c r="E894" s="89">
        <v>32.82</v>
      </c>
      <c r="F894" s="88" t="s">
        <v>5</v>
      </c>
      <c r="G894" s="87">
        <f>Table1[[#This Row],[date]]</f>
        <v>45486</v>
      </c>
      <c r="H894" s="94">
        <f>SUMIF($A$2:A4529,G894,$E$2:E4529)</f>
        <v>32.82</v>
      </c>
      <c r="I894" s="93" t="str">
        <f t="shared" si="53"/>
        <v>Saturday</v>
      </c>
      <c r="J894" s="93" t="str">
        <f t="shared" si="54"/>
        <v>July</v>
      </c>
      <c r="K894" s="93" t="str">
        <f t="shared" si="55"/>
        <v>2024</v>
      </c>
      <c r="L894" s="6"/>
      <c r="M894" s="6"/>
      <c r="N894" s="6"/>
    </row>
    <row r="895" spans="1:14" x14ac:dyDescent="0.3">
      <c r="A895" s="87">
        <v>45487</v>
      </c>
      <c r="B895" s="87" t="str">
        <f t="shared" si="52"/>
        <v>Sunday</v>
      </c>
      <c r="C895" s="88" t="s">
        <v>1381</v>
      </c>
      <c r="D895" s="88" t="s">
        <v>385</v>
      </c>
      <c r="E895" s="89">
        <v>23.02</v>
      </c>
      <c r="F895" s="88" t="s">
        <v>9</v>
      </c>
      <c r="G895" s="87">
        <f>Table1[[#This Row],[date]]</f>
        <v>45487</v>
      </c>
      <c r="H895" s="94">
        <f>SUMIF($A$2:A4530,G895,$E$2:E4530)</f>
        <v>172.42</v>
      </c>
      <c r="I895" s="93" t="str">
        <f t="shared" si="53"/>
        <v>Sunday</v>
      </c>
      <c r="J895" s="93" t="str">
        <f t="shared" si="54"/>
        <v>July</v>
      </c>
      <c r="K895" s="93" t="str">
        <f t="shared" si="55"/>
        <v>2024</v>
      </c>
      <c r="L895" s="6"/>
      <c r="M895" s="6"/>
      <c r="N895" s="6"/>
    </row>
    <row r="896" spans="1:14" x14ac:dyDescent="0.3">
      <c r="A896" s="92">
        <v>45487</v>
      </c>
      <c r="B896" s="92" t="str">
        <f t="shared" si="52"/>
        <v>Sunday</v>
      </c>
      <c r="C896" s="93" t="s">
        <v>1381</v>
      </c>
      <c r="D896" s="93" t="s">
        <v>385</v>
      </c>
      <c r="E896" s="94">
        <v>27.92</v>
      </c>
      <c r="F896" s="93" t="s">
        <v>12</v>
      </c>
      <c r="G896" s="87">
        <f>Table1[[#This Row],[date]]</f>
        <v>45487</v>
      </c>
      <c r="H896" s="94">
        <f>SUMIF($A$2:A4531,G896,$E$2:E4531)</f>
        <v>172.42</v>
      </c>
      <c r="I896" s="93" t="str">
        <f t="shared" si="53"/>
        <v>Sunday</v>
      </c>
      <c r="J896" s="93" t="str">
        <f t="shared" si="54"/>
        <v>July</v>
      </c>
      <c r="K896" s="93" t="str">
        <f t="shared" si="55"/>
        <v>2024</v>
      </c>
      <c r="L896" s="6"/>
      <c r="M896" s="6"/>
      <c r="N896" s="6"/>
    </row>
    <row r="897" spans="1:14" x14ac:dyDescent="0.3">
      <c r="A897" s="87">
        <v>45487</v>
      </c>
      <c r="B897" s="87" t="str">
        <f t="shared" si="52"/>
        <v>Sunday</v>
      </c>
      <c r="C897" s="88" t="s">
        <v>1381</v>
      </c>
      <c r="D897" s="88" t="s">
        <v>385</v>
      </c>
      <c r="E897" s="89">
        <v>32.82</v>
      </c>
      <c r="F897" s="88" t="s">
        <v>41</v>
      </c>
      <c r="G897" s="87">
        <f>Table1[[#This Row],[date]]</f>
        <v>45487</v>
      </c>
      <c r="H897" s="94">
        <f>SUMIF($A$2:A4532,G897,$E$2:E4532)</f>
        <v>172.42</v>
      </c>
      <c r="I897" s="93" t="str">
        <f t="shared" si="53"/>
        <v>Sunday</v>
      </c>
      <c r="J897" s="93" t="str">
        <f t="shared" si="54"/>
        <v>July</v>
      </c>
      <c r="K897" s="93" t="str">
        <f t="shared" si="55"/>
        <v>2024</v>
      </c>
      <c r="L897" s="6"/>
      <c r="M897" s="6"/>
      <c r="N897" s="6"/>
    </row>
    <row r="898" spans="1:14" x14ac:dyDescent="0.3">
      <c r="A898" s="92">
        <v>45487</v>
      </c>
      <c r="B898" s="92" t="str">
        <f t="shared" ref="B898:B961" si="56">TEXT(A898,"dddd")</f>
        <v>Sunday</v>
      </c>
      <c r="C898" s="93" t="s">
        <v>1381</v>
      </c>
      <c r="D898" s="93" t="s">
        <v>386</v>
      </c>
      <c r="E898" s="94">
        <v>32.82</v>
      </c>
      <c r="F898" s="93" t="s">
        <v>5</v>
      </c>
      <c r="G898" s="87">
        <f>Table1[[#This Row],[date]]</f>
        <v>45487</v>
      </c>
      <c r="H898" s="94">
        <f>SUMIF($A$2:A4533,G898,$E$2:E4533)</f>
        <v>172.42</v>
      </c>
      <c r="I898" s="93" t="str">
        <f t="shared" si="53"/>
        <v>Sunday</v>
      </c>
      <c r="J898" s="93" t="str">
        <f t="shared" si="54"/>
        <v>July</v>
      </c>
      <c r="K898" s="93" t="str">
        <f t="shared" si="55"/>
        <v>2024</v>
      </c>
      <c r="L898" s="6"/>
      <c r="M898" s="6"/>
      <c r="N898" s="6"/>
    </row>
    <row r="899" spans="1:14" x14ac:dyDescent="0.3">
      <c r="A899" s="87">
        <v>45487</v>
      </c>
      <c r="B899" s="87" t="str">
        <f t="shared" si="56"/>
        <v>Sunday</v>
      </c>
      <c r="C899" s="88" t="s">
        <v>1381</v>
      </c>
      <c r="D899" s="88" t="s">
        <v>387</v>
      </c>
      <c r="E899" s="89">
        <v>23.02</v>
      </c>
      <c r="F899" s="88" t="s">
        <v>9</v>
      </c>
      <c r="G899" s="87">
        <f>Table1[[#This Row],[date]]</f>
        <v>45487</v>
      </c>
      <c r="H899" s="94">
        <f>SUMIF($A$2:A4534,G899,$E$2:E4534)</f>
        <v>172.42</v>
      </c>
      <c r="I899" s="93" t="str">
        <f t="shared" si="53"/>
        <v>Sunday</v>
      </c>
      <c r="J899" s="93" t="str">
        <f t="shared" si="54"/>
        <v>July</v>
      </c>
      <c r="K899" s="93" t="str">
        <f t="shared" si="55"/>
        <v>2024</v>
      </c>
      <c r="L899" s="6"/>
      <c r="M899" s="6"/>
      <c r="N899" s="6"/>
    </row>
    <row r="900" spans="1:14" x14ac:dyDescent="0.3">
      <c r="A900" s="92">
        <v>45487</v>
      </c>
      <c r="B900" s="92" t="str">
        <f t="shared" si="56"/>
        <v>Sunday</v>
      </c>
      <c r="C900" s="93" t="s">
        <v>1381</v>
      </c>
      <c r="D900" s="93" t="s">
        <v>388</v>
      </c>
      <c r="E900" s="94">
        <v>32.82</v>
      </c>
      <c r="F900" s="93" t="s">
        <v>5</v>
      </c>
      <c r="G900" s="87">
        <f>Table1[[#This Row],[date]]</f>
        <v>45487</v>
      </c>
      <c r="H900" s="94">
        <f>SUMIF($A$2:A4535,G900,$E$2:E4535)</f>
        <v>172.42</v>
      </c>
      <c r="I900" s="93" t="str">
        <f t="shared" si="53"/>
        <v>Sunday</v>
      </c>
      <c r="J900" s="93" t="str">
        <f t="shared" si="54"/>
        <v>July</v>
      </c>
      <c r="K900" s="93" t="str">
        <f t="shared" si="55"/>
        <v>2024</v>
      </c>
      <c r="L900" s="6"/>
      <c r="M900" s="6"/>
      <c r="N900" s="6"/>
    </row>
    <row r="901" spans="1:14" x14ac:dyDescent="0.3">
      <c r="A901" s="87">
        <v>45488</v>
      </c>
      <c r="B901" s="87" t="str">
        <f t="shared" si="56"/>
        <v>Monday</v>
      </c>
      <c r="C901" s="88" t="s">
        <v>1381</v>
      </c>
      <c r="D901" s="88" t="s">
        <v>389</v>
      </c>
      <c r="E901" s="89">
        <v>32.82</v>
      </c>
      <c r="F901" s="88" t="s">
        <v>41</v>
      </c>
      <c r="G901" s="87">
        <f>Table1[[#This Row],[date]]</f>
        <v>45488</v>
      </c>
      <c r="H901" s="94">
        <f>SUMIF($A$2:A4536,G901,$E$2:E4536)</f>
        <v>32.82</v>
      </c>
      <c r="I901" s="93" t="str">
        <f t="shared" si="53"/>
        <v>Monday</v>
      </c>
      <c r="J901" s="93" t="str">
        <f t="shared" si="54"/>
        <v>July</v>
      </c>
      <c r="K901" s="93" t="str">
        <f t="shared" si="55"/>
        <v>2024</v>
      </c>
      <c r="L901" s="6"/>
      <c r="M901" s="6"/>
      <c r="N901" s="6"/>
    </row>
    <row r="902" spans="1:14" x14ac:dyDescent="0.3">
      <c r="A902" s="92">
        <v>45489</v>
      </c>
      <c r="B902" s="92" t="str">
        <f t="shared" si="56"/>
        <v>Tuesday</v>
      </c>
      <c r="C902" s="93" t="s">
        <v>1381</v>
      </c>
      <c r="D902" s="93" t="s">
        <v>390</v>
      </c>
      <c r="E902" s="94">
        <v>27.92</v>
      </c>
      <c r="F902" s="93" t="s">
        <v>12</v>
      </c>
      <c r="G902" s="87">
        <f>Table1[[#This Row],[date]]</f>
        <v>45489</v>
      </c>
      <c r="H902" s="94">
        <f>SUMIF($A$2:A4537,G902,$E$2:E4537)</f>
        <v>60.74</v>
      </c>
      <c r="I902" s="93" t="str">
        <f t="shared" ref="I902:I965" si="57">TEXT(G902,"dddd")</f>
        <v>Tuesday</v>
      </c>
      <c r="J902" s="93" t="str">
        <f t="shared" si="54"/>
        <v>July</v>
      </c>
      <c r="K902" s="93" t="str">
        <f t="shared" si="55"/>
        <v>2024</v>
      </c>
      <c r="L902" s="6"/>
      <c r="M902" s="6"/>
      <c r="N902" s="6"/>
    </row>
    <row r="903" spans="1:14" x14ac:dyDescent="0.3">
      <c r="A903" s="87">
        <v>45489</v>
      </c>
      <c r="B903" s="87" t="str">
        <f t="shared" si="56"/>
        <v>Tuesday</v>
      </c>
      <c r="C903" s="88" t="s">
        <v>1381</v>
      </c>
      <c r="D903" s="88" t="s">
        <v>379</v>
      </c>
      <c r="E903" s="89">
        <v>32.82</v>
      </c>
      <c r="F903" s="88" t="s">
        <v>7</v>
      </c>
      <c r="G903" s="87">
        <f>Table1[[#This Row],[date]]</f>
        <v>45489</v>
      </c>
      <c r="H903" s="94">
        <f>SUMIF($A$2:A4538,G903,$E$2:E4538)</f>
        <v>60.74</v>
      </c>
      <c r="I903" s="93" t="str">
        <f t="shared" si="57"/>
        <v>Tuesday</v>
      </c>
      <c r="J903" s="93" t="str">
        <f t="shared" ref="J903:J966" si="58">TEXT(G903,"mmmm")</f>
        <v>July</v>
      </c>
      <c r="K903" s="93" t="str">
        <f t="shared" ref="K903:K966" si="59">TEXT(G903,"yyyy")</f>
        <v>2024</v>
      </c>
      <c r="L903" s="6"/>
      <c r="M903" s="6"/>
      <c r="N903" s="6"/>
    </row>
    <row r="904" spans="1:14" x14ac:dyDescent="0.3">
      <c r="A904" s="92">
        <v>45490</v>
      </c>
      <c r="B904" s="92" t="str">
        <f t="shared" si="56"/>
        <v>Wednesday</v>
      </c>
      <c r="C904" s="93" t="s">
        <v>1381</v>
      </c>
      <c r="D904" s="93" t="s">
        <v>391</v>
      </c>
      <c r="E904" s="94">
        <v>27.92</v>
      </c>
      <c r="F904" s="93" t="s">
        <v>12</v>
      </c>
      <c r="G904" s="87">
        <f>Table1[[#This Row],[date]]</f>
        <v>45490</v>
      </c>
      <c r="H904" s="94">
        <f>SUMIF($A$2:A4539,G904,$E$2:E4539)</f>
        <v>27.92</v>
      </c>
      <c r="I904" s="93" t="str">
        <f t="shared" si="57"/>
        <v>Wednesday</v>
      </c>
      <c r="J904" s="93" t="str">
        <f t="shared" si="58"/>
        <v>July</v>
      </c>
      <c r="K904" s="93" t="str">
        <f t="shared" si="59"/>
        <v>2024</v>
      </c>
      <c r="L904" s="6"/>
      <c r="M904" s="6"/>
      <c r="N904" s="6"/>
    </row>
    <row r="905" spans="1:14" x14ac:dyDescent="0.3">
      <c r="A905" s="87">
        <v>45491</v>
      </c>
      <c r="B905" s="87" t="str">
        <f t="shared" si="56"/>
        <v>Thursday</v>
      </c>
      <c r="C905" s="88" t="s">
        <v>1381</v>
      </c>
      <c r="D905" s="88" t="s">
        <v>392</v>
      </c>
      <c r="E905" s="89">
        <v>27.92</v>
      </c>
      <c r="F905" s="88" t="s">
        <v>12</v>
      </c>
      <c r="G905" s="87">
        <f>Table1[[#This Row],[date]]</f>
        <v>45491</v>
      </c>
      <c r="H905" s="94">
        <f>SUMIF($A$2:A4540,G905,$E$2:E4540)</f>
        <v>289</v>
      </c>
      <c r="I905" s="93" t="str">
        <f t="shared" si="57"/>
        <v>Thursday</v>
      </c>
      <c r="J905" s="93" t="str">
        <f t="shared" si="58"/>
        <v>July</v>
      </c>
      <c r="K905" s="93" t="str">
        <f t="shared" si="59"/>
        <v>2024</v>
      </c>
      <c r="L905" s="6"/>
      <c r="M905" s="6"/>
      <c r="N905" s="6"/>
    </row>
    <row r="906" spans="1:14" x14ac:dyDescent="0.3">
      <c r="A906" s="92">
        <v>45491</v>
      </c>
      <c r="B906" s="92" t="str">
        <f t="shared" si="56"/>
        <v>Thursday</v>
      </c>
      <c r="C906" s="93" t="s">
        <v>1381</v>
      </c>
      <c r="D906" s="93" t="s">
        <v>393</v>
      </c>
      <c r="E906" s="94">
        <v>18.12</v>
      </c>
      <c r="F906" s="93" t="s">
        <v>33</v>
      </c>
      <c r="G906" s="87">
        <f>Table1[[#This Row],[date]]</f>
        <v>45491</v>
      </c>
      <c r="H906" s="94">
        <f>SUMIF($A$2:A4541,G906,$E$2:E4541)</f>
        <v>289</v>
      </c>
      <c r="I906" s="93" t="str">
        <f t="shared" si="57"/>
        <v>Thursday</v>
      </c>
      <c r="J906" s="93" t="str">
        <f t="shared" si="58"/>
        <v>July</v>
      </c>
      <c r="K906" s="93" t="str">
        <f t="shared" si="59"/>
        <v>2024</v>
      </c>
      <c r="L906" s="6"/>
      <c r="M906" s="6"/>
      <c r="N906" s="6"/>
    </row>
    <row r="907" spans="1:14" x14ac:dyDescent="0.3">
      <c r="A907" s="87">
        <v>45491</v>
      </c>
      <c r="B907" s="87" t="str">
        <f t="shared" si="56"/>
        <v>Thursday</v>
      </c>
      <c r="C907" s="88" t="s">
        <v>1381</v>
      </c>
      <c r="D907" s="88" t="s">
        <v>71</v>
      </c>
      <c r="E907" s="89">
        <v>23.02</v>
      </c>
      <c r="F907" s="88" t="s">
        <v>9</v>
      </c>
      <c r="G907" s="87">
        <f>Table1[[#This Row],[date]]</f>
        <v>45491</v>
      </c>
      <c r="H907" s="94">
        <f>SUMIF($A$2:A4542,G907,$E$2:E4542)</f>
        <v>289</v>
      </c>
      <c r="I907" s="93" t="str">
        <f t="shared" si="57"/>
        <v>Thursday</v>
      </c>
      <c r="J907" s="93" t="str">
        <f t="shared" si="58"/>
        <v>July</v>
      </c>
      <c r="K907" s="93" t="str">
        <f t="shared" si="59"/>
        <v>2024</v>
      </c>
      <c r="L907" s="6"/>
      <c r="M907" s="6"/>
      <c r="N907" s="6"/>
    </row>
    <row r="908" spans="1:14" x14ac:dyDescent="0.3">
      <c r="A908" s="87">
        <v>45491</v>
      </c>
      <c r="B908" s="87" t="str">
        <f t="shared" si="56"/>
        <v>Thursday</v>
      </c>
      <c r="C908" s="88" t="s">
        <v>1381</v>
      </c>
      <c r="D908" s="88" t="s">
        <v>71</v>
      </c>
      <c r="E908" s="89">
        <v>23.02</v>
      </c>
      <c r="F908" s="88" t="s">
        <v>26</v>
      </c>
      <c r="G908" s="87">
        <f>Table1[[#This Row],[date]]</f>
        <v>45491</v>
      </c>
      <c r="H908" s="94">
        <f>SUMIF($A$2:A4543,G908,$E$2:E4543)</f>
        <v>289</v>
      </c>
      <c r="I908" s="93" t="str">
        <f t="shared" si="57"/>
        <v>Thursday</v>
      </c>
      <c r="J908" s="93" t="str">
        <f t="shared" si="58"/>
        <v>July</v>
      </c>
      <c r="K908" s="93" t="str">
        <f t="shared" si="59"/>
        <v>2024</v>
      </c>
      <c r="L908" s="6"/>
      <c r="M908" s="6"/>
      <c r="N908" s="6"/>
    </row>
    <row r="909" spans="1:14" x14ac:dyDescent="0.3">
      <c r="A909" s="92">
        <v>45491</v>
      </c>
      <c r="B909" s="92" t="str">
        <f t="shared" si="56"/>
        <v>Thursday</v>
      </c>
      <c r="C909" s="93" t="s">
        <v>1381</v>
      </c>
      <c r="D909" s="93" t="s">
        <v>387</v>
      </c>
      <c r="E909" s="94">
        <v>32.82</v>
      </c>
      <c r="F909" s="93" t="s">
        <v>5</v>
      </c>
      <c r="G909" s="87">
        <f>Table1[[#This Row],[date]]</f>
        <v>45491</v>
      </c>
      <c r="H909" s="94">
        <f>SUMIF($A$2:A4544,G909,$E$2:E4544)</f>
        <v>289</v>
      </c>
      <c r="I909" s="93" t="str">
        <f t="shared" si="57"/>
        <v>Thursday</v>
      </c>
      <c r="J909" s="93" t="str">
        <f t="shared" si="58"/>
        <v>July</v>
      </c>
      <c r="K909" s="93" t="str">
        <f t="shared" si="59"/>
        <v>2024</v>
      </c>
      <c r="L909" s="6"/>
      <c r="M909" s="6"/>
      <c r="N909" s="6"/>
    </row>
    <row r="910" spans="1:14" x14ac:dyDescent="0.3">
      <c r="A910" s="87">
        <v>45491</v>
      </c>
      <c r="B910" s="87" t="str">
        <f t="shared" si="56"/>
        <v>Thursday</v>
      </c>
      <c r="C910" s="88" t="s">
        <v>1381</v>
      </c>
      <c r="D910" s="88" t="s">
        <v>394</v>
      </c>
      <c r="E910" s="89">
        <v>32.82</v>
      </c>
      <c r="F910" s="88" t="s">
        <v>41</v>
      </c>
      <c r="G910" s="87">
        <f>Table1[[#This Row],[date]]</f>
        <v>45491</v>
      </c>
      <c r="H910" s="94">
        <f>SUMIF($A$2:A4545,G910,$E$2:E4545)</f>
        <v>289</v>
      </c>
      <c r="I910" s="93" t="str">
        <f t="shared" si="57"/>
        <v>Thursday</v>
      </c>
      <c r="J910" s="93" t="str">
        <f t="shared" si="58"/>
        <v>July</v>
      </c>
      <c r="K910" s="93" t="str">
        <f t="shared" si="59"/>
        <v>2024</v>
      </c>
      <c r="L910" s="6"/>
      <c r="M910" s="6"/>
      <c r="N910" s="6"/>
    </row>
    <row r="911" spans="1:14" x14ac:dyDescent="0.3">
      <c r="A911" s="92">
        <v>45491</v>
      </c>
      <c r="B911" s="92" t="str">
        <f t="shared" si="56"/>
        <v>Thursday</v>
      </c>
      <c r="C911" s="93" t="s">
        <v>1381</v>
      </c>
      <c r="D911" s="93" t="s">
        <v>17</v>
      </c>
      <c r="E911" s="94">
        <v>32.82</v>
      </c>
      <c r="F911" s="93" t="s">
        <v>5</v>
      </c>
      <c r="G911" s="87">
        <f>Table1[[#This Row],[date]]</f>
        <v>45491</v>
      </c>
      <c r="H911" s="94">
        <f>SUMIF($A$2:A4546,G911,$E$2:E4546)</f>
        <v>289</v>
      </c>
      <c r="I911" s="93" t="str">
        <f t="shared" si="57"/>
        <v>Thursday</v>
      </c>
      <c r="J911" s="93" t="str">
        <f t="shared" si="58"/>
        <v>July</v>
      </c>
      <c r="K911" s="93" t="str">
        <f t="shared" si="59"/>
        <v>2024</v>
      </c>
      <c r="L911" s="6"/>
      <c r="M911" s="6"/>
      <c r="N911" s="6"/>
    </row>
    <row r="912" spans="1:14" x14ac:dyDescent="0.3">
      <c r="A912" s="87">
        <v>45491</v>
      </c>
      <c r="B912" s="87" t="str">
        <f t="shared" si="56"/>
        <v>Thursday</v>
      </c>
      <c r="C912" s="88" t="s">
        <v>1381</v>
      </c>
      <c r="D912" s="88" t="s">
        <v>395</v>
      </c>
      <c r="E912" s="89">
        <v>32.82</v>
      </c>
      <c r="F912" s="88" t="s">
        <v>7</v>
      </c>
      <c r="G912" s="87">
        <f>Table1[[#This Row],[date]]</f>
        <v>45491</v>
      </c>
      <c r="H912" s="94">
        <f>SUMIF($A$2:A4547,G912,$E$2:E4547)</f>
        <v>289</v>
      </c>
      <c r="I912" s="93" t="str">
        <f t="shared" si="57"/>
        <v>Thursday</v>
      </c>
      <c r="J912" s="93" t="str">
        <f t="shared" si="58"/>
        <v>July</v>
      </c>
      <c r="K912" s="93" t="str">
        <f t="shared" si="59"/>
        <v>2024</v>
      </c>
      <c r="L912" s="6"/>
      <c r="M912" s="6"/>
      <c r="N912" s="6"/>
    </row>
    <row r="913" spans="1:14" x14ac:dyDescent="0.3">
      <c r="A913" s="92">
        <v>45491</v>
      </c>
      <c r="B913" s="92" t="str">
        <f t="shared" si="56"/>
        <v>Thursday</v>
      </c>
      <c r="C913" s="93" t="s">
        <v>1381</v>
      </c>
      <c r="D913" s="93" t="s">
        <v>395</v>
      </c>
      <c r="E913" s="94">
        <v>32.82</v>
      </c>
      <c r="F913" s="93" t="s">
        <v>5</v>
      </c>
      <c r="G913" s="87">
        <f>Table1[[#This Row],[date]]</f>
        <v>45491</v>
      </c>
      <c r="H913" s="94">
        <f>SUMIF($A$2:A4548,G913,$E$2:E4548)</f>
        <v>289</v>
      </c>
      <c r="I913" s="93" t="str">
        <f t="shared" si="57"/>
        <v>Thursday</v>
      </c>
      <c r="J913" s="93" t="str">
        <f t="shared" si="58"/>
        <v>July</v>
      </c>
      <c r="K913" s="93" t="str">
        <f t="shared" si="59"/>
        <v>2024</v>
      </c>
      <c r="L913" s="6"/>
      <c r="M913" s="6"/>
      <c r="N913" s="6"/>
    </row>
    <row r="914" spans="1:14" x14ac:dyDescent="0.3">
      <c r="A914" s="87">
        <v>45491</v>
      </c>
      <c r="B914" s="87" t="str">
        <f t="shared" si="56"/>
        <v>Thursday</v>
      </c>
      <c r="C914" s="88" t="s">
        <v>1381</v>
      </c>
      <c r="D914" s="88" t="s">
        <v>396</v>
      </c>
      <c r="E914" s="89">
        <v>32.82</v>
      </c>
      <c r="F914" s="88" t="s">
        <v>5</v>
      </c>
      <c r="G914" s="87">
        <f>Table1[[#This Row],[date]]</f>
        <v>45491</v>
      </c>
      <c r="H914" s="94">
        <f>SUMIF($A$2:A4549,G914,$E$2:E4549)</f>
        <v>289</v>
      </c>
      <c r="I914" s="93" t="str">
        <f t="shared" si="57"/>
        <v>Thursday</v>
      </c>
      <c r="J914" s="93" t="str">
        <f t="shared" si="58"/>
        <v>July</v>
      </c>
      <c r="K914" s="93" t="str">
        <f t="shared" si="59"/>
        <v>2024</v>
      </c>
      <c r="L914" s="6"/>
      <c r="M914" s="6"/>
      <c r="N914" s="6"/>
    </row>
    <row r="915" spans="1:14" x14ac:dyDescent="0.3">
      <c r="A915" s="92">
        <v>45492</v>
      </c>
      <c r="B915" s="92" t="str">
        <f t="shared" si="56"/>
        <v>Friday</v>
      </c>
      <c r="C915" s="93" t="s">
        <v>1381</v>
      </c>
      <c r="D915" s="93" t="s">
        <v>387</v>
      </c>
      <c r="E915" s="94">
        <v>23.02</v>
      </c>
      <c r="F915" s="93" t="s">
        <v>9</v>
      </c>
      <c r="G915" s="87">
        <f>Table1[[#This Row],[date]]</f>
        <v>45492</v>
      </c>
      <c r="H915" s="94">
        <f>SUMIF($A$2:A4550,G915,$E$2:E4550)</f>
        <v>177.32</v>
      </c>
      <c r="I915" s="93" t="str">
        <f t="shared" si="57"/>
        <v>Friday</v>
      </c>
      <c r="J915" s="93" t="str">
        <f t="shared" si="58"/>
        <v>July</v>
      </c>
      <c r="K915" s="93" t="str">
        <f t="shared" si="59"/>
        <v>2024</v>
      </c>
      <c r="L915" s="6"/>
      <c r="M915" s="6"/>
      <c r="N915" s="6"/>
    </row>
    <row r="916" spans="1:14" x14ac:dyDescent="0.3">
      <c r="A916" s="87">
        <v>45492</v>
      </c>
      <c r="B916" s="87" t="str">
        <f t="shared" si="56"/>
        <v>Friday</v>
      </c>
      <c r="C916" s="88" t="s">
        <v>1381</v>
      </c>
      <c r="D916" s="88" t="s">
        <v>397</v>
      </c>
      <c r="E916" s="89">
        <v>27.92</v>
      </c>
      <c r="F916" s="88" t="s">
        <v>12</v>
      </c>
      <c r="G916" s="87">
        <f>Table1[[#This Row],[date]]</f>
        <v>45492</v>
      </c>
      <c r="H916" s="94">
        <f>SUMIF($A$2:A4551,G916,$E$2:E4551)</f>
        <v>177.32</v>
      </c>
      <c r="I916" s="93" t="str">
        <f t="shared" si="57"/>
        <v>Friday</v>
      </c>
      <c r="J916" s="93" t="str">
        <f t="shared" si="58"/>
        <v>July</v>
      </c>
      <c r="K916" s="93" t="str">
        <f t="shared" si="59"/>
        <v>2024</v>
      </c>
      <c r="L916" s="6"/>
      <c r="M916" s="6"/>
      <c r="N916" s="6"/>
    </row>
    <row r="917" spans="1:14" x14ac:dyDescent="0.3">
      <c r="A917" s="92">
        <v>45492</v>
      </c>
      <c r="B917" s="92" t="str">
        <f t="shared" si="56"/>
        <v>Friday</v>
      </c>
      <c r="C917" s="93" t="s">
        <v>1381</v>
      </c>
      <c r="D917" s="93" t="s">
        <v>398</v>
      </c>
      <c r="E917" s="94">
        <v>32.82</v>
      </c>
      <c r="F917" s="93" t="s">
        <v>5</v>
      </c>
      <c r="G917" s="87">
        <f>Table1[[#This Row],[date]]</f>
        <v>45492</v>
      </c>
      <c r="H917" s="94">
        <f>SUMIF($A$2:A4552,G917,$E$2:E4552)</f>
        <v>177.32</v>
      </c>
      <c r="I917" s="93" t="str">
        <f t="shared" si="57"/>
        <v>Friday</v>
      </c>
      <c r="J917" s="93" t="str">
        <f t="shared" si="58"/>
        <v>July</v>
      </c>
      <c r="K917" s="93" t="str">
        <f t="shared" si="59"/>
        <v>2024</v>
      </c>
      <c r="L917" s="6"/>
      <c r="M917" s="6"/>
      <c r="N917" s="6"/>
    </row>
    <row r="918" spans="1:14" x14ac:dyDescent="0.3">
      <c r="A918" s="87">
        <v>45492</v>
      </c>
      <c r="B918" s="87" t="str">
        <f t="shared" si="56"/>
        <v>Friday</v>
      </c>
      <c r="C918" s="88" t="s">
        <v>1381</v>
      </c>
      <c r="D918" s="88" t="s">
        <v>398</v>
      </c>
      <c r="E918" s="89">
        <v>27.92</v>
      </c>
      <c r="F918" s="88" t="s">
        <v>12</v>
      </c>
      <c r="G918" s="87">
        <f>Table1[[#This Row],[date]]</f>
        <v>45492</v>
      </c>
      <c r="H918" s="94">
        <f>SUMIF($A$2:A4553,G918,$E$2:E4553)</f>
        <v>177.32</v>
      </c>
      <c r="I918" s="93" t="str">
        <f t="shared" si="57"/>
        <v>Friday</v>
      </c>
      <c r="J918" s="93" t="str">
        <f t="shared" si="58"/>
        <v>July</v>
      </c>
      <c r="K918" s="93" t="str">
        <f t="shared" si="59"/>
        <v>2024</v>
      </c>
      <c r="L918" s="6"/>
      <c r="M918" s="6"/>
      <c r="N918" s="6"/>
    </row>
    <row r="919" spans="1:14" x14ac:dyDescent="0.3">
      <c r="A919" s="92">
        <v>45492</v>
      </c>
      <c r="B919" s="92" t="str">
        <f t="shared" si="56"/>
        <v>Friday</v>
      </c>
      <c r="C919" s="93" t="s">
        <v>1381</v>
      </c>
      <c r="D919" s="93" t="s">
        <v>396</v>
      </c>
      <c r="E919" s="94">
        <v>32.82</v>
      </c>
      <c r="F919" s="93" t="s">
        <v>5</v>
      </c>
      <c r="G919" s="87">
        <f>Table1[[#This Row],[date]]</f>
        <v>45492</v>
      </c>
      <c r="H919" s="94">
        <f>SUMIF($A$2:A4554,G919,$E$2:E4554)</f>
        <v>177.32</v>
      </c>
      <c r="I919" s="93" t="str">
        <f t="shared" si="57"/>
        <v>Friday</v>
      </c>
      <c r="J919" s="93" t="str">
        <f t="shared" si="58"/>
        <v>July</v>
      </c>
      <c r="K919" s="93" t="str">
        <f t="shared" si="59"/>
        <v>2024</v>
      </c>
      <c r="L919" s="6"/>
      <c r="M919" s="6"/>
      <c r="N919" s="6"/>
    </row>
    <row r="920" spans="1:14" x14ac:dyDescent="0.3">
      <c r="A920" s="87">
        <v>45492</v>
      </c>
      <c r="B920" s="87" t="str">
        <f t="shared" si="56"/>
        <v>Friday</v>
      </c>
      <c r="C920" s="88" t="s">
        <v>1381</v>
      </c>
      <c r="D920" s="88" t="s">
        <v>396</v>
      </c>
      <c r="E920" s="89">
        <v>32.82</v>
      </c>
      <c r="F920" s="88" t="s">
        <v>16</v>
      </c>
      <c r="G920" s="87">
        <f>Table1[[#This Row],[date]]</f>
        <v>45492</v>
      </c>
      <c r="H920" s="94">
        <f>SUMIF($A$2:A4555,G920,$E$2:E4555)</f>
        <v>177.32</v>
      </c>
      <c r="I920" s="93" t="str">
        <f t="shared" si="57"/>
        <v>Friday</v>
      </c>
      <c r="J920" s="93" t="str">
        <f t="shared" si="58"/>
        <v>July</v>
      </c>
      <c r="K920" s="93" t="str">
        <f t="shared" si="59"/>
        <v>2024</v>
      </c>
      <c r="L920" s="6"/>
      <c r="M920" s="6"/>
      <c r="N920" s="6"/>
    </row>
    <row r="921" spans="1:14" x14ac:dyDescent="0.3">
      <c r="A921" s="92">
        <v>45493</v>
      </c>
      <c r="B921" s="92" t="str">
        <f t="shared" si="56"/>
        <v>Saturday</v>
      </c>
      <c r="C921" s="93" t="s">
        <v>1381</v>
      </c>
      <c r="D921" s="93" t="s">
        <v>399</v>
      </c>
      <c r="E921" s="94">
        <v>23.02</v>
      </c>
      <c r="F921" s="93" t="s">
        <v>9</v>
      </c>
      <c r="G921" s="87">
        <f>Table1[[#This Row],[date]]</f>
        <v>45493</v>
      </c>
      <c r="H921" s="94">
        <f>SUMIF($A$2:A4556,G921,$E$2:E4556)</f>
        <v>177.32</v>
      </c>
      <c r="I921" s="93" t="str">
        <f t="shared" si="57"/>
        <v>Saturday</v>
      </c>
      <c r="J921" s="93" t="str">
        <f t="shared" si="58"/>
        <v>July</v>
      </c>
      <c r="K921" s="93" t="str">
        <f t="shared" si="59"/>
        <v>2024</v>
      </c>
      <c r="L921" s="6"/>
      <c r="M921" s="6"/>
      <c r="N921" s="6"/>
    </row>
    <row r="922" spans="1:14" x14ac:dyDescent="0.3">
      <c r="A922" s="87">
        <v>45493</v>
      </c>
      <c r="B922" s="87" t="str">
        <f t="shared" si="56"/>
        <v>Saturday</v>
      </c>
      <c r="C922" s="88" t="s">
        <v>1381</v>
      </c>
      <c r="D922" s="88" t="s">
        <v>399</v>
      </c>
      <c r="E922" s="89">
        <v>32.82</v>
      </c>
      <c r="F922" s="88" t="s">
        <v>5</v>
      </c>
      <c r="G922" s="87">
        <f>Table1[[#This Row],[date]]</f>
        <v>45493</v>
      </c>
      <c r="H922" s="94">
        <f>SUMIF($A$2:A4557,G922,$E$2:E4557)</f>
        <v>177.32</v>
      </c>
      <c r="I922" s="93" t="str">
        <f t="shared" si="57"/>
        <v>Saturday</v>
      </c>
      <c r="J922" s="93" t="str">
        <f t="shared" si="58"/>
        <v>July</v>
      </c>
      <c r="K922" s="93" t="str">
        <f t="shared" si="59"/>
        <v>2024</v>
      </c>
      <c r="L922" s="6"/>
      <c r="M922" s="6"/>
      <c r="N922" s="6"/>
    </row>
    <row r="923" spans="1:14" x14ac:dyDescent="0.3">
      <c r="A923" s="87">
        <v>45493</v>
      </c>
      <c r="B923" s="87" t="str">
        <f t="shared" si="56"/>
        <v>Saturday</v>
      </c>
      <c r="C923" s="88" t="s">
        <v>1381</v>
      </c>
      <c r="D923" s="88" t="s">
        <v>400</v>
      </c>
      <c r="E923" s="89">
        <v>32.82</v>
      </c>
      <c r="F923" s="88" t="s">
        <v>5</v>
      </c>
      <c r="G923" s="87">
        <f>Table1[[#This Row],[date]]</f>
        <v>45493</v>
      </c>
      <c r="H923" s="94">
        <f>SUMIF($A$2:A4558,G923,$E$2:E4558)</f>
        <v>177.32</v>
      </c>
      <c r="I923" s="93" t="str">
        <f t="shared" si="57"/>
        <v>Saturday</v>
      </c>
      <c r="J923" s="93" t="str">
        <f t="shared" si="58"/>
        <v>July</v>
      </c>
      <c r="K923" s="93" t="str">
        <f t="shared" si="59"/>
        <v>2024</v>
      </c>
      <c r="L923" s="6"/>
      <c r="M923" s="6"/>
      <c r="N923" s="6"/>
    </row>
    <row r="924" spans="1:14" x14ac:dyDescent="0.3">
      <c r="A924" s="92">
        <v>45493</v>
      </c>
      <c r="B924" s="92" t="str">
        <f t="shared" si="56"/>
        <v>Saturday</v>
      </c>
      <c r="C924" s="93" t="s">
        <v>1381</v>
      </c>
      <c r="D924" s="93" t="s">
        <v>401</v>
      </c>
      <c r="E924" s="94">
        <v>32.82</v>
      </c>
      <c r="F924" s="93" t="s">
        <v>5</v>
      </c>
      <c r="G924" s="87">
        <f>Table1[[#This Row],[date]]</f>
        <v>45493</v>
      </c>
      <c r="H924" s="94">
        <f>SUMIF($A$2:A4559,G924,$E$2:E4559)</f>
        <v>177.32</v>
      </c>
      <c r="I924" s="93" t="str">
        <f t="shared" si="57"/>
        <v>Saturday</v>
      </c>
      <c r="J924" s="93" t="str">
        <f t="shared" si="58"/>
        <v>July</v>
      </c>
      <c r="K924" s="93" t="str">
        <f t="shared" si="59"/>
        <v>2024</v>
      </c>
      <c r="L924" s="6"/>
      <c r="M924" s="6"/>
      <c r="N924" s="6"/>
    </row>
    <row r="925" spans="1:14" x14ac:dyDescent="0.3">
      <c r="A925" s="87">
        <v>45493</v>
      </c>
      <c r="B925" s="87" t="str">
        <f t="shared" si="56"/>
        <v>Saturday</v>
      </c>
      <c r="C925" s="88" t="s">
        <v>1381</v>
      </c>
      <c r="D925" s="88" t="s">
        <v>402</v>
      </c>
      <c r="E925" s="89">
        <v>23.02</v>
      </c>
      <c r="F925" s="88" t="s">
        <v>9</v>
      </c>
      <c r="G925" s="87">
        <f>Table1[[#This Row],[date]]</f>
        <v>45493</v>
      </c>
      <c r="H925" s="94">
        <f>SUMIF($A$2:A4560,G925,$E$2:E4560)</f>
        <v>177.32</v>
      </c>
      <c r="I925" s="93" t="str">
        <f t="shared" si="57"/>
        <v>Saturday</v>
      </c>
      <c r="J925" s="93" t="str">
        <f t="shared" si="58"/>
        <v>July</v>
      </c>
      <c r="K925" s="93" t="str">
        <f t="shared" si="59"/>
        <v>2024</v>
      </c>
      <c r="L925" s="6"/>
      <c r="M925" s="6"/>
      <c r="N925" s="6"/>
    </row>
    <row r="926" spans="1:14" x14ac:dyDescent="0.3">
      <c r="A926" s="92">
        <v>45493</v>
      </c>
      <c r="B926" s="92" t="str">
        <f t="shared" si="56"/>
        <v>Saturday</v>
      </c>
      <c r="C926" s="93" t="s">
        <v>1381</v>
      </c>
      <c r="D926" s="93" t="s">
        <v>403</v>
      </c>
      <c r="E926" s="94">
        <v>32.82</v>
      </c>
      <c r="F926" s="93" t="s">
        <v>5</v>
      </c>
      <c r="G926" s="87">
        <f>Table1[[#This Row],[date]]</f>
        <v>45493</v>
      </c>
      <c r="H926" s="94">
        <f>SUMIF($A$2:A4561,G926,$E$2:E4561)</f>
        <v>177.32</v>
      </c>
      <c r="I926" s="93" t="str">
        <f t="shared" si="57"/>
        <v>Saturday</v>
      </c>
      <c r="J926" s="93" t="str">
        <f t="shared" si="58"/>
        <v>July</v>
      </c>
      <c r="K926" s="93" t="str">
        <f t="shared" si="59"/>
        <v>2024</v>
      </c>
      <c r="L926" s="6"/>
      <c r="M926" s="6"/>
      <c r="N926" s="6"/>
    </row>
    <row r="927" spans="1:14" x14ac:dyDescent="0.3">
      <c r="A927" s="87">
        <v>45494</v>
      </c>
      <c r="B927" s="87" t="str">
        <f t="shared" si="56"/>
        <v>Sunday</v>
      </c>
      <c r="C927" s="88" t="s">
        <v>1381</v>
      </c>
      <c r="D927" s="88" t="s">
        <v>379</v>
      </c>
      <c r="E927" s="89">
        <v>32.82</v>
      </c>
      <c r="F927" s="88" t="s">
        <v>16</v>
      </c>
      <c r="G927" s="87">
        <f>Table1[[#This Row],[date]]</f>
        <v>45494</v>
      </c>
      <c r="H927" s="94">
        <f>SUMIF($A$2:A4562,G927,$E$2:E4562)</f>
        <v>121.47999999999999</v>
      </c>
      <c r="I927" s="93" t="str">
        <f t="shared" si="57"/>
        <v>Sunday</v>
      </c>
      <c r="J927" s="93" t="str">
        <f t="shared" si="58"/>
        <v>July</v>
      </c>
      <c r="K927" s="93" t="str">
        <f t="shared" si="59"/>
        <v>2024</v>
      </c>
      <c r="L927" s="6"/>
      <c r="M927" s="6"/>
      <c r="N927" s="6"/>
    </row>
    <row r="928" spans="1:14" x14ac:dyDescent="0.3">
      <c r="A928" s="92">
        <v>45494</v>
      </c>
      <c r="B928" s="92" t="str">
        <f t="shared" si="56"/>
        <v>Sunday</v>
      </c>
      <c r="C928" s="93" t="s">
        <v>1381</v>
      </c>
      <c r="D928" s="93" t="s">
        <v>404</v>
      </c>
      <c r="E928" s="94">
        <v>32.82</v>
      </c>
      <c r="F928" s="93" t="s">
        <v>41</v>
      </c>
      <c r="G928" s="87">
        <f>Table1[[#This Row],[date]]</f>
        <v>45494</v>
      </c>
      <c r="H928" s="94">
        <f>SUMIF($A$2:A4563,G928,$E$2:E4563)</f>
        <v>121.47999999999999</v>
      </c>
      <c r="I928" s="93" t="str">
        <f t="shared" si="57"/>
        <v>Sunday</v>
      </c>
      <c r="J928" s="93" t="str">
        <f t="shared" si="58"/>
        <v>July</v>
      </c>
      <c r="K928" s="93" t="str">
        <f t="shared" si="59"/>
        <v>2024</v>
      </c>
      <c r="L928" s="6"/>
      <c r="M928" s="6"/>
      <c r="N928" s="6"/>
    </row>
    <row r="929" spans="1:14" x14ac:dyDescent="0.3">
      <c r="A929" s="87">
        <v>45494</v>
      </c>
      <c r="B929" s="87" t="str">
        <f t="shared" si="56"/>
        <v>Sunday</v>
      </c>
      <c r="C929" s="88" t="s">
        <v>1381</v>
      </c>
      <c r="D929" s="88" t="s">
        <v>405</v>
      </c>
      <c r="E929" s="89">
        <v>23.02</v>
      </c>
      <c r="F929" s="88" t="s">
        <v>26</v>
      </c>
      <c r="G929" s="87">
        <f>Table1[[#This Row],[date]]</f>
        <v>45494</v>
      </c>
      <c r="H929" s="94">
        <f>SUMIF($A$2:A4564,G929,$E$2:E4564)</f>
        <v>121.47999999999999</v>
      </c>
      <c r="I929" s="93" t="str">
        <f t="shared" si="57"/>
        <v>Sunday</v>
      </c>
      <c r="J929" s="93" t="str">
        <f t="shared" si="58"/>
        <v>July</v>
      </c>
      <c r="K929" s="93" t="str">
        <f t="shared" si="59"/>
        <v>2024</v>
      </c>
      <c r="L929" s="6"/>
      <c r="M929" s="6"/>
      <c r="N929" s="6"/>
    </row>
    <row r="930" spans="1:14" x14ac:dyDescent="0.3">
      <c r="A930" s="92">
        <v>45494</v>
      </c>
      <c r="B930" s="92" t="str">
        <f t="shared" si="56"/>
        <v>Sunday</v>
      </c>
      <c r="C930" s="93" t="s">
        <v>1381</v>
      </c>
      <c r="D930" s="93" t="s">
        <v>406</v>
      </c>
      <c r="E930" s="94">
        <v>32.82</v>
      </c>
      <c r="F930" s="93" t="s">
        <v>5</v>
      </c>
      <c r="G930" s="87">
        <f>Table1[[#This Row],[date]]</f>
        <v>45494</v>
      </c>
      <c r="H930" s="94">
        <f>SUMIF($A$2:A4565,G930,$E$2:E4565)</f>
        <v>121.47999999999999</v>
      </c>
      <c r="I930" s="93" t="str">
        <f t="shared" si="57"/>
        <v>Sunday</v>
      </c>
      <c r="J930" s="93" t="str">
        <f t="shared" si="58"/>
        <v>July</v>
      </c>
      <c r="K930" s="93" t="str">
        <f t="shared" si="59"/>
        <v>2024</v>
      </c>
      <c r="L930" s="6"/>
      <c r="M930" s="6"/>
      <c r="N930" s="6"/>
    </row>
    <row r="931" spans="1:14" x14ac:dyDescent="0.3">
      <c r="A931" s="87">
        <v>45495</v>
      </c>
      <c r="B931" s="87" t="str">
        <f t="shared" si="56"/>
        <v>Monday</v>
      </c>
      <c r="C931" s="88" t="s">
        <v>1381</v>
      </c>
      <c r="D931" s="88" t="s">
        <v>387</v>
      </c>
      <c r="E931" s="89">
        <v>23.02</v>
      </c>
      <c r="F931" s="88" t="s">
        <v>9</v>
      </c>
      <c r="G931" s="87">
        <f>Table1[[#This Row],[date]]</f>
        <v>45495</v>
      </c>
      <c r="H931" s="94">
        <f>SUMIF($A$2:A4566,G931,$E$2:E4566)</f>
        <v>106.78</v>
      </c>
      <c r="I931" s="93" t="str">
        <f t="shared" si="57"/>
        <v>Monday</v>
      </c>
      <c r="J931" s="93" t="str">
        <f t="shared" si="58"/>
        <v>July</v>
      </c>
      <c r="K931" s="93" t="str">
        <f t="shared" si="59"/>
        <v>2024</v>
      </c>
      <c r="L931" s="6"/>
      <c r="M931" s="6"/>
      <c r="N931" s="6"/>
    </row>
    <row r="932" spans="1:14" x14ac:dyDescent="0.3">
      <c r="A932" s="92">
        <v>45495</v>
      </c>
      <c r="B932" s="92" t="str">
        <f t="shared" si="56"/>
        <v>Monday</v>
      </c>
      <c r="C932" s="93" t="s">
        <v>1381</v>
      </c>
      <c r="D932" s="93" t="s">
        <v>407</v>
      </c>
      <c r="E932" s="94">
        <v>23.02</v>
      </c>
      <c r="F932" s="93" t="s">
        <v>9</v>
      </c>
      <c r="G932" s="87">
        <f>Table1[[#This Row],[date]]</f>
        <v>45495</v>
      </c>
      <c r="H932" s="94">
        <f>SUMIF($A$2:A4567,G932,$E$2:E4567)</f>
        <v>106.78</v>
      </c>
      <c r="I932" s="93" t="str">
        <f t="shared" si="57"/>
        <v>Monday</v>
      </c>
      <c r="J932" s="93" t="str">
        <f t="shared" si="58"/>
        <v>July</v>
      </c>
      <c r="K932" s="93" t="str">
        <f t="shared" si="59"/>
        <v>2024</v>
      </c>
      <c r="L932" s="6"/>
      <c r="M932" s="6"/>
      <c r="N932" s="6"/>
    </row>
    <row r="933" spans="1:14" x14ac:dyDescent="0.3">
      <c r="A933" s="87">
        <v>45495</v>
      </c>
      <c r="B933" s="87" t="str">
        <f t="shared" si="56"/>
        <v>Monday</v>
      </c>
      <c r="C933" s="88" t="s">
        <v>1381</v>
      </c>
      <c r="D933" s="88" t="s">
        <v>397</v>
      </c>
      <c r="E933" s="89">
        <v>27.92</v>
      </c>
      <c r="F933" s="88" t="s">
        <v>12</v>
      </c>
      <c r="G933" s="87">
        <f>Table1[[#This Row],[date]]</f>
        <v>45495</v>
      </c>
      <c r="H933" s="94">
        <f>SUMIF($A$2:A4568,G933,$E$2:E4568)</f>
        <v>106.78</v>
      </c>
      <c r="I933" s="93" t="str">
        <f t="shared" si="57"/>
        <v>Monday</v>
      </c>
      <c r="J933" s="93" t="str">
        <f t="shared" si="58"/>
        <v>July</v>
      </c>
      <c r="K933" s="93" t="str">
        <f t="shared" si="59"/>
        <v>2024</v>
      </c>
      <c r="L933" s="6"/>
      <c r="M933" s="6"/>
      <c r="N933" s="6"/>
    </row>
    <row r="934" spans="1:14" x14ac:dyDescent="0.3">
      <c r="A934" s="92">
        <v>45495</v>
      </c>
      <c r="B934" s="92" t="str">
        <f t="shared" si="56"/>
        <v>Monday</v>
      </c>
      <c r="C934" s="93" t="s">
        <v>1381</v>
      </c>
      <c r="D934" s="93" t="s">
        <v>408</v>
      </c>
      <c r="E934" s="94">
        <v>32.82</v>
      </c>
      <c r="F934" s="93" t="s">
        <v>5</v>
      </c>
      <c r="G934" s="87">
        <f>Table1[[#This Row],[date]]</f>
        <v>45495</v>
      </c>
      <c r="H934" s="94">
        <f>SUMIF($A$2:A4569,G934,$E$2:E4569)</f>
        <v>106.78</v>
      </c>
      <c r="I934" s="93" t="str">
        <f t="shared" si="57"/>
        <v>Monday</v>
      </c>
      <c r="J934" s="93" t="str">
        <f t="shared" si="58"/>
        <v>July</v>
      </c>
      <c r="K934" s="93" t="str">
        <f t="shared" si="59"/>
        <v>2024</v>
      </c>
      <c r="L934" s="6"/>
      <c r="M934" s="6"/>
      <c r="N934" s="6"/>
    </row>
    <row r="935" spans="1:14" x14ac:dyDescent="0.3">
      <c r="A935" s="87">
        <v>45496</v>
      </c>
      <c r="B935" s="87" t="str">
        <f t="shared" si="56"/>
        <v>Tuesday</v>
      </c>
      <c r="C935" s="88" t="s">
        <v>1381</v>
      </c>
      <c r="D935" s="88" t="s">
        <v>209</v>
      </c>
      <c r="E935" s="89">
        <v>32.82</v>
      </c>
      <c r="F935" s="88" t="s">
        <v>5</v>
      </c>
      <c r="G935" s="87">
        <f>Table1[[#This Row],[date]]</f>
        <v>45496</v>
      </c>
      <c r="H935" s="94">
        <f>SUMIF($A$2:A4570,G935,$E$2:E4570)</f>
        <v>316.92</v>
      </c>
      <c r="I935" s="93" t="str">
        <f t="shared" si="57"/>
        <v>Tuesday</v>
      </c>
      <c r="J935" s="93" t="str">
        <f t="shared" si="58"/>
        <v>July</v>
      </c>
      <c r="K935" s="93" t="str">
        <f t="shared" si="59"/>
        <v>2024</v>
      </c>
      <c r="L935" s="6"/>
      <c r="M935" s="6"/>
      <c r="N935" s="6"/>
    </row>
    <row r="936" spans="1:14" x14ac:dyDescent="0.3">
      <c r="A936" s="92">
        <v>45496</v>
      </c>
      <c r="B936" s="92" t="str">
        <f t="shared" si="56"/>
        <v>Tuesday</v>
      </c>
      <c r="C936" s="93" t="s">
        <v>1381</v>
      </c>
      <c r="D936" s="93" t="s">
        <v>407</v>
      </c>
      <c r="E936" s="94">
        <v>23.02</v>
      </c>
      <c r="F936" s="93" t="s">
        <v>9</v>
      </c>
      <c r="G936" s="87">
        <f>Table1[[#This Row],[date]]</f>
        <v>45496</v>
      </c>
      <c r="H936" s="94">
        <f>SUMIF($A$2:A4571,G936,$E$2:E4571)</f>
        <v>316.92</v>
      </c>
      <c r="I936" s="93" t="str">
        <f t="shared" si="57"/>
        <v>Tuesday</v>
      </c>
      <c r="J936" s="93" t="str">
        <f t="shared" si="58"/>
        <v>July</v>
      </c>
      <c r="K936" s="93" t="str">
        <f t="shared" si="59"/>
        <v>2024</v>
      </c>
      <c r="L936" s="6"/>
      <c r="M936" s="6"/>
      <c r="N936" s="6"/>
    </row>
    <row r="937" spans="1:14" x14ac:dyDescent="0.3">
      <c r="A937" s="87">
        <v>45496</v>
      </c>
      <c r="B937" s="87" t="str">
        <f t="shared" si="56"/>
        <v>Tuesday</v>
      </c>
      <c r="C937" s="88" t="s">
        <v>1381</v>
      </c>
      <c r="D937" s="88" t="s">
        <v>409</v>
      </c>
      <c r="E937" s="89">
        <v>27.92</v>
      </c>
      <c r="F937" s="88" t="s">
        <v>12</v>
      </c>
      <c r="G937" s="87">
        <f>Table1[[#This Row],[date]]</f>
        <v>45496</v>
      </c>
      <c r="H937" s="94">
        <f>SUMIF($A$2:A4572,G937,$E$2:E4572)</f>
        <v>316.92</v>
      </c>
      <c r="I937" s="93" t="str">
        <f t="shared" si="57"/>
        <v>Tuesday</v>
      </c>
      <c r="J937" s="93" t="str">
        <f t="shared" si="58"/>
        <v>July</v>
      </c>
      <c r="K937" s="93" t="str">
        <f t="shared" si="59"/>
        <v>2024</v>
      </c>
      <c r="L937" s="6"/>
      <c r="M937" s="6"/>
      <c r="N937" s="6"/>
    </row>
    <row r="938" spans="1:14" x14ac:dyDescent="0.3">
      <c r="A938" s="92">
        <v>45496</v>
      </c>
      <c r="B938" s="92" t="str">
        <f t="shared" si="56"/>
        <v>Tuesday</v>
      </c>
      <c r="C938" s="93" t="s">
        <v>1381</v>
      </c>
      <c r="D938" s="93" t="s">
        <v>410</v>
      </c>
      <c r="E938" s="94">
        <v>32.82</v>
      </c>
      <c r="F938" s="93" t="s">
        <v>16</v>
      </c>
      <c r="G938" s="87">
        <f>Table1[[#This Row],[date]]</f>
        <v>45496</v>
      </c>
      <c r="H938" s="94">
        <f>SUMIF($A$2:A4573,G938,$E$2:E4573)</f>
        <v>316.92</v>
      </c>
      <c r="I938" s="93" t="str">
        <f t="shared" si="57"/>
        <v>Tuesday</v>
      </c>
      <c r="J938" s="93" t="str">
        <f t="shared" si="58"/>
        <v>July</v>
      </c>
      <c r="K938" s="93" t="str">
        <f t="shared" si="59"/>
        <v>2024</v>
      </c>
      <c r="L938" s="6"/>
      <c r="M938" s="6"/>
      <c r="N938" s="6"/>
    </row>
    <row r="939" spans="1:14" x14ac:dyDescent="0.3">
      <c r="A939" s="87">
        <v>45496</v>
      </c>
      <c r="B939" s="87" t="str">
        <f t="shared" si="56"/>
        <v>Tuesday</v>
      </c>
      <c r="C939" s="88" t="s">
        <v>1381</v>
      </c>
      <c r="D939" s="88" t="s">
        <v>411</v>
      </c>
      <c r="E939" s="89">
        <v>32.82</v>
      </c>
      <c r="F939" s="88" t="s">
        <v>5</v>
      </c>
      <c r="G939" s="87">
        <f>Table1[[#This Row],[date]]</f>
        <v>45496</v>
      </c>
      <c r="H939" s="94">
        <f>SUMIF($A$2:A4574,G939,$E$2:E4574)</f>
        <v>316.92</v>
      </c>
      <c r="I939" s="93" t="str">
        <f t="shared" si="57"/>
        <v>Tuesday</v>
      </c>
      <c r="J939" s="93" t="str">
        <f t="shared" si="58"/>
        <v>July</v>
      </c>
      <c r="K939" s="93" t="str">
        <f t="shared" si="59"/>
        <v>2024</v>
      </c>
      <c r="L939" s="6"/>
      <c r="M939" s="6"/>
      <c r="N939" s="6"/>
    </row>
    <row r="940" spans="1:14" x14ac:dyDescent="0.3">
      <c r="A940" s="92">
        <v>45496</v>
      </c>
      <c r="B940" s="92" t="str">
        <f t="shared" si="56"/>
        <v>Tuesday</v>
      </c>
      <c r="C940" s="93" t="s">
        <v>1381</v>
      </c>
      <c r="D940" s="93" t="s">
        <v>387</v>
      </c>
      <c r="E940" s="94">
        <v>23.02</v>
      </c>
      <c r="F940" s="93" t="s">
        <v>9</v>
      </c>
      <c r="G940" s="87">
        <f>Table1[[#This Row],[date]]</f>
        <v>45496</v>
      </c>
      <c r="H940" s="94">
        <f>SUMIF($A$2:A4575,G940,$E$2:E4575)</f>
        <v>316.92</v>
      </c>
      <c r="I940" s="93" t="str">
        <f t="shared" si="57"/>
        <v>Tuesday</v>
      </c>
      <c r="J940" s="93" t="str">
        <f t="shared" si="58"/>
        <v>July</v>
      </c>
      <c r="K940" s="93" t="str">
        <f t="shared" si="59"/>
        <v>2024</v>
      </c>
      <c r="L940" s="6"/>
      <c r="M940" s="6"/>
      <c r="N940" s="6"/>
    </row>
    <row r="941" spans="1:14" x14ac:dyDescent="0.3">
      <c r="A941" s="87">
        <v>45496</v>
      </c>
      <c r="B941" s="87" t="str">
        <f t="shared" si="56"/>
        <v>Tuesday</v>
      </c>
      <c r="C941" s="88" t="s">
        <v>1381</v>
      </c>
      <c r="D941" s="88" t="s">
        <v>412</v>
      </c>
      <c r="E941" s="89">
        <v>27.92</v>
      </c>
      <c r="F941" s="88" t="s">
        <v>12</v>
      </c>
      <c r="G941" s="87">
        <f>Table1[[#This Row],[date]]</f>
        <v>45496</v>
      </c>
      <c r="H941" s="94">
        <f>SUMIF($A$2:A4576,G941,$E$2:E4576)</f>
        <v>316.92</v>
      </c>
      <c r="I941" s="93" t="str">
        <f t="shared" si="57"/>
        <v>Tuesday</v>
      </c>
      <c r="J941" s="93" t="str">
        <f t="shared" si="58"/>
        <v>July</v>
      </c>
      <c r="K941" s="93" t="str">
        <f t="shared" si="59"/>
        <v>2024</v>
      </c>
      <c r="L941" s="6"/>
      <c r="M941" s="6"/>
      <c r="N941" s="6"/>
    </row>
    <row r="942" spans="1:14" x14ac:dyDescent="0.3">
      <c r="A942" s="92">
        <v>45496</v>
      </c>
      <c r="B942" s="92" t="str">
        <f t="shared" si="56"/>
        <v>Tuesday</v>
      </c>
      <c r="C942" s="93" t="s">
        <v>1381</v>
      </c>
      <c r="D942" s="93" t="s">
        <v>413</v>
      </c>
      <c r="E942" s="94">
        <v>27.92</v>
      </c>
      <c r="F942" s="93" t="s">
        <v>12</v>
      </c>
      <c r="G942" s="87">
        <f>Table1[[#This Row],[date]]</f>
        <v>45496</v>
      </c>
      <c r="H942" s="94">
        <f>SUMIF($A$2:A4577,G942,$E$2:E4577)</f>
        <v>316.92</v>
      </c>
      <c r="I942" s="93" t="str">
        <f t="shared" si="57"/>
        <v>Tuesday</v>
      </c>
      <c r="J942" s="93" t="str">
        <f t="shared" si="58"/>
        <v>July</v>
      </c>
      <c r="K942" s="93" t="str">
        <f t="shared" si="59"/>
        <v>2024</v>
      </c>
      <c r="L942" s="6"/>
      <c r="M942" s="6"/>
      <c r="N942" s="6"/>
    </row>
    <row r="943" spans="1:14" x14ac:dyDescent="0.3">
      <c r="A943" s="87">
        <v>45496</v>
      </c>
      <c r="B943" s="87" t="str">
        <f t="shared" si="56"/>
        <v>Tuesday</v>
      </c>
      <c r="C943" s="88" t="s">
        <v>1381</v>
      </c>
      <c r="D943" s="88" t="s">
        <v>413</v>
      </c>
      <c r="E943" s="89">
        <v>32.82</v>
      </c>
      <c r="F943" s="88" t="s">
        <v>5</v>
      </c>
      <c r="G943" s="87">
        <f>Table1[[#This Row],[date]]</f>
        <v>45496</v>
      </c>
      <c r="H943" s="94">
        <f>SUMIF($A$2:A4578,G943,$E$2:E4578)</f>
        <v>316.92</v>
      </c>
      <c r="I943" s="93" t="str">
        <f t="shared" si="57"/>
        <v>Tuesday</v>
      </c>
      <c r="J943" s="93" t="str">
        <f t="shared" si="58"/>
        <v>July</v>
      </c>
      <c r="K943" s="93" t="str">
        <f t="shared" si="59"/>
        <v>2024</v>
      </c>
      <c r="L943" s="6"/>
      <c r="M943" s="6"/>
      <c r="N943" s="6"/>
    </row>
    <row r="944" spans="1:14" x14ac:dyDescent="0.3">
      <c r="A944" s="92">
        <v>45496</v>
      </c>
      <c r="B944" s="92" t="str">
        <f t="shared" si="56"/>
        <v>Tuesday</v>
      </c>
      <c r="C944" s="93" t="s">
        <v>1381</v>
      </c>
      <c r="D944" s="93" t="s">
        <v>17</v>
      </c>
      <c r="E944" s="94">
        <v>32.82</v>
      </c>
      <c r="F944" s="93" t="s">
        <v>5</v>
      </c>
      <c r="G944" s="87">
        <f>Table1[[#This Row],[date]]</f>
        <v>45496</v>
      </c>
      <c r="H944" s="94">
        <f>SUMIF($A$2:A4579,G944,$E$2:E4579)</f>
        <v>316.92</v>
      </c>
      <c r="I944" s="93" t="str">
        <f t="shared" si="57"/>
        <v>Tuesday</v>
      </c>
      <c r="J944" s="93" t="str">
        <f t="shared" si="58"/>
        <v>July</v>
      </c>
      <c r="K944" s="93" t="str">
        <f t="shared" si="59"/>
        <v>2024</v>
      </c>
      <c r="L944" s="6"/>
      <c r="M944" s="6"/>
      <c r="N944" s="6"/>
    </row>
    <row r="945" spans="1:14" x14ac:dyDescent="0.3">
      <c r="A945" s="87">
        <v>45496</v>
      </c>
      <c r="B945" s="87" t="str">
        <f t="shared" si="56"/>
        <v>Tuesday</v>
      </c>
      <c r="C945" s="88" t="s">
        <v>1381</v>
      </c>
      <c r="D945" s="88" t="s">
        <v>21</v>
      </c>
      <c r="E945" s="89">
        <v>23.02</v>
      </c>
      <c r="F945" s="88" t="s">
        <v>9</v>
      </c>
      <c r="G945" s="87">
        <f>Table1[[#This Row],[date]]</f>
        <v>45496</v>
      </c>
      <c r="H945" s="94">
        <f>SUMIF($A$2:A4580,G945,$E$2:E4580)</f>
        <v>316.92</v>
      </c>
      <c r="I945" s="93" t="str">
        <f t="shared" si="57"/>
        <v>Tuesday</v>
      </c>
      <c r="J945" s="93" t="str">
        <f t="shared" si="58"/>
        <v>July</v>
      </c>
      <c r="K945" s="93" t="str">
        <f t="shared" si="59"/>
        <v>2024</v>
      </c>
      <c r="L945" s="6"/>
      <c r="M945" s="6"/>
      <c r="N945" s="6"/>
    </row>
    <row r="946" spans="1:14" x14ac:dyDescent="0.3">
      <c r="A946" s="87">
        <v>45497</v>
      </c>
      <c r="B946" s="87" t="str">
        <f t="shared" si="56"/>
        <v>Wednesday</v>
      </c>
      <c r="C946" s="88" t="s">
        <v>1381</v>
      </c>
      <c r="D946" s="88" t="s">
        <v>109</v>
      </c>
      <c r="E946" s="89">
        <v>27.92</v>
      </c>
      <c r="F946" s="88" t="s">
        <v>12</v>
      </c>
      <c r="G946" s="87">
        <f>Table1[[#This Row],[date]]</f>
        <v>45497</v>
      </c>
      <c r="H946" s="94">
        <f>SUMIF($A$2:A4581,G946,$E$2:E4581)</f>
        <v>297.31999999999994</v>
      </c>
      <c r="I946" s="93" t="str">
        <f t="shared" si="57"/>
        <v>Wednesday</v>
      </c>
      <c r="J946" s="93" t="str">
        <f t="shared" si="58"/>
        <v>July</v>
      </c>
      <c r="K946" s="93" t="str">
        <f t="shared" si="59"/>
        <v>2024</v>
      </c>
      <c r="L946" s="6"/>
      <c r="M946" s="6"/>
      <c r="N946" s="6"/>
    </row>
    <row r="947" spans="1:14" x14ac:dyDescent="0.3">
      <c r="A947" s="92">
        <v>45497</v>
      </c>
      <c r="B947" s="92" t="str">
        <f t="shared" si="56"/>
        <v>Wednesday</v>
      </c>
      <c r="C947" s="93" t="s">
        <v>1381</v>
      </c>
      <c r="D947" s="93" t="s">
        <v>397</v>
      </c>
      <c r="E947" s="94">
        <v>27.92</v>
      </c>
      <c r="F947" s="93" t="s">
        <v>12</v>
      </c>
      <c r="G947" s="87">
        <f>Table1[[#This Row],[date]]</f>
        <v>45497</v>
      </c>
      <c r="H947" s="94">
        <f>SUMIF($A$2:A4582,G947,$E$2:E4582)</f>
        <v>297.31999999999994</v>
      </c>
      <c r="I947" s="93" t="str">
        <f t="shared" si="57"/>
        <v>Wednesday</v>
      </c>
      <c r="J947" s="93" t="str">
        <f t="shared" si="58"/>
        <v>July</v>
      </c>
      <c r="K947" s="93" t="str">
        <f t="shared" si="59"/>
        <v>2024</v>
      </c>
      <c r="L947" s="6"/>
      <c r="M947" s="6"/>
      <c r="N947" s="6"/>
    </row>
    <row r="948" spans="1:14" x14ac:dyDescent="0.3">
      <c r="A948" s="87">
        <v>45497</v>
      </c>
      <c r="B948" s="87" t="str">
        <f t="shared" si="56"/>
        <v>Wednesday</v>
      </c>
      <c r="C948" s="88" t="s">
        <v>1381</v>
      </c>
      <c r="D948" s="88" t="s">
        <v>414</v>
      </c>
      <c r="E948" s="89">
        <v>18.12</v>
      </c>
      <c r="F948" s="88" t="s">
        <v>33</v>
      </c>
      <c r="G948" s="87">
        <f>Table1[[#This Row],[date]]</f>
        <v>45497</v>
      </c>
      <c r="H948" s="94">
        <f>SUMIF($A$2:A4583,G948,$E$2:E4583)</f>
        <v>297.31999999999994</v>
      </c>
      <c r="I948" s="93" t="str">
        <f t="shared" si="57"/>
        <v>Wednesday</v>
      </c>
      <c r="J948" s="93" t="str">
        <f t="shared" si="58"/>
        <v>July</v>
      </c>
      <c r="K948" s="93" t="str">
        <f t="shared" si="59"/>
        <v>2024</v>
      </c>
      <c r="L948" s="6"/>
      <c r="M948" s="6"/>
      <c r="N948" s="6"/>
    </row>
    <row r="949" spans="1:14" x14ac:dyDescent="0.3">
      <c r="A949" s="92">
        <v>45497</v>
      </c>
      <c r="B949" s="92" t="str">
        <f t="shared" si="56"/>
        <v>Wednesday</v>
      </c>
      <c r="C949" s="93" t="s">
        <v>1381</v>
      </c>
      <c r="D949" s="93" t="s">
        <v>391</v>
      </c>
      <c r="E949" s="94">
        <v>32.82</v>
      </c>
      <c r="F949" s="93" t="s">
        <v>41</v>
      </c>
      <c r="G949" s="87">
        <f>Table1[[#This Row],[date]]</f>
        <v>45497</v>
      </c>
      <c r="H949" s="94">
        <f>SUMIF($A$2:A4584,G949,$E$2:E4584)</f>
        <v>297.31999999999994</v>
      </c>
      <c r="I949" s="93" t="str">
        <f t="shared" si="57"/>
        <v>Wednesday</v>
      </c>
      <c r="J949" s="93" t="str">
        <f t="shared" si="58"/>
        <v>July</v>
      </c>
      <c r="K949" s="93" t="str">
        <f t="shared" si="59"/>
        <v>2024</v>
      </c>
      <c r="L949" s="6"/>
      <c r="M949" s="6"/>
      <c r="N949" s="6"/>
    </row>
    <row r="950" spans="1:14" x14ac:dyDescent="0.3">
      <c r="A950" s="87">
        <v>45497</v>
      </c>
      <c r="B950" s="87" t="str">
        <f t="shared" si="56"/>
        <v>Wednesday</v>
      </c>
      <c r="C950" s="88" t="s">
        <v>1381</v>
      </c>
      <c r="D950" s="88" t="s">
        <v>411</v>
      </c>
      <c r="E950" s="89">
        <v>32.82</v>
      </c>
      <c r="F950" s="88" t="s">
        <v>5</v>
      </c>
      <c r="G950" s="87">
        <f>Table1[[#This Row],[date]]</f>
        <v>45497</v>
      </c>
      <c r="H950" s="94">
        <f>SUMIF($A$2:A4585,G950,$E$2:E4585)</f>
        <v>297.31999999999994</v>
      </c>
      <c r="I950" s="93" t="str">
        <f t="shared" si="57"/>
        <v>Wednesday</v>
      </c>
      <c r="J950" s="93" t="str">
        <f t="shared" si="58"/>
        <v>July</v>
      </c>
      <c r="K950" s="93" t="str">
        <f t="shared" si="59"/>
        <v>2024</v>
      </c>
      <c r="L950" s="6"/>
      <c r="M950" s="6"/>
      <c r="N950" s="6"/>
    </row>
    <row r="951" spans="1:14" x14ac:dyDescent="0.3">
      <c r="A951" s="92">
        <v>45497</v>
      </c>
      <c r="B951" s="92" t="str">
        <f t="shared" si="56"/>
        <v>Wednesday</v>
      </c>
      <c r="C951" s="93" t="s">
        <v>1381</v>
      </c>
      <c r="D951" s="93" t="s">
        <v>21</v>
      </c>
      <c r="E951" s="94">
        <v>18.12</v>
      </c>
      <c r="F951" s="93" t="s">
        <v>33</v>
      </c>
      <c r="G951" s="87">
        <f>Table1[[#This Row],[date]]</f>
        <v>45497</v>
      </c>
      <c r="H951" s="94">
        <f>SUMIF($A$2:A4586,G951,$E$2:E4586)</f>
        <v>297.31999999999994</v>
      </c>
      <c r="I951" s="93" t="str">
        <f t="shared" si="57"/>
        <v>Wednesday</v>
      </c>
      <c r="J951" s="93" t="str">
        <f t="shared" si="58"/>
        <v>July</v>
      </c>
      <c r="K951" s="93" t="str">
        <f t="shared" si="59"/>
        <v>2024</v>
      </c>
      <c r="L951" s="6"/>
      <c r="M951" s="6"/>
      <c r="N951" s="6"/>
    </row>
    <row r="952" spans="1:14" x14ac:dyDescent="0.3">
      <c r="A952" s="87">
        <v>45497</v>
      </c>
      <c r="B952" s="87" t="str">
        <f t="shared" si="56"/>
        <v>Wednesday</v>
      </c>
      <c r="C952" s="88" t="s">
        <v>1381</v>
      </c>
      <c r="D952" s="88" t="s">
        <v>17</v>
      </c>
      <c r="E952" s="89">
        <v>32.82</v>
      </c>
      <c r="F952" s="88" t="s">
        <v>5</v>
      </c>
      <c r="G952" s="87">
        <f>Table1[[#This Row],[date]]</f>
        <v>45497</v>
      </c>
      <c r="H952" s="94">
        <f>SUMIF($A$2:A4587,G952,$E$2:E4587)</f>
        <v>297.31999999999994</v>
      </c>
      <c r="I952" s="93" t="str">
        <f t="shared" si="57"/>
        <v>Wednesday</v>
      </c>
      <c r="J952" s="93" t="str">
        <f t="shared" si="58"/>
        <v>July</v>
      </c>
      <c r="K952" s="93" t="str">
        <f t="shared" si="59"/>
        <v>2024</v>
      </c>
      <c r="L952" s="6"/>
      <c r="M952" s="6"/>
      <c r="N952" s="6"/>
    </row>
    <row r="953" spans="1:14" x14ac:dyDescent="0.3">
      <c r="A953" s="92">
        <v>45497</v>
      </c>
      <c r="B953" s="92" t="str">
        <f t="shared" si="56"/>
        <v>Wednesday</v>
      </c>
      <c r="C953" s="93" t="s">
        <v>1381</v>
      </c>
      <c r="D953" s="93" t="s">
        <v>217</v>
      </c>
      <c r="E953" s="94">
        <v>32.82</v>
      </c>
      <c r="F953" s="93" t="s">
        <v>41</v>
      </c>
      <c r="G953" s="87">
        <f>Table1[[#This Row],[date]]</f>
        <v>45497</v>
      </c>
      <c r="H953" s="94">
        <f>SUMIF($A$2:A4588,G953,$E$2:E4588)</f>
        <v>297.31999999999994</v>
      </c>
      <c r="I953" s="93" t="str">
        <f t="shared" si="57"/>
        <v>Wednesday</v>
      </c>
      <c r="J953" s="93" t="str">
        <f t="shared" si="58"/>
        <v>July</v>
      </c>
      <c r="K953" s="93" t="str">
        <f t="shared" si="59"/>
        <v>2024</v>
      </c>
      <c r="L953" s="6"/>
      <c r="M953" s="6"/>
      <c r="N953" s="6"/>
    </row>
    <row r="954" spans="1:14" x14ac:dyDescent="0.3">
      <c r="A954" s="92">
        <v>45497</v>
      </c>
      <c r="B954" s="92" t="str">
        <f t="shared" si="56"/>
        <v>Wednesday</v>
      </c>
      <c r="C954" s="93" t="s">
        <v>1381</v>
      </c>
      <c r="D954" s="93" t="s">
        <v>52</v>
      </c>
      <c r="E954" s="94">
        <v>27.92</v>
      </c>
      <c r="F954" s="93" t="s">
        <v>12</v>
      </c>
      <c r="G954" s="87">
        <f>Table1[[#This Row],[date]]</f>
        <v>45497</v>
      </c>
      <c r="H954" s="94">
        <f>SUMIF($A$2:A4589,G954,$E$2:E4589)</f>
        <v>297.31999999999994</v>
      </c>
      <c r="I954" s="93" t="str">
        <f t="shared" si="57"/>
        <v>Wednesday</v>
      </c>
      <c r="J954" s="93" t="str">
        <f t="shared" si="58"/>
        <v>July</v>
      </c>
      <c r="K954" s="93" t="str">
        <f t="shared" si="59"/>
        <v>2024</v>
      </c>
      <c r="L954" s="6"/>
      <c r="M954" s="6"/>
      <c r="N954" s="6"/>
    </row>
    <row r="955" spans="1:14" x14ac:dyDescent="0.3">
      <c r="A955" s="87">
        <v>45497</v>
      </c>
      <c r="B955" s="87" t="str">
        <f t="shared" si="56"/>
        <v>Wednesday</v>
      </c>
      <c r="C955" s="88" t="s">
        <v>1381</v>
      </c>
      <c r="D955" s="88" t="s">
        <v>52</v>
      </c>
      <c r="E955" s="89">
        <v>23.02</v>
      </c>
      <c r="F955" s="88" t="s">
        <v>9</v>
      </c>
      <c r="G955" s="87">
        <f>Table1[[#This Row],[date]]</f>
        <v>45497</v>
      </c>
      <c r="H955" s="94">
        <f>SUMIF($A$2:A4590,G955,$E$2:E4590)</f>
        <v>297.31999999999994</v>
      </c>
      <c r="I955" s="93" t="str">
        <f t="shared" si="57"/>
        <v>Wednesday</v>
      </c>
      <c r="J955" s="93" t="str">
        <f t="shared" si="58"/>
        <v>July</v>
      </c>
      <c r="K955" s="93" t="str">
        <f t="shared" si="59"/>
        <v>2024</v>
      </c>
      <c r="L955" s="6"/>
      <c r="M955" s="6"/>
      <c r="N955" s="6"/>
    </row>
    <row r="956" spans="1:14" x14ac:dyDescent="0.3">
      <c r="A956" s="92">
        <v>45497</v>
      </c>
      <c r="B956" s="92" t="str">
        <f t="shared" si="56"/>
        <v>Wednesday</v>
      </c>
      <c r="C956" s="93" t="s">
        <v>1381</v>
      </c>
      <c r="D956" s="93" t="s">
        <v>21</v>
      </c>
      <c r="E956" s="94">
        <v>23.02</v>
      </c>
      <c r="F956" s="93" t="s">
        <v>9</v>
      </c>
      <c r="G956" s="87">
        <f>Table1[[#This Row],[date]]</f>
        <v>45497</v>
      </c>
      <c r="H956" s="94">
        <f>SUMIF($A$2:A4591,G956,$E$2:E4591)</f>
        <v>297.31999999999994</v>
      </c>
      <c r="I956" s="93" t="str">
        <f t="shared" si="57"/>
        <v>Wednesday</v>
      </c>
      <c r="J956" s="93" t="str">
        <f t="shared" si="58"/>
        <v>July</v>
      </c>
      <c r="K956" s="93" t="str">
        <f t="shared" si="59"/>
        <v>2024</v>
      </c>
      <c r="L956" s="6"/>
      <c r="M956" s="6"/>
      <c r="N956" s="6"/>
    </row>
    <row r="957" spans="1:14" x14ac:dyDescent="0.3">
      <c r="A957" s="87">
        <v>45498</v>
      </c>
      <c r="B957" s="87" t="str">
        <f t="shared" si="56"/>
        <v>Thursday</v>
      </c>
      <c r="C957" s="88" t="s">
        <v>1381</v>
      </c>
      <c r="D957" s="88" t="s">
        <v>21</v>
      </c>
      <c r="E957" s="89">
        <v>23.02</v>
      </c>
      <c r="F957" s="88" t="s">
        <v>9</v>
      </c>
      <c r="G957" s="87">
        <f>Table1[[#This Row],[date]]</f>
        <v>45498</v>
      </c>
      <c r="H957" s="94">
        <f>SUMIF($A$2:A4592,G957,$E$2:E4592)</f>
        <v>269.40000000000003</v>
      </c>
      <c r="I957" s="93" t="str">
        <f t="shared" si="57"/>
        <v>Thursday</v>
      </c>
      <c r="J957" s="93" t="str">
        <f t="shared" si="58"/>
        <v>July</v>
      </c>
      <c r="K957" s="93" t="str">
        <f t="shared" si="59"/>
        <v>2024</v>
      </c>
      <c r="L957" s="6"/>
      <c r="M957" s="6"/>
      <c r="N957" s="6"/>
    </row>
    <row r="958" spans="1:14" x14ac:dyDescent="0.3">
      <c r="A958" s="92">
        <v>45498</v>
      </c>
      <c r="B958" s="92" t="str">
        <f t="shared" si="56"/>
        <v>Thursday</v>
      </c>
      <c r="C958" s="93" t="s">
        <v>1381</v>
      </c>
      <c r="D958" s="93" t="s">
        <v>411</v>
      </c>
      <c r="E958" s="94">
        <v>32.82</v>
      </c>
      <c r="F958" s="93" t="s">
        <v>5</v>
      </c>
      <c r="G958" s="87">
        <f>Table1[[#This Row],[date]]</f>
        <v>45498</v>
      </c>
      <c r="H958" s="94">
        <f>SUMIF($A$2:A4593,G958,$E$2:E4593)</f>
        <v>269.40000000000003</v>
      </c>
      <c r="I958" s="93" t="str">
        <f t="shared" si="57"/>
        <v>Thursday</v>
      </c>
      <c r="J958" s="93" t="str">
        <f t="shared" si="58"/>
        <v>July</v>
      </c>
      <c r="K958" s="93" t="str">
        <f t="shared" si="59"/>
        <v>2024</v>
      </c>
      <c r="L958" s="6"/>
      <c r="M958" s="6"/>
      <c r="N958" s="6"/>
    </row>
    <row r="959" spans="1:14" x14ac:dyDescent="0.3">
      <c r="A959" s="87">
        <v>45498</v>
      </c>
      <c r="B959" s="87" t="str">
        <f t="shared" si="56"/>
        <v>Thursday</v>
      </c>
      <c r="C959" s="88" t="s">
        <v>1381</v>
      </c>
      <c r="D959" s="88" t="s">
        <v>397</v>
      </c>
      <c r="E959" s="89">
        <v>27.92</v>
      </c>
      <c r="F959" s="88" t="s">
        <v>12</v>
      </c>
      <c r="G959" s="87">
        <f>Table1[[#This Row],[date]]</f>
        <v>45498</v>
      </c>
      <c r="H959" s="94">
        <f>SUMIF($A$2:A4594,G959,$E$2:E4594)</f>
        <v>269.40000000000003</v>
      </c>
      <c r="I959" s="93" t="str">
        <f t="shared" si="57"/>
        <v>Thursday</v>
      </c>
      <c r="J959" s="93" t="str">
        <f t="shared" si="58"/>
        <v>July</v>
      </c>
      <c r="K959" s="93" t="str">
        <f t="shared" si="59"/>
        <v>2024</v>
      </c>
      <c r="L959" s="6"/>
      <c r="M959" s="6"/>
      <c r="N959" s="6"/>
    </row>
    <row r="960" spans="1:14" x14ac:dyDescent="0.3">
      <c r="A960" s="92">
        <v>45498</v>
      </c>
      <c r="B960" s="92" t="str">
        <f t="shared" si="56"/>
        <v>Thursday</v>
      </c>
      <c r="C960" s="93" t="s">
        <v>1381</v>
      </c>
      <c r="D960" s="93" t="s">
        <v>387</v>
      </c>
      <c r="E960" s="94">
        <v>23.02</v>
      </c>
      <c r="F960" s="93" t="s">
        <v>9</v>
      </c>
      <c r="G960" s="87">
        <f>Table1[[#This Row],[date]]</f>
        <v>45498</v>
      </c>
      <c r="H960" s="94">
        <f>SUMIF($A$2:A4595,G960,$E$2:E4595)</f>
        <v>269.40000000000003</v>
      </c>
      <c r="I960" s="93" t="str">
        <f t="shared" si="57"/>
        <v>Thursday</v>
      </c>
      <c r="J960" s="93" t="str">
        <f t="shared" si="58"/>
        <v>July</v>
      </c>
      <c r="K960" s="93" t="str">
        <f t="shared" si="59"/>
        <v>2024</v>
      </c>
      <c r="L960" s="6"/>
      <c r="M960" s="6"/>
      <c r="N960" s="6"/>
    </row>
    <row r="961" spans="1:14" x14ac:dyDescent="0.3">
      <c r="A961" s="87">
        <v>45498</v>
      </c>
      <c r="B961" s="87" t="str">
        <f t="shared" si="56"/>
        <v>Thursday</v>
      </c>
      <c r="C961" s="88" t="s">
        <v>1381</v>
      </c>
      <c r="D961" s="88" t="s">
        <v>415</v>
      </c>
      <c r="E961" s="89">
        <v>32.82</v>
      </c>
      <c r="F961" s="88" t="s">
        <v>41</v>
      </c>
      <c r="G961" s="87">
        <f>Table1[[#This Row],[date]]</f>
        <v>45498</v>
      </c>
      <c r="H961" s="94">
        <f>SUMIF($A$2:A4596,G961,$E$2:E4596)</f>
        <v>269.40000000000003</v>
      </c>
      <c r="I961" s="93" t="str">
        <f t="shared" si="57"/>
        <v>Thursday</v>
      </c>
      <c r="J961" s="93" t="str">
        <f t="shared" si="58"/>
        <v>July</v>
      </c>
      <c r="K961" s="93" t="str">
        <f t="shared" si="59"/>
        <v>2024</v>
      </c>
      <c r="L961" s="6"/>
      <c r="M961" s="6"/>
      <c r="N961" s="6"/>
    </row>
    <row r="962" spans="1:14" x14ac:dyDescent="0.3">
      <c r="A962" s="92">
        <v>45498</v>
      </c>
      <c r="B962" s="92" t="str">
        <f t="shared" ref="B962:B1025" si="60">TEXT(A962,"dddd")</f>
        <v>Thursday</v>
      </c>
      <c r="C962" s="93" t="s">
        <v>1381</v>
      </c>
      <c r="D962" s="93" t="s">
        <v>269</v>
      </c>
      <c r="E962" s="94">
        <v>32.82</v>
      </c>
      <c r="F962" s="93" t="s">
        <v>41</v>
      </c>
      <c r="G962" s="87">
        <f>Table1[[#This Row],[date]]</f>
        <v>45498</v>
      </c>
      <c r="H962" s="94">
        <f>SUMIF($A$2:A4597,G962,$E$2:E4597)</f>
        <v>269.40000000000003</v>
      </c>
      <c r="I962" s="93" t="str">
        <f t="shared" si="57"/>
        <v>Thursday</v>
      </c>
      <c r="J962" s="93" t="str">
        <f t="shared" si="58"/>
        <v>July</v>
      </c>
      <c r="K962" s="93" t="str">
        <f t="shared" si="59"/>
        <v>2024</v>
      </c>
      <c r="L962" s="6"/>
      <c r="M962" s="6"/>
      <c r="N962" s="6"/>
    </row>
    <row r="963" spans="1:14" x14ac:dyDescent="0.3">
      <c r="A963" s="87">
        <v>45498</v>
      </c>
      <c r="B963" s="87" t="str">
        <f t="shared" si="60"/>
        <v>Thursday</v>
      </c>
      <c r="C963" s="88" t="s">
        <v>1381</v>
      </c>
      <c r="D963" s="88" t="s">
        <v>416</v>
      </c>
      <c r="E963" s="89">
        <v>23.02</v>
      </c>
      <c r="F963" s="88" t="s">
        <v>26</v>
      </c>
      <c r="G963" s="87">
        <f>Table1[[#This Row],[date]]</f>
        <v>45498</v>
      </c>
      <c r="H963" s="94">
        <f>SUMIF($A$2:A4598,G963,$E$2:E4598)</f>
        <v>269.40000000000003</v>
      </c>
      <c r="I963" s="93" t="str">
        <f t="shared" si="57"/>
        <v>Thursday</v>
      </c>
      <c r="J963" s="93" t="str">
        <f t="shared" si="58"/>
        <v>July</v>
      </c>
      <c r="K963" s="93" t="str">
        <f t="shared" si="59"/>
        <v>2024</v>
      </c>
      <c r="L963" s="6"/>
      <c r="M963" s="6"/>
      <c r="N963" s="6"/>
    </row>
    <row r="964" spans="1:14" x14ac:dyDescent="0.3">
      <c r="A964" s="92">
        <v>45498</v>
      </c>
      <c r="B964" s="92" t="str">
        <f t="shared" si="60"/>
        <v>Thursday</v>
      </c>
      <c r="C964" s="93" t="s">
        <v>1381</v>
      </c>
      <c r="D964" s="93" t="s">
        <v>416</v>
      </c>
      <c r="E964" s="94">
        <v>18.12</v>
      </c>
      <c r="F964" s="93" t="s">
        <v>33</v>
      </c>
      <c r="G964" s="87">
        <f>Table1[[#This Row],[date]]</f>
        <v>45498</v>
      </c>
      <c r="H964" s="94">
        <f>SUMIF($A$2:A4599,G964,$E$2:E4599)</f>
        <v>269.40000000000003</v>
      </c>
      <c r="I964" s="93" t="str">
        <f t="shared" si="57"/>
        <v>Thursday</v>
      </c>
      <c r="J964" s="93" t="str">
        <f t="shared" si="58"/>
        <v>July</v>
      </c>
      <c r="K964" s="93" t="str">
        <f t="shared" si="59"/>
        <v>2024</v>
      </c>
      <c r="L964" s="6"/>
      <c r="M964" s="6"/>
      <c r="N964" s="6"/>
    </row>
    <row r="965" spans="1:14" x14ac:dyDescent="0.3">
      <c r="A965" s="87">
        <v>45498</v>
      </c>
      <c r="B965" s="87" t="str">
        <f t="shared" si="60"/>
        <v>Thursday</v>
      </c>
      <c r="C965" s="88" t="s">
        <v>1381</v>
      </c>
      <c r="D965" s="88" t="s">
        <v>340</v>
      </c>
      <c r="E965" s="89">
        <v>23.02</v>
      </c>
      <c r="F965" s="88" t="s">
        <v>26</v>
      </c>
      <c r="G965" s="87">
        <f>Table1[[#This Row],[date]]</f>
        <v>45498</v>
      </c>
      <c r="H965" s="94">
        <f>SUMIF($A$2:A4600,G965,$E$2:E4600)</f>
        <v>269.40000000000003</v>
      </c>
      <c r="I965" s="93" t="str">
        <f t="shared" si="57"/>
        <v>Thursday</v>
      </c>
      <c r="J965" s="93" t="str">
        <f t="shared" si="58"/>
        <v>July</v>
      </c>
      <c r="K965" s="93" t="str">
        <f t="shared" si="59"/>
        <v>2024</v>
      </c>
      <c r="L965" s="6"/>
      <c r="M965" s="6"/>
      <c r="N965" s="6"/>
    </row>
    <row r="966" spans="1:14" x14ac:dyDescent="0.3">
      <c r="A966" s="92">
        <v>45498</v>
      </c>
      <c r="B966" s="92" t="str">
        <f t="shared" si="60"/>
        <v>Thursday</v>
      </c>
      <c r="C966" s="93" t="s">
        <v>1381</v>
      </c>
      <c r="D966" s="93" t="s">
        <v>417</v>
      </c>
      <c r="E966" s="94">
        <v>32.82</v>
      </c>
      <c r="F966" s="93" t="s">
        <v>16</v>
      </c>
      <c r="G966" s="87">
        <f>Table1[[#This Row],[date]]</f>
        <v>45498</v>
      </c>
      <c r="H966" s="94">
        <f>SUMIF($A$2:A4601,G966,$E$2:E4601)</f>
        <v>269.40000000000003</v>
      </c>
      <c r="I966" s="93" t="str">
        <f t="shared" ref="I966:I1029" si="61">TEXT(G966,"dddd")</f>
        <v>Thursday</v>
      </c>
      <c r="J966" s="93" t="str">
        <f t="shared" si="58"/>
        <v>July</v>
      </c>
      <c r="K966" s="93" t="str">
        <f t="shared" si="59"/>
        <v>2024</v>
      </c>
      <c r="L966" s="6"/>
      <c r="M966" s="6"/>
      <c r="N966" s="6"/>
    </row>
    <row r="967" spans="1:14" x14ac:dyDescent="0.3">
      <c r="A967" s="87">
        <v>45499</v>
      </c>
      <c r="B967" s="87" t="str">
        <f t="shared" si="60"/>
        <v>Friday</v>
      </c>
      <c r="C967" s="88" t="s">
        <v>1381</v>
      </c>
      <c r="D967" s="88" t="s">
        <v>418</v>
      </c>
      <c r="E967" s="89">
        <v>32.82</v>
      </c>
      <c r="F967" s="88" t="s">
        <v>5</v>
      </c>
      <c r="G967" s="87">
        <f>Table1[[#This Row],[date]]</f>
        <v>45499</v>
      </c>
      <c r="H967" s="94">
        <f>SUMIF($A$2:A4602,G967,$E$2:E4602)</f>
        <v>372.76</v>
      </c>
      <c r="I967" s="93" t="str">
        <f t="shared" si="61"/>
        <v>Friday</v>
      </c>
      <c r="J967" s="93" t="str">
        <f t="shared" ref="J967:J1030" si="62">TEXT(G967,"mmmm")</f>
        <v>July</v>
      </c>
      <c r="K967" s="93" t="str">
        <f t="shared" ref="K967:K1030" si="63">TEXT(G967,"yyyy")</f>
        <v>2024</v>
      </c>
      <c r="L967" s="6"/>
      <c r="M967" s="6"/>
      <c r="N967" s="6"/>
    </row>
    <row r="968" spans="1:14" x14ac:dyDescent="0.3">
      <c r="A968" s="92">
        <v>45499</v>
      </c>
      <c r="B968" s="92" t="str">
        <f t="shared" si="60"/>
        <v>Friday</v>
      </c>
      <c r="C968" s="93" t="s">
        <v>1381</v>
      </c>
      <c r="D968" s="93" t="s">
        <v>109</v>
      </c>
      <c r="E968" s="94">
        <v>27.92</v>
      </c>
      <c r="F968" s="93" t="s">
        <v>12</v>
      </c>
      <c r="G968" s="87">
        <f>Table1[[#This Row],[date]]</f>
        <v>45499</v>
      </c>
      <c r="H968" s="94">
        <f>SUMIF($A$2:A4603,G968,$E$2:E4603)</f>
        <v>372.76</v>
      </c>
      <c r="I968" s="93" t="str">
        <f t="shared" si="61"/>
        <v>Friday</v>
      </c>
      <c r="J968" s="93" t="str">
        <f t="shared" si="62"/>
        <v>July</v>
      </c>
      <c r="K968" s="93" t="str">
        <f t="shared" si="63"/>
        <v>2024</v>
      </c>
      <c r="L968" s="6"/>
      <c r="M968" s="6"/>
      <c r="N968" s="6"/>
    </row>
    <row r="969" spans="1:14" x14ac:dyDescent="0.3">
      <c r="A969" s="87">
        <v>45499</v>
      </c>
      <c r="B969" s="87" t="str">
        <f t="shared" si="60"/>
        <v>Friday</v>
      </c>
      <c r="C969" s="88" t="s">
        <v>1381</v>
      </c>
      <c r="D969" s="88" t="s">
        <v>71</v>
      </c>
      <c r="E969" s="89">
        <v>18.12</v>
      </c>
      <c r="F969" s="88" t="s">
        <v>33</v>
      </c>
      <c r="G969" s="87">
        <f>Table1[[#This Row],[date]]</f>
        <v>45499</v>
      </c>
      <c r="H969" s="94">
        <f>SUMIF($A$2:A4604,G969,$E$2:E4604)</f>
        <v>372.76</v>
      </c>
      <c r="I969" s="93" t="str">
        <f t="shared" si="61"/>
        <v>Friday</v>
      </c>
      <c r="J969" s="93" t="str">
        <f t="shared" si="62"/>
        <v>July</v>
      </c>
      <c r="K969" s="93" t="str">
        <f t="shared" si="63"/>
        <v>2024</v>
      </c>
      <c r="L969" s="6"/>
      <c r="M969" s="6"/>
      <c r="N969" s="6"/>
    </row>
    <row r="970" spans="1:14" x14ac:dyDescent="0.3">
      <c r="A970" s="92">
        <v>45499</v>
      </c>
      <c r="B970" s="92" t="str">
        <f t="shared" si="60"/>
        <v>Friday</v>
      </c>
      <c r="C970" s="93" t="s">
        <v>1381</v>
      </c>
      <c r="D970" s="93" t="s">
        <v>419</v>
      </c>
      <c r="E970" s="94">
        <v>23.02</v>
      </c>
      <c r="F970" s="93" t="s">
        <v>26</v>
      </c>
      <c r="G970" s="87">
        <f>Table1[[#This Row],[date]]</f>
        <v>45499</v>
      </c>
      <c r="H970" s="94">
        <f>SUMIF($A$2:A4605,G970,$E$2:E4605)</f>
        <v>372.76</v>
      </c>
      <c r="I970" s="93" t="str">
        <f t="shared" si="61"/>
        <v>Friday</v>
      </c>
      <c r="J970" s="93" t="str">
        <f t="shared" si="62"/>
        <v>July</v>
      </c>
      <c r="K970" s="93" t="str">
        <f t="shared" si="63"/>
        <v>2024</v>
      </c>
      <c r="L970" s="6"/>
      <c r="M970" s="6"/>
      <c r="N970" s="6"/>
    </row>
    <row r="971" spans="1:14" x14ac:dyDescent="0.3">
      <c r="A971" s="92">
        <v>45499</v>
      </c>
      <c r="B971" s="92" t="str">
        <f t="shared" si="60"/>
        <v>Friday</v>
      </c>
      <c r="C971" s="93" t="s">
        <v>1381</v>
      </c>
      <c r="D971" s="93" t="s">
        <v>420</v>
      </c>
      <c r="E971" s="94">
        <v>32.82</v>
      </c>
      <c r="F971" s="93" t="s">
        <v>5</v>
      </c>
      <c r="G971" s="87">
        <f>Table1[[#This Row],[date]]</f>
        <v>45499</v>
      </c>
      <c r="H971" s="94">
        <f>SUMIF($A$2:A4606,G971,$E$2:E4606)</f>
        <v>372.76</v>
      </c>
      <c r="I971" s="93" t="str">
        <f t="shared" si="61"/>
        <v>Friday</v>
      </c>
      <c r="J971" s="93" t="str">
        <f t="shared" si="62"/>
        <v>July</v>
      </c>
      <c r="K971" s="93" t="str">
        <f t="shared" si="63"/>
        <v>2024</v>
      </c>
      <c r="L971" s="6"/>
      <c r="M971" s="6"/>
      <c r="N971" s="6"/>
    </row>
    <row r="972" spans="1:14" x14ac:dyDescent="0.3">
      <c r="A972" s="92">
        <v>45499</v>
      </c>
      <c r="B972" s="92" t="str">
        <f t="shared" si="60"/>
        <v>Friday</v>
      </c>
      <c r="C972" s="93" t="s">
        <v>1381</v>
      </c>
      <c r="D972" s="93" t="s">
        <v>397</v>
      </c>
      <c r="E972" s="94">
        <v>27.92</v>
      </c>
      <c r="F972" s="93" t="s">
        <v>12</v>
      </c>
      <c r="G972" s="87">
        <f>Table1[[#This Row],[date]]</f>
        <v>45499</v>
      </c>
      <c r="H972" s="94">
        <f>SUMIF($A$2:A4607,G972,$E$2:E4607)</f>
        <v>372.76</v>
      </c>
      <c r="I972" s="93" t="str">
        <f t="shared" si="61"/>
        <v>Friday</v>
      </c>
      <c r="J972" s="93" t="str">
        <f t="shared" si="62"/>
        <v>July</v>
      </c>
      <c r="K972" s="93" t="str">
        <f t="shared" si="63"/>
        <v>2024</v>
      </c>
      <c r="L972" s="6"/>
      <c r="M972" s="6"/>
      <c r="N972" s="6"/>
    </row>
    <row r="973" spans="1:14" x14ac:dyDescent="0.3">
      <c r="A973" s="87">
        <v>45499</v>
      </c>
      <c r="B973" s="87" t="str">
        <f t="shared" si="60"/>
        <v>Friday</v>
      </c>
      <c r="C973" s="88" t="s">
        <v>1381</v>
      </c>
      <c r="D973" s="88" t="s">
        <v>391</v>
      </c>
      <c r="E973" s="89">
        <v>27.92</v>
      </c>
      <c r="F973" s="88" t="s">
        <v>12</v>
      </c>
      <c r="G973" s="87">
        <f>Table1[[#This Row],[date]]</f>
        <v>45499</v>
      </c>
      <c r="H973" s="94">
        <f>SUMIF($A$2:A4608,G973,$E$2:E4608)</f>
        <v>372.76</v>
      </c>
      <c r="I973" s="93" t="str">
        <f t="shared" si="61"/>
        <v>Friday</v>
      </c>
      <c r="J973" s="93" t="str">
        <f t="shared" si="62"/>
        <v>July</v>
      </c>
      <c r="K973" s="93" t="str">
        <f t="shared" si="63"/>
        <v>2024</v>
      </c>
      <c r="L973" s="6"/>
      <c r="M973" s="6"/>
      <c r="N973" s="6"/>
    </row>
    <row r="974" spans="1:14" x14ac:dyDescent="0.3">
      <c r="A974" s="92">
        <v>45499</v>
      </c>
      <c r="B974" s="92" t="str">
        <f t="shared" si="60"/>
        <v>Friday</v>
      </c>
      <c r="C974" s="93" t="s">
        <v>1381</v>
      </c>
      <c r="D974" s="93" t="s">
        <v>351</v>
      </c>
      <c r="E974" s="94">
        <v>32.82</v>
      </c>
      <c r="F974" s="93" t="s">
        <v>41</v>
      </c>
      <c r="G974" s="87">
        <f>Table1[[#This Row],[date]]</f>
        <v>45499</v>
      </c>
      <c r="H974" s="94">
        <f>SUMIF($A$2:A4609,G974,$E$2:E4609)</f>
        <v>372.76</v>
      </c>
      <c r="I974" s="93" t="str">
        <f t="shared" si="61"/>
        <v>Friday</v>
      </c>
      <c r="J974" s="93" t="str">
        <f t="shared" si="62"/>
        <v>July</v>
      </c>
      <c r="K974" s="93" t="str">
        <f t="shared" si="63"/>
        <v>2024</v>
      </c>
      <c r="L974" s="6"/>
      <c r="M974" s="6"/>
      <c r="N974" s="6"/>
    </row>
    <row r="975" spans="1:14" x14ac:dyDescent="0.3">
      <c r="A975" s="92">
        <v>45499</v>
      </c>
      <c r="B975" s="92" t="str">
        <f t="shared" si="60"/>
        <v>Friday</v>
      </c>
      <c r="C975" s="93" t="s">
        <v>1381</v>
      </c>
      <c r="D975" s="93" t="s">
        <v>421</v>
      </c>
      <c r="E975" s="94">
        <v>32.82</v>
      </c>
      <c r="F975" s="93" t="s">
        <v>5</v>
      </c>
      <c r="G975" s="87">
        <f>Table1[[#This Row],[date]]</f>
        <v>45499</v>
      </c>
      <c r="H975" s="94">
        <f>SUMIF($A$2:A4610,G975,$E$2:E4610)</f>
        <v>372.76</v>
      </c>
      <c r="I975" s="93" t="str">
        <f t="shared" si="61"/>
        <v>Friday</v>
      </c>
      <c r="J975" s="93" t="str">
        <f t="shared" si="62"/>
        <v>July</v>
      </c>
      <c r="K975" s="93" t="str">
        <f t="shared" si="63"/>
        <v>2024</v>
      </c>
      <c r="L975" s="6"/>
      <c r="M975" s="6"/>
      <c r="N975" s="6"/>
    </row>
    <row r="976" spans="1:14" x14ac:dyDescent="0.3">
      <c r="A976" s="87">
        <v>45499</v>
      </c>
      <c r="B976" s="87" t="str">
        <f t="shared" si="60"/>
        <v>Friday</v>
      </c>
      <c r="C976" s="88" t="s">
        <v>1381</v>
      </c>
      <c r="D976" s="88" t="s">
        <v>422</v>
      </c>
      <c r="E976" s="89">
        <v>23.02</v>
      </c>
      <c r="F976" s="88" t="s">
        <v>9</v>
      </c>
      <c r="G976" s="87">
        <f>Table1[[#This Row],[date]]</f>
        <v>45499</v>
      </c>
      <c r="H976" s="94">
        <f>SUMIF($A$2:A4611,G976,$E$2:E4611)</f>
        <v>372.76</v>
      </c>
      <c r="I976" s="93" t="str">
        <f t="shared" si="61"/>
        <v>Friday</v>
      </c>
      <c r="J976" s="93" t="str">
        <f t="shared" si="62"/>
        <v>July</v>
      </c>
      <c r="K976" s="93" t="str">
        <f t="shared" si="63"/>
        <v>2024</v>
      </c>
      <c r="L976" s="6"/>
      <c r="M976" s="6"/>
      <c r="N976" s="6"/>
    </row>
    <row r="977" spans="1:14" x14ac:dyDescent="0.3">
      <c r="A977" s="92">
        <v>45499</v>
      </c>
      <c r="B977" s="92" t="str">
        <f t="shared" si="60"/>
        <v>Friday</v>
      </c>
      <c r="C977" s="93" t="s">
        <v>1381</v>
      </c>
      <c r="D977" s="93" t="s">
        <v>423</v>
      </c>
      <c r="E977" s="94">
        <v>32.82</v>
      </c>
      <c r="F977" s="93" t="s">
        <v>41</v>
      </c>
      <c r="G977" s="87">
        <f>Table1[[#This Row],[date]]</f>
        <v>45499</v>
      </c>
      <c r="H977" s="94">
        <f>SUMIF($A$2:A4612,G977,$E$2:E4612)</f>
        <v>372.76</v>
      </c>
      <c r="I977" s="93" t="str">
        <f t="shared" si="61"/>
        <v>Friday</v>
      </c>
      <c r="J977" s="93" t="str">
        <f t="shared" si="62"/>
        <v>July</v>
      </c>
      <c r="K977" s="93" t="str">
        <f t="shared" si="63"/>
        <v>2024</v>
      </c>
      <c r="L977" s="6"/>
      <c r="M977" s="6"/>
      <c r="N977" s="6"/>
    </row>
    <row r="978" spans="1:14" x14ac:dyDescent="0.3">
      <c r="A978" s="87">
        <v>45499</v>
      </c>
      <c r="B978" s="87" t="str">
        <f t="shared" si="60"/>
        <v>Friday</v>
      </c>
      <c r="C978" s="88" t="s">
        <v>1381</v>
      </c>
      <c r="D978" s="88" t="s">
        <v>17</v>
      </c>
      <c r="E978" s="89">
        <v>32.82</v>
      </c>
      <c r="F978" s="88" t="s">
        <v>5</v>
      </c>
      <c r="G978" s="87">
        <f>Table1[[#This Row],[date]]</f>
        <v>45499</v>
      </c>
      <c r="H978" s="94">
        <f>SUMIF($A$2:A4613,G978,$E$2:E4613)</f>
        <v>372.76</v>
      </c>
      <c r="I978" s="93" t="str">
        <f t="shared" si="61"/>
        <v>Friday</v>
      </c>
      <c r="J978" s="93" t="str">
        <f t="shared" si="62"/>
        <v>July</v>
      </c>
      <c r="K978" s="93" t="str">
        <f t="shared" si="63"/>
        <v>2024</v>
      </c>
      <c r="L978" s="6"/>
      <c r="M978" s="6"/>
      <c r="N978" s="6"/>
    </row>
    <row r="979" spans="1:14" x14ac:dyDescent="0.3">
      <c r="A979" s="92">
        <v>45499</v>
      </c>
      <c r="B979" s="92" t="str">
        <f t="shared" si="60"/>
        <v>Friday</v>
      </c>
      <c r="C979" s="93" t="s">
        <v>1381</v>
      </c>
      <c r="D979" s="93" t="s">
        <v>424</v>
      </c>
      <c r="E979" s="94">
        <v>27.92</v>
      </c>
      <c r="F979" s="93" t="s">
        <v>12</v>
      </c>
      <c r="G979" s="87">
        <f>Table1[[#This Row],[date]]</f>
        <v>45499</v>
      </c>
      <c r="H979" s="94">
        <f>SUMIF($A$2:A4614,G979,$E$2:E4614)</f>
        <v>372.76</v>
      </c>
      <c r="I979" s="93" t="str">
        <f t="shared" si="61"/>
        <v>Friday</v>
      </c>
      <c r="J979" s="93" t="str">
        <f t="shared" si="62"/>
        <v>July</v>
      </c>
      <c r="K979" s="93" t="str">
        <f t="shared" si="63"/>
        <v>2024</v>
      </c>
      <c r="L979" s="6"/>
      <c r="M979" s="6"/>
      <c r="N979" s="6"/>
    </row>
    <row r="980" spans="1:14" x14ac:dyDescent="0.3">
      <c r="A980" s="87">
        <v>45500</v>
      </c>
      <c r="B980" s="87" t="str">
        <f t="shared" si="60"/>
        <v>Saturday</v>
      </c>
      <c r="C980" s="88" t="s">
        <v>1381</v>
      </c>
      <c r="D980" s="88" t="s">
        <v>109</v>
      </c>
      <c r="E980" s="89">
        <v>32.82</v>
      </c>
      <c r="F980" s="88" t="s">
        <v>41</v>
      </c>
      <c r="G980" s="87">
        <f>Table1[[#This Row],[date]]</f>
        <v>45500</v>
      </c>
      <c r="H980" s="94">
        <f>SUMIF($A$2:A4615,G980,$E$2:E4615)</f>
        <v>316.91999999999996</v>
      </c>
      <c r="I980" s="93" t="str">
        <f t="shared" si="61"/>
        <v>Saturday</v>
      </c>
      <c r="J980" s="93" t="str">
        <f t="shared" si="62"/>
        <v>July</v>
      </c>
      <c r="K980" s="93" t="str">
        <f t="shared" si="63"/>
        <v>2024</v>
      </c>
      <c r="L980" s="6"/>
      <c r="M980" s="6"/>
      <c r="N980" s="6"/>
    </row>
    <row r="981" spans="1:14" x14ac:dyDescent="0.3">
      <c r="A981" s="92">
        <v>45500</v>
      </c>
      <c r="B981" s="92" t="str">
        <f t="shared" si="60"/>
        <v>Saturday</v>
      </c>
      <c r="C981" s="93" t="s">
        <v>1381</v>
      </c>
      <c r="D981" s="93" t="s">
        <v>425</v>
      </c>
      <c r="E981" s="94">
        <v>27.92</v>
      </c>
      <c r="F981" s="93" t="s">
        <v>12</v>
      </c>
      <c r="G981" s="87">
        <f>Table1[[#This Row],[date]]</f>
        <v>45500</v>
      </c>
      <c r="H981" s="94">
        <f>SUMIF($A$2:A4616,G981,$E$2:E4616)</f>
        <v>316.91999999999996</v>
      </c>
      <c r="I981" s="93" t="str">
        <f t="shared" si="61"/>
        <v>Saturday</v>
      </c>
      <c r="J981" s="93" t="str">
        <f t="shared" si="62"/>
        <v>July</v>
      </c>
      <c r="K981" s="93" t="str">
        <f t="shared" si="63"/>
        <v>2024</v>
      </c>
      <c r="L981" s="6"/>
      <c r="M981" s="6"/>
      <c r="N981" s="6"/>
    </row>
    <row r="982" spans="1:14" x14ac:dyDescent="0.3">
      <c r="A982" s="87">
        <v>45500</v>
      </c>
      <c r="B982" s="87" t="str">
        <f t="shared" si="60"/>
        <v>Saturday</v>
      </c>
      <c r="C982" s="88" t="s">
        <v>1381</v>
      </c>
      <c r="D982" s="88" t="s">
        <v>71</v>
      </c>
      <c r="E982" s="89">
        <v>27.92</v>
      </c>
      <c r="F982" s="88" t="s">
        <v>12</v>
      </c>
      <c r="G982" s="87">
        <f>Table1[[#This Row],[date]]</f>
        <v>45500</v>
      </c>
      <c r="H982" s="94">
        <f>SUMIF($A$2:A4617,G982,$E$2:E4617)</f>
        <v>316.91999999999996</v>
      </c>
      <c r="I982" s="93" t="str">
        <f t="shared" si="61"/>
        <v>Saturday</v>
      </c>
      <c r="J982" s="93" t="str">
        <f t="shared" si="62"/>
        <v>July</v>
      </c>
      <c r="K982" s="93" t="str">
        <f t="shared" si="63"/>
        <v>2024</v>
      </c>
      <c r="L982" s="6"/>
      <c r="M982" s="6"/>
      <c r="N982" s="6"/>
    </row>
    <row r="983" spans="1:14" x14ac:dyDescent="0.3">
      <c r="A983" s="92">
        <v>45500</v>
      </c>
      <c r="B983" s="92" t="str">
        <f t="shared" si="60"/>
        <v>Saturday</v>
      </c>
      <c r="C983" s="93" t="s">
        <v>1381</v>
      </c>
      <c r="D983" s="93" t="s">
        <v>52</v>
      </c>
      <c r="E983" s="94">
        <v>18.12</v>
      </c>
      <c r="F983" s="93" t="s">
        <v>33</v>
      </c>
      <c r="G983" s="87">
        <f>Table1[[#This Row],[date]]</f>
        <v>45500</v>
      </c>
      <c r="H983" s="94">
        <f>SUMIF($A$2:A4618,G983,$E$2:E4618)</f>
        <v>316.91999999999996</v>
      </c>
      <c r="I983" s="93" t="str">
        <f t="shared" si="61"/>
        <v>Saturday</v>
      </c>
      <c r="J983" s="93" t="str">
        <f t="shared" si="62"/>
        <v>July</v>
      </c>
      <c r="K983" s="93" t="str">
        <f t="shared" si="63"/>
        <v>2024</v>
      </c>
      <c r="L983" s="6"/>
      <c r="M983" s="6"/>
      <c r="N983" s="6"/>
    </row>
    <row r="984" spans="1:14" x14ac:dyDescent="0.3">
      <c r="A984" s="92">
        <v>45500</v>
      </c>
      <c r="B984" s="92" t="str">
        <f t="shared" si="60"/>
        <v>Saturday</v>
      </c>
      <c r="C984" s="93" t="s">
        <v>1381</v>
      </c>
      <c r="D984" s="93" t="s">
        <v>237</v>
      </c>
      <c r="E984" s="94">
        <v>18.12</v>
      </c>
      <c r="F984" s="93" t="s">
        <v>33</v>
      </c>
      <c r="G984" s="87">
        <f>Table1[[#This Row],[date]]</f>
        <v>45500</v>
      </c>
      <c r="H984" s="94">
        <f>SUMIF($A$2:A4619,G984,$E$2:E4619)</f>
        <v>316.91999999999996</v>
      </c>
      <c r="I984" s="93" t="str">
        <f t="shared" si="61"/>
        <v>Saturday</v>
      </c>
      <c r="J984" s="93" t="str">
        <f t="shared" si="62"/>
        <v>July</v>
      </c>
      <c r="K984" s="93" t="str">
        <f t="shared" si="63"/>
        <v>2024</v>
      </c>
      <c r="L984" s="6"/>
      <c r="M984" s="6"/>
      <c r="N984" s="6"/>
    </row>
    <row r="985" spans="1:14" x14ac:dyDescent="0.3">
      <c r="A985" s="87">
        <v>45500</v>
      </c>
      <c r="B985" s="87" t="str">
        <f t="shared" si="60"/>
        <v>Saturday</v>
      </c>
      <c r="C985" s="88" t="s">
        <v>1381</v>
      </c>
      <c r="D985" s="88" t="s">
        <v>89</v>
      </c>
      <c r="E985" s="89">
        <v>32.82</v>
      </c>
      <c r="F985" s="88" t="s">
        <v>5</v>
      </c>
      <c r="G985" s="87">
        <f>Table1[[#This Row],[date]]</f>
        <v>45500</v>
      </c>
      <c r="H985" s="94">
        <f>SUMIF($A$2:A4620,G985,$E$2:E4620)</f>
        <v>316.91999999999996</v>
      </c>
      <c r="I985" s="93" t="str">
        <f t="shared" si="61"/>
        <v>Saturday</v>
      </c>
      <c r="J985" s="93" t="str">
        <f t="shared" si="62"/>
        <v>July</v>
      </c>
      <c r="K985" s="93" t="str">
        <f t="shared" si="63"/>
        <v>2024</v>
      </c>
      <c r="L985" s="6"/>
      <c r="M985" s="6"/>
      <c r="N985" s="6"/>
    </row>
    <row r="986" spans="1:14" x14ac:dyDescent="0.3">
      <c r="A986" s="92">
        <v>45500</v>
      </c>
      <c r="B986" s="92" t="str">
        <f t="shared" si="60"/>
        <v>Saturday</v>
      </c>
      <c r="C986" s="93" t="s">
        <v>1381</v>
      </c>
      <c r="D986" s="93" t="s">
        <v>426</v>
      </c>
      <c r="E986" s="94">
        <v>32.82</v>
      </c>
      <c r="F986" s="93" t="s">
        <v>41</v>
      </c>
      <c r="G986" s="87">
        <f>Table1[[#This Row],[date]]</f>
        <v>45500</v>
      </c>
      <c r="H986" s="94">
        <f>SUMIF($A$2:A4621,G986,$E$2:E4621)</f>
        <v>316.91999999999996</v>
      </c>
      <c r="I986" s="93" t="str">
        <f t="shared" si="61"/>
        <v>Saturday</v>
      </c>
      <c r="J986" s="93" t="str">
        <f t="shared" si="62"/>
        <v>July</v>
      </c>
      <c r="K986" s="93" t="str">
        <f t="shared" si="63"/>
        <v>2024</v>
      </c>
      <c r="L986" s="6"/>
      <c r="M986" s="6"/>
      <c r="N986" s="6"/>
    </row>
    <row r="987" spans="1:14" x14ac:dyDescent="0.3">
      <c r="A987" s="87">
        <v>45500</v>
      </c>
      <c r="B987" s="87" t="str">
        <f t="shared" si="60"/>
        <v>Saturday</v>
      </c>
      <c r="C987" s="88" t="s">
        <v>1381</v>
      </c>
      <c r="D987" s="88" t="s">
        <v>427</v>
      </c>
      <c r="E987" s="89">
        <v>32.82</v>
      </c>
      <c r="F987" s="88" t="s">
        <v>41</v>
      </c>
      <c r="G987" s="87">
        <f>Table1[[#This Row],[date]]</f>
        <v>45500</v>
      </c>
      <c r="H987" s="94">
        <f>SUMIF($A$2:A4622,G987,$E$2:E4622)</f>
        <v>316.91999999999996</v>
      </c>
      <c r="I987" s="93" t="str">
        <f t="shared" si="61"/>
        <v>Saturday</v>
      </c>
      <c r="J987" s="93" t="str">
        <f t="shared" si="62"/>
        <v>July</v>
      </c>
      <c r="K987" s="93" t="str">
        <f t="shared" si="63"/>
        <v>2024</v>
      </c>
      <c r="L987" s="6"/>
      <c r="M987" s="6"/>
      <c r="N987" s="6"/>
    </row>
    <row r="988" spans="1:14" x14ac:dyDescent="0.3">
      <c r="A988" s="92">
        <v>45500</v>
      </c>
      <c r="B988" s="92" t="str">
        <f t="shared" si="60"/>
        <v>Saturday</v>
      </c>
      <c r="C988" s="93" t="s">
        <v>1381</v>
      </c>
      <c r="D988" s="93" t="s">
        <v>428</v>
      </c>
      <c r="E988" s="94">
        <v>27.92</v>
      </c>
      <c r="F988" s="93" t="s">
        <v>12</v>
      </c>
      <c r="G988" s="87">
        <f>Table1[[#This Row],[date]]</f>
        <v>45500</v>
      </c>
      <c r="H988" s="94">
        <f>SUMIF($A$2:A4623,G988,$E$2:E4623)</f>
        <v>316.91999999999996</v>
      </c>
      <c r="I988" s="93" t="str">
        <f t="shared" si="61"/>
        <v>Saturday</v>
      </c>
      <c r="J988" s="93" t="str">
        <f t="shared" si="62"/>
        <v>July</v>
      </c>
      <c r="K988" s="93" t="str">
        <f t="shared" si="63"/>
        <v>2024</v>
      </c>
      <c r="L988" s="6"/>
      <c r="M988" s="6"/>
      <c r="N988" s="6"/>
    </row>
    <row r="989" spans="1:14" x14ac:dyDescent="0.3">
      <c r="A989" s="92">
        <v>45500</v>
      </c>
      <c r="B989" s="92" t="str">
        <f t="shared" si="60"/>
        <v>Saturday</v>
      </c>
      <c r="C989" s="93" t="s">
        <v>1381</v>
      </c>
      <c r="D989" s="93" t="s">
        <v>17</v>
      </c>
      <c r="E989" s="94">
        <v>32.82</v>
      </c>
      <c r="F989" s="93" t="s">
        <v>5</v>
      </c>
      <c r="G989" s="87">
        <f>Table1[[#This Row],[date]]</f>
        <v>45500</v>
      </c>
      <c r="H989" s="94">
        <f>SUMIF($A$2:A4624,G989,$E$2:E4624)</f>
        <v>316.91999999999996</v>
      </c>
      <c r="I989" s="93" t="str">
        <f t="shared" si="61"/>
        <v>Saturday</v>
      </c>
      <c r="J989" s="93" t="str">
        <f t="shared" si="62"/>
        <v>July</v>
      </c>
      <c r="K989" s="93" t="str">
        <f t="shared" si="63"/>
        <v>2024</v>
      </c>
      <c r="L989" s="6"/>
      <c r="M989" s="6"/>
      <c r="N989" s="6"/>
    </row>
    <row r="990" spans="1:14" x14ac:dyDescent="0.3">
      <c r="A990" s="87">
        <v>45500</v>
      </c>
      <c r="B990" s="87" t="str">
        <f t="shared" si="60"/>
        <v>Saturday</v>
      </c>
      <c r="C990" s="88" t="s">
        <v>1381</v>
      </c>
      <c r="D990" s="88" t="s">
        <v>429</v>
      </c>
      <c r="E990" s="89">
        <v>32.82</v>
      </c>
      <c r="F990" s="88" t="s">
        <v>41</v>
      </c>
      <c r="G990" s="87">
        <f>Table1[[#This Row],[date]]</f>
        <v>45500</v>
      </c>
      <c r="H990" s="94">
        <f>SUMIF($A$2:A4625,G990,$E$2:E4625)</f>
        <v>316.91999999999996</v>
      </c>
      <c r="I990" s="93" t="str">
        <f t="shared" si="61"/>
        <v>Saturday</v>
      </c>
      <c r="J990" s="93" t="str">
        <f t="shared" si="62"/>
        <v>July</v>
      </c>
      <c r="K990" s="93" t="str">
        <f t="shared" si="63"/>
        <v>2024</v>
      </c>
      <c r="L990" s="6"/>
      <c r="M990" s="6"/>
      <c r="N990" s="6"/>
    </row>
    <row r="991" spans="1:14" x14ac:dyDescent="0.3">
      <c r="A991" s="92">
        <v>45501</v>
      </c>
      <c r="B991" s="92" t="str">
        <f t="shared" si="60"/>
        <v>Sunday</v>
      </c>
      <c r="C991" s="93" t="s">
        <v>1381</v>
      </c>
      <c r="D991" s="93" t="s">
        <v>21</v>
      </c>
      <c r="E991" s="94">
        <v>18.12</v>
      </c>
      <c r="F991" s="93" t="s">
        <v>33</v>
      </c>
      <c r="G991" s="87">
        <f>Table1[[#This Row],[date]]</f>
        <v>45501</v>
      </c>
      <c r="H991" s="94">
        <f>SUMIF($A$2:A4626,G991,$E$2:E4626)</f>
        <v>78.860000000000014</v>
      </c>
      <c r="I991" s="93" t="str">
        <f t="shared" si="61"/>
        <v>Sunday</v>
      </c>
      <c r="J991" s="93" t="str">
        <f t="shared" si="62"/>
        <v>July</v>
      </c>
      <c r="K991" s="93" t="str">
        <f t="shared" si="63"/>
        <v>2024</v>
      </c>
      <c r="L991" s="6"/>
      <c r="M991" s="6"/>
      <c r="N991" s="6"/>
    </row>
    <row r="992" spans="1:14" x14ac:dyDescent="0.3">
      <c r="A992" s="87">
        <v>45501</v>
      </c>
      <c r="B992" s="87" t="str">
        <f t="shared" si="60"/>
        <v>Sunday</v>
      </c>
      <c r="C992" s="88" t="s">
        <v>1381</v>
      </c>
      <c r="D992" s="88" t="s">
        <v>288</v>
      </c>
      <c r="E992" s="89">
        <v>27.92</v>
      </c>
      <c r="F992" s="88" t="s">
        <v>12</v>
      </c>
      <c r="G992" s="87">
        <f>Table1[[#This Row],[date]]</f>
        <v>45501</v>
      </c>
      <c r="H992" s="94">
        <f>SUMIF($A$2:A4627,G992,$E$2:E4627)</f>
        <v>78.860000000000014</v>
      </c>
      <c r="I992" s="93" t="str">
        <f t="shared" si="61"/>
        <v>Sunday</v>
      </c>
      <c r="J992" s="93" t="str">
        <f t="shared" si="62"/>
        <v>July</v>
      </c>
      <c r="K992" s="93" t="str">
        <f t="shared" si="63"/>
        <v>2024</v>
      </c>
      <c r="L992" s="6"/>
      <c r="M992" s="6"/>
      <c r="N992" s="6"/>
    </row>
    <row r="993" spans="1:14" x14ac:dyDescent="0.3">
      <c r="A993" s="92">
        <v>45501</v>
      </c>
      <c r="B993" s="92" t="str">
        <f t="shared" si="60"/>
        <v>Sunday</v>
      </c>
      <c r="C993" s="93" t="s">
        <v>1381</v>
      </c>
      <c r="D993" s="93" t="s">
        <v>288</v>
      </c>
      <c r="E993" s="94">
        <v>32.82</v>
      </c>
      <c r="F993" s="93" t="s">
        <v>5</v>
      </c>
      <c r="G993" s="87">
        <f>Table1[[#This Row],[date]]</f>
        <v>45501</v>
      </c>
      <c r="H993" s="94">
        <f>SUMIF($A$2:A4628,G993,$E$2:E4628)</f>
        <v>78.860000000000014</v>
      </c>
      <c r="I993" s="93" t="str">
        <f t="shared" si="61"/>
        <v>Sunday</v>
      </c>
      <c r="J993" s="93" t="str">
        <f t="shared" si="62"/>
        <v>July</v>
      </c>
      <c r="K993" s="93" t="str">
        <f t="shared" si="63"/>
        <v>2024</v>
      </c>
      <c r="L993" s="6"/>
      <c r="M993" s="6"/>
      <c r="N993" s="6"/>
    </row>
    <row r="994" spans="1:14" x14ac:dyDescent="0.3">
      <c r="A994" s="87">
        <v>45502</v>
      </c>
      <c r="B994" s="87" t="str">
        <f t="shared" si="60"/>
        <v>Monday</v>
      </c>
      <c r="C994" s="88" t="s">
        <v>1381</v>
      </c>
      <c r="D994" s="88" t="s">
        <v>430</v>
      </c>
      <c r="E994" s="89">
        <v>32.82</v>
      </c>
      <c r="F994" s="88" t="s">
        <v>5</v>
      </c>
      <c r="G994" s="87">
        <f>Table1[[#This Row],[date]]</f>
        <v>45502</v>
      </c>
      <c r="H994" s="94">
        <f>SUMIF($A$2:A4629,G994,$E$2:E4629)</f>
        <v>288.99999999999994</v>
      </c>
      <c r="I994" s="93" t="str">
        <f t="shared" si="61"/>
        <v>Monday</v>
      </c>
      <c r="J994" s="93" t="str">
        <f t="shared" si="62"/>
        <v>July</v>
      </c>
      <c r="K994" s="93" t="str">
        <f t="shared" si="63"/>
        <v>2024</v>
      </c>
      <c r="L994" s="6"/>
      <c r="M994" s="6"/>
      <c r="N994" s="6"/>
    </row>
    <row r="995" spans="1:14" x14ac:dyDescent="0.3">
      <c r="A995" s="92">
        <v>45502</v>
      </c>
      <c r="B995" s="92" t="str">
        <f t="shared" si="60"/>
        <v>Monday</v>
      </c>
      <c r="C995" s="93" t="s">
        <v>1381</v>
      </c>
      <c r="D995" s="93" t="s">
        <v>21</v>
      </c>
      <c r="E995" s="94">
        <v>23.02</v>
      </c>
      <c r="F995" s="93" t="s">
        <v>9</v>
      </c>
      <c r="G995" s="87">
        <f>Table1[[#This Row],[date]]</f>
        <v>45502</v>
      </c>
      <c r="H995" s="94">
        <f>SUMIF($A$2:A4630,G995,$E$2:E4630)</f>
        <v>288.99999999999994</v>
      </c>
      <c r="I995" s="93" t="str">
        <f t="shared" si="61"/>
        <v>Monday</v>
      </c>
      <c r="J995" s="93" t="str">
        <f t="shared" si="62"/>
        <v>July</v>
      </c>
      <c r="K995" s="93" t="str">
        <f t="shared" si="63"/>
        <v>2024</v>
      </c>
      <c r="L995" s="6"/>
      <c r="M995" s="6"/>
      <c r="N995" s="6"/>
    </row>
    <row r="996" spans="1:14" x14ac:dyDescent="0.3">
      <c r="A996" s="87">
        <v>45502</v>
      </c>
      <c r="B996" s="87" t="str">
        <f t="shared" si="60"/>
        <v>Monday</v>
      </c>
      <c r="C996" s="88" t="s">
        <v>1381</v>
      </c>
      <c r="D996" s="88" t="s">
        <v>109</v>
      </c>
      <c r="E996" s="89">
        <v>27.92</v>
      </c>
      <c r="F996" s="88" t="s">
        <v>12</v>
      </c>
      <c r="G996" s="87">
        <f>Table1[[#This Row],[date]]</f>
        <v>45502</v>
      </c>
      <c r="H996" s="94">
        <f>SUMIF($A$2:A4631,G996,$E$2:E4631)</f>
        <v>288.99999999999994</v>
      </c>
      <c r="I996" s="93" t="str">
        <f t="shared" si="61"/>
        <v>Monday</v>
      </c>
      <c r="J996" s="93" t="str">
        <f t="shared" si="62"/>
        <v>July</v>
      </c>
      <c r="K996" s="93" t="str">
        <f t="shared" si="63"/>
        <v>2024</v>
      </c>
      <c r="L996" s="6"/>
      <c r="M996" s="6"/>
      <c r="N996" s="6"/>
    </row>
    <row r="997" spans="1:14" x14ac:dyDescent="0.3">
      <c r="A997" s="92">
        <v>45502</v>
      </c>
      <c r="B997" s="92" t="str">
        <f t="shared" si="60"/>
        <v>Monday</v>
      </c>
      <c r="C997" s="93" t="s">
        <v>1381</v>
      </c>
      <c r="D997" s="93" t="s">
        <v>8</v>
      </c>
      <c r="E997" s="94">
        <v>23.02</v>
      </c>
      <c r="F997" s="93" t="s">
        <v>9</v>
      </c>
      <c r="G997" s="87">
        <f>Table1[[#This Row],[date]]</f>
        <v>45502</v>
      </c>
      <c r="H997" s="94">
        <f>SUMIF($A$2:A4632,G997,$E$2:E4632)</f>
        <v>288.99999999999994</v>
      </c>
      <c r="I997" s="93" t="str">
        <f t="shared" si="61"/>
        <v>Monday</v>
      </c>
      <c r="J997" s="93" t="str">
        <f t="shared" si="62"/>
        <v>July</v>
      </c>
      <c r="K997" s="93" t="str">
        <f t="shared" si="63"/>
        <v>2024</v>
      </c>
      <c r="L997" s="6"/>
      <c r="M997" s="6"/>
      <c r="N997" s="6"/>
    </row>
    <row r="998" spans="1:14" x14ac:dyDescent="0.3">
      <c r="A998" s="87">
        <v>45502</v>
      </c>
      <c r="B998" s="87" t="str">
        <f t="shared" si="60"/>
        <v>Monday</v>
      </c>
      <c r="C998" s="88" t="s">
        <v>1381</v>
      </c>
      <c r="D998" s="88" t="s">
        <v>431</v>
      </c>
      <c r="E998" s="89">
        <v>27.92</v>
      </c>
      <c r="F998" s="88" t="s">
        <v>12</v>
      </c>
      <c r="G998" s="87">
        <f>Table1[[#This Row],[date]]</f>
        <v>45502</v>
      </c>
      <c r="H998" s="94">
        <f>SUMIF($A$2:A4633,G998,$E$2:E4633)</f>
        <v>288.99999999999994</v>
      </c>
      <c r="I998" s="93" t="str">
        <f t="shared" si="61"/>
        <v>Monday</v>
      </c>
      <c r="J998" s="93" t="str">
        <f t="shared" si="62"/>
        <v>July</v>
      </c>
      <c r="K998" s="93" t="str">
        <f t="shared" si="63"/>
        <v>2024</v>
      </c>
      <c r="L998" s="6"/>
      <c r="M998" s="6"/>
      <c r="N998" s="6"/>
    </row>
    <row r="999" spans="1:14" x14ac:dyDescent="0.3">
      <c r="A999" s="92">
        <v>45502</v>
      </c>
      <c r="B999" s="92" t="str">
        <f t="shared" si="60"/>
        <v>Monday</v>
      </c>
      <c r="C999" s="93" t="s">
        <v>1381</v>
      </c>
      <c r="D999" s="93" t="s">
        <v>432</v>
      </c>
      <c r="E999" s="94">
        <v>32.82</v>
      </c>
      <c r="F999" s="93" t="s">
        <v>41</v>
      </c>
      <c r="G999" s="87">
        <f>Table1[[#This Row],[date]]</f>
        <v>45502</v>
      </c>
      <c r="H999" s="94">
        <f>SUMIF($A$2:A4634,G999,$E$2:E4634)</f>
        <v>288.99999999999994</v>
      </c>
      <c r="I999" s="93" t="str">
        <f t="shared" si="61"/>
        <v>Monday</v>
      </c>
      <c r="J999" s="93" t="str">
        <f t="shared" si="62"/>
        <v>July</v>
      </c>
      <c r="K999" s="93" t="str">
        <f t="shared" si="63"/>
        <v>2024</v>
      </c>
      <c r="L999" s="6"/>
      <c r="M999" s="6"/>
      <c r="N999" s="6"/>
    </row>
    <row r="1000" spans="1:14" x14ac:dyDescent="0.3">
      <c r="A1000" s="87">
        <v>45502</v>
      </c>
      <c r="B1000" s="87" t="str">
        <f t="shared" si="60"/>
        <v>Monday</v>
      </c>
      <c r="C1000" s="88" t="s">
        <v>1381</v>
      </c>
      <c r="D1000" s="88" t="s">
        <v>433</v>
      </c>
      <c r="E1000" s="89">
        <v>32.82</v>
      </c>
      <c r="F1000" s="88" t="s">
        <v>7</v>
      </c>
      <c r="G1000" s="87">
        <f>Table1[[#This Row],[date]]</f>
        <v>45502</v>
      </c>
      <c r="H1000" s="94">
        <f>SUMIF($A$2:A4635,G1000,$E$2:E4635)</f>
        <v>288.99999999999994</v>
      </c>
      <c r="I1000" s="93" t="str">
        <f t="shared" si="61"/>
        <v>Monday</v>
      </c>
      <c r="J1000" s="93" t="str">
        <f t="shared" si="62"/>
        <v>July</v>
      </c>
      <c r="K1000" s="93" t="str">
        <f t="shared" si="63"/>
        <v>2024</v>
      </c>
      <c r="L1000" s="6"/>
      <c r="M1000" s="6"/>
      <c r="N1000" s="6"/>
    </row>
    <row r="1001" spans="1:14" x14ac:dyDescent="0.3">
      <c r="A1001" s="87">
        <v>45502</v>
      </c>
      <c r="B1001" s="87" t="str">
        <f t="shared" si="60"/>
        <v>Monday</v>
      </c>
      <c r="C1001" s="88" t="s">
        <v>1381</v>
      </c>
      <c r="D1001" s="88" t="s">
        <v>434</v>
      </c>
      <c r="E1001" s="89">
        <v>32.82</v>
      </c>
      <c r="F1001" s="88" t="s">
        <v>41</v>
      </c>
      <c r="G1001" s="87">
        <f>Table1[[#This Row],[date]]</f>
        <v>45502</v>
      </c>
      <c r="H1001" s="94">
        <f>SUMIF($A$2:A4636,G1001,$E$2:E4636)</f>
        <v>288.99999999999994</v>
      </c>
      <c r="I1001" s="93" t="str">
        <f t="shared" si="61"/>
        <v>Monday</v>
      </c>
      <c r="J1001" s="93" t="str">
        <f t="shared" si="62"/>
        <v>July</v>
      </c>
      <c r="K1001" s="93" t="str">
        <f t="shared" si="63"/>
        <v>2024</v>
      </c>
      <c r="L1001" s="6"/>
      <c r="M1001" s="6"/>
      <c r="N1001" s="6"/>
    </row>
    <row r="1002" spans="1:14" x14ac:dyDescent="0.3">
      <c r="A1002" s="92">
        <v>45502</v>
      </c>
      <c r="B1002" s="92" t="str">
        <f t="shared" si="60"/>
        <v>Monday</v>
      </c>
      <c r="C1002" s="93" t="s">
        <v>1381</v>
      </c>
      <c r="D1002" s="93" t="s">
        <v>111</v>
      </c>
      <c r="E1002" s="94">
        <v>23.02</v>
      </c>
      <c r="F1002" s="93" t="s">
        <v>9</v>
      </c>
      <c r="G1002" s="87">
        <f>Table1[[#This Row],[date]]</f>
        <v>45502</v>
      </c>
      <c r="H1002" s="94">
        <f>SUMIF($A$2:A4637,G1002,$E$2:E4637)</f>
        <v>288.99999999999994</v>
      </c>
      <c r="I1002" s="93" t="str">
        <f t="shared" si="61"/>
        <v>Monday</v>
      </c>
      <c r="J1002" s="93" t="str">
        <f t="shared" si="62"/>
        <v>July</v>
      </c>
      <c r="K1002" s="93" t="str">
        <f t="shared" si="63"/>
        <v>2024</v>
      </c>
      <c r="L1002" s="6"/>
      <c r="M1002" s="6"/>
      <c r="N1002" s="6"/>
    </row>
    <row r="1003" spans="1:14" x14ac:dyDescent="0.3">
      <c r="A1003" s="87">
        <v>45502</v>
      </c>
      <c r="B1003" s="87" t="str">
        <f t="shared" si="60"/>
        <v>Monday</v>
      </c>
      <c r="C1003" s="88" t="s">
        <v>1381</v>
      </c>
      <c r="D1003" s="88" t="s">
        <v>340</v>
      </c>
      <c r="E1003" s="89">
        <v>32.82</v>
      </c>
      <c r="F1003" s="88" t="s">
        <v>16</v>
      </c>
      <c r="G1003" s="87">
        <f>Table1[[#This Row],[date]]</f>
        <v>45502</v>
      </c>
      <c r="H1003" s="94">
        <f>SUMIF($A$2:A4638,G1003,$E$2:E4638)</f>
        <v>288.99999999999994</v>
      </c>
      <c r="I1003" s="93" t="str">
        <f t="shared" si="61"/>
        <v>Monday</v>
      </c>
      <c r="J1003" s="93" t="str">
        <f t="shared" si="62"/>
        <v>July</v>
      </c>
      <c r="K1003" s="93" t="str">
        <f t="shared" si="63"/>
        <v>2024</v>
      </c>
      <c r="L1003" s="6"/>
      <c r="M1003" s="6"/>
      <c r="N1003" s="6"/>
    </row>
    <row r="1004" spans="1:14" x14ac:dyDescent="0.3">
      <c r="A1004" s="92">
        <v>45503</v>
      </c>
      <c r="B1004" s="92" t="str">
        <f t="shared" si="60"/>
        <v>Tuesday</v>
      </c>
      <c r="C1004" s="93" t="s">
        <v>1381</v>
      </c>
      <c r="D1004" s="93" t="s">
        <v>435</v>
      </c>
      <c r="E1004" s="94">
        <v>27.92</v>
      </c>
      <c r="F1004" s="93" t="s">
        <v>12</v>
      </c>
      <c r="G1004" s="87">
        <f>Table1[[#This Row],[date]]</f>
        <v>45503</v>
      </c>
      <c r="H1004" s="94">
        <f>SUMIF($A$2:A4639,G1004,$E$2:E4639)</f>
        <v>594.6400000000001</v>
      </c>
      <c r="I1004" s="93" t="str">
        <f t="shared" si="61"/>
        <v>Tuesday</v>
      </c>
      <c r="J1004" s="93" t="str">
        <f t="shared" si="62"/>
        <v>July</v>
      </c>
      <c r="K1004" s="93" t="str">
        <f t="shared" si="63"/>
        <v>2024</v>
      </c>
      <c r="L1004" s="6"/>
      <c r="M1004" s="6"/>
      <c r="N1004" s="6"/>
    </row>
    <row r="1005" spans="1:14" x14ac:dyDescent="0.3">
      <c r="A1005" s="87">
        <v>45503</v>
      </c>
      <c r="B1005" s="87" t="str">
        <f t="shared" si="60"/>
        <v>Tuesday</v>
      </c>
      <c r="C1005" s="88" t="s">
        <v>1381</v>
      </c>
      <c r="D1005" s="88" t="s">
        <v>436</v>
      </c>
      <c r="E1005" s="89">
        <v>23.02</v>
      </c>
      <c r="F1005" s="88" t="s">
        <v>26</v>
      </c>
      <c r="G1005" s="87">
        <f>Table1[[#This Row],[date]]</f>
        <v>45503</v>
      </c>
      <c r="H1005" s="94">
        <f>SUMIF($A$2:A4640,G1005,$E$2:E4640)</f>
        <v>594.6400000000001</v>
      </c>
      <c r="I1005" s="93" t="str">
        <f t="shared" si="61"/>
        <v>Tuesday</v>
      </c>
      <c r="J1005" s="93" t="str">
        <f t="shared" si="62"/>
        <v>July</v>
      </c>
      <c r="K1005" s="93" t="str">
        <f t="shared" si="63"/>
        <v>2024</v>
      </c>
      <c r="L1005" s="6"/>
      <c r="M1005" s="6"/>
      <c r="N1005" s="6"/>
    </row>
    <row r="1006" spans="1:14" x14ac:dyDescent="0.3">
      <c r="A1006" s="92">
        <v>45503</v>
      </c>
      <c r="B1006" s="92" t="str">
        <f t="shared" si="60"/>
        <v>Tuesday</v>
      </c>
      <c r="C1006" s="93" t="s">
        <v>1381</v>
      </c>
      <c r="D1006" s="93" t="s">
        <v>437</v>
      </c>
      <c r="E1006" s="94">
        <v>32.82</v>
      </c>
      <c r="F1006" s="93" t="s">
        <v>41</v>
      </c>
      <c r="G1006" s="87">
        <f>Table1[[#This Row],[date]]</f>
        <v>45503</v>
      </c>
      <c r="H1006" s="94">
        <f>SUMIF($A$2:A4641,G1006,$E$2:E4641)</f>
        <v>594.6400000000001</v>
      </c>
      <c r="I1006" s="93" t="str">
        <f t="shared" si="61"/>
        <v>Tuesday</v>
      </c>
      <c r="J1006" s="93" t="str">
        <f t="shared" si="62"/>
        <v>July</v>
      </c>
      <c r="K1006" s="93" t="str">
        <f t="shared" si="63"/>
        <v>2024</v>
      </c>
      <c r="L1006" s="6"/>
      <c r="M1006" s="6"/>
      <c r="N1006" s="6"/>
    </row>
    <row r="1007" spans="1:14" x14ac:dyDescent="0.3">
      <c r="A1007" s="87">
        <v>45503</v>
      </c>
      <c r="B1007" s="87" t="str">
        <f t="shared" si="60"/>
        <v>Tuesday</v>
      </c>
      <c r="C1007" s="88" t="s">
        <v>1381</v>
      </c>
      <c r="D1007" s="88" t="s">
        <v>109</v>
      </c>
      <c r="E1007" s="89">
        <v>27.92</v>
      </c>
      <c r="F1007" s="88" t="s">
        <v>12</v>
      </c>
      <c r="G1007" s="87">
        <f>Table1[[#This Row],[date]]</f>
        <v>45503</v>
      </c>
      <c r="H1007" s="94">
        <f>SUMIF($A$2:A4642,G1007,$E$2:E4642)</f>
        <v>594.6400000000001</v>
      </c>
      <c r="I1007" s="93" t="str">
        <f t="shared" si="61"/>
        <v>Tuesday</v>
      </c>
      <c r="J1007" s="93" t="str">
        <f t="shared" si="62"/>
        <v>July</v>
      </c>
      <c r="K1007" s="93" t="str">
        <f t="shared" si="63"/>
        <v>2024</v>
      </c>
      <c r="L1007" s="6"/>
      <c r="M1007" s="6"/>
      <c r="N1007" s="6"/>
    </row>
    <row r="1008" spans="1:14" x14ac:dyDescent="0.3">
      <c r="A1008" s="92">
        <v>45503</v>
      </c>
      <c r="B1008" s="92" t="str">
        <f t="shared" si="60"/>
        <v>Tuesday</v>
      </c>
      <c r="C1008" s="93" t="s">
        <v>1381</v>
      </c>
      <c r="D1008" s="93" t="s">
        <v>153</v>
      </c>
      <c r="E1008" s="94">
        <v>23.02</v>
      </c>
      <c r="F1008" s="93" t="s">
        <v>26</v>
      </c>
      <c r="G1008" s="87">
        <f>Table1[[#This Row],[date]]</f>
        <v>45503</v>
      </c>
      <c r="H1008" s="94">
        <f>SUMIF($A$2:A4643,G1008,$E$2:E4643)</f>
        <v>594.6400000000001</v>
      </c>
      <c r="I1008" s="93" t="str">
        <f t="shared" si="61"/>
        <v>Tuesday</v>
      </c>
      <c r="J1008" s="93" t="str">
        <f t="shared" si="62"/>
        <v>July</v>
      </c>
      <c r="K1008" s="93" t="str">
        <f t="shared" si="63"/>
        <v>2024</v>
      </c>
      <c r="L1008" s="6"/>
      <c r="M1008" s="6"/>
      <c r="N1008" s="6"/>
    </row>
    <row r="1009" spans="1:14" x14ac:dyDescent="0.3">
      <c r="A1009" s="87">
        <v>45503</v>
      </c>
      <c r="B1009" s="87" t="str">
        <f t="shared" si="60"/>
        <v>Tuesday</v>
      </c>
      <c r="C1009" s="88" t="s">
        <v>1381</v>
      </c>
      <c r="D1009" s="88" t="s">
        <v>288</v>
      </c>
      <c r="E1009" s="89">
        <v>27.92</v>
      </c>
      <c r="F1009" s="88" t="s">
        <v>12</v>
      </c>
      <c r="G1009" s="87">
        <f>Table1[[#This Row],[date]]</f>
        <v>45503</v>
      </c>
      <c r="H1009" s="94">
        <f>SUMIF($A$2:A4644,G1009,$E$2:E4644)</f>
        <v>594.6400000000001</v>
      </c>
      <c r="I1009" s="93" t="str">
        <f t="shared" si="61"/>
        <v>Tuesday</v>
      </c>
      <c r="J1009" s="93" t="str">
        <f t="shared" si="62"/>
        <v>July</v>
      </c>
      <c r="K1009" s="93" t="str">
        <f t="shared" si="63"/>
        <v>2024</v>
      </c>
      <c r="L1009" s="6"/>
      <c r="M1009" s="6"/>
      <c r="N1009" s="6"/>
    </row>
    <row r="1010" spans="1:14" x14ac:dyDescent="0.3">
      <c r="A1010" s="92">
        <v>45503</v>
      </c>
      <c r="B1010" s="92" t="str">
        <f t="shared" si="60"/>
        <v>Tuesday</v>
      </c>
      <c r="C1010" s="93" t="s">
        <v>1381</v>
      </c>
      <c r="D1010" s="93" t="s">
        <v>262</v>
      </c>
      <c r="E1010" s="94">
        <v>32.82</v>
      </c>
      <c r="F1010" s="93" t="s">
        <v>5</v>
      </c>
      <c r="G1010" s="87">
        <f>Table1[[#This Row],[date]]</f>
        <v>45503</v>
      </c>
      <c r="H1010" s="94">
        <f>SUMIF($A$2:A4645,G1010,$E$2:E4645)</f>
        <v>594.6400000000001</v>
      </c>
      <c r="I1010" s="93" t="str">
        <f t="shared" si="61"/>
        <v>Tuesday</v>
      </c>
      <c r="J1010" s="93" t="str">
        <f t="shared" si="62"/>
        <v>July</v>
      </c>
      <c r="K1010" s="93" t="str">
        <f t="shared" si="63"/>
        <v>2024</v>
      </c>
      <c r="L1010" s="6"/>
      <c r="M1010" s="6"/>
      <c r="N1010" s="6"/>
    </row>
    <row r="1011" spans="1:14" x14ac:dyDescent="0.3">
      <c r="A1011" s="87">
        <v>45503</v>
      </c>
      <c r="B1011" s="87" t="str">
        <f t="shared" si="60"/>
        <v>Tuesday</v>
      </c>
      <c r="C1011" s="88" t="s">
        <v>1381</v>
      </c>
      <c r="D1011" s="88" t="s">
        <v>438</v>
      </c>
      <c r="E1011" s="89">
        <v>23.02</v>
      </c>
      <c r="F1011" s="88" t="s">
        <v>9</v>
      </c>
      <c r="G1011" s="87">
        <f>Table1[[#This Row],[date]]</f>
        <v>45503</v>
      </c>
      <c r="H1011" s="94">
        <f>SUMIF($A$2:A4646,G1011,$E$2:E4646)</f>
        <v>594.6400000000001</v>
      </c>
      <c r="I1011" s="93" t="str">
        <f t="shared" si="61"/>
        <v>Tuesday</v>
      </c>
      <c r="J1011" s="93" t="str">
        <f t="shared" si="62"/>
        <v>July</v>
      </c>
      <c r="K1011" s="93" t="str">
        <f t="shared" si="63"/>
        <v>2024</v>
      </c>
      <c r="L1011" s="6"/>
      <c r="M1011" s="6"/>
      <c r="N1011" s="6"/>
    </row>
    <row r="1012" spans="1:14" x14ac:dyDescent="0.3">
      <c r="A1012" s="92">
        <v>45503</v>
      </c>
      <c r="B1012" s="92" t="str">
        <f t="shared" si="60"/>
        <v>Tuesday</v>
      </c>
      <c r="C1012" s="93" t="s">
        <v>1381</v>
      </c>
      <c r="D1012" s="93" t="s">
        <v>438</v>
      </c>
      <c r="E1012" s="94">
        <v>18.12</v>
      </c>
      <c r="F1012" s="93" t="s">
        <v>33</v>
      </c>
      <c r="G1012" s="87">
        <f>Table1[[#This Row],[date]]</f>
        <v>45503</v>
      </c>
      <c r="H1012" s="94">
        <f>SUMIF($A$2:A4647,G1012,$E$2:E4647)</f>
        <v>594.6400000000001</v>
      </c>
      <c r="I1012" s="93" t="str">
        <f t="shared" si="61"/>
        <v>Tuesday</v>
      </c>
      <c r="J1012" s="93" t="str">
        <f t="shared" si="62"/>
        <v>July</v>
      </c>
      <c r="K1012" s="93" t="str">
        <f t="shared" si="63"/>
        <v>2024</v>
      </c>
      <c r="L1012" s="6"/>
      <c r="M1012" s="6"/>
      <c r="N1012" s="6"/>
    </row>
    <row r="1013" spans="1:14" x14ac:dyDescent="0.3">
      <c r="A1013" s="87">
        <v>45503</v>
      </c>
      <c r="B1013" s="87" t="str">
        <f t="shared" si="60"/>
        <v>Tuesday</v>
      </c>
      <c r="C1013" s="88" t="s">
        <v>1381</v>
      </c>
      <c r="D1013" s="88" t="s">
        <v>439</v>
      </c>
      <c r="E1013" s="89">
        <v>27.92</v>
      </c>
      <c r="F1013" s="88" t="s">
        <v>12</v>
      </c>
      <c r="G1013" s="87">
        <f>Table1[[#This Row],[date]]</f>
        <v>45503</v>
      </c>
      <c r="H1013" s="94">
        <f>SUMIF($A$2:A4648,G1013,$E$2:E4648)</f>
        <v>594.6400000000001</v>
      </c>
      <c r="I1013" s="93" t="str">
        <f t="shared" si="61"/>
        <v>Tuesday</v>
      </c>
      <c r="J1013" s="93" t="str">
        <f t="shared" si="62"/>
        <v>July</v>
      </c>
      <c r="K1013" s="93" t="str">
        <f t="shared" si="63"/>
        <v>2024</v>
      </c>
      <c r="L1013" s="6"/>
      <c r="M1013" s="6"/>
      <c r="N1013" s="6"/>
    </row>
    <row r="1014" spans="1:14" x14ac:dyDescent="0.3">
      <c r="A1014" s="92">
        <v>45503</v>
      </c>
      <c r="B1014" s="92" t="str">
        <f t="shared" si="60"/>
        <v>Tuesday</v>
      </c>
      <c r="C1014" s="93" t="s">
        <v>1381</v>
      </c>
      <c r="D1014" s="93" t="s">
        <v>440</v>
      </c>
      <c r="E1014" s="94">
        <v>27.92</v>
      </c>
      <c r="F1014" s="93" t="s">
        <v>12</v>
      </c>
      <c r="G1014" s="87">
        <f>Table1[[#This Row],[date]]</f>
        <v>45503</v>
      </c>
      <c r="H1014" s="94">
        <f>SUMIF($A$2:A4649,G1014,$E$2:E4649)</f>
        <v>594.6400000000001</v>
      </c>
      <c r="I1014" s="93" t="str">
        <f t="shared" si="61"/>
        <v>Tuesday</v>
      </c>
      <c r="J1014" s="93" t="str">
        <f t="shared" si="62"/>
        <v>July</v>
      </c>
      <c r="K1014" s="93" t="str">
        <f t="shared" si="63"/>
        <v>2024</v>
      </c>
      <c r="L1014" s="6"/>
      <c r="M1014" s="6"/>
      <c r="N1014" s="6"/>
    </row>
    <row r="1015" spans="1:14" x14ac:dyDescent="0.3">
      <c r="A1015" s="87">
        <v>45503</v>
      </c>
      <c r="B1015" s="87" t="str">
        <f t="shared" si="60"/>
        <v>Tuesday</v>
      </c>
      <c r="C1015" s="88" t="s">
        <v>1381</v>
      </c>
      <c r="D1015" s="88" t="s">
        <v>441</v>
      </c>
      <c r="E1015" s="89">
        <v>27.92</v>
      </c>
      <c r="F1015" s="88" t="s">
        <v>12</v>
      </c>
      <c r="G1015" s="87">
        <f>Table1[[#This Row],[date]]</f>
        <v>45503</v>
      </c>
      <c r="H1015" s="94">
        <f>SUMIF($A$2:A4650,G1015,$E$2:E4650)</f>
        <v>594.6400000000001</v>
      </c>
      <c r="I1015" s="93" t="str">
        <f t="shared" si="61"/>
        <v>Tuesday</v>
      </c>
      <c r="J1015" s="93" t="str">
        <f t="shared" si="62"/>
        <v>July</v>
      </c>
      <c r="K1015" s="93" t="str">
        <f t="shared" si="63"/>
        <v>2024</v>
      </c>
      <c r="L1015" s="6"/>
      <c r="M1015" s="6"/>
      <c r="N1015" s="6"/>
    </row>
    <row r="1016" spans="1:14" x14ac:dyDescent="0.3">
      <c r="A1016" s="92">
        <v>45503</v>
      </c>
      <c r="B1016" s="92" t="str">
        <f t="shared" si="60"/>
        <v>Tuesday</v>
      </c>
      <c r="C1016" s="93" t="s">
        <v>1381</v>
      </c>
      <c r="D1016" s="93" t="s">
        <v>442</v>
      </c>
      <c r="E1016" s="94">
        <v>27.92</v>
      </c>
      <c r="F1016" s="93" t="s">
        <v>12</v>
      </c>
      <c r="G1016" s="87">
        <f>Table1[[#This Row],[date]]</f>
        <v>45503</v>
      </c>
      <c r="H1016" s="94">
        <f>SUMIF($A$2:A4651,G1016,$E$2:E4651)</f>
        <v>594.6400000000001</v>
      </c>
      <c r="I1016" s="93" t="str">
        <f t="shared" si="61"/>
        <v>Tuesday</v>
      </c>
      <c r="J1016" s="93" t="str">
        <f t="shared" si="62"/>
        <v>July</v>
      </c>
      <c r="K1016" s="93" t="str">
        <f t="shared" si="63"/>
        <v>2024</v>
      </c>
      <c r="L1016" s="6"/>
      <c r="M1016" s="6"/>
      <c r="N1016" s="6"/>
    </row>
    <row r="1017" spans="1:14" x14ac:dyDescent="0.3">
      <c r="A1017" s="87">
        <v>45503</v>
      </c>
      <c r="B1017" s="87" t="str">
        <f t="shared" si="60"/>
        <v>Tuesday</v>
      </c>
      <c r="C1017" s="88" t="s">
        <v>1381</v>
      </c>
      <c r="D1017" s="88" t="s">
        <v>443</v>
      </c>
      <c r="E1017" s="89">
        <v>32.82</v>
      </c>
      <c r="F1017" s="88" t="s">
        <v>5</v>
      </c>
      <c r="G1017" s="87">
        <f>Table1[[#This Row],[date]]</f>
        <v>45503</v>
      </c>
      <c r="H1017" s="94">
        <f>SUMIF($A$2:A4652,G1017,$E$2:E4652)</f>
        <v>594.6400000000001</v>
      </c>
      <c r="I1017" s="93" t="str">
        <f t="shared" si="61"/>
        <v>Tuesday</v>
      </c>
      <c r="J1017" s="93" t="str">
        <f t="shared" si="62"/>
        <v>July</v>
      </c>
      <c r="K1017" s="93" t="str">
        <f t="shared" si="63"/>
        <v>2024</v>
      </c>
      <c r="L1017" s="6"/>
      <c r="M1017" s="6"/>
      <c r="N1017" s="6"/>
    </row>
    <row r="1018" spans="1:14" x14ac:dyDescent="0.3">
      <c r="A1018" s="92">
        <v>45503</v>
      </c>
      <c r="B1018" s="92" t="str">
        <f t="shared" si="60"/>
        <v>Tuesday</v>
      </c>
      <c r="C1018" s="93" t="s">
        <v>1381</v>
      </c>
      <c r="D1018" s="93" t="s">
        <v>444</v>
      </c>
      <c r="E1018" s="94">
        <v>27.92</v>
      </c>
      <c r="F1018" s="93" t="s">
        <v>12</v>
      </c>
      <c r="G1018" s="87">
        <f>Table1[[#This Row],[date]]</f>
        <v>45503</v>
      </c>
      <c r="H1018" s="94">
        <f>SUMIF($A$2:A4653,G1018,$E$2:E4653)</f>
        <v>594.6400000000001</v>
      </c>
      <c r="I1018" s="93" t="str">
        <f t="shared" si="61"/>
        <v>Tuesday</v>
      </c>
      <c r="J1018" s="93" t="str">
        <f t="shared" si="62"/>
        <v>July</v>
      </c>
      <c r="K1018" s="93" t="str">
        <f t="shared" si="63"/>
        <v>2024</v>
      </c>
      <c r="L1018" s="6"/>
      <c r="M1018" s="6"/>
      <c r="N1018" s="6"/>
    </row>
    <row r="1019" spans="1:14" x14ac:dyDescent="0.3">
      <c r="A1019" s="87">
        <v>45503</v>
      </c>
      <c r="B1019" s="87" t="str">
        <f t="shared" si="60"/>
        <v>Tuesday</v>
      </c>
      <c r="C1019" s="88" t="s">
        <v>1381</v>
      </c>
      <c r="D1019" s="88" t="s">
        <v>445</v>
      </c>
      <c r="E1019" s="89">
        <v>23.02</v>
      </c>
      <c r="F1019" s="88" t="s">
        <v>26</v>
      </c>
      <c r="G1019" s="87">
        <f>Table1[[#This Row],[date]]</f>
        <v>45503</v>
      </c>
      <c r="H1019" s="94">
        <f>SUMIF($A$2:A4654,G1019,$E$2:E4654)</f>
        <v>594.6400000000001</v>
      </c>
      <c r="I1019" s="93" t="str">
        <f t="shared" si="61"/>
        <v>Tuesday</v>
      </c>
      <c r="J1019" s="93" t="str">
        <f t="shared" si="62"/>
        <v>July</v>
      </c>
      <c r="K1019" s="93" t="str">
        <f t="shared" si="63"/>
        <v>2024</v>
      </c>
      <c r="L1019" s="6"/>
      <c r="M1019" s="6"/>
      <c r="N1019" s="6"/>
    </row>
    <row r="1020" spans="1:14" x14ac:dyDescent="0.3">
      <c r="A1020" s="92">
        <v>45503</v>
      </c>
      <c r="B1020" s="92" t="str">
        <f t="shared" si="60"/>
        <v>Tuesday</v>
      </c>
      <c r="C1020" s="93" t="s">
        <v>1381</v>
      </c>
      <c r="D1020" s="93" t="s">
        <v>445</v>
      </c>
      <c r="E1020" s="94">
        <v>27.92</v>
      </c>
      <c r="F1020" s="93" t="s">
        <v>12</v>
      </c>
      <c r="G1020" s="87">
        <f>Table1[[#This Row],[date]]</f>
        <v>45503</v>
      </c>
      <c r="H1020" s="94">
        <f>SUMIF($A$2:A4655,G1020,$E$2:E4655)</f>
        <v>594.6400000000001</v>
      </c>
      <c r="I1020" s="93" t="str">
        <f t="shared" si="61"/>
        <v>Tuesday</v>
      </c>
      <c r="J1020" s="93" t="str">
        <f t="shared" si="62"/>
        <v>July</v>
      </c>
      <c r="K1020" s="93" t="str">
        <f t="shared" si="63"/>
        <v>2024</v>
      </c>
      <c r="L1020" s="6"/>
      <c r="M1020" s="6"/>
      <c r="N1020" s="6"/>
    </row>
    <row r="1021" spans="1:14" x14ac:dyDescent="0.3">
      <c r="A1021" s="87">
        <v>45503</v>
      </c>
      <c r="B1021" s="87" t="str">
        <f t="shared" si="60"/>
        <v>Tuesday</v>
      </c>
      <c r="C1021" s="88" t="s">
        <v>1381</v>
      </c>
      <c r="D1021" s="88" t="s">
        <v>446</v>
      </c>
      <c r="E1021" s="89">
        <v>18.12</v>
      </c>
      <c r="F1021" s="88" t="s">
        <v>33</v>
      </c>
      <c r="G1021" s="87">
        <f>Table1[[#This Row],[date]]</f>
        <v>45503</v>
      </c>
      <c r="H1021" s="94">
        <f>SUMIF($A$2:A4656,G1021,$E$2:E4656)</f>
        <v>594.6400000000001</v>
      </c>
      <c r="I1021" s="93" t="str">
        <f t="shared" si="61"/>
        <v>Tuesday</v>
      </c>
      <c r="J1021" s="93" t="str">
        <f t="shared" si="62"/>
        <v>July</v>
      </c>
      <c r="K1021" s="93" t="str">
        <f t="shared" si="63"/>
        <v>2024</v>
      </c>
      <c r="L1021" s="6"/>
      <c r="M1021" s="6"/>
      <c r="N1021" s="6"/>
    </row>
    <row r="1022" spans="1:14" x14ac:dyDescent="0.3">
      <c r="A1022" s="92">
        <v>45503</v>
      </c>
      <c r="B1022" s="92" t="str">
        <f t="shared" si="60"/>
        <v>Tuesday</v>
      </c>
      <c r="C1022" s="93" t="s">
        <v>1381</v>
      </c>
      <c r="D1022" s="93" t="s">
        <v>359</v>
      </c>
      <c r="E1022" s="94">
        <v>27.92</v>
      </c>
      <c r="F1022" s="93" t="s">
        <v>12</v>
      </c>
      <c r="G1022" s="87">
        <f>Table1[[#This Row],[date]]</f>
        <v>45503</v>
      </c>
      <c r="H1022" s="94">
        <f>SUMIF($A$2:A4657,G1022,$E$2:E4657)</f>
        <v>594.6400000000001</v>
      </c>
      <c r="I1022" s="93" t="str">
        <f t="shared" si="61"/>
        <v>Tuesday</v>
      </c>
      <c r="J1022" s="93" t="str">
        <f t="shared" si="62"/>
        <v>July</v>
      </c>
      <c r="K1022" s="93" t="str">
        <f t="shared" si="63"/>
        <v>2024</v>
      </c>
      <c r="L1022" s="6"/>
      <c r="M1022" s="6"/>
      <c r="N1022" s="6"/>
    </row>
    <row r="1023" spans="1:14" x14ac:dyDescent="0.3">
      <c r="A1023" s="87">
        <v>45503</v>
      </c>
      <c r="B1023" s="87" t="str">
        <f t="shared" si="60"/>
        <v>Tuesday</v>
      </c>
      <c r="C1023" s="88" t="s">
        <v>1381</v>
      </c>
      <c r="D1023" s="88" t="s">
        <v>447</v>
      </c>
      <c r="E1023" s="89">
        <v>32.82</v>
      </c>
      <c r="F1023" s="88" t="s">
        <v>5</v>
      </c>
      <c r="G1023" s="87">
        <f>Table1[[#This Row],[date]]</f>
        <v>45503</v>
      </c>
      <c r="H1023" s="94">
        <f>SUMIF($A$2:A4658,G1023,$E$2:E4658)</f>
        <v>594.6400000000001</v>
      </c>
      <c r="I1023" s="93" t="str">
        <f t="shared" si="61"/>
        <v>Tuesday</v>
      </c>
      <c r="J1023" s="93" t="str">
        <f t="shared" si="62"/>
        <v>July</v>
      </c>
      <c r="K1023" s="93" t="str">
        <f t="shared" si="63"/>
        <v>2024</v>
      </c>
      <c r="L1023" s="6"/>
      <c r="M1023" s="6"/>
      <c r="N1023" s="6"/>
    </row>
    <row r="1024" spans="1:14" x14ac:dyDescent="0.3">
      <c r="A1024" s="92">
        <v>45503</v>
      </c>
      <c r="B1024" s="92" t="str">
        <f t="shared" si="60"/>
        <v>Tuesday</v>
      </c>
      <c r="C1024" s="93" t="s">
        <v>1381</v>
      </c>
      <c r="D1024" s="93" t="s">
        <v>448</v>
      </c>
      <c r="E1024" s="94">
        <v>23.02</v>
      </c>
      <c r="F1024" s="93" t="s">
        <v>9</v>
      </c>
      <c r="G1024" s="87">
        <f>Table1[[#This Row],[date]]</f>
        <v>45503</v>
      </c>
      <c r="H1024" s="94">
        <f>SUMIF($A$2:A4659,G1024,$E$2:E4659)</f>
        <v>594.6400000000001</v>
      </c>
      <c r="I1024" s="93" t="str">
        <f t="shared" si="61"/>
        <v>Tuesday</v>
      </c>
      <c r="J1024" s="93" t="str">
        <f t="shared" si="62"/>
        <v>July</v>
      </c>
      <c r="K1024" s="93" t="str">
        <f t="shared" si="63"/>
        <v>2024</v>
      </c>
      <c r="L1024" s="6"/>
      <c r="M1024" s="6"/>
      <c r="N1024" s="6"/>
    </row>
    <row r="1025" spans="1:14" x14ac:dyDescent="0.3">
      <c r="A1025" s="87">
        <v>45503</v>
      </c>
      <c r="B1025" s="87" t="str">
        <f t="shared" si="60"/>
        <v>Tuesday</v>
      </c>
      <c r="C1025" s="88" t="s">
        <v>1381</v>
      </c>
      <c r="D1025" s="88" t="s">
        <v>448</v>
      </c>
      <c r="E1025" s="89">
        <v>32.82</v>
      </c>
      <c r="F1025" s="88" t="s">
        <v>41</v>
      </c>
      <c r="G1025" s="87">
        <f>Table1[[#This Row],[date]]</f>
        <v>45503</v>
      </c>
      <c r="H1025" s="94">
        <f>SUMIF($A$2:A4660,G1025,$E$2:E4660)</f>
        <v>594.6400000000001</v>
      </c>
      <c r="I1025" s="93" t="str">
        <f t="shared" si="61"/>
        <v>Tuesday</v>
      </c>
      <c r="J1025" s="93" t="str">
        <f t="shared" si="62"/>
        <v>July</v>
      </c>
      <c r="K1025" s="93" t="str">
        <f t="shared" si="63"/>
        <v>2024</v>
      </c>
      <c r="L1025" s="6"/>
      <c r="M1025" s="6"/>
      <c r="N1025" s="6"/>
    </row>
    <row r="1026" spans="1:14" x14ac:dyDescent="0.3">
      <c r="A1026" s="92">
        <v>45504</v>
      </c>
      <c r="B1026" s="92" t="str">
        <f t="shared" ref="B1026:B1089" si="64">TEXT(A1026,"dddd")</f>
        <v>Wednesday</v>
      </c>
      <c r="C1026" s="93" t="s">
        <v>1381</v>
      </c>
      <c r="D1026" s="93" t="s">
        <v>435</v>
      </c>
      <c r="E1026" s="94">
        <v>27.92</v>
      </c>
      <c r="F1026" s="93" t="s">
        <v>12</v>
      </c>
      <c r="G1026" s="87">
        <f>Table1[[#This Row],[date]]</f>
        <v>45504</v>
      </c>
      <c r="H1026" s="94">
        <f>SUMIF($A$2:A4661,G1026,$E$2:E4661)</f>
        <v>559.88</v>
      </c>
      <c r="I1026" s="93" t="str">
        <f t="shared" si="61"/>
        <v>Wednesday</v>
      </c>
      <c r="J1026" s="93" t="str">
        <f t="shared" si="62"/>
        <v>July</v>
      </c>
      <c r="K1026" s="93" t="str">
        <f t="shared" si="63"/>
        <v>2024</v>
      </c>
      <c r="L1026" s="6"/>
      <c r="M1026" s="6"/>
      <c r="N1026" s="6"/>
    </row>
    <row r="1027" spans="1:14" x14ac:dyDescent="0.3">
      <c r="A1027" s="87">
        <v>45504</v>
      </c>
      <c r="B1027" s="87" t="str">
        <f t="shared" si="64"/>
        <v>Wednesday</v>
      </c>
      <c r="C1027" s="88" t="s">
        <v>1381</v>
      </c>
      <c r="D1027" s="88" t="s">
        <v>449</v>
      </c>
      <c r="E1027" s="89">
        <v>27.92</v>
      </c>
      <c r="F1027" s="88" t="s">
        <v>12</v>
      </c>
      <c r="G1027" s="87">
        <f>Table1[[#This Row],[date]]</f>
        <v>45504</v>
      </c>
      <c r="H1027" s="94">
        <f>SUMIF($A$2:A4662,G1027,$E$2:E4662)</f>
        <v>559.88</v>
      </c>
      <c r="I1027" s="93" t="str">
        <f t="shared" si="61"/>
        <v>Wednesday</v>
      </c>
      <c r="J1027" s="93" t="str">
        <f t="shared" si="62"/>
        <v>July</v>
      </c>
      <c r="K1027" s="93" t="str">
        <f t="shared" si="63"/>
        <v>2024</v>
      </c>
      <c r="L1027" s="6"/>
      <c r="M1027" s="6"/>
      <c r="N1027" s="6"/>
    </row>
    <row r="1028" spans="1:14" x14ac:dyDescent="0.3">
      <c r="A1028" s="87">
        <v>45504</v>
      </c>
      <c r="B1028" s="87" t="str">
        <f t="shared" si="64"/>
        <v>Wednesday</v>
      </c>
      <c r="C1028" s="88" t="s">
        <v>1381</v>
      </c>
      <c r="D1028" s="88" t="s">
        <v>400</v>
      </c>
      <c r="E1028" s="89">
        <v>23.02</v>
      </c>
      <c r="F1028" s="88" t="s">
        <v>9</v>
      </c>
      <c r="G1028" s="87">
        <f>Table1[[#This Row],[date]]</f>
        <v>45504</v>
      </c>
      <c r="H1028" s="94">
        <f>SUMIF($A$2:A4663,G1028,$E$2:E4663)</f>
        <v>559.88</v>
      </c>
      <c r="I1028" s="93" t="str">
        <f t="shared" si="61"/>
        <v>Wednesday</v>
      </c>
      <c r="J1028" s="93" t="str">
        <f t="shared" si="62"/>
        <v>July</v>
      </c>
      <c r="K1028" s="93" t="str">
        <f t="shared" si="63"/>
        <v>2024</v>
      </c>
      <c r="L1028" s="6"/>
      <c r="M1028" s="6"/>
      <c r="N1028" s="6"/>
    </row>
    <row r="1029" spans="1:14" x14ac:dyDescent="0.3">
      <c r="A1029" s="87">
        <v>45504</v>
      </c>
      <c r="B1029" s="87" t="str">
        <f t="shared" si="64"/>
        <v>Wednesday</v>
      </c>
      <c r="C1029" s="88" t="s">
        <v>1381</v>
      </c>
      <c r="D1029" s="88" t="s">
        <v>288</v>
      </c>
      <c r="E1029" s="89">
        <v>27.92</v>
      </c>
      <c r="F1029" s="88" t="s">
        <v>12</v>
      </c>
      <c r="G1029" s="87">
        <f>Table1[[#This Row],[date]]</f>
        <v>45504</v>
      </c>
      <c r="H1029" s="94">
        <f>SUMIF($A$2:A4664,G1029,$E$2:E4664)</f>
        <v>559.88</v>
      </c>
      <c r="I1029" s="93" t="str">
        <f t="shared" si="61"/>
        <v>Wednesday</v>
      </c>
      <c r="J1029" s="93" t="str">
        <f t="shared" si="62"/>
        <v>July</v>
      </c>
      <c r="K1029" s="93" t="str">
        <f t="shared" si="63"/>
        <v>2024</v>
      </c>
      <c r="L1029" s="6"/>
      <c r="M1029" s="6"/>
      <c r="N1029" s="6"/>
    </row>
    <row r="1030" spans="1:14" x14ac:dyDescent="0.3">
      <c r="A1030" s="92">
        <v>45504</v>
      </c>
      <c r="B1030" s="92" t="str">
        <f t="shared" si="64"/>
        <v>Wednesday</v>
      </c>
      <c r="C1030" s="93" t="s">
        <v>1381</v>
      </c>
      <c r="D1030" s="93" t="s">
        <v>396</v>
      </c>
      <c r="E1030" s="94">
        <v>32.82</v>
      </c>
      <c r="F1030" s="93" t="s">
        <v>16</v>
      </c>
      <c r="G1030" s="87">
        <f>Table1[[#This Row],[date]]</f>
        <v>45504</v>
      </c>
      <c r="H1030" s="94">
        <f>SUMIF($A$2:A4665,G1030,$E$2:E4665)</f>
        <v>559.88</v>
      </c>
      <c r="I1030" s="93" t="str">
        <f t="shared" ref="I1030:I1093" si="65">TEXT(G1030,"dddd")</f>
        <v>Wednesday</v>
      </c>
      <c r="J1030" s="93" t="str">
        <f t="shared" si="62"/>
        <v>July</v>
      </c>
      <c r="K1030" s="93" t="str">
        <f t="shared" si="63"/>
        <v>2024</v>
      </c>
      <c r="L1030" s="6"/>
      <c r="M1030" s="6"/>
      <c r="N1030" s="6"/>
    </row>
    <row r="1031" spans="1:14" x14ac:dyDescent="0.3">
      <c r="A1031" s="87">
        <v>45504</v>
      </c>
      <c r="B1031" s="87" t="str">
        <f t="shared" si="64"/>
        <v>Wednesday</v>
      </c>
      <c r="C1031" s="88" t="s">
        <v>1381</v>
      </c>
      <c r="D1031" s="88" t="s">
        <v>396</v>
      </c>
      <c r="E1031" s="89">
        <v>32.82</v>
      </c>
      <c r="F1031" s="88" t="s">
        <v>5</v>
      </c>
      <c r="G1031" s="87">
        <f>Table1[[#This Row],[date]]</f>
        <v>45504</v>
      </c>
      <c r="H1031" s="94">
        <f>SUMIF($A$2:A4666,G1031,$E$2:E4666)</f>
        <v>559.88</v>
      </c>
      <c r="I1031" s="93" t="str">
        <f t="shared" si="65"/>
        <v>Wednesday</v>
      </c>
      <c r="J1031" s="93" t="str">
        <f t="shared" ref="J1031:J1094" si="66">TEXT(G1031,"mmmm")</f>
        <v>July</v>
      </c>
      <c r="K1031" s="93" t="str">
        <f t="shared" ref="K1031:K1094" si="67">TEXT(G1031,"yyyy")</f>
        <v>2024</v>
      </c>
      <c r="L1031" s="6"/>
      <c r="M1031" s="6"/>
      <c r="N1031" s="6"/>
    </row>
    <row r="1032" spans="1:14" x14ac:dyDescent="0.3">
      <c r="A1032" s="92">
        <v>45504</v>
      </c>
      <c r="B1032" s="92" t="str">
        <f t="shared" si="64"/>
        <v>Wednesday</v>
      </c>
      <c r="C1032" s="93" t="s">
        <v>1381</v>
      </c>
      <c r="D1032" s="93" t="s">
        <v>450</v>
      </c>
      <c r="E1032" s="94">
        <v>27.92</v>
      </c>
      <c r="F1032" s="93" t="s">
        <v>12</v>
      </c>
      <c r="G1032" s="87">
        <f>Table1[[#This Row],[date]]</f>
        <v>45504</v>
      </c>
      <c r="H1032" s="94">
        <f>SUMIF($A$2:A4667,G1032,$E$2:E4667)</f>
        <v>559.88</v>
      </c>
      <c r="I1032" s="93" t="str">
        <f t="shared" si="65"/>
        <v>Wednesday</v>
      </c>
      <c r="J1032" s="93" t="str">
        <f t="shared" si="66"/>
        <v>July</v>
      </c>
      <c r="K1032" s="93" t="str">
        <f t="shared" si="67"/>
        <v>2024</v>
      </c>
      <c r="L1032" s="6"/>
      <c r="M1032" s="6"/>
      <c r="N1032" s="6"/>
    </row>
    <row r="1033" spans="1:14" x14ac:dyDescent="0.3">
      <c r="A1033" s="87">
        <v>45504</v>
      </c>
      <c r="B1033" s="87" t="str">
        <f t="shared" si="64"/>
        <v>Wednesday</v>
      </c>
      <c r="C1033" s="88" t="s">
        <v>1381</v>
      </c>
      <c r="D1033" s="88" t="s">
        <v>451</v>
      </c>
      <c r="E1033" s="89">
        <v>23.02</v>
      </c>
      <c r="F1033" s="88" t="s">
        <v>26</v>
      </c>
      <c r="G1033" s="87">
        <f>Table1[[#This Row],[date]]</f>
        <v>45504</v>
      </c>
      <c r="H1033" s="94">
        <f>SUMIF($A$2:A4668,G1033,$E$2:E4668)</f>
        <v>559.88</v>
      </c>
      <c r="I1033" s="93" t="str">
        <f t="shared" si="65"/>
        <v>Wednesday</v>
      </c>
      <c r="J1033" s="93" t="str">
        <f t="shared" si="66"/>
        <v>July</v>
      </c>
      <c r="K1033" s="93" t="str">
        <f t="shared" si="67"/>
        <v>2024</v>
      </c>
      <c r="L1033" s="6"/>
      <c r="M1033" s="6"/>
      <c r="N1033" s="6"/>
    </row>
    <row r="1034" spans="1:14" x14ac:dyDescent="0.3">
      <c r="A1034" s="92">
        <v>45504</v>
      </c>
      <c r="B1034" s="92" t="str">
        <f t="shared" si="64"/>
        <v>Wednesday</v>
      </c>
      <c r="C1034" s="93" t="s">
        <v>1381</v>
      </c>
      <c r="D1034" s="93" t="s">
        <v>452</v>
      </c>
      <c r="E1034" s="94">
        <v>32.82</v>
      </c>
      <c r="F1034" s="93" t="s">
        <v>5</v>
      </c>
      <c r="G1034" s="87">
        <f>Table1[[#This Row],[date]]</f>
        <v>45504</v>
      </c>
      <c r="H1034" s="94">
        <f>SUMIF($A$2:A4669,G1034,$E$2:E4669)</f>
        <v>559.88</v>
      </c>
      <c r="I1034" s="93" t="str">
        <f t="shared" si="65"/>
        <v>Wednesday</v>
      </c>
      <c r="J1034" s="93" t="str">
        <f t="shared" si="66"/>
        <v>July</v>
      </c>
      <c r="K1034" s="93" t="str">
        <f t="shared" si="67"/>
        <v>2024</v>
      </c>
      <c r="L1034" s="6"/>
      <c r="M1034" s="6"/>
      <c r="N1034" s="6"/>
    </row>
    <row r="1035" spans="1:14" x14ac:dyDescent="0.3">
      <c r="A1035" s="87">
        <v>45504</v>
      </c>
      <c r="B1035" s="87" t="str">
        <f t="shared" si="64"/>
        <v>Wednesday</v>
      </c>
      <c r="C1035" s="88" t="s">
        <v>1381</v>
      </c>
      <c r="D1035" s="88" t="s">
        <v>453</v>
      </c>
      <c r="E1035" s="89">
        <v>23.02</v>
      </c>
      <c r="F1035" s="88" t="s">
        <v>26</v>
      </c>
      <c r="G1035" s="87">
        <f>Table1[[#This Row],[date]]</f>
        <v>45504</v>
      </c>
      <c r="H1035" s="94">
        <f>SUMIF($A$2:A4670,G1035,$E$2:E4670)</f>
        <v>559.88</v>
      </c>
      <c r="I1035" s="93" t="str">
        <f t="shared" si="65"/>
        <v>Wednesday</v>
      </c>
      <c r="J1035" s="93" t="str">
        <f t="shared" si="66"/>
        <v>July</v>
      </c>
      <c r="K1035" s="93" t="str">
        <f t="shared" si="67"/>
        <v>2024</v>
      </c>
      <c r="L1035" s="6"/>
      <c r="M1035" s="6"/>
      <c r="N1035" s="6"/>
    </row>
    <row r="1036" spans="1:14" x14ac:dyDescent="0.3">
      <c r="A1036" s="92">
        <v>45504</v>
      </c>
      <c r="B1036" s="92" t="str">
        <f t="shared" si="64"/>
        <v>Wednesday</v>
      </c>
      <c r="C1036" s="93" t="s">
        <v>1381</v>
      </c>
      <c r="D1036" s="93" t="s">
        <v>17</v>
      </c>
      <c r="E1036" s="94">
        <v>32.82</v>
      </c>
      <c r="F1036" s="93" t="s">
        <v>5</v>
      </c>
      <c r="G1036" s="87">
        <f>Table1[[#This Row],[date]]</f>
        <v>45504</v>
      </c>
      <c r="H1036" s="94">
        <f>SUMIF($A$2:A4671,G1036,$E$2:E4671)</f>
        <v>559.88</v>
      </c>
      <c r="I1036" s="93" t="str">
        <f t="shared" si="65"/>
        <v>Wednesday</v>
      </c>
      <c r="J1036" s="93" t="str">
        <f t="shared" si="66"/>
        <v>July</v>
      </c>
      <c r="K1036" s="93" t="str">
        <f t="shared" si="67"/>
        <v>2024</v>
      </c>
      <c r="L1036" s="6"/>
      <c r="M1036" s="6"/>
      <c r="N1036" s="6"/>
    </row>
    <row r="1037" spans="1:14" x14ac:dyDescent="0.3">
      <c r="A1037" s="87">
        <v>45504</v>
      </c>
      <c r="B1037" s="87" t="str">
        <f t="shared" si="64"/>
        <v>Wednesday</v>
      </c>
      <c r="C1037" s="88" t="s">
        <v>1381</v>
      </c>
      <c r="D1037" s="88" t="s">
        <v>454</v>
      </c>
      <c r="E1037" s="89">
        <v>32.82</v>
      </c>
      <c r="F1037" s="88" t="s">
        <v>16</v>
      </c>
      <c r="G1037" s="87">
        <f>Table1[[#This Row],[date]]</f>
        <v>45504</v>
      </c>
      <c r="H1037" s="94">
        <f>SUMIF($A$2:A4672,G1037,$E$2:E4672)</f>
        <v>559.88</v>
      </c>
      <c r="I1037" s="93" t="str">
        <f t="shared" si="65"/>
        <v>Wednesday</v>
      </c>
      <c r="J1037" s="93" t="str">
        <f t="shared" si="66"/>
        <v>July</v>
      </c>
      <c r="K1037" s="93" t="str">
        <f t="shared" si="67"/>
        <v>2024</v>
      </c>
      <c r="L1037" s="6"/>
      <c r="M1037" s="6"/>
      <c r="N1037" s="6"/>
    </row>
    <row r="1038" spans="1:14" x14ac:dyDescent="0.3">
      <c r="A1038" s="92">
        <v>45504</v>
      </c>
      <c r="B1038" s="92" t="str">
        <f t="shared" si="64"/>
        <v>Wednesday</v>
      </c>
      <c r="C1038" s="93" t="s">
        <v>1381</v>
      </c>
      <c r="D1038" s="93" t="s">
        <v>455</v>
      </c>
      <c r="E1038" s="94">
        <v>23.02</v>
      </c>
      <c r="F1038" s="93" t="s">
        <v>26</v>
      </c>
      <c r="G1038" s="87">
        <f>Table1[[#This Row],[date]]</f>
        <v>45504</v>
      </c>
      <c r="H1038" s="94">
        <f>SUMIF($A$2:A4673,G1038,$E$2:E4673)</f>
        <v>559.88</v>
      </c>
      <c r="I1038" s="93" t="str">
        <f t="shared" si="65"/>
        <v>Wednesday</v>
      </c>
      <c r="J1038" s="93" t="str">
        <f t="shared" si="66"/>
        <v>July</v>
      </c>
      <c r="K1038" s="93" t="str">
        <f t="shared" si="67"/>
        <v>2024</v>
      </c>
      <c r="L1038" s="6"/>
      <c r="M1038" s="6"/>
      <c r="N1038" s="6"/>
    </row>
    <row r="1039" spans="1:14" x14ac:dyDescent="0.3">
      <c r="A1039" s="87">
        <v>45504</v>
      </c>
      <c r="B1039" s="87" t="str">
        <f t="shared" si="64"/>
        <v>Wednesday</v>
      </c>
      <c r="C1039" s="88" t="s">
        <v>1381</v>
      </c>
      <c r="D1039" s="88" t="s">
        <v>455</v>
      </c>
      <c r="E1039" s="89">
        <v>32.82</v>
      </c>
      <c r="F1039" s="88" t="s">
        <v>5</v>
      </c>
      <c r="G1039" s="87">
        <f>Table1[[#This Row],[date]]</f>
        <v>45504</v>
      </c>
      <c r="H1039" s="94">
        <f>SUMIF($A$2:A4674,G1039,$E$2:E4674)</f>
        <v>559.88</v>
      </c>
      <c r="I1039" s="93" t="str">
        <f t="shared" si="65"/>
        <v>Wednesday</v>
      </c>
      <c r="J1039" s="93" t="str">
        <f t="shared" si="66"/>
        <v>July</v>
      </c>
      <c r="K1039" s="93" t="str">
        <f t="shared" si="67"/>
        <v>2024</v>
      </c>
      <c r="L1039" s="6"/>
      <c r="M1039" s="6"/>
      <c r="N1039" s="6"/>
    </row>
    <row r="1040" spans="1:14" x14ac:dyDescent="0.3">
      <c r="A1040" s="92">
        <v>45504</v>
      </c>
      <c r="B1040" s="92" t="str">
        <f t="shared" si="64"/>
        <v>Wednesday</v>
      </c>
      <c r="C1040" s="93" t="s">
        <v>1381</v>
      </c>
      <c r="D1040" s="93" t="s">
        <v>165</v>
      </c>
      <c r="E1040" s="94">
        <v>32.82</v>
      </c>
      <c r="F1040" s="93" t="s">
        <v>41</v>
      </c>
      <c r="G1040" s="87">
        <f>Table1[[#This Row],[date]]</f>
        <v>45504</v>
      </c>
      <c r="H1040" s="94">
        <f>SUMIF($A$2:A4675,G1040,$E$2:E4675)</f>
        <v>559.88</v>
      </c>
      <c r="I1040" s="93" t="str">
        <f t="shared" si="65"/>
        <v>Wednesday</v>
      </c>
      <c r="J1040" s="93" t="str">
        <f t="shared" si="66"/>
        <v>July</v>
      </c>
      <c r="K1040" s="93" t="str">
        <f t="shared" si="67"/>
        <v>2024</v>
      </c>
      <c r="L1040" s="6"/>
      <c r="M1040" s="6"/>
      <c r="N1040" s="6"/>
    </row>
    <row r="1041" spans="1:14" x14ac:dyDescent="0.3">
      <c r="A1041" s="92">
        <v>45504</v>
      </c>
      <c r="B1041" s="92" t="str">
        <f t="shared" si="64"/>
        <v>Wednesday</v>
      </c>
      <c r="C1041" s="93" t="s">
        <v>1381</v>
      </c>
      <c r="D1041" s="93" t="s">
        <v>52</v>
      </c>
      <c r="E1041" s="94">
        <v>27.92</v>
      </c>
      <c r="F1041" s="93" t="s">
        <v>12</v>
      </c>
      <c r="G1041" s="87">
        <f>Table1[[#This Row],[date]]</f>
        <v>45504</v>
      </c>
      <c r="H1041" s="94">
        <f>SUMIF($A$2:A4676,G1041,$E$2:E4676)</f>
        <v>559.88</v>
      </c>
      <c r="I1041" s="93" t="str">
        <f t="shared" si="65"/>
        <v>Wednesday</v>
      </c>
      <c r="J1041" s="93" t="str">
        <f t="shared" si="66"/>
        <v>July</v>
      </c>
      <c r="K1041" s="93" t="str">
        <f t="shared" si="67"/>
        <v>2024</v>
      </c>
      <c r="L1041" s="6"/>
      <c r="M1041" s="6"/>
      <c r="N1041" s="6"/>
    </row>
    <row r="1042" spans="1:14" x14ac:dyDescent="0.3">
      <c r="A1042" s="87">
        <v>45504</v>
      </c>
      <c r="B1042" s="87" t="str">
        <f t="shared" si="64"/>
        <v>Wednesday</v>
      </c>
      <c r="C1042" s="88" t="s">
        <v>1381</v>
      </c>
      <c r="D1042" s="88" t="s">
        <v>456</v>
      </c>
      <c r="E1042" s="89">
        <v>32.82</v>
      </c>
      <c r="F1042" s="88" t="s">
        <v>5</v>
      </c>
      <c r="G1042" s="87">
        <f>Table1[[#This Row],[date]]</f>
        <v>45504</v>
      </c>
      <c r="H1042" s="94">
        <f>SUMIF($A$2:A4677,G1042,$E$2:E4677)</f>
        <v>559.88</v>
      </c>
      <c r="I1042" s="93" t="str">
        <f t="shared" si="65"/>
        <v>Wednesday</v>
      </c>
      <c r="J1042" s="93" t="str">
        <f t="shared" si="66"/>
        <v>July</v>
      </c>
      <c r="K1042" s="93" t="str">
        <f t="shared" si="67"/>
        <v>2024</v>
      </c>
      <c r="L1042" s="6"/>
      <c r="M1042" s="6"/>
      <c r="N1042" s="6"/>
    </row>
    <row r="1043" spans="1:14" x14ac:dyDescent="0.3">
      <c r="A1043" s="92">
        <v>45504</v>
      </c>
      <c r="B1043" s="92" t="str">
        <f t="shared" si="64"/>
        <v>Wednesday</v>
      </c>
      <c r="C1043" s="93" t="s">
        <v>1381</v>
      </c>
      <c r="D1043" s="93" t="s">
        <v>457</v>
      </c>
      <c r="E1043" s="94">
        <v>32.82</v>
      </c>
      <c r="F1043" s="93" t="s">
        <v>5</v>
      </c>
      <c r="G1043" s="87">
        <f>Table1[[#This Row],[date]]</f>
        <v>45504</v>
      </c>
      <c r="H1043" s="94">
        <f>SUMIF($A$2:A4678,G1043,$E$2:E4678)</f>
        <v>559.88</v>
      </c>
      <c r="I1043" s="93" t="str">
        <f t="shared" si="65"/>
        <v>Wednesday</v>
      </c>
      <c r="J1043" s="93" t="str">
        <f t="shared" si="66"/>
        <v>July</v>
      </c>
      <c r="K1043" s="93" t="str">
        <f t="shared" si="67"/>
        <v>2024</v>
      </c>
      <c r="L1043" s="6"/>
      <c r="M1043" s="6"/>
      <c r="N1043" s="6"/>
    </row>
    <row r="1044" spans="1:14" x14ac:dyDescent="0.3">
      <c r="A1044" s="87">
        <v>45504</v>
      </c>
      <c r="B1044" s="87" t="str">
        <f t="shared" si="64"/>
        <v>Wednesday</v>
      </c>
      <c r="C1044" s="88" t="s">
        <v>1381</v>
      </c>
      <c r="D1044" s="88" t="s">
        <v>458</v>
      </c>
      <c r="E1044" s="89">
        <v>32.82</v>
      </c>
      <c r="F1044" s="88" t="s">
        <v>5</v>
      </c>
      <c r="G1044" s="87">
        <f>Table1[[#This Row],[date]]</f>
        <v>45504</v>
      </c>
      <c r="H1044" s="94">
        <f>SUMIF($A$2:A4679,G1044,$E$2:E4679)</f>
        <v>559.88</v>
      </c>
      <c r="I1044" s="93" t="str">
        <f t="shared" si="65"/>
        <v>Wednesday</v>
      </c>
      <c r="J1044" s="93" t="str">
        <f t="shared" si="66"/>
        <v>July</v>
      </c>
      <c r="K1044" s="93" t="str">
        <f t="shared" si="67"/>
        <v>2024</v>
      </c>
      <c r="L1044" s="6"/>
      <c r="M1044" s="6"/>
      <c r="N1044" s="6"/>
    </row>
    <row r="1045" spans="1:14" x14ac:dyDescent="0.3">
      <c r="A1045" s="92">
        <v>45505</v>
      </c>
      <c r="B1045" s="92" t="str">
        <f t="shared" si="64"/>
        <v>Thursday</v>
      </c>
      <c r="C1045" s="93" t="s">
        <v>1381</v>
      </c>
      <c r="D1045" s="93" t="s">
        <v>435</v>
      </c>
      <c r="E1045" s="94">
        <v>27.92</v>
      </c>
      <c r="F1045" s="93" t="s">
        <v>12</v>
      </c>
      <c r="G1045" s="87">
        <f>Table1[[#This Row],[date]]</f>
        <v>45505</v>
      </c>
      <c r="H1045" s="94">
        <f>SUMIF($A$2:A4680,G1045,$E$2:E4680)</f>
        <v>307.12</v>
      </c>
      <c r="I1045" s="93" t="str">
        <f t="shared" si="65"/>
        <v>Thursday</v>
      </c>
      <c r="J1045" s="93" t="str">
        <f t="shared" si="66"/>
        <v>August</v>
      </c>
      <c r="K1045" s="93" t="str">
        <f t="shared" si="67"/>
        <v>2024</v>
      </c>
      <c r="L1045" s="6"/>
      <c r="M1045" s="6"/>
      <c r="N1045" s="6"/>
    </row>
    <row r="1046" spans="1:14" x14ac:dyDescent="0.3">
      <c r="A1046" s="87">
        <v>45505</v>
      </c>
      <c r="B1046" s="87" t="str">
        <f t="shared" si="64"/>
        <v>Thursday</v>
      </c>
      <c r="C1046" s="88" t="s">
        <v>1381</v>
      </c>
      <c r="D1046" s="88" t="s">
        <v>288</v>
      </c>
      <c r="E1046" s="89">
        <v>27.92</v>
      </c>
      <c r="F1046" s="88" t="s">
        <v>12</v>
      </c>
      <c r="G1046" s="87">
        <f>Table1[[#This Row],[date]]</f>
        <v>45505</v>
      </c>
      <c r="H1046" s="94">
        <f>SUMIF($A$2:A4681,G1046,$E$2:E4681)</f>
        <v>307.12</v>
      </c>
      <c r="I1046" s="93" t="str">
        <f t="shared" si="65"/>
        <v>Thursday</v>
      </c>
      <c r="J1046" s="93" t="str">
        <f t="shared" si="66"/>
        <v>August</v>
      </c>
      <c r="K1046" s="93" t="str">
        <f t="shared" si="67"/>
        <v>2024</v>
      </c>
      <c r="L1046" s="6"/>
      <c r="M1046" s="6"/>
      <c r="N1046" s="6"/>
    </row>
    <row r="1047" spans="1:14" x14ac:dyDescent="0.3">
      <c r="A1047" s="92">
        <v>45505</v>
      </c>
      <c r="B1047" s="92" t="str">
        <f t="shared" si="64"/>
        <v>Thursday</v>
      </c>
      <c r="C1047" s="93" t="s">
        <v>1381</v>
      </c>
      <c r="D1047" s="93" t="s">
        <v>109</v>
      </c>
      <c r="E1047" s="94">
        <v>27.92</v>
      </c>
      <c r="F1047" s="93" t="s">
        <v>12</v>
      </c>
      <c r="G1047" s="87">
        <f>Table1[[#This Row],[date]]</f>
        <v>45505</v>
      </c>
      <c r="H1047" s="94">
        <f>SUMIF($A$2:A4682,G1047,$E$2:E4682)</f>
        <v>307.12</v>
      </c>
      <c r="I1047" s="93" t="str">
        <f t="shared" si="65"/>
        <v>Thursday</v>
      </c>
      <c r="J1047" s="93" t="str">
        <f t="shared" si="66"/>
        <v>August</v>
      </c>
      <c r="K1047" s="93" t="str">
        <f t="shared" si="67"/>
        <v>2024</v>
      </c>
      <c r="L1047" s="6"/>
      <c r="M1047" s="6"/>
      <c r="N1047" s="6"/>
    </row>
    <row r="1048" spans="1:14" x14ac:dyDescent="0.3">
      <c r="A1048" s="87">
        <v>45505</v>
      </c>
      <c r="B1048" s="87" t="str">
        <f t="shared" si="64"/>
        <v>Thursday</v>
      </c>
      <c r="C1048" s="88" t="s">
        <v>1381</v>
      </c>
      <c r="D1048" s="88" t="s">
        <v>459</v>
      </c>
      <c r="E1048" s="89">
        <v>27.92</v>
      </c>
      <c r="F1048" s="88" t="s">
        <v>12</v>
      </c>
      <c r="G1048" s="87">
        <f>Table1[[#This Row],[date]]</f>
        <v>45505</v>
      </c>
      <c r="H1048" s="94">
        <f>SUMIF($A$2:A4683,G1048,$E$2:E4683)</f>
        <v>307.12</v>
      </c>
      <c r="I1048" s="93" t="str">
        <f t="shared" si="65"/>
        <v>Thursday</v>
      </c>
      <c r="J1048" s="93" t="str">
        <f t="shared" si="66"/>
        <v>August</v>
      </c>
      <c r="K1048" s="93" t="str">
        <f t="shared" si="67"/>
        <v>2024</v>
      </c>
      <c r="L1048" s="6"/>
      <c r="M1048" s="6"/>
      <c r="N1048" s="6"/>
    </row>
    <row r="1049" spans="1:14" x14ac:dyDescent="0.3">
      <c r="A1049" s="92">
        <v>45505</v>
      </c>
      <c r="B1049" s="92" t="str">
        <f t="shared" si="64"/>
        <v>Thursday</v>
      </c>
      <c r="C1049" s="93" t="s">
        <v>1381</v>
      </c>
      <c r="D1049" s="93" t="s">
        <v>460</v>
      </c>
      <c r="E1049" s="94">
        <v>23.02</v>
      </c>
      <c r="F1049" s="93" t="s">
        <v>26</v>
      </c>
      <c r="G1049" s="87">
        <f>Table1[[#This Row],[date]]</f>
        <v>45505</v>
      </c>
      <c r="H1049" s="94">
        <f>SUMIF($A$2:A4684,G1049,$E$2:E4684)</f>
        <v>307.12</v>
      </c>
      <c r="I1049" s="93" t="str">
        <f t="shared" si="65"/>
        <v>Thursday</v>
      </c>
      <c r="J1049" s="93" t="str">
        <f t="shared" si="66"/>
        <v>August</v>
      </c>
      <c r="K1049" s="93" t="str">
        <f t="shared" si="67"/>
        <v>2024</v>
      </c>
      <c r="L1049" s="6"/>
      <c r="M1049" s="6"/>
      <c r="N1049" s="6"/>
    </row>
    <row r="1050" spans="1:14" x14ac:dyDescent="0.3">
      <c r="A1050" s="87">
        <v>45505</v>
      </c>
      <c r="B1050" s="87" t="str">
        <f t="shared" si="64"/>
        <v>Thursday</v>
      </c>
      <c r="C1050" s="88" t="s">
        <v>1381</v>
      </c>
      <c r="D1050" s="88" t="s">
        <v>460</v>
      </c>
      <c r="E1050" s="89">
        <v>32.82</v>
      </c>
      <c r="F1050" s="88" t="s">
        <v>41</v>
      </c>
      <c r="G1050" s="87">
        <f>Table1[[#This Row],[date]]</f>
        <v>45505</v>
      </c>
      <c r="H1050" s="94">
        <f>SUMIF($A$2:A4685,G1050,$E$2:E4685)</f>
        <v>307.12</v>
      </c>
      <c r="I1050" s="93" t="str">
        <f t="shared" si="65"/>
        <v>Thursday</v>
      </c>
      <c r="J1050" s="93" t="str">
        <f t="shared" si="66"/>
        <v>August</v>
      </c>
      <c r="K1050" s="93" t="str">
        <f t="shared" si="67"/>
        <v>2024</v>
      </c>
      <c r="L1050" s="6"/>
      <c r="M1050" s="6"/>
      <c r="N1050" s="6"/>
    </row>
    <row r="1051" spans="1:14" x14ac:dyDescent="0.3">
      <c r="A1051" s="92">
        <v>45505</v>
      </c>
      <c r="B1051" s="92" t="str">
        <f t="shared" si="64"/>
        <v>Thursday</v>
      </c>
      <c r="C1051" s="93" t="s">
        <v>1381</v>
      </c>
      <c r="D1051" s="93" t="s">
        <v>461</v>
      </c>
      <c r="E1051" s="94">
        <v>32.82</v>
      </c>
      <c r="F1051" s="93" t="s">
        <v>41</v>
      </c>
      <c r="G1051" s="87">
        <f>Table1[[#This Row],[date]]</f>
        <v>45505</v>
      </c>
      <c r="H1051" s="94">
        <f>SUMIF($A$2:A4686,G1051,$E$2:E4686)</f>
        <v>307.12</v>
      </c>
      <c r="I1051" s="93" t="str">
        <f t="shared" si="65"/>
        <v>Thursday</v>
      </c>
      <c r="J1051" s="93" t="str">
        <f t="shared" si="66"/>
        <v>August</v>
      </c>
      <c r="K1051" s="93" t="str">
        <f t="shared" si="67"/>
        <v>2024</v>
      </c>
      <c r="L1051" s="6"/>
      <c r="M1051" s="6"/>
      <c r="N1051" s="6"/>
    </row>
    <row r="1052" spans="1:14" x14ac:dyDescent="0.3">
      <c r="A1052" s="92">
        <v>45505</v>
      </c>
      <c r="B1052" s="92" t="str">
        <f t="shared" si="64"/>
        <v>Thursday</v>
      </c>
      <c r="C1052" s="93" t="s">
        <v>1381</v>
      </c>
      <c r="D1052" s="93" t="s">
        <v>462</v>
      </c>
      <c r="E1052" s="94">
        <v>27.92</v>
      </c>
      <c r="F1052" s="93" t="s">
        <v>12</v>
      </c>
      <c r="G1052" s="87">
        <f>Table1[[#This Row],[date]]</f>
        <v>45505</v>
      </c>
      <c r="H1052" s="94">
        <f>SUMIF($A$2:A4687,G1052,$E$2:E4687)</f>
        <v>307.12</v>
      </c>
      <c r="I1052" s="93" t="str">
        <f t="shared" si="65"/>
        <v>Thursday</v>
      </c>
      <c r="J1052" s="93" t="str">
        <f t="shared" si="66"/>
        <v>August</v>
      </c>
      <c r="K1052" s="93" t="str">
        <f t="shared" si="67"/>
        <v>2024</v>
      </c>
      <c r="L1052" s="6"/>
      <c r="M1052" s="6"/>
      <c r="N1052" s="6"/>
    </row>
    <row r="1053" spans="1:14" x14ac:dyDescent="0.3">
      <c r="A1053" s="87">
        <v>45505</v>
      </c>
      <c r="B1053" s="87" t="str">
        <f t="shared" si="64"/>
        <v>Thursday</v>
      </c>
      <c r="C1053" s="88" t="s">
        <v>1381</v>
      </c>
      <c r="D1053" s="88" t="s">
        <v>462</v>
      </c>
      <c r="E1053" s="89">
        <v>23.02</v>
      </c>
      <c r="F1053" s="88" t="s">
        <v>9</v>
      </c>
      <c r="G1053" s="87">
        <f>Table1[[#This Row],[date]]</f>
        <v>45505</v>
      </c>
      <c r="H1053" s="94">
        <f>SUMIF($A$2:A4688,G1053,$E$2:E4688)</f>
        <v>307.12</v>
      </c>
      <c r="I1053" s="93" t="str">
        <f t="shared" si="65"/>
        <v>Thursday</v>
      </c>
      <c r="J1053" s="93" t="str">
        <f t="shared" si="66"/>
        <v>August</v>
      </c>
      <c r="K1053" s="93" t="str">
        <f t="shared" si="67"/>
        <v>2024</v>
      </c>
      <c r="L1053" s="6"/>
      <c r="M1053" s="6"/>
      <c r="N1053" s="6"/>
    </row>
    <row r="1054" spans="1:14" x14ac:dyDescent="0.3">
      <c r="A1054" s="92">
        <v>45505</v>
      </c>
      <c r="B1054" s="92" t="str">
        <f t="shared" si="64"/>
        <v>Thursday</v>
      </c>
      <c r="C1054" s="93" t="s">
        <v>1381</v>
      </c>
      <c r="D1054" s="93" t="s">
        <v>463</v>
      </c>
      <c r="E1054" s="94">
        <v>23.02</v>
      </c>
      <c r="F1054" s="93" t="s">
        <v>9</v>
      </c>
      <c r="G1054" s="87">
        <f>Table1[[#This Row],[date]]</f>
        <v>45505</v>
      </c>
      <c r="H1054" s="94">
        <f>SUMIF($A$2:A4689,G1054,$E$2:E4689)</f>
        <v>307.12</v>
      </c>
      <c r="I1054" s="93" t="str">
        <f t="shared" si="65"/>
        <v>Thursday</v>
      </c>
      <c r="J1054" s="93" t="str">
        <f t="shared" si="66"/>
        <v>August</v>
      </c>
      <c r="K1054" s="93" t="str">
        <f t="shared" si="67"/>
        <v>2024</v>
      </c>
      <c r="L1054" s="6"/>
      <c r="M1054" s="6"/>
      <c r="N1054" s="6"/>
    </row>
    <row r="1055" spans="1:14" x14ac:dyDescent="0.3">
      <c r="A1055" s="87">
        <v>45505</v>
      </c>
      <c r="B1055" s="87" t="str">
        <f t="shared" si="64"/>
        <v>Thursday</v>
      </c>
      <c r="C1055" s="88" t="s">
        <v>1381</v>
      </c>
      <c r="D1055" s="88" t="s">
        <v>464</v>
      </c>
      <c r="E1055" s="89">
        <v>32.82</v>
      </c>
      <c r="F1055" s="88" t="s">
        <v>41</v>
      </c>
      <c r="G1055" s="87">
        <f>Table1[[#This Row],[date]]</f>
        <v>45505</v>
      </c>
      <c r="H1055" s="94">
        <f>SUMIF($A$2:A4690,G1055,$E$2:E4690)</f>
        <v>307.12</v>
      </c>
      <c r="I1055" s="93" t="str">
        <f t="shared" si="65"/>
        <v>Thursday</v>
      </c>
      <c r="J1055" s="93" t="str">
        <f t="shared" si="66"/>
        <v>August</v>
      </c>
      <c r="K1055" s="93" t="str">
        <f t="shared" si="67"/>
        <v>2024</v>
      </c>
      <c r="L1055" s="6"/>
      <c r="M1055" s="6"/>
      <c r="N1055" s="6"/>
    </row>
    <row r="1056" spans="1:14" x14ac:dyDescent="0.3">
      <c r="A1056" s="92">
        <v>45506</v>
      </c>
      <c r="B1056" s="92" t="str">
        <f t="shared" si="64"/>
        <v>Friday</v>
      </c>
      <c r="C1056" s="93" t="s">
        <v>1381</v>
      </c>
      <c r="D1056" s="93" t="s">
        <v>465</v>
      </c>
      <c r="E1056" s="94">
        <v>27.92</v>
      </c>
      <c r="F1056" s="93" t="s">
        <v>12</v>
      </c>
      <c r="G1056" s="87">
        <f>Table1[[#This Row],[date]]</f>
        <v>45506</v>
      </c>
      <c r="H1056" s="94">
        <f>SUMIF($A$2:A4691,G1056,$E$2:E4691)</f>
        <v>139.6</v>
      </c>
      <c r="I1056" s="93" t="str">
        <f t="shared" si="65"/>
        <v>Friday</v>
      </c>
      <c r="J1056" s="93" t="str">
        <f t="shared" si="66"/>
        <v>August</v>
      </c>
      <c r="K1056" s="93" t="str">
        <f t="shared" si="67"/>
        <v>2024</v>
      </c>
      <c r="L1056" s="6"/>
      <c r="M1056" s="6"/>
      <c r="N1056" s="6"/>
    </row>
    <row r="1057" spans="1:14" x14ac:dyDescent="0.3">
      <c r="A1057" s="87">
        <v>45506</v>
      </c>
      <c r="B1057" s="87" t="str">
        <f t="shared" si="64"/>
        <v>Friday</v>
      </c>
      <c r="C1057" s="88" t="s">
        <v>1381</v>
      </c>
      <c r="D1057" s="88" t="s">
        <v>109</v>
      </c>
      <c r="E1057" s="89">
        <v>27.92</v>
      </c>
      <c r="F1057" s="88" t="s">
        <v>12</v>
      </c>
      <c r="G1057" s="87">
        <f>Table1[[#This Row],[date]]</f>
        <v>45506</v>
      </c>
      <c r="H1057" s="94">
        <f>SUMIF($A$2:A4692,G1057,$E$2:E4692)</f>
        <v>139.6</v>
      </c>
      <c r="I1057" s="93" t="str">
        <f t="shared" si="65"/>
        <v>Friday</v>
      </c>
      <c r="J1057" s="93" t="str">
        <f t="shared" si="66"/>
        <v>August</v>
      </c>
      <c r="K1057" s="93" t="str">
        <f t="shared" si="67"/>
        <v>2024</v>
      </c>
      <c r="L1057" s="6"/>
      <c r="M1057" s="6"/>
      <c r="N1057" s="6"/>
    </row>
    <row r="1058" spans="1:14" x14ac:dyDescent="0.3">
      <c r="A1058" s="92">
        <v>45506</v>
      </c>
      <c r="B1058" s="92" t="str">
        <f t="shared" si="64"/>
        <v>Friday</v>
      </c>
      <c r="C1058" s="93" t="s">
        <v>1381</v>
      </c>
      <c r="D1058" s="93" t="s">
        <v>153</v>
      </c>
      <c r="E1058" s="94">
        <v>23.02</v>
      </c>
      <c r="F1058" s="93" t="s">
        <v>26</v>
      </c>
      <c r="G1058" s="87">
        <f>Table1[[#This Row],[date]]</f>
        <v>45506</v>
      </c>
      <c r="H1058" s="94">
        <f>SUMIF($A$2:A4693,G1058,$E$2:E4693)</f>
        <v>139.6</v>
      </c>
      <c r="I1058" s="93" t="str">
        <f t="shared" si="65"/>
        <v>Friday</v>
      </c>
      <c r="J1058" s="93" t="str">
        <f t="shared" si="66"/>
        <v>August</v>
      </c>
      <c r="K1058" s="93" t="str">
        <f t="shared" si="67"/>
        <v>2024</v>
      </c>
      <c r="L1058" s="6"/>
      <c r="M1058" s="6"/>
      <c r="N1058" s="6"/>
    </row>
    <row r="1059" spans="1:14" x14ac:dyDescent="0.3">
      <c r="A1059" s="87">
        <v>45506</v>
      </c>
      <c r="B1059" s="87" t="str">
        <f t="shared" si="64"/>
        <v>Friday</v>
      </c>
      <c r="C1059" s="88" t="s">
        <v>1381</v>
      </c>
      <c r="D1059" s="88" t="s">
        <v>466</v>
      </c>
      <c r="E1059" s="89">
        <v>27.92</v>
      </c>
      <c r="F1059" s="88" t="s">
        <v>12</v>
      </c>
      <c r="G1059" s="87">
        <f>Table1[[#This Row],[date]]</f>
        <v>45506</v>
      </c>
      <c r="H1059" s="94">
        <f>SUMIF($A$2:A4694,G1059,$E$2:E4694)</f>
        <v>139.6</v>
      </c>
      <c r="I1059" s="93" t="str">
        <f t="shared" si="65"/>
        <v>Friday</v>
      </c>
      <c r="J1059" s="93" t="str">
        <f t="shared" si="66"/>
        <v>August</v>
      </c>
      <c r="K1059" s="93" t="str">
        <f t="shared" si="67"/>
        <v>2024</v>
      </c>
      <c r="L1059" s="6"/>
      <c r="M1059" s="6"/>
      <c r="N1059" s="6"/>
    </row>
    <row r="1060" spans="1:14" x14ac:dyDescent="0.3">
      <c r="A1060" s="92">
        <v>45506</v>
      </c>
      <c r="B1060" s="92" t="str">
        <f t="shared" si="64"/>
        <v>Friday</v>
      </c>
      <c r="C1060" s="93" t="s">
        <v>1381</v>
      </c>
      <c r="D1060" s="93" t="s">
        <v>17</v>
      </c>
      <c r="E1060" s="94">
        <v>32.82</v>
      </c>
      <c r="F1060" s="93" t="s">
        <v>5</v>
      </c>
      <c r="G1060" s="87">
        <f>Table1[[#This Row],[date]]</f>
        <v>45506</v>
      </c>
      <c r="H1060" s="94">
        <f>SUMIF($A$2:A4695,G1060,$E$2:E4695)</f>
        <v>139.6</v>
      </c>
      <c r="I1060" s="93" t="str">
        <f t="shared" si="65"/>
        <v>Friday</v>
      </c>
      <c r="J1060" s="93" t="str">
        <f t="shared" si="66"/>
        <v>August</v>
      </c>
      <c r="K1060" s="93" t="str">
        <f t="shared" si="67"/>
        <v>2024</v>
      </c>
      <c r="L1060" s="6"/>
      <c r="M1060" s="6"/>
      <c r="N1060" s="6"/>
    </row>
    <row r="1061" spans="1:14" x14ac:dyDescent="0.3">
      <c r="A1061" s="87">
        <v>45507</v>
      </c>
      <c r="B1061" s="87" t="str">
        <f t="shared" si="64"/>
        <v>Saturday</v>
      </c>
      <c r="C1061" s="88" t="s">
        <v>1381</v>
      </c>
      <c r="D1061" s="88" t="s">
        <v>109</v>
      </c>
      <c r="E1061" s="89">
        <v>27.92</v>
      </c>
      <c r="F1061" s="88" t="s">
        <v>12</v>
      </c>
      <c r="G1061" s="87">
        <f>Table1[[#This Row],[date]]</f>
        <v>45507</v>
      </c>
      <c r="H1061" s="94">
        <f>SUMIF($A$2:A4696,G1061,$E$2:E4696)</f>
        <v>246.38</v>
      </c>
      <c r="I1061" s="93" t="str">
        <f t="shared" si="65"/>
        <v>Saturday</v>
      </c>
      <c r="J1061" s="93" t="str">
        <f t="shared" si="66"/>
        <v>August</v>
      </c>
      <c r="K1061" s="93" t="str">
        <f t="shared" si="67"/>
        <v>2024</v>
      </c>
      <c r="L1061" s="6"/>
      <c r="M1061" s="6"/>
      <c r="N1061" s="6"/>
    </row>
    <row r="1062" spans="1:14" x14ac:dyDescent="0.3">
      <c r="A1062" s="92">
        <v>45507</v>
      </c>
      <c r="B1062" s="92" t="str">
        <f t="shared" si="64"/>
        <v>Saturday</v>
      </c>
      <c r="C1062" s="93" t="s">
        <v>1381</v>
      </c>
      <c r="D1062" s="93" t="s">
        <v>413</v>
      </c>
      <c r="E1062" s="94">
        <v>27.92</v>
      </c>
      <c r="F1062" s="93" t="s">
        <v>12</v>
      </c>
      <c r="G1062" s="87">
        <f>Table1[[#This Row],[date]]</f>
        <v>45507</v>
      </c>
      <c r="H1062" s="94">
        <f>SUMIF($A$2:A4697,G1062,$E$2:E4697)</f>
        <v>246.38</v>
      </c>
      <c r="I1062" s="93" t="str">
        <f t="shared" si="65"/>
        <v>Saturday</v>
      </c>
      <c r="J1062" s="93" t="str">
        <f t="shared" si="66"/>
        <v>August</v>
      </c>
      <c r="K1062" s="93" t="str">
        <f t="shared" si="67"/>
        <v>2024</v>
      </c>
      <c r="L1062" s="6"/>
      <c r="M1062" s="6"/>
      <c r="N1062" s="6"/>
    </row>
    <row r="1063" spans="1:14" x14ac:dyDescent="0.3">
      <c r="A1063" s="92">
        <v>45507</v>
      </c>
      <c r="B1063" s="92" t="str">
        <f t="shared" si="64"/>
        <v>Saturday</v>
      </c>
      <c r="C1063" s="93" t="s">
        <v>1381</v>
      </c>
      <c r="D1063" s="93" t="s">
        <v>316</v>
      </c>
      <c r="E1063" s="94">
        <v>27.92</v>
      </c>
      <c r="F1063" s="93" t="s">
        <v>12</v>
      </c>
      <c r="G1063" s="87">
        <f>Table1[[#This Row],[date]]</f>
        <v>45507</v>
      </c>
      <c r="H1063" s="94">
        <f>SUMIF($A$2:A4698,G1063,$E$2:E4698)</f>
        <v>246.38</v>
      </c>
      <c r="I1063" s="93" t="str">
        <f t="shared" si="65"/>
        <v>Saturday</v>
      </c>
      <c r="J1063" s="93" t="str">
        <f t="shared" si="66"/>
        <v>August</v>
      </c>
      <c r="K1063" s="93" t="str">
        <f t="shared" si="67"/>
        <v>2024</v>
      </c>
      <c r="L1063" s="6"/>
      <c r="M1063" s="6"/>
      <c r="N1063" s="6"/>
    </row>
    <row r="1064" spans="1:14" x14ac:dyDescent="0.3">
      <c r="A1064" s="87">
        <v>45507</v>
      </c>
      <c r="B1064" s="87" t="str">
        <f t="shared" si="64"/>
        <v>Saturday</v>
      </c>
      <c r="C1064" s="88" t="s">
        <v>1381</v>
      </c>
      <c r="D1064" s="88" t="s">
        <v>467</v>
      </c>
      <c r="E1064" s="89">
        <v>23.02</v>
      </c>
      <c r="F1064" s="88" t="s">
        <v>26</v>
      </c>
      <c r="G1064" s="87">
        <f>Table1[[#This Row],[date]]</f>
        <v>45507</v>
      </c>
      <c r="H1064" s="94">
        <f>SUMIF($A$2:A4699,G1064,$E$2:E4699)</f>
        <v>246.38</v>
      </c>
      <c r="I1064" s="93" t="str">
        <f t="shared" si="65"/>
        <v>Saturday</v>
      </c>
      <c r="J1064" s="93" t="str">
        <f t="shared" si="66"/>
        <v>August</v>
      </c>
      <c r="K1064" s="93" t="str">
        <f t="shared" si="67"/>
        <v>2024</v>
      </c>
      <c r="L1064" s="6"/>
      <c r="M1064" s="6"/>
      <c r="N1064" s="6"/>
    </row>
    <row r="1065" spans="1:14" x14ac:dyDescent="0.3">
      <c r="A1065" s="87">
        <v>45507</v>
      </c>
      <c r="B1065" s="87" t="str">
        <f t="shared" si="64"/>
        <v>Saturday</v>
      </c>
      <c r="C1065" s="88" t="s">
        <v>1381</v>
      </c>
      <c r="D1065" s="88" t="s">
        <v>52</v>
      </c>
      <c r="E1065" s="89">
        <v>18.12</v>
      </c>
      <c r="F1065" s="88" t="s">
        <v>33</v>
      </c>
      <c r="G1065" s="87">
        <f>Table1[[#This Row],[date]]</f>
        <v>45507</v>
      </c>
      <c r="H1065" s="94">
        <f>SUMIF($A$2:A4700,G1065,$E$2:E4700)</f>
        <v>246.38</v>
      </c>
      <c r="I1065" s="93" t="str">
        <f t="shared" si="65"/>
        <v>Saturday</v>
      </c>
      <c r="J1065" s="93" t="str">
        <f t="shared" si="66"/>
        <v>August</v>
      </c>
      <c r="K1065" s="93" t="str">
        <f t="shared" si="67"/>
        <v>2024</v>
      </c>
      <c r="L1065" s="6"/>
      <c r="M1065" s="6"/>
      <c r="N1065" s="6"/>
    </row>
    <row r="1066" spans="1:14" x14ac:dyDescent="0.3">
      <c r="A1066" s="92">
        <v>45507</v>
      </c>
      <c r="B1066" s="92" t="str">
        <f t="shared" si="64"/>
        <v>Saturday</v>
      </c>
      <c r="C1066" s="93" t="s">
        <v>1381</v>
      </c>
      <c r="D1066" s="93" t="s">
        <v>52</v>
      </c>
      <c r="E1066" s="94">
        <v>27.92</v>
      </c>
      <c r="F1066" s="93" t="s">
        <v>12</v>
      </c>
      <c r="G1066" s="87">
        <f>Table1[[#This Row],[date]]</f>
        <v>45507</v>
      </c>
      <c r="H1066" s="94">
        <f>SUMIF($A$2:A4701,G1066,$E$2:E4701)</f>
        <v>246.38</v>
      </c>
      <c r="I1066" s="93" t="str">
        <f t="shared" si="65"/>
        <v>Saturday</v>
      </c>
      <c r="J1066" s="93" t="str">
        <f t="shared" si="66"/>
        <v>August</v>
      </c>
      <c r="K1066" s="93" t="str">
        <f t="shared" si="67"/>
        <v>2024</v>
      </c>
      <c r="L1066" s="6"/>
      <c r="M1066" s="6"/>
      <c r="N1066" s="6"/>
    </row>
    <row r="1067" spans="1:14" x14ac:dyDescent="0.3">
      <c r="A1067" s="92">
        <v>45507</v>
      </c>
      <c r="B1067" s="92" t="str">
        <f t="shared" si="64"/>
        <v>Saturday</v>
      </c>
      <c r="C1067" s="93" t="s">
        <v>1381</v>
      </c>
      <c r="D1067" s="93" t="s">
        <v>334</v>
      </c>
      <c r="E1067" s="94">
        <v>27.92</v>
      </c>
      <c r="F1067" s="93" t="s">
        <v>12</v>
      </c>
      <c r="G1067" s="87">
        <f>Table1[[#This Row],[date]]</f>
        <v>45507</v>
      </c>
      <c r="H1067" s="94">
        <f>SUMIF($A$2:A4702,G1067,$E$2:E4702)</f>
        <v>246.38</v>
      </c>
      <c r="I1067" s="93" t="str">
        <f t="shared" si="65"/>
        <v>Saturday</v>
      </c>
      <c r="J1067" s="93" t="str">
        <f t="shared" si="66"/>
        <v>August</v>
      </c>
      <c r="K1067" s="93" t="str">
        <f t="shared" si="67"/>
        <v>2024</v>
      </c>
      <c r="L1067" s="6"/>
      <c r="M1067" s="6"/>
      <c r="N1067" s="6"/>
    </row>
    <row r="1068" spans="1:14" x14ac:dyDescent="0.3">
      <c r="A1068" s="87">
        <v>45507</v>
      </c>
      <c r="B1068" s="87" t="str">
        <f t="shared" si="64"/>
        <v>Saturday</v>
      </c>
      <c r="C1068" s="88" t="s">
        <v>1381</v>
      </c>
      <c r="D1068" s="88" t="s">
        <v>468</v>
      </c>
      <c r="E1068" s="89">
        <v>32.82</v>
      </c>
      <c r="F1068" s="88" t="s">
        <v>41</v>
      </c>
      <c r="G1068" s="87">
        <f>Table1[[#This Row],[date]]</f>
        <v>45507</v>
      </c>
      <c r="H1068" s="94">
        <f>SUMIF($A$2:A4703,G1068,$E$2:E4703)</f>
        <v>246.38</v>
      </c>
      <c r="I1068" s="93" t="str">
        <f t="shared" si="65"/>
        <v>Saturday</v>
      </c>
      <c r="J1068" s="93" t="str">
        <f t="shared" si="66"/>
        <v>August</v>
      </c>
      <c r="K1068" s="93" t="str">
        <f t="shared" si="67"/>
        <v>2024</v>
      </c>
      <c r="L1068" s="6"/>
      <c r="M1068" s="6"/>
      <c r="N1068" s="6"/>
    </row>
    <row r="1069" spans="1:14" x14ac:dyDescent="0.3">
      <c r="A1069" s="92">
        <v>45507</v>
      </c>
      <c r="B1069" s="92" t="str">
        <f t="shared" si="64"/>
        <v>Saturday</v>
      </c>
      <c r="C1069" s="93" t="s">
        <v>1381</v>
      </c>
      <c r="D1069" s="93" t="s">
        <v>469</v>
      </c>
      <c r="E1069" s="94">
        <v>32.82</v>
      </c>
      <c r="F1069" s="93" t="s">
        <v>5</v>
      </c>
      <c r="G1069" s="87">
        <f>Table1[[#This Row],[date]]</f>
        <v>45507</v>
      </c>
      <c r="H1069" s="94">
        <f>SUMIF($A$2:A4704,G1069,$E$2:E4704)</f>
        <v>246.38</v>
      </c>
      <c r="I1069" s="93" t="str">
        <f t="shared" si="65"/>
        <v>Saturday</v>
      </c>
      <c r="J1069" s="93" t="str">
        <f t="shared" si="66"/>
        <v>August</v>
      </c>
      <c r="K1069" s="93" t="str">
        <f t="shared" si="67"/>
        <v>2024</v>
      </c>
      <c r="L1069" s="6"/>
      <c r="M1069" s="6"/>
      <c r="N1069" s="6"/>
    </row>
    <row r="1070" spans="1:14" x14ac:dyDescent="0.3">
      <c r="A1070" s="92">
        <v>45508</v>
      </c>
      <c r="B1070" s="92" t="str">
        <f t="shared" si="64"/>
        <v>Sunday</v>
      </c>
      <c r="C1070" s="93" t="s">
        <v>1381</v>
      </c>
      <c r="D1070" s="93" t="s">
        <v>470</v>
      </c>
      <c r="E1070" s="94">
        <v>32.82</v>
      </c>
      <c r="F1070" s="93" t="s">
        <v>41</v>
      </c>
      <c r="G1070" s="87">
        <f>Table1[[#This Row],[date]]</f>
        <v>45508</v>
      </c>
      <c r="H1070" s="94">
        <f>SUMIF($A$2:A4705,G1070,$E$2:E4705)</f>
        <v>154.30000000000001</v>
      </c>
      <c r="I1070" s="93" t="str">
        <f t="shared" si="65"/>
        <v>Sunday</v>
      </c>
      <c r="J1070" s="93" t="str">
        <f t="shared" si="66"/>
        <v>August</v>
      </c>
      <c r="K1070" s="93" t="str">
        <f t="shared" si="67"/>
        <v>2024</v>
      </c>
      <c r="L1070" s="6"/>
      <c r="M1070" s="6"/>
      <c r="N1070" s="6"/>
    </row>
    <row r="1071" spans="1:14" x14ac:dyDescent="0.3">
      <c r="A1071" s="87">
        <v>45508</v>
      </c>
      <c r="B1071" s="87" t="str">
        <f t="shared" si="64"/>
        <v>Sunday</v>
      </c>
      <c r="C1071" s="88" t="s">
        <v>1381</v>
      </c>
      <c r="D1071" s="88" t="s">
        <v>52</v>
      </c>
      <c r="E1071" s="89">
        <v>27.92</v>
      </c>
      <c r="F1071" s="88" t="s">
        <v>12</v>
      </c>
      <c r="G1071" s="87">
        <f>Table1[[#This Row],[date]]</f>
        <v>45508</v>
      </c>
      <c r="H1071" s="94">
        <f>SUMIF($A$2:A4706,G1071,$E$2:E4706)</f>
        <v>154.30000000000001</v>
      </c>
      <c r="I1071" s="93" t="str">
        <f t="shared" si="65"/>
        <v>Sunday</v>
      </c>
      <c r="J1071" s="93" t="str">
        <f t="shared" si="66"/>
        <v>August</v>
      </c>
      <c r="K1071" s="93" t="str">
        <f t="shared" si="67"/>
        <v>2024</v>
      </c>
      <c r="L1071" s="6"/>
      <c r="M1071" s="6"/>
      <c r="N1071" s="6"/>
    </row>
    <row r="1072" spans="1:14" x14ac:dyDescent="0.3">
      <c r="A1072" s="92">
        <v>45508</v>
      </c>
      <c r="B1072" s="92" t="str">
        <f t="shared" si="64"/>
        <v>Sunday</v>
      </c>
      <c r="C1072" s="93" t="s">
        <v>1381</v>
      </c>
      <c r="D1072" s="93" t="s">
        <v>270</v>
      </c>
      <c r="E1072" s="94">
        <v>32.82</v>
      </c>
      <c r="F1072" s="93" t="s">
        <v>41</v>
      </c>
      <c r="G1072" s="87">
        <f>Table1[[#This Row],[date]]</f>
        <v>45508</v>
      </c>
      <c r="H1072" s="94">
        <f>SUMIF($A$2:A4707,G1072,$E$2:E4707)</f>
        <v>154.30000000000001</v>
      </c>
      <c r="I1072" s="93" t="str">
        <f t="shared" si="65"/>
        <v>Sunday</v>
      </c>
      <c r="J1072" s="93" t="str">
        <f t="shared" si="66"/>
        <v>August</v>
      </c>
      <c r="K1072" s="93" t="str">
        <f t="shared" si="67"/>
        <v>2024</v>
      </c>
      <c r="L1072" s="6"/>
      <c r="M1072" s="6"/>
      <c r="N1072" s="6"/>
    </row>
    <row r="1073" spans="1:14" x14ac:dyDescent="0.3">
      <c r="A1073" s="87">
        <v>45508</v>
      </c>
      <c r="B1073" s="87" t="str">
        <f t="shared" si="64"/>
        <v>Sunday</v>
      </c>
      <c r="C1073" s="88" t="s">
        <v>1381</v>
      </c>
      <c r="D1073" s="88" t="s">
        <v>270</v>
      </c>
      <c r="E1073" s="89">
        <v>27.92</v>
      </c>
      <c r="F1073" s="88" t="s">
        <v>12</v>
      </c>
      <c r="G1073" s="87">
        <f>Table1[[#This Row],[date]]</f>
        <v>45508</v>
      </c>
      <c r="H1073" s="94">
        <f>SUMIF($A$2:A4708,G1073,$E$2:E4708)</f>
        <v>154.30000000000001</v>
      </c>
      <c r="I1073" s="93" t="str">
        <f t="shared" si="65"/>
        <v>Sunday</v>
      </c>
      <c r="J1073" s="93" t="str">
        <f t="shared" si="66"/>
        <v>August</v>
      </c>
      <c r="K1073" s="93" t="str">
        <f t="shared" si="67"/>
        <v>2024</v>
      </c>
      <c r="L1073" s="6"/>
      <c r="M1073" s="6"/>
      <c r="N1073" s="6"/>
    </row>
    <row r="1074" spans="1:14" x14ac:dyDescent="0.3">
      <c r="A1074" s="92">
        <v>45508</v>
      </c>
      <c r="B1074" s="92" t="str">
        <f t="shared" si="64"/>
        <v>Sunday</v>
      </c>
      <c r="C1074" s="93" t="s">
        <v>1381</v>
      </c>
      <c r="D1074" s="93" t="s">
        <v>280</v>
      </c>
      <c r="E1074" s="94">
        <v>32.82</v>
      </c>
      <c r="F1074" s="93" t="s">
        <v>41</v>
      </c>
      <c r="G1074" s="87">
        <f>Table1[[#This Row],[date]]</f>
        <v>45508</v>
      </c>
      <c r="H1074" s="94">
        <f>SUMIF($A$2:A4709,G1074,$E$2:E4709)</f>
        <v>154.30000000000001</v>
      </c>
      <c r="I1074" s="93" t="str">
        <f t="shared" si="65"/>
        <v>Sunday</v>
      </c>
      <c r="J1074" s="93" t="str">
        <f t="shared" si="66"/>
        <v>August</v>
      </c>
      <c r="K1074" s="93" t="str">
        <f t="shared" si="67"/>
        <v>2024</v>
      </c>
      <c r="L1074" s="6"/>
      <c r="M1074" s="6"/>
      <c r="N1074" s="6"/>
    </row>
    <row r="1075" spans="1:14" x14ac:dyDescent="0.3">
      <c r="A1075" s="92">
        <v>45509</v>
      </c>
      <c r="B1075" s="92" t="str">
        <f t="shared" si="64"/>
        <v>Monday</v>
      </c>
      <c r="C1075" s="93" t="s">
        <v>1381</v>
      </c>
      <c r="D1075" s="93" t="s">
        <v>471</v>
      </c>
      <c r="E1075" s="94">
        <v>23.02</v>
      </c>
      <c r="F1075" s="93" t="s">
        <v>26</v>
      </c>
      <c r="G1075" s="87">
        <f>Table1[[#This Row],[date]]</f>
        <v>45509</v>
      </c>
      <c r="H1075" s="94">
        <f>SUMIF($A$2:A4710,G1075,$E$2:E4710)</f>
        <v>326.71999999999997</v>
      </c>
      <c r="I1075" s="93" t="str">
        <f t="shared" si="65"/>
        <v>Monday</v>
      </c>
      <c r="J1075" s="93" t="str">
        <f t="shared" si="66"/>
        <v>August</v>
      </c>
      <c r="K1075" s="93" t="str">
        <f t="shared" si="67"/>
        <v>2024</v>
      </c>
      <c r="L1075" s="6"/>
      <c r="M1075" s="6"/>
      <c r="N1075" s="6"/>
    </row>
    <row r="1076" spans="1:14" x14ac:dyDescent="0.3">
      <c r="A1076" s="87">
        <v>45509</v>
      </c>
      <c r="B1076" s="87" t="str">
        <f t="shared" si="64"/>
        <v>Monday</v>
      </c>
      <c r="C1076" s="88" t="s">
        <v>1381</v>
      </c>
      <c r="D1076" s="88" t="s">
        <v>109</v>
      </c>
      <c r="E1076" s="89">
        <v>27.92</v>
      </c>
      <c r="F1076" s="88" t="s">
        <v>12</v>
      </c>
      <c r="G1076" s="87">
        <f>Table1[[#This Row],[date]]</f>
        <v>45509</v>
      </c>
      <c r="H1076" s="94">
        <f>SUMIF($A$2:A4711,G1076,$E$2:E4711)</f>
        <v>326.71999999999997</v>
      </c>
      <c r="I1076" s="93" t="str">
        <f t="shared" si="65"/>
        <v>Monday</v>
      </c>
      <c r="J1076" s="93" t="str">
        <f t="shared" si="66"/>
        <v>August</v>
      </c>
      <c r="K1076" s="93" t="str">
        <f t="shared" si="67"/>
        <v>2024</v>
      </c>
      <c r="L1076" s="6"/>
      <c r="M1076" s="6"/>
      <c r="N1076" s="6"/>
    </row>
    <row r="1077" spans="1:14" x14ac:dyDescent="0.3">
      <c r="A1077" s="92">
        <v>45509</v>
      </c>
      <c r="B1077" s="92" t="str">
        <f t="shared" si="64"/>
        <v>Monday</v>
      </c>
      <c r="C1077" s="93" t="s">
        <v>1381</v>
      </c>
      <c r="D1077" s="93" t="s">
        <v>387</v>
      </c>
      <c r="E1077" s="94">
        <v>23.02</v>
      </c>
      <c r="F1077" s="93" t="s">
        <v>26</v>
      </c>
      <c r="G1077" s="87">
        <f>Table1[[#This Row],[date]]</f>
        <v>45509</v>
      </c>
      <c r="H1077" s="94">
        <f>SUMIF($A$2:A4712,G1077,$E$2:E4712)</f>
        <v>326.71999999999997</v>
      </c>
      <c r="I1077" s="93" t="str">
        <f t="shared" si="65"/>
        <v>Monday</v>
      </c>
      <c r="J1077" s="93" t="str">
        <f t="shared" si="66"/>
        <v>August</v>
      </c>
      <c r="K1077" s="93" t="str">
        <f t="shared" si="67"/>
        <v>2024</v>
      </c>
      <c r="L1077" s="6"/>
      <c r="M1077" s="6"/>
      <c r="N1077" s="6"/>
    </row>
    <row r="1078" spans="1:14" x14ac:dyDescent="0.3">
      <c r="A1078" s="87">
        <v>45509</v>
      </c>
      <c r="B1078" s="87" t="str">
        <f t="shared" si="64"/>
        <v>Monday</v>
      </c>
      <c r="C1078" s="88" t="s">
        <v>1381</v>
      </c>
      <c r="D1078" s="88" t="s">
        <v>472</v>
      </c>
      <c r="E1078" s="89">
        <v>32.82</v>
      </c>
      <c r="F1078" s="88" t="s">
        <v>41</v>
      </c>
      <c r="G1078" s="87">
        <f>Table1[[#This Row],[date]]</f>
        <v>45509</v>
      </c>
      <c r="H1078" s="94">
        <f>SUMIF($A$2:A4713,G1078,$E$2:E4713)</f>
        <v>326.71999999999997</v>
      </c>
      <c r="I1078" s="93" t="str">
        <f t="shared" si="65"/>
        <v>Monday</v>
      </c>
      <c r="J1078" s="93" t="str">
        <f t="shared" si="66"/>
        <v>August</v>
      </c>
      <c r="K1078" s="93" t="str">
        <f t="shared" si="67"/>
        <v>2024</v>
      </c>
      <c r="L1078" s="6"/>
      <c r="M1078" s="6"/>
      <c r="N1078" s="6"/>
    </row>
    <row r="1079" spans="1:14" x14ac:dyDescent="0.3">
      <c r="A1079" s="92">
        <v>45509</v>
      </c>
      <c r="B1079" s="92" t="str">
        <f t="shared" si="64"/>
        <v>Monday</v>
      </c>
      <c r="C1079" s="93" t="s">
        <v>1381</v>
      </c>
      <c r="D1079" s="93" t="s">
        <v>473</v>
      </c>
      <c r="E1079" s="94">
        <v>32.82</v>
      </c>
      <c r="F1079" s="93" t="s">
        <v>5</v>
      </c>
      <c r="G1079" s="87">
        <f>Table1[[#This Row],[date]]</f>
        <v>45509</v>
      </c>
      <c r="H1079" s="94">
        <f>SUMIF($A$2:A4714,G1079,$E$2:E4714)</f>
        <v>326.71999999999997</v>
      </c>
      <c r="I1079" s="93" t="str">
        <f t="shared" si="65"/>
        <v>Monday</v>
      </c>
      <c r="J1079" s="93" t="str">
        <f t="shared" si="66"/>
        <v>August</v>
      </c>
      <c r="K1079" s="93" t="str">
        <f t="shared" si="67"/>
        <v>2024</v>
      </c>
      <c r="L1079" s="6"/>
      <c r="M1079" s="6"/>
      <c r="N1079" s="6"/>
    </row>
    <row r="1080" spans="1:14" x14ac:dyDescent="0.3">
      <c r="A1080" s="92">
        <v>45509</v>
      </c>
      <c r="B1080" s="92" t="str">
        <f t="shared" si="64"/>
        <v>Monday</v>
      </c>
      <c r="C1080" s="93" t="s">
        <v>1381</v>
      </c>
      <c r="D1080" s="93" t="s">
        <v>474</v>
      </c>
      <c r="E1080" s="94">
        <v>32.82</v>
      </c>
      <c r="F1080" s="93" t="s">
        <v>5</v>
      </c>
      <c r="G1080" s="87">
        <f>Table1[[#This Row],[date]]</f>
        <v>45509</v>
      </c>
      <c r="H1080" s="94">
        <f>SUMIF($A$2:A4715,G1080,$E$2:E4715)</f>
        <v>326.71999999999997</v>
      </c>
      <c r="I1080" s="93" t="str">
        <f t="shared" si="65"/>
        <v>Monday</v>
      </c>
      <c r="J1080" s="93" t="str">
        <f t="shared" si="66"/>
        <v>August</v>
      </c>
      <c r="K1080" s="93" t="str">
        <f t="shared" si="67"/>
        <v>2024</v>
      </c>
      <c r="L1080" s="6"/>
      <c r="M1080" s="6"/>
      <c r="N1080" s="6"/>
    </row>
    <row r="1081" spans="1:14" x14ac:dyDescent="0.3">
      <c r="A1081" s="87">
        <v>45509</v>
      </c>
      <c r="B1081" s="87" t="str">
        <f t="shared" si="64"/>
        <v>Monday</v>
      </c>
      <c r="C1081" s="88" t="s">
        <v>1381</v>
      </c>
      <c r="D1081" s="88" t="s">
        <v>474</v>
      </c>
      <c r="E1081" s="89">
        <v>27.92</v>
      </c>
      <c r="F1081" s="88" t="s">
        <v>12</v>
      </c>
      <c r="G1081" s="87">
        <f>Table1[[#This Row],[date]]</f>
        <v>45509</v>
      </c>
      <c r="H1081" s="94">
        <f>SUMIF($A$2:A4716,G1081,$E$2:E4716)</f>
        <v>326.71999999999997</v>
      </c>
      <c r="I1081" s="93" t="str">
        <f t="shared" si="65"/>
        <v>Monday</v>
      </c>
      <c r="J1081" s="93" t="str">
        <f t="shared" si="66"/>
        <v>August</v>
      </c>
      <c r="K1081" s="93" t="str">
        <f t="shared" si="67"/>
        <v>2024</v>
      </c>
      <c r="L1081" s="6"/>
      <c r="M1081" s="6"/>
      <c r="N1081" s="6"/>
    </row>
    <row r="1082" spans="1:14" x14ac:dyDescent="0.3">
      <c r="A1082" s="92">
        <v>45509</v>
      </c>
      <c r="B1082" s="92" t="str">
        <f t="shared" si="64"/>
        <v>Monday</v>
      </c>
      <c r="C1082" s="93" t="s">
        <v>1381</v>
      </c>
      <c r="D1082" s="93" t="s">
        <v>29</v>
      </c>
      <c r="E1082" s="94">
        <v>32.82</v>
      </c>
      <c r="F1082" s="93" t="s">
        <v>5</v>
      </c>
      <c r="G1082" s="87">
        <f>Table1[[#This Row],[date]]</f>
        <v>45509</v>
      </c>
      <c r="H1082" s="94">
        <f>SUMIF($A$2:A4717,G1082,$E$2:E4717)</f>
        <v>326.71999999999997</v>
      </c>
      <c r="I1082" s="93" t="str">
        <f t="shared" si="65"/>
        <v>Monday</v>
      </c>
      <c r="J1082" s="93" t="str">
        <f t="shared" si="66"/>
        <v>August</v>
      </c>
      <c r="K1082" s="93" t="str">
        <f t="shared" si="67"/>
        <v>2024</v>
      </c>
      <c r="L1082" s="6"/>
      <c r="M1082" s="6"/>
      <c r="N1082" s="6"/>
    </row>
    <row r="1083" spans="1:14" x14ac:dyDescent="0.3">
      <c r="A1083" s="87">
        <v>45509</v>
      </c>
      <c r="B1083" s="87" t="str">
        <f t="shared" si="64"/>
        <v>Monday</v>
      </c>
      <c r="C1083" s="88" t="s">
        <v>1381</v>
      </c>
      <c r="D1083" s="88" t="s">
        <v>17</v>
      </c>
      <c r="E1083" s="89">
        <v>32.82</v>
      </c>
      <c r="F1083" s="88" t="s">
        <v>5</v>
      </c>
      <c r="G1083" s="87">
        <f>Table1[[#This Row],[date]]</f>
        <v>45509</v>
      </c>
      <c r="H1083" s="94">
        <f>SUMIF($A$2:A4718,G1083,$E$2:E4718)</f>
        <v>326.71999999999997</v>
      </c>
      <c r="I1083" s="93" t="str">
        <f t="shared" si="65"/>
        <v>Monday</v>
      </c>
      <c r="J1083" s="93" t="str">
        <f t="shared" si="66"/>
        <v>August</v>
      </c>
      <c r="K1083" s="93" t="str">
        <f t="shared" si="67"/>
        <v>2024</v>
      </c>
      <c r="L1083" s="6"/>
      <c r="M1083" s="6"/>
      <c r="N1083" s="6"/>
    </row>
    <row r="1084" spans="1:14" x14ac:dyDescent="0.3">
      <c r="A1084" s="92">
        <v>45509</v>
      </c>
      <c r="B1084" s="92" t="str">
        <f t="shared" si="64"/>
        <v>Monday</v>
      </c>
      <c r="C1084" s="93" t="s">
        <v>1381</v>
      </c>
      <c r="D1084" s="93" t="s">
        <v>475</v>
      </c>
      <c r="E1084" s="94">
        <v>32.82</v>
      </c>
      <c r="F1084" s="93" t="s">
        <v>16</v>
      </c>
      <c r="G1084" s="87">
        <f>Table1[[#This Row],[date]]</f>
        <v>45509</v>
      </c>
      <c r="H1084" s="94">
        <f>SUMIF($A$2:A4719,G1084,$E$2:E4719)</f>
        <v>326.71999999999997</v>
      </c>
      <c r="I1084" s="93" t="str">
        <f t="shared" si="65"/>
        <v>Monday</v>
      </c>
      <c r="J1084" s="93" t="str">
        <f t="shared" si="66"/>
        <v>August</v>
      </c>
      <c r="K1084" s="93" t="str">
        <f t="shared" si="67"/>
        <v>2024</v>
      </c>
      <c r="L1084" s="6"/>
      <c r="M1084" s="6"/>
      <c r="N1084" s="6"/>
    </row>
    <row r="1085" spans="1:14" x14ac:dyDescent="0.3">
      <c r="A1085" s="92">
        <v>45509</v>
      </c>
      <c r="B1085" s="92" t="str">
        <f t="shared" si="64"/>
        <v>Monday</v>
      </c>
      <c r="C1085" s="93" t="s">
        <v>1381</v>
      </c>
      <c r="D1085" s="93" t="s">
        <v>476</v>
      </c>
      <c r="E1085" s="94">
        <v>27.92</v>
      </c>
      <c r="F1085" s="93" t="s">
        <v>12</v>
      </c>
      <c r="G1085" s="87">
        <f>Table1[[#This Row],[date]]</f>
        <v>45509</v>
      </c>
      <c r="H1085" s="94">
        <f>SUMIF($A$2:A4720,G1085,$E$2:E4720)</f>
        <v>326.71999999999997</v>
      </c>
      <c r="I1085" s="93" t="str">
        <f t="shared" si="65"/>
        <v>Monday</v>
      </c>
      <c r="J1085" s="93" t="str">
        <f t="shared" si="66"/>
        <v>August</v>
      </c>
      <c r="K1085" s="93" t="str">
        <f t="shared" si="67"/>
        <v>2024</v>
      </c>
      <c r="L1085" s="6"/>
      <c r="M1085" s="6"/>
      <c r="N1085" s="6"/>
    </row>
    <row r="1086" spans="1:14" x14ac:dyDescent="0.3">
      <c r="A1086" s="87">
        <v>45510</v>
      </c>
      <c r="B1086" s="87" t="str">
        <f t="shared" si="64"/>
        <v>Tuesday</v>
      </c>
      <c r="C1086" s="88" t="s">
        <v>1381</v>
      </c>
      <c r="D1086" s="88" t="s">
        <v>387</v>
      </c>
      <c r="E1086" s="89">
        <v>23.02</v>
      </c>
      <c r="F1086" s="88" t="s">
        <v>26</v>
      </c>
      <c r="G1086" s="87">
        <f>Table1[[#This Row],[date]]</f>
        <v>45510</v>
      </c>
      <c r="H1086" s="94">
        <f>SUMIF($A$2:A4721,G1086,$E$2:E4721)</f>
        <v>247.85999999999996</v>
      </c>
      <c r="I1086" s="93" t="str">
        <f t="shared" si="65"/>
        <v>Tuesday</v>
      </c>
      <c r="J1086" s="93" t="str">
        <f t="shared" si="66"/>
        <v>August</v>
      </c>
      <c r="K1086" s="93" t="str">
        <f t="shared" si="67"/>
        <v>2024</v>
      </c>
      <c r="L1086" s="6"/>
      <c r="M1086" s="6"/>
      <c r="N1086" s="6"/>
    </row>
    <row r="1087" spans="1:14" x14ac:dyDescent="0.3">
      <c r="A1087" s="92">
        <v>45510</v>
      </c>
      <c r="B1087" s="92" t="str">
        <f t="shared" si="64"/>
        <v>Tuesday</v>
      </c>
      <c r="C1087" s="93" t="s">
        <v>1381</v>
      </c>
      <c r="D1087" s="93" t="s">
        <v>477</v>
      </c>
      <c r="E1087" s="94">
        <v>32.82</v>
      </c>
      <c r="F1087" s="93" t="s">
        <v>7</v>
      </c>
      <c r="G1087" s="87">
        <f>Table1[[#This Row],[date]]</f>
        <v>45510</v>
      </c>
      <c r="H1087" s="94">
        <f>SUMIF($A$2:A4722,G1087,$E$2:E4722)</f>
        <v>247.85999999999996</v>
      </c>
      <c r="I1087" s="93" t="str">
        <f t="shared" si="65"/>
        <v>Tuesday</v>
      </c>
      <c r="J1087" s="93" t="str">
        <f t="shared" si="66"/>
        <v>August</v>
      </c>
      <c r="K1087" s="93" t="str">
        <f t="shared" si="67"/>
        <v>2024</v>
      </c>
      <c r="L1087" s="6"/>
      <c r="M1087" s="6"/>
      <c r="N1087" s="6"/>
    </row>
    <row r="1088" spans="1:14" x14ac:dyDescent="0.3">
      <c r="A1088" s="87">
        <v>45510</v>
      </c>
      <c r="B1088" s="87" t="str">
        <f t="shared" si="64"/>
        <v>Tuesday</v>
      </c>
      <c r="C1088" s="88" t="s">
        <v>1381</v>
      </c>
      <c r="D1088" s="88" t="s">
        <v>478</v>
      </c>
      <c r="E1088" s="89">
        <v>32.82</v>
      </c>
      <c r="F1088" s="88" t="s">
        <v>41</v>
      </c>
      <c r="G1088" s="87">
        <f>Table1[[#This Row],[date]]</f>
        <v>45510</v>
      </c>
      <c r="H1088" s="94">
        <f>SUMIF($A$2:A4723,G1088,$E$2:E4723)</f>
        <v>247.85999999999996</v>
      </c>
      <c r="I1088" s="93" t="str">
        <f t="shared" si="65"/>
        <v>Tuesday</v>
      </c>
      <c r="J1088" s="93" t="str">
        <f t="shared" si="66"/>
        <v>August</v>
      </c>
      <c r="K1088" s="93" t="str">
        <f t="shared" si="67"/>
        <v>2024</v>
      </c>
      <c r="L1088" s="6"/>
      <c r="M1088" s="6"/>
      <c r="N1088" s="6"/>
    </row>
    <row r="1089" spans="1:14" x14ac:dyDescent="0.3">
      <c r="A1089" s="92">
        <v>45510</v>
      </c>
      <c r="B1089" s="92" t="str">
        <f t="shared" si="64"/>
        <v>Tuesday</v>
      </c>
      <c r="C1089" s="93" t="s">
        <v>1381</v>
      </c>
      <c r="D1089" s="93" t="s">
        <v>478</v>
      </c>
      <c r="E1089" s="94">
        <v>32.82</v>
      </c>
      <c r="F1089" s="93" t="s">
        <v>5</v>
      </c>
      <c r="G1089" s="87">
        <f>Table1[[#This Row],[date]]</f>
        <v>45510</v>
      </c>
      <c r="H1089" s="94">
        <f>SUMIF($A$2:A4724,G1089,$E$2:E4724)</f>
        <v>247.85999999999996</v>
      </c>
      <c r="I1089" s="93" t="str">
        <f t="shared" si="65"/>
        <v>Tuesday</v>
      </c>
      <c r="J1089" s="93" t="str">
        <f t="shared" si="66"/>
        <v>August</v>
      </c>
      <c r="K1089" s="93" t="str">
        <f t="shared" si="67"/>
        <v>2024</v>
      </c>
      <c r="L1089" s="6"/>
      <c r="M1089" s="6"/>
      <c r="N1089" s="6"/>
    </row>
    <row r="1090" spans="1:14" x14ac:dyDescent="0.3">
      <c r="A1090" s="87">
        <v>45510</v>
      </c>
      <c r="B1090" s="87" t="str">
        <f t="shared" ref="B1090:B1153" si="68">TEXT(A1090,"dddd")</f>
        <v>Tuesday</v>
      </c>
      <c r="C1090" s="88" t="s">
        <v>1381</v>
      </c>
      <c r="D1090" s="88" t="s">
        <v>478</v>
      </c>
      <c r="E1090" s="89">
        <v>32.82</v>
      </c>
      <c r="F1090" s="88" t="s">
        <v>16</v>
      </c>
      <c r="G1090" s="87">
        <f>Table1[[#This Row],[date]]</f>
        <v>45510</v>
      </c>
      <c r="H1090" s="94">
        <f>SUMIF($A$2:A4725,G1090,$E$2:E4725)</f>
        <v>247.85999999999996</v>
      </c>
      <c r="I1090" s="93" t="str">
        <f t="shared" si="65"/>
        <v>Tuesday</v>
      </c>
      <c r="J1090" s="93" t="str">
        <f t="shared" si="66"/>
        <v>August</v>
      </c>
      <c r="K1090" s="93" t="str">
        <f t="shared" si="67"/>
        <v>2024</v>
      </c>
      <c r="L1090" s="6"/>
      <c r="M1090" s="6"/>
      <c r="N1090" s="6"/>
    </row>
    <row r="1091" spans="1:14" x14ac:dyDescent="0.3">
      <c r="A1091" s="92">
        <v>45510</v>
      </c>
      <c r="B1091" s="92" t="str">
        <f t="shared" si="68"/>
        <v>Tuesday</v>
      </c>
      <c r="C1091" s="93" t="s">
        <v>1381</v>
      </c>
      <c r="D1091" s="93" t="s">
        <v>29</v>
      </c>
      <c r="E1091" s="94">
        <v>32.82</v>
      </c>
      <c r="F1091" s="93" t="s">
        <v>5</v>
      </c>
      <c r="G1091" s="87">
        <f>Table1[[#This Row],[date]]</f>
        <v>45510</v>
      </c>
      <c r="H1091" s="94">
        <f>SUMIF($A$2:A4726,G1091,$E$2:E4726)</f>
        <v>247.85999999999996</v>
      </c>
      <c r="I1091" s="93" t="str">
        <f t="shared" si="65"/>
        <v>Tuesday</v>
      </c>
      <c r="J1091" s="93" t="str">
        <f t="shared" si="66"/>
        <v>August</v>
      </c>
      <c r="K1091" s="93" t="str">
        <f t="shared" si="67"/>
        <v>2024</v>
      </c>
      <c r="L1091" s="6"/>
      <c r="M1091" s="6"/>
      <c r="N1091" s="6"/>
    </row>
    <row r="1092" spans="1:14" x14ac:dyDescent="0.3">
      <c r="A1092" s="87">
        <v>45510</v>
      </c>
      <c r="B1092" s="87" t="str">
        <f t="shared" si="68"/>
        <v>Tuesday</v>
      </c>
      <c r="C1092" s="88" t="s">
        <v>1381</v>
      </c>
      <c r="D1092" s="88" t="s">
        <v>479</v>
      </c>
      <c r="E1092" s="89">
        <v>27.92</v>
      </c>
      <c r="F1092" s="88" t="s">
        <v>12</v>
      </c>
      <c r="G1092" s="87">
        <f>Table1[[#This Row],[date]]</f>
        <v>45510</v>
      </c>
      <c r="H1092" s="94">
        <f>SUMIF($A$2:A4727,G1092,$E$2:E4727)</f>
        <v>247.85999999999996</v>
      </c>
      <c r="I1092" s="93" t="str">
        <f t="shared" si="65"/>
        <v>Tuesday</v>
      </c>
      <c r="J1092" s="93" t="str">
        <f t="shared" si="66"/>
        <v>August</v>
      </c>
      <c r="K1092" s="93" t="str">
        <f t="shared" si="67"/>
        <v>2024</v>
      </c>
      <c r="L1092" s="6"/>
      <c r="M1092" s="6"/>
      <c r="N1092" s="6"/>
    </row>
    <row r="1093" spans="1:14" x14ac:dyDescent="0.3">
      <c r="A1093" s="92">
        <v>45510</v>
      </c>
      <c r="B1093" s="92" t="str">
        <f t="shared" si="68"/>
        <v>Tuesday</v>
      </c>
      <c r="C1093" s="93" t="s">
        <v>1381</v>
      </c>
      <c r="D1093" s="93" t="s">
        <v>480</v>
      </c>
      <c r="E1093" s="94">
        <v>32.82</v>
      </c>
      <c r="F1093" s="93" t="s">
        <v>5</v>
      </c>
      <c r="G1093" s="87">
        <f>Table1[[#This Row],[date]]</f>
        <v>45510</v>
      </c>
      <c r="H1093" s="94">
        <f>SUMIF($A$2:A4728,G1093,$E$2:E4728)</f>
        <v>247.85999999999996</v>
      </c>
      <c r="I1093" s="93" t="str">
        <f t="shared" si="65"/>
        <v>Tuesday</v>
      </c>
      <c r="J1093" s="93" t="str">
        <f t="shared" si="66"/>
        <v>August</v>
      </c>
      <c r="K1093" s="93" t="str">
        <f t="shared" si="67"/>
        <v>2024</v>
      </c>
      <c r="L1093" s="6"/>
      <c r="M1093" s="6"/>
      <c r="N1093" s="6"/>
    </row>
    <row r="1094" spans="1:14" x14ac:dyDescent="0.3">
      <c r="A1094" s="87">
        <v>45511</v>
      </c>
      <c r="B1094" s="87" t="str">
        <f t="shared" si="68"/>
        <v>Wednesday</v>
      </c>
      <c r="C1094" s="88" t="s">
        <v>1381</v>
      </c>
      <c r="D1094" s="88" t="s">
        <v>465</v>
      </c>
      <c r="E1094" s="89">
        <v>27.92</v>
      </c>
      <c r="F1094" s="88" t="s">
        <v>12</v>
      </c>
      <c r="G1094" s="87">
        <f>Table1[[#This Row],[date]]</f>
        <v>45511</v>
      </c>
      <c r="H1094" s="94">
        <f>SUMIF($A$2:A4729,G1094,$E$2:E4729)</f>
        <v>256.18</v>
      </c>
      <c r="I1094" s="93" t="str">
        <f t="shared" ref="I1094:I1157" si="69">TEXT(G1094,"dddd")</f>
        <v>Wednesday</v>
      </c>
      <c r="J1094" s="93" t="str">
        <f t="shared" si="66"/>
        <v>August</v>
      </c>
      <c r="K1094" s="93" t="str">
        <f t="shared" si="67"/>
        <v>2024</v>
      </c>
      <c r="L1094" s="6"/>
      <c r="M1094" s="6"/>
      <c r="N1094" s="6"/>
    </row>
    <row r="1095" spans="1:14" x14ac:dyDescent="0.3">
      <c r="A1095" s="92">
        <v>45511</v>
      </c>
      <c r="B1095" s="92" t="str">
        <f t="shared" si="68"/>
        <v>Wednesday</v>
      </c>
      <c r="C1095" s="93" t="s">
        <v>1381</v>
      </c>
      <c r="D1095" s="93" t="s">
        <v>8</v>
      </c>
      <c r="E1095" s="94">
        <v>23.02</v>
      </c>
      <c r="F1095" s="93" t="s">
        <v>9</v>
      </c>
      <c r="G1095" s="87">
        <f>Table1[[#This Row],[date]]</f>
        <v>45511</v>
      </c>
      <c r="H1095" s="94">
        <f>SUMIF($A$2:A4730,G1095,$E$2:E4730)</f>
        <v>256.18</v>
      </c>
      <c r="I1095" s="93" t="str">
        <f t="shared" si="69"/>
        <v>Wednesday</v>
      </c>
      <c r="J1095" s="93" t="str">
        <f t="shared" ref="J1095:J1158" si="70">TEXT(G1095,"mmmm")</f>
        <v>August</v>
      </c>
      <c r="K1095" s="93" t="str">
        <f t="shared" ref="K1095:K1158" si="71">TEXT(G1095,"yyyy")</f>
        <v>2024</v>
      </c>
      <c r="L1095" s="6"/>
      <c r="M1095" s="6"/>
      <c r="N1095" s="6"/>
    </row>
    <row r="1096" spans="1:14" x14ac:dyDescent="0.3">
      <c r="A1096" s="92">
        <v>45511</v>
      </c>
      <c r="B1096" s="92" t="str">
        <f t="shared" si="68"/>
        <v>Wednesday</v>
      </c>
      <c r="C1096" s="93" t="s">
        <v>1381</v>
      </c>
      <c r="D1096" s="93" t="s">
        <v>481</v>
      </c>
      <c r="E1096" s="94">
        <v>18.12</v>
      </c>
      <c r="F1096" s="93" t="s">
        <v>33</v>
      </c>
      <c r="G1096" s="87">
        <f>Table1[[#This Row],[date]]</f>
        <v>45511</v>
      </c>
      <c r="H1096" s="94">
        <f>SUMIF($A$2:A4731,G1096,$E$2:E4731)</f>
        <v>256.18</v>
      </c>
      <c r="I1096" s="93" t="str">
        <f t="shared" si="69"/>
        <v>Wednesday</v>
      </c>
      <c r="J1096" s="93" t="str">
        <f t="shared" si="70"/>
        <v>August</v>
      </c>
      <c r="K1096" s="93" t="str">
        <f t="shared" si="71"/>
        <v>2024</v>
      </c>
      <c r="L1096" s="6"/>
      <c r="M1096" s="6"/>
      <c r="N1096" s="6"/>
    </row>
    <row r="1097" spans="1:14" x14ac:dyDescent="0.3">
      <c r="A1097" s="87">
        <v>45511</v>
      </c>
      <c r="B1097" s="87" t="str">
        <f t="shared" si="68"/>
        <v>Wednesday</v>
      </c>
      <c r="C1097" s="88" t="s">
        <v>1381</v>
      </c>
      <c r="D1097" s="88" t="s">
        <v>482</v>
      </c>
      <c r="E1097" s="89">
        <v>23.02</v>
      </c>
      <c r="F1097" s="88" t="s">
        <v>9</v>
      </c>
      <c r="G1097" s="87">
        <f>Table1[[#This Row],[date]]</f>
        <v>45511</v>
      </c>
      <c r="H1097" s="94">
        <f>SUMIF($A$2:A4732,G1097,$E$2:E4732)</f>
        <v>256.18</v>
      </c>
      <c r="I1097" s="93" t="str">
        <f t="shared" si="69"/>
        <v>Wednesday</v>
      </c>
      <c r="J1097" s="93" t="str">
        <f t="shared" si="70"/>
        <v>August</v>
      </c>
      <c r="K1097" s="93" t="str">
        <f t="shared" si="71"/>
        <v>2024</v>
      </c>
      <c r="L1097" s="6"/>
      <c r="M1097" s="6"/>
      <c r="N1097" s="6"/>
    </row>
    <row r="1098" spans="1:14" x14ac:dyDescent="0.3">
      <c r="A1098" s="92">
        <v>45511</v>
      </c>
      <c r="B1098" s="92" t="str">
        <f t="shared" si="68"/>
        <v>Wednesday</v>
      </c>
      <c r="C1098" s="93" t="s">
        <v>1381</v>
      </c>
      <c r="D1098" s="93" t="s">
        <v>17</v>
      </c>
      <c r="E1098" s="94">
        <v>32.82</v>
      </c>
      <c r="F1098" s="93" t="s">
        <v>5</v>
      </c>
      <c r="G1098" s="87">
        <f>Table1[[#This Row],[date]]</f>
        <v>45511</v>
      </c>
      <c r="H1098" s="94">
        <f>SUMIF($A$2:A4733,G1098,$E$2:E4733)</f>
        <v>256.18</v>
      </c>
      <c r="I1098" s="93" t="str">
        <f t="shared" si="69"/>
        <v>Wednesday</v>
      </c>
      <c r="J1098" s="93" t="str">
        <f t="shared" si="70"/>
        <v>August</v>
      </c>
      <c r="K1098" s="93" t="str">
        <f t="shared" si="71"/>
        <v>2024</v>
      </c>
      <c r="L1098" s="6"/>
      <c r="M1098" s="6"/>
      <c r="N1098" s="6"/>
    </row>
    <row r="1099" spans="1:14" x14ac:dyDescent="0.3">
      <c r="A1099" s="87">
        <v>45511</v>
      </c>
      <c r="B1099" s="87" t="str">
        <f t="shared" si="68"/>
        <v>Wednesday</v>
      </c>
      <c r="C1099" s="88" t="s">
        <v>1381</v>
      </c>
      <c r="D1099" s="88" t="s">
        <v>454</v>
      </c>
      <c r="E1099" s="89">
        <v>32.82</v>
      </c>
      <c r="F1099" s="88" t="s">
        <v>16</v>
      </c>
      <c r="G1099" s="87">
        <f>Table1[[#This Row],[date]]</f>
        <v>45511</v>
      </c>
      <c r="H1099" s="94">
        <f>SUMIF($A$2:A4734,G1099,$E$2:E4734)</f>
        <v>256.18</v>
      </c>
      <c r="I1099" s="93" t="str">
        <f t="shared" si="69"/>
        <v>Wednesday</v>
      </c>
      <c r="J1099" s="93" t="str">
        <f t="shared" si="70"/>
        <v>August</v>
      </c>
      <c r="K1099" s="93" t="str">
        <f t="shared" si="71"/>
        <v>2024</v>
      </c>
      <c r="L1099" s="6"/>
      <c r="M1099" s="6"/>
      <c r="N1099" s="6"/>
    </row>
    <row r="1100" spans="1:14" x14ac:dyDescent="0.3">
      <c r="A1100" s="92">
        <v>45511</v>
      </c>
      <c r="B1100" s="92" t="str">
        <f t="shared" si="68"/>
        <v>Wednesday</v>
      </c>
      <c r="C1100" s="93" t="s">
        <v>1381</v>
      </c>
      <c r="D1100" s="93" t="s">
        <v>340</v>
      </c>
      <c r="E1100" s="94">
        <v>32.82</v>
      </c>
      <c r="F1100" s="93" t="s">
        <v>41</v>
      </c>
      <c r="G1100" s="87">
        <f>Table1[[#This Row],[date]]</f>
        <v>45511</v>
      </c>
      <c r="H1100" s="94">
        <f>SUMIF($A$2:A4735,G1100,$E$2:E4735)</f>
        <v>256.18</v>
      </c>
      <c r="I1100" s="93" t="str">
        <f t="shared" si="69"/>
        <v>Wednesday</v>
      </c>
      <c r="J1100" s="93" t="str">
        <f t="shared" si="70"/>
        <v>August</v>
      </c>
      <c r="K1100" s="93" t="str">
        <f t="shared" si="71"/>
        <v>2024</v>
      </c>
      <c r="L1100" s="6"/>
      <c r="M1100" s="6"/>
      <c r="N1100" s="6"/>
    </row>
    <row r="1101" spans="1:14" x14ac:dyDescent="0.3">
      <c r="A1101" s="87">
        <v>45511</v>
      </c>
      <c r="B1101" s="87" t="str">
        <f t="shared" si="68"/>
        <v>Wednesday</v>
      </c>
      <c r="C1101" s="88" t="s">
        <v>1381</v>
      </c>
      <c r="D1101" s="88" t="s">
        <v>483</v>
      </c>
      <c r="E1101" s="89">
        <v>32.82</v>
      </c>
      <c r="F1101" s="88" t="s">
        <v>5</v>
      </c>
      <c r="G1101" s="87">
        <f>Table1[[#This Row],[date]]</f>
        <v>45511</v>
      </c>
      <c r="H1101" s="94">
        <f>SUMIF($A$2:A4736,G1101,$E$2:E4736)</f>
        <v>256.18</v>
      </c>
      <c r="I1101" s="93" t="str">
        <f t="shared" si="69"/>
        <v>Wednesday</v>
      </c>
      <c r="J1101" s="93" t="str">
        <f t="shared" si="70"/>
        <v>August</v>
      </c>
      <c r="K1101" s="93" t="str">
        <f t="shared" si="71"/>
        <v>2024</v>
      </c>
      <c r="L1101" s="6"/>
      <c r="M1101" s="6"/>
      <c r="N1101" s="6"/>
    </row>
    <row r="1102" spans="1:14" x14ac:dyDescent="0.3">
      <c r="A1102" s="92">
        <v>45511</v>
      </c>
      <c r="B1102" s="92" t="str">
        <f t="shared" si="68"/>
        <v>Wednesday</v>
      </c>
      <c r="C1102" s="93" t="s">
        <v>1381</v>
      </c>
      <c r="D1102" s="93" t="s">
        <v>484</v>
      </c>
      <c r="E1102" s="94">
        <v>32.82</v>
      </c>
      <c r="F1102" s="93" t="s">
        <v>5</v>
      </c>
      <c r="G1102" s="87">
        <f>Table1[[#This Row],[date]]</f>
        <v>45511</v>
      </c>
      <c r="H1102" s="94">
        <f>SUMIF($A$2:A4737,G1102,$E$2:E4737)</f>
        <v>256.18</v>
      </c>
      <c r="I1102" s="93" t="str">
        <f t="shared" si="69"/>
        <v>Wednesday</v>
      </c>
      <c r="J1102" s="93" t="str">
        <f t="shared" si="70"/>
        <v>August</v>
      </c>
      <c r="K1102" s="93" t="str">
        <f t="shared" si="71"/>
        <v>2024</v>
      </c>
      <c r="L1102" s="6"/>
      <c r="M1102" s="6"/>
      <c r="N1102" s="6"/>
    </row>
    <row r="1103" spans="1:14" x14ac:dyDescent="0.3">
      <c r="A1103" s="87">
        <v>45512</v>
      </c>
      <c r="B1103" s="87" t="str">
        <f t="shared" si="68"/>
        <v>Thursday</v>
      </c>
      <c r="C1103" s="88" t="s">
        <v>1381</v>
      </c>
      <c r="D1103" s="88" t="s">
        <v>153</v>
      </c>
      <c r="E1103" s="89">
        <v>18.12</v>
      </c>
      <c r="F1103" s="88" t="s">
        <v>33</v>
      </c>
      <c r="G1103" s="87">
        <f>Table1[[#This Row],[date]]</f>
        <v>45512</v>
      </c>
      <c r="H1103" s="94">
        <f>SUMIF($A$2:A4738,G1103,$E$2:E4738)</f>
        <v>162.62</v>
      </c>
      <c r="I1103" s="93" t="str">
        <f t="shared" si="69"/>
        <v>Thursday</v>
      </c>
      <c r="J1103" s="93" t="str">
        <f t="shared" si="70"/>
        <v>August</v>
      </c>
      <c r="K1103" s="93" t="str">
        <f t="shared" si="71"/>
        <v>2024</v>
      </c>
      <c r="L1103" s="6"/>
      <c r="M1103" s="6"/>
      <c r="N1103" s="6"/>
    </row>
    <row r="1104" spans="1:14" x14ac:dyDescent="0.3">
      <c r="A1104" s="92">
        <v>45512</v>
      </c>
      <c r="B1104" s="92" t="str">
        <f t="shared" si="68"/>
        <v>Thursday</v>
      </c>
      <c r="C1104" s="93" t="s">
        <v>1381</v>
      </c>
      <c r="D1104" s="93" t="s">
        <v>153</v>
      </c>
      <c r="E1104" s="94">
        <v>23.02</v>
      </c>
      <c r="F1104" s="93" t="s">
        <v>26</v>
      </c>
      <c r="G1104" s="87">
        <f>Table1[[#This Row],[date]]</f>
        <v>45512</v>
      </c>
      <c r="H1104" s="94">
        <f>SUMIF($A$2:A4739,G1104,$E$2:E4739)</f>
        <v>162.62</v>
      </c>
      <c r="I1104" s="93" t="str">
        <f t="shared" si="69"/>
        <v>Thursday</v>
      </c>
      <c r="J1104" s="93" t="str">
        <f t="shared" si="70"/>
        <v>August</v>
      </c>
      <c r="K1104" s="93" t="str">
        <f t="shared" si="71"/>
        <v>2024</v>
      </c>
      <c r="L1104" s="6"/>
      <c r="M1104" s="6"/>
      <c r="N1104" s="6"/>
    </row>
    <row r="1105" spans="1:14" x14ac:dyDescent="0.3">
      <c r="A1105" s="87">
        <v>45512</v>
      </c>
      <c r="B1105" s="87" t="str">
        <f t="shared" si="68"/>
        <v>Thursday</v>
      </c>
      <c r="C1105" s="88" t="s">
        <v>1381</v>
      </c>
      <c r="D1105" s="88" t="s">
        <v>432</v>
      </c>
      <c r="E1105" s="89">
        <v>27.92</v>
      </c>
      <c r="F1105" s="88" t="s">
        <v>12</v>
      </c>
      <c r="G1105" s="87">
        <f>Table1[[#This Row],[date]]</f>
        <v>45512</v>
      </c>
      <c r="H1105" s="94">
        <f>SUMIF($A$2:A4740,G1105,$E$2:E4740)</f>
        <v>162.62</v>
      </c>
      <c r="I1105" s="93" t="str">
        <f t="shared" si="69"/>
        <v>Thursday</v>
      </c>
      <c r="J1105" s="93" t="str">
        <f t="shared" si="70"/>
        <v>August</v>
      </c>
      <c r="K1105" s="93" t="str">
        <f t="shared" si="71"/>
        <v>2024</v>
      </c>
      <c r="L1105" s="6"/>
      <c r="M1105" s="6"/>
      <c r="N1105" s="6"/>
    </row>
    <row r="1106" spans="1:14" x14ac:dyDescent="0.3">
      <c r="A1106" s="92">
        <v>45512</v>
      </c>
      <c r="B1106" s="92" t="str">
        <f t="shared" si="68"/>
        <v>Thursday</v>
      </c>
      <c r="C1106" s="93" t="s">
        <v>1381</v>
      </c>
      <c r="D1106" s="93" t="s">
        <v>485</v>
      </c>
      <c r="E1106" s="94">
        <v>32.82</v>
      </c>
      <c r="F1106" s="93" t="s">
        <v>41</v>
      </c>
      <c r="G1106" s="87">
        <f>Table1[[#This Row],[date]]</f>
        <v>45512</v>
      </c>
      <c r="H1106" s="94">
        <f>SUMIF($A$2:A4741,G1106,$E$2:E4741)</f>
        <v>162.62</v>
      </c>
      <c r="I1106" s="93" t="str">
        <f t="shared" si="69"/>
        <v>Thursday</v>
      </c>
      <c r="J1106" s="93" t="str">
        <f t="shared" si="70"/>
        <v>August</v>
      </c>
      <c r="K1106" s="93" t="str">
        <f t="shared" si="71"/>
        <v>2024</v>
      </c>
      <c r="L1106" s="6"/>
      <c r="M1106" s="6"/>
      <c r="N1106" s="6"/>
    </row>
    <row r="1107" spans="1:14" x14ac:dyDescent="0.3">
      <c r="A1107" s="87">
        <v>45512</v>
      </c>
      <c r="B1107" s="87" t="str">
        <f t="shared" si="68"/>
        <v>Thursday</v>
      </c>
      <c r="C1107" s="88" t="s">
        <v>1381</v>
      </c>
      <c r="D1107" s="88" t="s">
        <v>486</v>
      </c>
      <c r="E1107" s="89">
        <v>32.82</v>
      </c>
      <c r="F1107" s="88" t="s">
        <v>41</v>
      </c>
      <c r="G1107" s="87">
        <f>Table1[[#This Row],[date]]</f>
        <v>45512</v>
      </c>
      <c r="H1107" s="94">
        <f>SUMIF($A$2:A4742,G1107,$E$2:E4742)</f>
        <v>162.62</v>
      </c>
      <c r="I1107" s="93" t="str">
        <f t="shared" si="69"/>
        <v>Thursday</v>
      </c>
      <c r="J1107" s="93" t="str">
        <f t="shared" si="70"/>
        <v>August</v>
      </c>
      <c r="K1107" s="93" t="str">
        <f t="shared" si="71"/>
        <v>2024</v>
      </c>
      <c r="L1107" s="6"/>
      <c r="M1107" s="6"/>
      <c r="N1107" s="6"/>
    </row>
    <row r="1108" spans="1:14" x14ac:dyDescent="0.3">
      <c r="A1108" s="92">
        <v>45512</v>
      </c>
      <c r="B1108" s="92" t="str">
        <f t="shared" si="68"/>
        <v>Thursday</v>
      </c>
      <c r="C1108" s="93" t="s">
        <v>1381</v>
      </c>
      <c r="D1108" s="93" t="s">
        <v>323</v>
      </c>
      <c r="E1108" s="94">
        <v>27.92</v>
      </c>
      <c r="F1108" s="93" t="s">
        <v>12</v>
      </c>
      <c r="G1108" s="87">
        <f>Table1[[#This Row],[date]]</f>
        <v>45512</v>
      </c>
      <c r="H1108" s="94">
        <f>SUMIF($A$2:A4743,G1108,$E$2:E4743)</f>
        <v>162.62</v>
      </c>
      <c r="I1108" s="93" t="str">
        <f t="shared" si="69"/>
        <v>Thursday</v>
      </c>
      <c r="J1108" s="93" t="str">
        <f t="shared" si="70"/>
        <v>August</v>
      </c>
      <c r="K1108" s="93" t="str">
        <f t="shared" si="71"/>
        <v>2024</v>
      </c>
      <c r="L1108" s="6"/>
      <c r="M1108" s="6"/>
      <c r="N1108" s="6"/>
    </row>
    <row r="1109" spans="1:14" x14ac:dyDescent="0.3">
      <c r="A1109" s="87">
        <v>45513</v>
      </c>
      <c r="B1109" s="87" t="str">
        <f t="shared" si="68"/>
        <v>Friday</v>
      </c>
      <c r="C1109" s="88" t="s">
        <v>1381</v>
      </c>
      <c r="D1109" s="88" t="s">
        <v>487</v>
      </c>
      <c r="E1109" s="89">
        <v>32.82</v>
      </c>
      <c r="F1109" s="88" t="s">
        <v>5</v>
      </c>
      <c r="G1109" s="87">
        <f>Table1[[#This Row],[date]]</f>
        <v>45513</v>
      </c>
      <c r="H1109" s="94">
        <f>SUMIF($A$2:A4744,G1109,$E$2:E4744)</f>
        <v>185.64000000000001</v>
      </c>
      <c r="I1109" s="93" t="str">
        <f t="shared" si="69"/>
        <v>Friday</v>
      </c>
      <c r="J1109" s="93" t="str">
        <f t="shared" si="70"/>
        <v>August</v>
      </c>
      <c r="K1109" s="93" t="str">
        <f t="shared" si="71"/>
        <v>2024</v>
      </c>
      <c r="L1109" s="6"/>
      <c r="M1109" s="6"/>
      <c r="N1109" s="6"/>
    </row>
    <row r="1110" spans="1:14" x14ac:dyDescent="0.3">
      <c r="A1110" s="92">
        <v>45513</v>
      </c>
      <c r="B1110" s="92" t="str">
        <f t="shared" si="68"/>
        <v>Friday</v>
      </c>
      <c r="C1110" s="93" t="s">
        <v>1381</v>
      </c>
      <c r="D1110" s="93" t="s">
        <v>488</v>
      </c>
      <c r="E1110" s="94">
        <v>23.02</v>
      </c>
      <c r="F1110" s="93" t="s">
        <v>9</v>
      </c>
      <c r="G1110" s="87">
        <f>Table1[[#This Row],[date]]</f>
        <v>45513</v>
      </c>
      <c r="H1110" s="94">
        <f>SUMIF($A$2:A4745,G1110,$E$2:E4745)</f>
        <v>185.64000000000001</v>
      </c>
      <c r="I1110" s="93" t="str">
        <f t="shared" si="69"/>
        <v>Friday</v>
      </c>
      <c r="J1110" s="93" t="str">
        <f t="shared" si="70"/>
        <v>August</v>
      </c>
      <c r="K1110" s="93" t="str">
        <f t="shared" si="71"/>
        <v>2024</v>
      </c>
      <c r="L1110" s="6"/>
      <c r="M1110" s="6"/>
      <c r="N1110" s="6"/>
    </row>
    <row r="1111" spans="1:14" x14ac:dyDescent="0.3">
      <c r="A1111" s="87">
        <v>45513</v>
      </c>
      <c r="B1111" s="87" t="str">
        <f t="shared" si="68"/>
        <v>Friday</v>
      </c>
      <c r="C1111" s="88" t="s">
        <v>1381</v>
      </c>
      <c r="D1111" s="88" t="s">
        <v>153</v>
      </c>
      <c r="E1111" s="89">
        <v>23.02</v>
      </c>
      <c r="F1111" s="88" t="s">
        <v>26</v>
      </c>
      <c r="G1111" s="87">
        <f>Table1[[#This Row],[date]]</f>
        <v>45513</v>
      </c>
      <c r="H1111" s="94">
        <f>SUMIF($A$2:A4746,G1111,$E$2:E4746)</f>
        <v>185.64000000000001</v>
      </c>
      <c r="I1111" s="93" t="str">
        <f t="shared" si="69"/>
        <v>Friday</v>
      </c>
      <c r="J1111" s="93" t="str">
        <f t="shared" si="70"/>
        <v>August</v>
      </c>
      <c r="K1111" s="93" t="str">
        <f t="shared" si="71"/>
        <v>2024</v>
      </c>
      <c r="L1111" s="6"/>
      <c r="M1111" s="6"/>
      <c r="N1111" s="6"/>
    </row>
    <row r="1112" spans="1:14" x14ac:dyDescent="0.3">
      <c r="A1112" s="92">
        <v>45513</v>
      </c>
      <c r="B1112" s="92" t="str">
        <f t="shared" si="68"/>
        <v>Friday</v>
      </c>
      <c r="C1112" s="93" t="s">
        <v>1381</v>
      </c>
      <c r="D1112" s="93" t="s">
        <v>323</v>
      </c>
      <c r="E1112" s="94">
        <v>27.92</v>
      </c>
      <c r="F1112" s="93" t="s">
        <v>12</v>
      </c>
      <c r="G1112" s="87">
        <f>Table1[[#This Row],[date]]</f>
        <v>45513</v>
      </c>
      <c r="H1112" s="94">
        <f>SUMIF($A$2:A4747,G1112,$E$2:E4747)</f>
        <v>185.64000000000001</v>
      </c>
      <c r="I1112" s="93" t="str">
        <f t="shared" si="69"/>
        <v>Friday</v>
      </c>
      <c r="J1112" s="93" t="str">
        <f t="shared" si="70"/>
        <v>August</v>
      </c>
      <c r="K1112" s="93" t="str">
        <f t="shared" si="71"/>
        <v>2024</v>
      </c>
      <c r="L1112" s="6"/>
      <c r="M1112" s="6"/>
      <c r="N1112" s="6"/>
    </row>
    <row r="1113" spans="1:14" x14ac:dyDescent="0.3">
      <c r="A1113" s="92">
        <v>45513</v>
      </c>
      <c r="B1113" s="92" t="str">
        <f t="shared" si="68"/>
        <v>Friday</v>
      </c>
      <c r="C1113" s="93" t="s">
        <v>1381</v>
      </c>
      <c r="D1113" s="93" t="s">
        <v>489</v>
      </c>
      <c r="E1113" s="94">
        <v>23.02</v>
      </c>
      <c r="F1113" s="93" t="s">
        <v>9</v>
      </c>
      <c r="G1113" s="87">
        <f>Table1[[#This Row],[date]]</f>
        <v>45513</v>
      </c>
      <c r="H1113" s="94">
        <f>SUMIF($A$2:A4748,G1113,$E$2:E4748)</f>
        <v>185.64000000000001</v>
      </c>
      <c r="I1113" s="93" t="str">
        <f t="shared" si="69"/>
        <v>Friday</v>
      </c>
      <c r="J1113" s="93" t="str">
        <f t="shared" si="70"/>
        <v>August</v>
      </c>
      <c r="K1113" s="93" t="str">
        <f t="shared" si="71"/>
        <v>2024</v>
      </c>
      <c r="L1113" s="6"/>
      <c r="M1113" s="6"/>
      <c r="N1113" s="6"/>
    </row>
    <row r="1114" spans="1:14" x14ac:dyDescent="0.3">
      <c r="A1114" s="87">
        <v>45513</v>
      </c>
      <c r="B1114" s="87" t="str">
        <f t="shared" si="68"/>
        <v>Friday</v>
      </c>
      <c r="C1114" s="88" t="s">
        <v>1381</v>
      </c>
      <c r="D1114" s="88" t="s">
        <v>490</v>
      </c>
      <c r="E1114" s="89">
        <v>23.02</v>
      </c>
      <c r="F1114" s="88" t="s">
        <v>9</v>
      </c>
      <c r="G1114" s="87">
        <f>Table1[[#This Row],[date]]</f>
        <v>45513</v>
      </c>
      <c r="H1114" s="94">
        <f>SUMIF($A$2:A4749,G1114,$E$2:E4749)</f>
        <v>185.64000000000001</v>
      </c>
      <c r="I1114" s="93" t="str">
        <f t="shared" si="69"/>
        <v>Friday</v>
      </c>
      <c r="J1114" s="93" t="str">
        <f t="shared" si="70"/>
        <v>August</v>
      </c>
      <c r="K1114" s="93" t="str">
        <f t="shared" si="71"/>
        <v>2024</v>
      </c>
      <c r="L1114" s="6"/>
      <c r="M1114" s="6"/>
      <c r="N1114" s="6"/>
    </row>
    <row r="1115" spans="1:14" x14ac:dyDescent="0.3">
      <c r="A1115" s="92">
        <v>45513</v>
      </c>
      <c r="B1115" s="92" t="str">
        <f t="shared" si="68"/>
        <v>Friday</v>
      </c>
      <c r="C1115" s="93" t="s">
        <v>1381</v>
      </c>
      <c r="D1115" s="93" t="s">
        <v>491</v>
      </c>
      <c r="E1115" s="94">
        <v>32.82</v>
      </c>
      <c r="F1115" s="93" t="s">
        <v>7</v>
      </c>
      <c r="G1115" s="87">
        <f>Table1[[#This Row],[date]]</f>
        <v>45513</v>
      </c>
      <c r="H1115" s="94">
        <f>SUMIF($A$2:A4750,G1115,$E$2:E4750)</f>
        <v>185.64000000000001</v>
      </c>
      <c r="I1115" s="93" t="str">
        <f t="shared" si="69"/>
        <v>Friday</v>
      </c>
      <c r="J1115" s="93" t="str">
        <f t="shared" si="70"/>
        <v>August</v>
      </c>
      <c r="K1115" s="93" t="str">
        <f t="shared" si="71"/>
        <v>2024</v>
      </c>
      <c r="L1115" s="6"/>
      <c r="M1115" s="6"/>
      <c r="N1115" s="6"/>
    </row>
    <row r="1116" spans="1:14" x14ac:dyDescent="0.3">
      <c r="A1116" s="87">
        <v>45514</v>
      </c>
      <c r="B1116" s="87" t="str">
        <f t="shared" si="68"/>
        <v>Saturday</v>
      </c>
      <c r="C1116" s="88" t="s">
        <v>1381</v>
      </c>
      <c r="D1116" s="88" t="s">
        <v>492</v>
      </c>
      <c r="E1116" s="89">
        <v>32.82</v>
      </c>
      <c r="F1116" s="88" t="s">
        <v>41</v>
      </c>
      <c r="G1116" s="87">
        <f>Table1[[#This Row],[date]]</f>
        <v>45514</v>
      </c>
      <c r="H1116" s="94">
        <f>SUMIF($A$2:A4751,G1116,$E$2:E4751)</f>
        <v>289</v>
      </c>
      <c r="I1116" s="93" t="str">
        <f t="shared" si="69"/>
        <v>Saturday</v>
      </c>
      <c r="J1116" s="93" t="str">
        <f t="shared" si="70"/>
        <v>August</v>
      </c>
      <c r="K1116" s="93" t="str">
        <f t="shared" si="71"/>
        <v>2024</v>
      </c>
      <c r="L1116" s="6"/>
      <c r="M1116" s="6"/>
      <c r="N1116" s="6"/>
    </row>
    <row r="1117" spans="1:14" x14ac:dyDescent="0.3">
      <c r="A1117" s="92">
        <v>45514</v>
      </c>
      <c r="B1117" s="92" t="str">
        <f t="shared" si="68"/>
        <v>Saturday</v>
      </c>
      <c r="C1117" s="93" t="s">
        <v>1381</v>
      </c>
      <c r="D1117" s="93" t="s">
        <v>492</v>
      </c>
      <c r="E1117" s="94">
        <v>27.92</v>
      </c>
      <c r="F1117" s="93" t="s">
        <v>12</v>
      </c>
      <c r="G1117" s="87">
        <f>Table1[[#This Row],[date]]</f>
        <v>45514</v>
      </c>
      <c r="H1117" s="94">
        <f>SUMIF($A$2:A4752,G1117,$E$2:E4752)</f>
        <v>289</v>
      </c>
      <c r="I1117" s="93" t="str">
        <f t="shared" si="69"/>
        <v>Saturday</v>
      </c>
      <c r="J1117" s="93" t="str">
        <f t="shared" si="70"/>
        <v>August</v>
      </c>
      <c r="K1117" s="93" t="str">
        <f t="shared" si="71"/>
        <v>2024</v>
      </c>
      <c r="L1117" s="6"/>
      <c r="M1117" s="6"/>
      <c r="N1117" s="6"/>
    </row>
    <row r="1118" spans="1:14" x14ac:dyDescent="0.3">
      <c r="A1118" s="87">
        <v>45514</v>
      </c>
      <c r="B1118" s="87" t="str">
        <f t="shared" si="68"/>
        <v>Saturday</v>
      </c>
      <c r="C1118" s="88" t="s">
        <v>1381</v>
      </c>
      <c r="D1118" s="88" t="s">
        <v>153</v>
      </c>
      <c r="E1118" s="89">
        <v>23.02</v>
      </c>
      <c r="F1118" s="88" t="s">
        <v>26</v>
      </c>
      <c r="G1118" s="87">
        <f>Table1[[#This Row],[date]]</f>
        <v>45514</v>
      </c>
      <c r="H1118" s="94">
        <f>SUMIF($A$2:A4753,G1118,$E$2:E4753)</f>
        <v>289</v>
      </c>
      <c r="I1118" s="93" t="str">
        <f t="shared" si="69"/>
        <v>Saturday</v>
      </c>
      <c r="J1118" s="93" t="str">
        <f t="shared" si="70"/>
        <v>August</v>
      </c>
      <c r="K1118" s="93" t="str">
        <f t="shared" si="71"/>
        <v>2024</v>
      </c>
      <c r="L1118" s="6"/>
      <c r="M1118" s="6"/>
      <c r="N1118" s="6"/>
    </row>
    <row r="1119" spans="1:14" x14ac:dyDescent="0.3">
      <c r="A1119" s="92">
        <v>45514</v>
      </c>
      <c r="B1119" s="92" t="str">
        <f t="shared" si="68"/>
        <v>Saturday</v>
      </c>
      <c r="C1119" s="93" t="s">
        <v>1381</v>
      </c>
      <c r="D1119" s="93" t="s">
        <v>21</v>
      </c>
      <c r="E1119" s="94">
        <v>23.02</v>
      </c>
      <c r="F1119" s="93" t="s">
        <v>26</v>
      </c>
      <c r="G1119" s="87">
        <f>Table1[[#This Row],[date]]</f>
        <v>45514</v>
      </c>
      <c r="H1119" s="94">
        <f>SUMIF($A$2:A4754,G1119,$E$2:E4754)</f>
        <v>289</v>
      </c>
      <c r="I1119" s="93" t="str">
        <f t="shared" si="69"/>
        <v>Saturday</v>
      </c>
      <c r="J1119" s="93" t="str">
        <f t="shared" si="70"/>
        <v>August</v>
      </c>
      <c r="K1119" s="93" t="str">
        <f t="shared" si="71"/>
        <v>2024</v>
      </c>
      <c r="L1119" s="6"/>
      <c r="M1119" s="6"/>
      <c r="N1119" s="6"/>
    </row>
    <row r="1120" spans="1:14" x14ac:dyDescent="0.3">
      <c r="A1120" s="87">
        <v>45514</v>
      </c>
      <c r="B1120" s="87" t="str">
        <f t="shared" si="68"/>
        <v>Saturday</v>
      </c>
      <c r="C1120" s="88" t="s">
        <v>1381</v>
      </c>
      <c r="D1120" s="88" t="s">
        <v>21</v>
      </c>
      <c r="E1120" s="89">
        <v>23.02</v>
      </c>
      <c r="F1120" s="88" t="s">
        <v>9</v>
      </c>
      <c r="G1120" s="87">
        <f>Table1[[#This Row],[date]]</f>
        <v>45514</v>
      </c>
      <c r="H1120" s="94">
        <f>SUMIF($A$2:A4755,G1120,$E$2:E4755)</f>
        <v>289</v>
      </c>
      <c r="I1120" s="93" t="str">
        <f t="shared" si="69"/>
        <v>Saturday</v>
      </c>
      <c r="J1120" s="93" t="str">
        <f t="shared" si="70"/>
        <v>August</v>
      </c>
      <c r="K1120" s="93" t="str">
        <f t="shared" si="71"/>
        <v>2024</v>
      </c>
      <c r="L1120" s="6"/>
      <c r="M1120" s="6"/>
      <c r="N1120" s="6"/>
    </row>
    <row r="1121" spans="1:14" x14ac:dyDescent="0.3">
      <c r="A1121" s="92">
        <v>45514</v>
      </c>
      <c r="B1121" s="92" t="str">
        <f t="shared" si="68"/>
        <v>Saturday</v>
      </c>
      <c r="C1121" s="93" t="s">
        <v>1381</v>
      </c>
      <c r="D1121" s="93" t="s">
        <v>493</v>
      </c>
      <c r="E1121" s="94">
        <v>32.82</v>
      </c>
      <c r="F1121" s="93" t="s">
        <v>5</v>
      </c>
      <c r="G1121" s="87">
        <f>Table1[[#This Row],[date]]</f>
        <v>45514</v>
      </c>
      <c r="H1121" s="94">
        <f>SUMIF($A$2:A4756,G1121,$E$2:E4756)</f>
        <v>289</v>
      </c>
      <c r="I1121" s="93" t="str">
        <f t="shared" si="69"/>
        <v>Saturday</v>
      </c>
      <c r="J1121" s="93" t="str">
        <f t="shared" si="70"/>
        <v>August</v>
      </c>
      <c r="K1121" s="93" t="str">
        <f t="shared" si="71"/>
        <v>2024</v>
      </c>
      <c r="L1121" s="6"/>
      <c r="M1121" s="6"/>
      <c r="N1121" s="6"/>
    </row>
    <row r="1122" spans="1:14" x14ac:dyDescent="0.3">
      <c r="A1122" s="87">
        <v>45514</v>
      </c>
      <c r="B1122" s="87" t="str">
        <f t="shared" si="68"/>
        <v>Saturday</v>
      </c>
      <c r="C1122" s="88" t="s">
        <v>1381</v>
      </c>
      <c r="D1122" s="88" t="s">
        <v>475</v>
      </c>
      <c r="E1122" s="89">
        <v>27.92</v>
      </c>
      <c r="F1122" s="88" t="s">
        <v>12</v>
      </c>
      <c r="G1122" s="87">
        <f>Table1[[#This Row],[date]]</f>
        <v>45514</v>
      </c>
      <c r="H1122" s="94">
        <f>SUMIF($A$2:A4757,G1122,$E$2:E4757)</f>
        <v>289</v>
      </c>
      <c r="I1122" s="93" t="str">
        <f t="shared" si="69"/>
        <v>Saturday</v>
      </c>
      <c r="J1122" s="93" t="str">
        <f t="shared" si="70"/>
        <v>August</v>
      </c>
      <c r="K1122" s="93" t="str">
        <f t="shared" si="71"/>
        <v>2024</v>
      </c>
      <c r="L1122" s="6"/>
      <c r="M1122" s="6"/>
      <c r="N1122" s="6"/>
    </row>
    <row r="1123" spans="1:14" x14ac:dyDescent="0.3">
      <c r="A1123" s="92">
        <v>45514</v>
      </c>
      <c r="B1123" s="92" t="str">
        <f t="shared" si="68"/>
        <v>Saturday</v>
      </c>
      <c r="C1123" s="93" t="s">
        <v>1381</v>
      </c>
      <c r="D1123" s="93" t="s">
        <v>17</v>
      </c>
      <c r="E1123" s="94">
        <v>32.82</v>
      </c>
      <c r="F1123" s="93" t="s">
        <v>5</v>
      </c>
      <c r="G1123" s="87">
        <f>Table1[[#This Row],[date]]</f>
        <v>45514</v>
      </c>
      <c r="H1123" s="94">
        <f>SUMIF($A$2:A4758,G1123,$E$2:E4758)</f>
        <v>289</v>
      </c>
      <c r="I1123" s="93" t="str">
        <f t="shared" si="69"/>
        <v>Saturday</v>
      </c>
      <c r="J1123" s="93" t="str">
        <f t="shared" si="70"/>
        <v>August</v>
      </c>
      <c r="K1123" s="93" t="str">
        <f t="shared" si="71"/>
        <v>2024</v>
      </c>
      <c r="L1123" s="6"/>
      <c r="M1123" s="6"/>
      <c r="N1123" s="6"/>
    </row>
    <row r="1124" spans="1:14" x14ac:dyDescent="0.3">
      <c r="A1124" s="87">
        <v>45514</v>
      </c>
      <c r="B1124" s="87" t="str">
        <f t="shared" si="68"/>
        <v>Saturday</v>
      </c>
      <c r="C1124" s="88" t="s">
        <v>1381</v>
      </c>
      <c r="D1124" s="88" t="s">
        <v>494</v>
      </c>
      <c r="E1124" s="89">
        <v>32.82</v>
      </c>
      <c r="F1124" s="88" t="s">
        <v>16</v>
      </c>
      <c r="G1124" s="87">
        <f>Table1[[#This Row],[date]]</f>
        <v>45514</v>
      </c>
      <c r="H1124" s="94">
        <f>SUMIF($A$2:A4759,G1124,$E$2:E4759)</f>
        <v>289</v>
      </c>
      <c r="I1124" s="93" t="str">
        <f t="shared" si="69"/>
        <v>Saturday</v>
      </c>
      <c r="J1124" s="93" t="str">
        <f t="shared" si="70"/>
        <v>August</v>
      </c>
      <c r="K1124" s="93" t="str">
        <f t="shared" si="71"/>
        <v>2024</v>
      </c>
      <c r="L1124" s="6"/>
      <c r="M1124" s="6"/>
      <c r="N1124" s="6"/>
    </row>
    <row r="1125" spans="1:14" x14ac:dyDescent="0.3">
      <c r="A1125" s="87">
        <v>45514</v>
      </c>
      <c r="B1125" s="87" t="str">
        <f t="shared" si="68"/>
        <v>Saturday</v>
      </c>
      <c r="C1125" s="88" t="s">
        <v>1381</v>
      </c>
      <c r="D1125" s="88" t="s">
        <v>454</v>
      </c>
      <c r="E1125" s="89">
        <v>32.82</v>
      </c>
      <c r="F1125" s="88" t="s">
        <v>16</v>
      </c>
      <c r="G1125" s="87">
        <f>Table1[[#This Row],[date]]</f>
        <v>45514</v>
      </c>
      <c r="H1125" s="94">
        <f>SUMIF($A$2:A4760,G1125,$E$2:E4760)</f>
        <v>289</v>
      </c>
      <c r="I1125" s="93" t="str">
        <f t="shared" si="69"/>
        <v>Saturday</v>
      </c>
      <c r="J1125" s="93" t="str">
        <f t="shared" si="70"/>
        <v>August</v>
      </c>
      <c r="K1125" s="93" t="str">
        <f t="shared" si="71"/>
        <v>2024</v>
      </c>
      <c r="L1125" s="6"/>
      <c r="M1125" s="6"/>
      <c r="N1125" s="6"/>
    </row>
    <row r="1126" spans="1:14" x14ac:dyDescent="0.3">
      <c r="A1126" s="92">
        <v>45515</v>
      </c>
      <c r="B1126" s="92" t="str">
        <f t="shared" si="68"/>
        <v>Sunday</v>
      </c>
      <c r="C1126" s="93" t="s">
        <v>1381</v>
      </c>
      <c r="D1126" s="93" t="s">
        <v>452</v>
      </c>
      <c r="E1126" s="94">
        <v>32.82</v>
      </c>
      <c r="F1126" s="93" t="s">
        <v>5</v>
      </c>
      <c r="G1126" s="87">
        <f>Table1[[#This Row],[date]]</f>
        <v>45515</v>
      </c>
      <c r="H1126" s="94">
        <f>SUMIF($A$2:A4761,G1126,$E$2:E4761)</f>
        <v>410.47999999999996</v>
      </c>
      <c r="I1126" s="93" t="str">
        <f t="shared" si="69"/>
        <v>Sunday</v>
      </c>
      <c r="J1126" s="93" t="str">
        <f t="shared" si="70"/>
        <v>August</v>
      </c>
      <c r="K1126" s="93" t="str">
        <f t="shared" si="71"/>
        <v>2024</v>
      </c>
      <c r="L1126" s="6"/>
      <c r="M1126" s="6"/>
      <c r="N1126" s="6"/>
    </row>
    <row r="1127" spans="1:14" x14ac:dyDescent="0.3">
      <c r="A1127" s="92">
        <v>45515</v>
      </c>
      <c r="B1127" s="92" t="str">
        <f t="shared" si="68"/>
        <v>Sunday</v>
      </c>
      <c r="C1127" s="93" t="s">
        <v>1381</v>
      </c>
      <c r="D1127" s="93" t="s">
        <v>359</v>
      </c>
      <c r="E1127" s="94">
        <v>27.92</v>
      </c>
      <c r="F1127" s="93" t="s">
        <v>12</v>
      </c>
      <c r="G1127" s="87">
        <f>Table1[[#This Row],[date]]</f>
        <v>45515</v>
      </c>
      <c r="H1127" s="94">
        <f>SUMIF($A$2:A4762,G1127,$E$2:E4762)</f>
        <v>410.47999999999996</v>
      </c>
      <c r="I1127" s="93" t="str">
        <f t="shared" si="69"/>
        <v>Sunday</v>
      </c>
      <c r="J1127" s="93" t="str">
        <f t="shared" si="70"/>
        <v>August</v>
      </c>
      <c r="K1127" s="93" t="str">
        <f t="shared" si="71"/>
        <v>2024</v>
      </c>
      <c r="L1127" s="6"/>
      <c r="M1127" s="6"/>
      <c r="N1127" s="6"/>
    </row>
    <row r="1128" spans="1:14" x14ac:dyDescent="0.3">
      <c r="A1128" s="87">
        <v>45515</v>
      </c>
      <c r="B1128" s="87" t="str">
        <f t="shared" si="68"/>
        <v>Sunday</v>
      </c>
      <c r="C1128" s="88" t="s">
        <v>1381</v>
      </c>
      <c r="D1128" s="88" t="s">
        <v>492</v>
      </c>
      <c r="E1128" s="89">
        <v>32.82</v>
      </c>
      <c r="F1128" s="88" t="s">
        <v>41</v>
      </c>
      <c r="G1128" s="87">
        <f>Table1[[#This Row],[date]]</f>
        <v>45515</v>
      </c>
      <c r="H1128" s="94">
        <f>SUMIF($A$2:A4763,G1128,$E$2:E4763)</f>
        <v>410.47999999999996</v>
      </c>
      <c r="I1128" s="93" t="str">
        <f t="shared" si="69"/>
        <v>Sunday</v>
      </c>
      <c r="J1128" s="93" t="str">
        <f t="shared" si="70"/>
        <v>August</v>
      </c>
      <c r="K1128" s="93" t="str">
        <f t="shared" si="71"/>
        <v>2024</v>
      </c>
      <c r="L1128" s="6"/>
      <c r="M1128" s="6"/>
      <c r="N1128" s="6"/>
    </row>
    <row r="1129" spans="1:14" x14ac:dyDescent="0.3">
      <c r="A1129" s="92">
        <v>45515</v>
      </c>
      <c r="B1129" s="92" t="str">
        <f t="shared" si="68"/>
        <v>Sunday</v>
      </c>
      <c r="C1129" s="93" t="s">
        <v>1381</v>
      </c>
      <c r="D1129" s="93" t="s">
        <v>492</v>
      </c>
      <c r="E1129" s="94">
        <v>27.92</v>
      </c>
      <c r="F1129" s="93" t="s">
        <v>12</v>
      </c>
      <c r="G1129" s="87">
        <f>Table1[[#This Row],[date]]</f>
        <v>45515</v>
      </c>
      <c r="H1129" s="94">
        <f>SUMIF($A$2:A4764,G1129,$E$2:E4764)</f>
        <v>410.47999999999996</v>
      </c>
      <c r="I1129" s="93" t="str">
        <f t="shared" si="69"/>
        <v>Sunday</v>
      </c>
      <c r="J1129" s="93" t="str">
        <f t="shared" si="70"/>
        <v>August</v>
      </c>
      <c r="K1129" s="93" t="str">
        <f t="shared" si="71"/>
        <v>2024</v>
      </c>
      <c r="L1129" s="6"/>
      <c r="M1129" s="6"/>
      <c r="N1129" s="6"/>
    </row>
    <row r="1130" spans="1:14" x14ac:dyDescent="0.3">
      <c r="A1130" s="87">
        <v>45515</v>
      </c>
      <c r="B1130" s="87" t="str">
        <f t="shared" si="68"/>
        <v>Sunday</v>
      </c>
      <c r="C1130" s="88" t="s">
        <v>1381</v>
      </c>
      <c r="D1130" s="88" t="s">
        <v>153</v>
      </c>
      <c r="E1130" s="89">
        <v>23.02</v>
      </c>
      <c r="F1130" s="88" t="s">
        <v>26</v>
      </c>
      <c r="G1130" s="87">
        <f>Table1[[#This Row],[date]]</f>
        <v>45515</v>
      </c>
      <c r="H1130" s="94">
        <f>SUMIF($A$2:A4765,G1130,$E$2:E4765)</f>
        <v>410.47999999999996</v>
      </c>
      <c r="I1130" s="93" t="str">
        <f t="shared" si="69"/>
        <v>Sunday</v>
      </c>
      <c r="J1130" s="93" t="str">
        <f t="shared" si="70"/>
        <v>August</v>
      </c>
      <c r="K1130" s="93" t="str">
        <f t="shared" si="71"/>
        <v>2024</v>
      </c>
      <c r="L1130" s="6"/>
      <c r="M1130" s="6"/>
      <c r="N1130" s="6"/>
    </row>
    <row r="1131" spans="1:14" x14ac:dyDescent="0.3">
      <c r="A1131" s="92">
        <v>45515</v>
      </c>
      <c r="B1131" s="92" t="str">
        <f t="shared" si="68"/>
        <v>Sunday</v>
      </c>
      <c r="C1131" s="93" t="s">
        <v>1381</v>
      </c>
      <c r="D1131" s="93" t="s">
        <v>495</v>
      </c>
      <c r="E1131" s="94">
        <v>32.82</v>
      </c>
      <c r="F1131" s="93" t="s">
        <v>5</v>
      </c>
      <c r="G1131" s="87">
        <f>Table1[[#This Row],[date]]</f>
        <v>45515</v>
      </c>
      <c r="H1131" s="94">
        <f>SUMIF($A$2:A4766,G1131,$E$2:E4766)</f>
        <v>410.47999999999996</v>
      </c>
      <c r="I1131" s="93" t="str">
        <f t="shared" si="69"/>
        <v>Sunday</v>
      </c>
      <c r="J1131" s="93" t="str">
        <f t="shared" si="70"/>
        <v>August</v>
      </c>
      <c r="K1131" s="93" t="str">
        <f t="shared" si="71"/>
        <v>2024</v>
      </c>
      <c r="L1131" s="6"/>
      <c r="M1131" s="6"/>
      <c r="N1131" s="6"/>
    </row>
    <row r="1132" spans="1:14" x14ac:dyDescent="0.3">
      <c r="A1132" s="87">
        <v>45515</v>
      </c>
      <c r="B1132" s="87" t="str">
        <f t="shared" si="68"/>
        <v>Sunday</v>
      </c>
      <c r="C1132" s="88" t="s">
        <v>1381</v>
      </c>
      <c r="D1132" s="88" t="s">
        <v>496</v>
      </c>
      <c r="E1132" s="89">
        <v>27.92</v>
      </c>
      <c r="F1132" s="88" t="s">
        <v>12</v>
      </c>
      <c r="G1132" s="87">
        <f>Table1[[#This Row],[date]]</f>
        <v>45515</v>
      </c>
      <c r="H1132" s="94">
        <f>SUMIF($A$2:A4767,G1132,$E$2:E4767)</f>
        <v>410.47999999999996</v>
      </c>
      <c r="I1132" s="93" t="str">
        <f t="shared" si="69"/>
        <v>Sunday</v>
      </c>
      <c r="J1132" s="93" t="str">
        <f t="shared" si="70"/>
        <v>August</v>
      </c>
      <c r="K1132" s="93" t="str">
        <f t="shared" si="71"/>
        <v>2024</v>
      </c>
      <c r="L1132" s="6"/>
      <c r="M1132" s="6"/>
      <c r="N1132" s="6"/>
    </row>
    <row r="1133" spans="1:14" x14ac:dyDescent="0.3">
      <c r="A1133" s="92">
        <v>45515</v>
      </c>
      <c r="B1133" s="92" t="str">
        <f t="shared" si="68"/>
        <v>Sunday</v>
      </c>
      <c r="C1133" s="93" t="s">
        <v>1381</v>
      </c>
      <c r="D1133" s="93" t="s">
        <v>496</v>
      </c>
      <c r="E1133" s="94">
        <v>32.82</v>
      </c>
      <c r="F1133" s="93" t="s">
        <v>16</v>
      </c>
      <c r="G1133" s="87">
        <f>Table1[[#This Row],[date]]</f>
        <v>45515</v>
      </c>
      <c r="H1133" s="94">
        <f>SUMIF($A$2:A4768,G1133,$E$2:E4768)</f>
        <v>410.47999999999996</v>
      </c>
      <c r="I1133" s="93" t="str">
        <f t="shared" si="69"/>
        <v>Sunday</v>
      </c>
      <c r="J1133" s="93" t="str">
        <f t="shared" si="70"/>
        <v>August</v>
      </c>
      <c r="K1133" s="93" t="str">
        <f t="shared" si="71"/>
        <v>2024</v>
      </c>
      <c r="L1133" s="6"/>
      <c r="M1133" s="6"/>
      <c r="N1133" s="6"/>
    </row>
    <row r="1134" spans="1:14" x14ac:dyDescent="0.3">
      <c r="A1134" s="87">
        <v>45515</v>
      </c>
      <c r="B1134" s="87" t="str">
        <f t="shared" si="68"/>
        <v>Sunday</v>
      </c>
      <c r="C1134" s="88" t="s">
        <v>1381</v>
      </c>
      <c r="D1134" s="88" t="s">
        <v>426</v>
      </c>
      <c r="E1134" s="89">
        <v>32.82</v>
      </c>
      <c r="F1134" s="88" t="s">
        <v>41</v>
      </c>
      <c r="G1134" s="87">
        <f>Table1[[#This Row],[date]]</f>
        <v>45515</v>
      </c>
      <c r="H1134" s="94">
        <f>SUMIF($A$2:A4769,G1134,$E$2:E4769)</f>
        <v>410.47999999999996</v>
      </c>
      <c r="I1134" s="93" t="str">
        <f t="shared" si="69"/>
        <v>Sunday</v>
      </c>
      <c r="J1134" s="93" t="str">
        <f t="shared" si="70"/>
        <v>August</v>
      </c>
      <c r="K1134" s="93" t="str">
        <f t="shared" si="71"/>
        <v>2024</v>
      </c>
      <c r="L1134" s="6"/>
      <c r="M1134" s="6"/>
      <c r="N1134" s="6"/>
    </row>
    <row r="1135" spans="1:14" x14ac:dyDescent="0.3">
      <c r="A1135" s="92">
        <v>45515</v>
      </c>
      <c r="B1135" s="92" t="str">
        <f t="shared" si="68"/>
        <v>Sunday</v>
      </c>
      <c r="C1135" s="93" t="s">
        <v>1381</v>
      </c>
      <c r="D1135" s="93" t="s">
        <v>497</v>
      </c>
      <c r="E1135" s="94">
        <v>18.12</v>
      </c>
      <c r="F1135" s="93" t="s">
        <v>33</v>
      </c>
      <c r="G1135" s="87">
        <f>Table1[[#This Row],[date]]</f>
        <v>45515</v>
      </c>
      <c r="H1135" s="94">
        <f>SUMIF($A$2:A4770,G1135,$E$2:E4770)</f>
        <v>410.47999999999996</v>
      </c>
      <c r="I1135" s="93" t="str">
        <f t="shared" si="69"/>
        <v>Sunday</v>
      </c>
      <c r="J1135" s="93" t="str">
        <f t="shared" si="70"/>
        <v>August</v>
      </c>
      <c r="K1135" s="93" t="str">
        <f t="shared" si="71"/>
        <v>2024</v>
      </c>
      <c r="L1135" s="6"/>
      <c r="M1135" s="6"/>
      <c r="N1135" s="6"/>
    </row>
    <row r="1136" spans="1:14" x14ac:dyDescent="0.3">
      <c r="A1136" s="87">
        <v>45515</v>
      </c>
      <c r="B1136" s="87" t="str">
        <f t="shared" si="68"/>
        <v>Sunday</v>
      </c>
      <c r="C1136" s="88" t="s">
        <v>1381</v>
      </c>
      <c r="D1136" s="88" t="s">
        <v>498</v>
      </c>
      <c r="E1136" s="89">
        <v>23.02</v>
      </c>
      <c r="F1136" s="88" t="s">
        <v>26</v>
      </c>
      <c r="G1136" s="87">
        <f>Table1[[#This Row],[date]]</f>
        <v>45515</v>
      </c>
      <c r="H1136" s="94">
        <f>SUMIF($A$2:A4771,G1136,$E$2:E4771)</f>
        <v>410.47999999999996</v>
      </c>
      <c r="I1136" s="93" t="str">
        <f t="shared" si="69"/>
        <v>Sunday</v>
      </c>
      <c r="J1136" s="93" t="str">
        <f t="shared" si="70"/>
        <v>August</v>
      </c>
      <c r="K1136" s="93" t="str">
        <f t="shared" si="71"/>
        <v>2024</v>
      </c>
      <c r="L1136" s="6"/>
      <c r="M1136" s="6"/>
      <c r="N1136" s="6"/>
    </row>
    <row r="1137" spans="1:14" x14ac:dyDescent="0.3">
      <c r="A1137" s="92">
        <v>45515</v>
      </c>
      <c r="B1137" s="92" t="str">
        <f t="shared" si="68"/>
        <v>Sunday</v>
      </c>
      <c r="C1137" s="93" t="s">
        <v>1381</v>
      </c>
      <c r="D1137" s="93" t="s">
        <v>487</v>
      </c>
      <c r="E1137" s="94">
        <v>32.82</v>
      </c>
      <c r="F1137" s="93" t="s">
        <v>5</v>
      </c>
      <c r="G1137" s="87">
        <f>Table1[[#This Row],[date]]</f>
        <v>45515</v>
      </c>
      <c r="H1137" s="94">
        <f>SUMIF($A$2:A4772,G1137,$E$2:E4772)</f>
        <v>410.47999999999996</v>
      </c>
      <c r="I1137" s="93" t="str">
        <f t="shared" si="69"/>
        <v>Sunday</v>
      </c>
      <c r="J1137" s="93" t="str">
        <f t="shared" si="70"/>
        <v>August</v>
      </c>
      <c r="K1137" s="93" t="str">
        <f t="shared" si="71"/>
        <v>2024</v>
      </c>
      <c r="L1137" s="6"/>
      <c r="M1137" s="6"/>
      <c r="N1137" s="6"/>
    </row>
    <row r="1138" spans="1:14" x14ac:dyDescent="0.3">
      <c r="A1138" s="87">
        <v>45515</v>
      </c>
      <c r="B1138" s="87" t="str">
        <f t="shared" si="68"/>
        <v>Sunday</v>
      </c>
      <c r="C1138" s="88" t="s">
        <v>1381</v>
      </c>
      <c r="D1138" s="88" t="s">
        <v>499</v>
      </c>
      <c r="E1138" s="89">
        <v>32.82</v>
      </c>
      <c r="F1138" s="88" t="s">
        <v>5</v>
      </c>
      <c r="G1138" s="87">
        <f>Table1[[#This Row],[date]]</f>
        <v>45515</v>
      </c>
      <c r="H1138" s="94">
        <f>SUMIF($A$2:A4773,G1138,$E$2:E4773)</f>
        <v>410.47999999999996</v>
      </c>
      <c r="I1138" s="93" t="str">
        <f t="shared" si="69"/>
        <v>Sunday</v>
      </c>
      <c r="J1138" s="93" t="str">
        <f t="shared" si="70"/>
        <v>August</v>
      </c>
      <c r="K1138" s="93" t="str">
        <f t="shared" si="71"/>
        <v>2024</v>
      </c>
      <c r="L1138" s="6"/>
      <c r="M1138" s="6"/>
      <c r="N1138" s="6"/>
    </row>
    <row r="1139" spans="1:14" x14ac:dyDescent="0.3">
      <c r="A1139" s="92">
        <v>45515</v>
      </c>
      <c r="B1139" s="92" t="str">
        <f t="shared" si="68"/>
        <v>Sunday</v>
      </c>
      <c r="C1139" s="93" t="s">
        <v>1381</v>
      </c>
      <c r="D1139" s="93" t="s">
        <v>500</v>
      </c>
      <c r="E1139" s="94">
        <v>32.82</v>
      </c>
      <c r="F1139" s="93" t="s">
        <v>41</v>
      </c>
      <c r="G1139" s="87">
        <f>Table1[[#This Row],[date]]</f>
        <v>45515</v>
      </c>
      <c r="H1139" s="94">
        <f>SUMIF($A$2:A4774,G1139,$E$2:E4774)</f>
        <v>410.47999999999996</v>
      </c>
      <c r="I1139" s="93" t="str">
        <f t="shared" si="69"/>
        <v>Sunday</v>
      </c>
      <c r="J1139" s="93" t="str">
        <f t="shared" si="70"/>
        <v>August</v>
      </c>
      <c r="K1139" s="93" t="str">
        <f t="shared" si="71"/>
        <v>2024</v>
      </c>
      <c r="L1139" s="6"/>
      <c r="M1139" s="6"/>
      <c r="N1139" s="6"/>
    </row>
    <row r="1140" spans="1:14" x14ac:dyDescent="0.3">
      <c r="A1140" s="87">
        <v>45516</v>
      </c>
      <c r="B1140" s="87" t="str">
        <f t="shared" si="68"/>
        <v>Monday</v>
      </c>
      <c r="C1140" s="88" t="s">
        <v>1381</v>
      </c>
      <c r="D1140" s="88" t="s">
        <v>379</v>
      </c>
      <c r="E1140" s="89">
        <v>32.82</v>
      </c>
      <c r="F1140" s="88" t="s">
        <v>7</v>
      </c>
      <c r="G1140" s="87">
        <f>Table1[[#This Row],[date]]</f>
        <v>45516</v>
      </c>
      <c r="H1140" s="94">
        <f>SUMIF($A$2:A4775,G1140,$E$2:E4775)</f>
        <v>316.92</v>
      </c>
      <c r="I1140" s="93" t="str">
        <f t="shared" si="69"/>
        <v>Monday</v>
      </c>
      <c r="J1140" s="93" t="str">
        <f t="shared" si="70"/>
        <v>August</v>
      </c>
      <c r="K1140" s="93" t="str">
        <f t="shared" si="71"/>
        <v>2024</v>
      </c>
      <c r="L1140" s="6"/>
      <c r="M1140" s="6"/>
      <c r="N1140" s="6"/>
    </row>
    <row r="1141" spans="1:14" x14ac:dyDescent="0.3">
      <c r="A1141" s="92">
        <v>45516</v>
      </c>
      <c r="B1141" s="92" t="str">
        <f t="shared" si="68"/>
        <v>Monday</v>
      </c>
      <c r="C1141" s="93" t="s">
        <v>1381</v>
      </c>
      <c r="D1141" s="93" t="s">
        <v>501</v>
      </c>
      <c r="E1141" s="94">
        <v>27.92</v>
      </c>
      <c r="F1141" s="93" t="s">
        <v>12</v>
      </c>
      <c r="G1141" s="87">
        <f>Table1[[#This Row],[date]]</f>
        <v>45516</v>
      </c>
      <c r="H1141" s="94">
        <f>SUMIF($A$2:A4776,G1141,$E$2:E4776)</f>
        <v>316.92</v>
      </c>
      <c r="I1141" s="93" t="str">
        <f t="shared" si="69"/>
        <v>Monday</v>
      </c>
      <c r="J1141" s="93" t="str">
        <f t="shared" si="70"/>
        <v>August</v>
      </c>
      <c r="K1141" s="93" t="str">
        <f t="shared" si="71"/>
        <v>2024</v>
      </c>
      <c r="L1141" s="6"/>
      <c r="M1141" s="6"/>
      <c r="N1141" s="6"/>
    </row>
    <row r="1142" spans="1:14" x14ac:dyDescent="0.3">
      <c r="A1142" s="87">
        <v>45516</v>
      </c>
      <c r="B1142" s="87" t="str">
        <f t="shared" si="68"/>
        <v>Monday</v>
      </c>
      <c r="C1142" s="88" t="s">
        <v>1381</v>
      </c>
      <c r="D1142" s="88" t="s">
        <v>502</v>
      </c>
      <c r="E1142" s="89">
        <v>23.02</v>
      </c>
      <c r="F1142" s="88" t="s">
        <v>9</v>
      </c>
      <c r="G1142" s="87">
        <f>Table1[[#This Row],[date]]</f>
        <v>45516</v>
      </c>
      <c r="H1142" s="94">
        <f>SUMIF($A$2:A4777,G1142,$E$2:E4777)</f>
        <v>316.92</v>
      </c>
      <c r="I1142" s="93" t="str">
        <f t="shared" si="69"/>
        <v>Monday</v>
      </c>
      <c r="J1142" s="93" t="str">
        <f t="shared" si="70"/>
        <v>August</v>
      </c>
      <c r="K1142" s="93" t="str">
        <f t="shared" si="71"/>
        <v>2024</v>
      </c>
      <c r="L1142" s="6"/>
      <c r="M1142" s="6"/>
      <c r="N1142" s="6"/>
    </row>
    <row r="1143" spans="1:14" x14ac:dyDescent="0.3">
      <c r="A1143" s="92">
        <v>45516</v>
      </c>
      <c r="B1143" s="92" t="str">
        <f t="shared" si="68"/>
        <v>Monday</v>
      </c>
      <c r="C1143" s="93" t="s">
        <v>1381</v>
      </c>
      <c r="D1143" s="93" t="s">
        <v>502</v>
      </c>
      <c r="E1143" s="94">
        <v>32.82</v>
      </c>
      <c r="F1143" s="93" t="s">
        <v>5</v>
      </c>
      <c r="G1143" s="87">
        <f>Table1[[#This Row],[date]]</f>
        <v>45516</v>
      </c>
      <c r="H1143" s="94">
        <f>SUMIF($A$2:A4778,G1143,$E$2:E4778)</f>
        <v>316.92</v>
      </c>
      <c r="I1143" s="93" t="str">
        <f t="shared" si="69"/>
        <v>Monday</v>
      </c>
      <c r="J1143" s="93" t="str">
        <f t="shared" si="70"/>
        <v>August</v>
      </c>
      <c r="K1143" s="93" t="str">
        <f t="shared" si="71"/>
        <v>2024</v>
      </c>
      <c r="L1143" s="6"/>
      <c r="M1143" s="6"/>
      <c r="N1143" s="6"/>
    </row>
    <row r="1144" spans="1:14" x14ac:dyDescent="0.3">
      <c r="A1144" s="87">
        <v>45516</v>
      </c>
      <c r="B1144" s="87" t="str">
        <f t="shared" si="68"/>
        <v>Monday</v>
      </c>
      <c r="C1144" s="88" t="s">
        <v>1381</v>
      </c>
      <c r="D1144" s="88" t="s">
        <v>503</v>
      </c>
      <c r="E1144" s="89">
        <v>32.82</v>
      </c>
      <c r="F1144" s="88" t="s">
        <v>5</v>
      </c>
      <c r="G1144" s="87">
        <f>Table1[[#This Row],[date]]</f>
        <v>45516</v>
      </c>
      <c r="H1144" s="94">
        <f>SUMIF($A$2:A4779,G1144,$E$2:E4779)</f>
        <v>316.92</v>
      </c>
      <c r="I1144" s="93" t="str">
        <f t="shared" si="69"/>
        <v>Monday</v>
      </c>
      <c r="J1144" s="93" t="str">
        <f t="shared" si="70"/>
        <v>August</v>
      </c>
      <c r="K1144" s="93" t="str">
        <f t="shared" si="71"/>
        <v>2024</v>
      </c>
      <c r="L1144" s="6"/>
      <c r="M1144" s="6"/>
      <c r="N1144" s="6"/>
    </row>
    <row r="1145" spans="1:14" x14ac:dyDescent="0.3">
      <c r="A1145" s="92">
        <v>45516</v>
      </c>
      <c r="B1145" s="92" t="str">
        <f t="shared" si="68"/>
        <v>Monday</v>
      </c>
      <c r="C1145" s="93" t="s">
        <v>1381</v>
      </c>
      <c r="D1145" s="93" t="s">
        <v>504</v>
      </c>
      <c r="E1145" s="94">
        <v>18.12</v>
      </c>
      <c r="F1145" s="93" t="s">
        <v>33</v>
      </c>
      <c r="G1145" s="87">
        <f>Table1[[#This Row],[date]]</f>
        <v>45516</v>
      </c>
      <c r="H1145" s="94">
        <f>SUMIF($A$2:A4780,G1145,$E$2:E4780)</f>
        <v>316.92</v>
      </c>
      <c r="I1145" s="93" t="str">
        <f t="shared" si="69"/>
        <v>Monday</v>
      </c>
      <c r="J1145" s="93" t="str">
        <f t="shared" si="70"/>
        <v>August</v>
      </c>
      <c r="K1145" s="93" t="str">
        <f t="shared" si="71"/>
        <v>2024</v>
      </c>
      <c r="L1145" s="6"/>
      <c r="M1145" s="6"/>
      <c r="N1145" s="6"/>
    </row>
    <row r="1146" spans="1:14" x14ac:dyDescent="0.3">
      <c r="A1146" s="87">
        <v>45516</v>
      </c>
      <c r="B1146" s="87" t="str">
        <f t="shared" si="68"/>
        <v>Monday</v>
      </c>
      <c r="C1146" s="88" t="s">
        <v>1381</v>
      </c>
      <c r="D1146" s="88" t="s">
        <v>504</v>
      </c>
      <c r="E1146" s="89">
        <v>27.92</v>
      </c>
      <c r="F1146" s="88" t="s">
        <v>12</v>
      </c>
      <c r="G1146" s="87">
        <f>Table1[[#This Row],[date]]</f>
        <v>45516</v>
      </c>
      <c r="H1146" s="94">
        <f>SUMIF($A$2:A4781,G1146,$E$2:E4781)</f>
        <v>316.92</v>
      </c>
      <c r="I1146" s="93" t="str">
        <f t="shared" si="69"/>
        <v>Monday</v>
      </c>
      <c r="J1146" s="93" t="str">
        <f t="shared" si="70"/>
        <v>August</v>
      </c>
      <c r="K1146" s="93" t="str">
        <f t="shared" si="71"/>
        <v>2024</v>
      </c>
      <c r="L1146" s="6"/>
      <c r="M1146" s="6"/>
      <c r="N1146" s="6"/>
    </row>
    <row r="1147" spans="1:14" x14ac:dyDescent="0.3">
      <c r="A1147" s="92">
        <v>45516</v>
      </c>
      <c r="B1147" s="92" t="str">
        <f t="shared" si="68"/>
        <v>Monday</v>
      </c>
      <c r="C1147" s="93" t="s">
        <v>1381</v>
      </c>
      <c r="D1147" s="93" t="s">
        <v>505</v>
      </c>
      <c r="E1147" s="94">
        <v>27.92</v>
      </c>
      <c r="F1147" s="93" t="s">
        <v>12</v>
      </c>
      <c r="G1147" s="87">
        <f>Table1[[#This Row],[date]]</f>
        <v>45516</v>
      </c>
      <c r="H1147" s="94">
        <f>SUMIF($A$2:A4782,G1147,$E$2:E4782)</f>
        <v>316.92</v>
      </c>
      <c r="I1147" s="93" t="str">
        <f t="shared" si="69"/>
        <v>Monday</v>
      </c>
      <c r="J1147" s="93" t="str">
        <f t="shared" si="70"/>
        <v>August</v>
      </c>
      <c r="K1147" s="93" t="str">
        <f t="shared" si="71"/>
        <v>2024</v>
      </c>
      <c r="L1147" s="6"/>
      <c r="M1147" s="6"/>
      <c r="N1147" s="6"/>
    </row>
    <row r="1148" spans="1:14" x14ac:dyDescent="0.3">
      <c r="A1148" s="87">
        <v>45516</v>
      </c>
      <c r="B1148" s="87" t="str">
        <f t="shared" si="68"/>
        <v>Monday</v>
      </c>
      <c r="C1148" s="88" t="s">
        <v>1381</v>
      </c>
      <c r="D1148" s="88" t="s">
        <v>109</v>
      </c>
      <c r="E1148" s="89">
        <v>27.92</v>
      </c>
      <c r="F1148" s="88" t="s">
        <v>12</v>
      </c>
      <c r="G1148" s="87">
        <f>Table1[[#This Row],[date]]</f>
        <v>45516</v>
      </c>
      <c r="H1148" s="94">
        <f>SUMIF($A$2:A4783,G1148,$E$2:E4783)</f>
        <v>316.92</v>
      </c>
      <c r="I1148" s="93" t="str">
        <f t="shared" si="69"/>
        <v>Monday</v>
      </c>
      <c r="J1148" s="93" t="str">
        <f t="shared" si="70"/>
        <v>August</v>
      </c>
      <c r="K1148" s="93" t="str">
        <f t="shared" si="71"/>
        <v>2024</v>
      </c>
      <c r="L1148" s="6"/>
      <c r="M1148" s="6"/>
      <c r="N1148" s="6"/>
    </row>
    <row r="1149" spans="1:14" x14ac:dyDescent="0.3">
      <c r="A1149" s="87">
        <v>45516</v>
      </c>
      <c r="B1149" s="87" t="str">
        <f t="shared" si="68"/>
        <v>Monday</v>
      </c>
      <c r="C1149" s="88" t="s">
        <v>1381</v>
      </c>
      <c r="D1149" s="88" t="s">
        <v>506</v>
      </c>
      <c r="E1149" s="89">
        <v>32.82</v>
      </c>
      <c r="F1149" s="88" t="s">
        <v>5</v>
      </c>
      <c r="G1149" s="87">
        <f>Table1[[#This Row],[date]]</f>
        <v>45516</v>
      </c>
      <c r="H1149" s="94">
        <f>SUMIF($A$2:A4784,G1149,$E$2:E4784)</f>
        <v>316.92</v>
      </c>
      <c r="I1149" s="93" t="str">
        <f t="shared" si="69"/>
        <v>Monday</v>
      </c>
      <c r="J1149" s="93" t="str">
        <f t="shared" si="70"/>
        <v>August</v>
      </c>
      <c r="K1149" s="93" t="str">
        <f t="shared" si="71"/>
        <v>2024</v>
      </c>
      <c r="L1149" s="6"/>
      <c r="M1149" s="6"/>
      <c r="N1149" s="6"/>
    </row>
    <row r="1150" spans="1:14" x14ac:dyDescent="0.3">
      <c r="A1150" s="92">
        <v>45516</v>
      </c>
      <c r="B1150" s="92" t="str">
        <f t="shared" si="68"/>
        <v>Monday</v>
      </c>
      <c r="C1150" s="93" t="s">
        <v>1381</v>
      </c>
      <c r="D1150" s="93" t="s">
        <v>146</v>
      </c>
      <c r="E1150" s="94">
        <v>32.82</v>
      </c>
      <c r="F1150" s="93" t="s">
        <v>41</v>
      </c>
      <c r="G1150" s="87">
        <f>Table1[[#This Row],[date]]</f>
        <v>45516</v>
      </c>
      <c r="H1150" s="94">
        <f>SUMIF($A$2:A4785,G1150,$E$2:E4785)</f>
        <v>316.92</v>
      </c>
      <c r="I1150" s="93" t="str">
        <f t="shared" si="69"/>
        <v>Monday</v>
      </c>
      <c r="J1150" s="93" t="str">
        <f t="shared" si="70"/>
        <v>August</v>
      </c>
      <c r="K1150" s="93" t="str">
        <f t="shared" si="71"/>
        <v>2024</v>
      </c>
      <c r="L1150" s="6"/>
      <c r="M1150" s="6"/>
      <c r="N1150" s="6"/>
    </row>
    <row r="1151" spans="1:14" x14ac:dyDescent="0.3">
      <c r="A1151" s="92">
        <v>45517</v>
      </c>
      <c r="B1151" s="92" t="str">
        <f t="shared" si="68"/>
        <v>Tuesday</v>
      </c>
      <c r="C1151" s="93" t="s">
        <v>1381</v>
      </c>
      <c r="D1151" s="93" t="s">
        <v>507</v>
      </c>
      <c r="E1151" s="94">
        <v>27.92</v>
      </c>
      <c r="F1151" s="93" t="s">
        <v>12</v>
      </c>
      <c r="G1151" s="87">
        <f>Table1[[#This Row],[date]]</f>
        <v>45517</v>
      </c>
      <c r="H1151" s="94">
        <f>SUMIF($A$2:A4786,G1151,$E$2:E4786)</f>
        <v>354.63999999999993</v>
      </c>
      <c r="I1151" s="93" t="str">
        <f t="shared" si="69"/>
        <v>Tuesday</v>
      </c>
      <c r="J1151" s="93" t="str">
        <f t="shared" si="70"/>
        <v>August</v>
      </c>
      <c r="K1151" s="93" t="str">
        <f t="shared" si="71"/>
        <v>2024</v>
      </c>
      <c r="L1151" s="6"/>
      <c r="M1151" s="6"/>
      <c r="N1151" s="6"/>
    </row>
    <row r="1152" spans="1:14" x14ac:dyDescent="0.3">
      <c r="A1152" s="87">
        <v>45517</v>
      </c>
      <c r="B1152" s="87" t="str">
        <f t="shared" si="68"/>
        <v>Tuesday</v>
      </c>
      <c r="C1152" s="88" t="s">
        <v>1381</v>
      </c>
      <c r="D1152" s="88" t="s">
        <v>109</v>
      </c>
      <c r="E1152" s="89">
        <v>27.92</v>
      </c>
      <c r="F1152" s="88" t="s">
        <v>12</v>
      </c>
      <c r="G1152" s="87">
        <f>Table1[[#This Row],[date]]</f>
        <v>45517</v>
      </c>
      <c r="H1152" s="94">
        <f>SUMIF($A$2:A4787,G1152,$E$2:E4787)</f>
        <v>354.63999999999993</v>
      </c>
      <c r="I1152" s="93" t="str">
        <f t="shared" si="69"/>
        <v>Tuesday</v>
      </c>
      <c r="J1152" s="93" t="str">
        <f t="shared" si="70"/>
        <v>August</v>
      </c>
      <c r="K1152" s="93" t="str">
        <f t="shared" si="71"/>
        <v>2024</v>
      </c>
      <c r="L1152" s="6"/>
      <c r="M1152" s="6"/>
      <c r="N1152" s="6"/>
    </row>
    <row r="1153" spans="1:14" x14ac:dyDescent="0.3">
      <c r="A1153" s="92">
        <v>45517</v>
      </c>
      <c r="B1153" s="92" t="str">
        <f t="shared" si="68"/>
        <v>Tuesday</v>
      </c>
      <c r="C1153" s="93" t="s">
        <v>1381</v>
      </c>
      <c r="D1153" s="93" t="s">
        <v>397</v>
      </c>
      <c r="E1153" s="94">
        <v>27.92</v>
      </c>
      <c r="F1153" s="93" t="s">
        <v>12</v>
      </c>
      <c r="G1153" s="87">
        <f>Table1[[#This Row],[date]]</f>
        <v>45517</v>
      </c>
      <c r="H1153" s="94">
        <f>SUMIF($A$2:A4788,G1153,$E$2:E4788)</f>
        <v>354.63999999999993</v>
      </c>
      <c r="I1153" s="93" t="str">
        <f t="shared" si="69"/>
        <v>Tuesday</v>
      </c>
      <c r="J1153" s="93" t="str">
        <f t="shared" si="70"/>
        <v>August</v>
      </c>
      <c r="K1153" s="93" t="str">
        <f t="shared" si="71"/>
        <v>2024</v>
      </c>
      <c r="L1153" s="6"/>
      <c r="M1153" s="6"/>
      <c r="N1153" s="6"/>
    </row>
    <row r="1154" spans="1:14" x14ac:dyDescent="0.3">
      <c r="A1154" s="87">
        <v>45517</v>
      </c>
      <c r="B1154" s="87" t="str">
        <f t="shared" ref="B1154:B1217" si="72">TEXT(A1154,"dddd")</f>
        <v>Tuesday</v>
      </c>
      <c r="C1154" s="88" t="s">
        <v>1381</v>
      </c>
      <c r="D1154" s="88" t="s">
        <v>153</v>
      </c>
      <c r="E1154" s="89">
        <v>23.02</v>
      </c>
      <c r="F1154" s="88" t="s">
        <v>26</v>
      </c>
      <c r="G1154" s="87">
        <f>Table1[[#This Row],[date]]</f>
        <v>45517</v>
      </c>
      <c r="H1154" s="94">
        <f>SUMIF($A$2:A4789,G1154,$E$2:E4789)</f>
        <v>354.63999999999993</v>
      </c>
      <c r="I1154" s="93" t="str">
        <f t="shared" si="69"/>
        <v>Tuesday</v>
      </c>
      <c r="J1154" s="93" t="str">
        <f t="shared" si="70"/>
        <v>August</v>
      </c>
      <c r="K1154" s="93" t="str">
        <f t="shared" si="71"/>
        <v>2024</v>
      </c>
      <c r="L1154" s="6"/>
      <c r="M1154" s="6"/>
      <c r="N1154" s="6"/>
    </row>
    <row r="1155" spans="1:14" x14ac:dyDescent="0.3">
      <c r="A1155" s="92">
        <v>45517</v>
      </c>
      <c r="B1155" s="92" t="str">
        <f t="shared" si="72"/>
        <v>Tuesday</v>
      </c>
      <c r="C1155" s="93" t="s">
        <v>1381</v>
      </c>
      <c r="D1155" s="93" t="s">
        <v>508</v>
      </c>
      <c r="E1155" s="94">
        <v>32.82</v>
      </c>
      <c r="F1155" s="93" t="s">
        <v>5</v>
      </c>
      <c r="G1155" s="87">
        <f>Table1[[#This Row],[date]]</f>
        <v>45517</v>
      </c>
      <c r="H1155" s="94">
        <f>SUMIF($A$2:A4790,G1155,$E$2:E4790)</f>
        <v>354.63999999999993</v>
      </c>
      <c r="I1155" s="93" t="str">
        <f t="shared" si="69"/>
        <v>Tuesday</v>
      </c>
      <c r="J1155" s="93" t="str">
        <f t="shared" si="70"/>
        <v>August</v>
      </c>
      <c r="K1155" s="93" t="str">
        <f t="shared" si="71"/>
        <v>2024</v>
      </c>
      <c r="L1155" s="6"/>
      <c r="M1155" s="6"/>
      <c r="N1155" s="6"/>
    </row>
    <row r="1156" spans="1:14" x14ac:dyDescent="0.3">
      <c r="A1156" s="87">
        <v>45517</v>
      </c>
      <c r="B1156" s="87" t="str">
        <f t="shared" si="72"/>
        <v>Tuesday</v>
      </c>
      <c r="C1156" s="88" t="s">
        <v>1381</v>
      </c>
      <c r="D1156" s="88" t="s">
        <v>509</v>
      </c>
      <c r="E1156" s="89">
        <v>27.92</v>
      </c>
      <c r="F1156" s="88" t="s">
        <v>12</v>
      </c>
      <c r="G1156" s="87">
        <f>Table1[[#This Row],[date]]</f>
        <v>45517</v>
      </c>
      <c r="H1156" s="94">
        <f>SUMIF($A$2:A4791,G1156,$E$2:E4791)</f>
        <v>354.63999999999993</v>
      </c>
      <c r="I1156" s="93" t="str">
        <f t="shared" si="69"/>
        <v>Tuesday</v>
      </c>
      <c r="J1156" s="93" t="str">
        <f t="shared" si="70"/>
        <v>August</v>
      </c>
      <c r="K1156" s="93" t="str">
        <f t="shared" si="71"/>
        <v>2024</v>
      </c>
      <c r="L1156" s="6"/>
      <c r="M1156" s="6"/>
      <c r="N1156" s="6"/>
    </row>
    <row r="1157" spans="1:14" x14ac:dyDescent="0.3">
      <c r="A1157" s="92">
        <v>45517</v>
      </c>
      <c r="B1157" s="92" t="str">
        <f t="shared" si="72"/>
        <v>Tuesday</v>
      </c>
      <c r="C1157" s="93" t="s">
        <v>1381</v>
      </c>
      <c r="D1157" s="93" t="s">
        <v>506</v>
      </c>
      <c r="E1157" s="94">
        <v>32.82</v>
      </c>
      <c r="F1157" s="93" t="s">
        <v>5</v>
      </c>
      <c r="G1157" s="87">
        <f>Table1[[#This Row],[date]]</f>
        <v>45517</v>
      </c>
      <c r="H1157" s="94">
        <f>SUMIF($A$2:A4792,G1157,$E$2:E4792)</f>
        <v>354.63999999999993</v>
      </c>
      <c r="I1157" s="93" t="str">
        <f t="shared" si="69"/>
        <v>Tuesday</v>
      </c>
      <c r="J1157" s="93" t="str">
        <f t="shared" si="70"/>
        <v>August</v>
      </c>
      <c r="K1157" s="93" t="str">
        <f t="shared" si="71"/>
        <v>2024</v>
      </c>
      <c r="L1157" s="6"/>
      <c r="M1157" s="6"/>
      <c r="N1157" s="6"/>
    </row>
    <row r="1158" spans="1:14" x14ac:dyDescent="0.3">
      <c r="A1158" s="87">
        <v>45517</v>
      </c>
      <c r="B1158" s="87" t="str">
        <f t="shared" si="72"/>
        <v>Tuesday</v>
      </c>
      <c r="C1158" s="88" t="s">
        <v>1381</v>
      </c>
      <c r="D1158" s="88" t="s">
        <v>510</v>
      </c>
      <c r="E1158" s="89">
        <v>32.82</v>
      </c>
      <c r="F1158" s="88" t="s">
        <v>41</v>
      </c>
      <c r="G1158" s="87">
        <f>Table1[[#This Row],[date]]</f>
        <v>45517</v>
      </c>
      <c r="H1158" s="94">
        <f>SUMIF($A$2:A4793,G1158,$E$2:E4793)</f>
        <v>354.63999999999993</v>
      </c>
      <c r="I1158" s="93" t="str">
        <f t="shared" ref="I1158:I1221" si="73">TEXT(G1158,"dddd")</f>
        <v>Tuesday</v>
      </c>
      <c r="J1158" s="93" t="str">
        <f t="shared" si="70"/>
        <v>August</v>
      </c>
      <c r="K1158" s="93" t="str">
        <f t="shared" si="71"/>
        <v>2024</v>
      </c>
      <c r="L1158" s="6"/>
      <c r="M1158" s="6"/>
      <c r="N1158" s="6"/>
    </row>
    <row r="1159" spans="1:14" x14ac:dyDescent="0.3">
      <c r="A1159" s="87">
        <v>45517</v>
      </c>
      <c r="B1159" s="87" t="str">
        <f t="shared" si="72"/>
        <v>Tuesday</v>
      </c>
      <c r="C1159" s="88" t="s">
        <v>1381</v>
      </c>
      <c r="D1159" s="88" t="s">
        <v>511</v>
      </c>
      <c r="E1159" s="89">
        <v>32.82</v>
      </c>
      <c r="F1159" s="88" t="s">
        <v>5</v>
      </c>
      <c r="G1159" s="87">
        <f>Table1[[#This Row],[date]]</f>
        <v>45517</v>
      </c>
      <c r="H1159" s="94">
        <f>SUMIF($A$2:A4794,G1159,$E$2:E4794)</f>
        <v>354.63999999999993</v>
      </c>
      <c r="I1159" s="93" t="str">
        <f t="shared" si="73"/>
        <v>Tuesday</v>
      </c>
      <c r="J1159" s="93" t="str">
        <f t="shared" ref="J1159:J1222" si="74">TEXT(G1159,"mmmm")</f>
        <v>August</v>
      </c>
      <c r="K1159" s="93" t="str">
        <f t="shared" ref="K1159:K1222" si="75">TEXT(G1159,"yyyy")</f>
        <v>2024</v>
      </c>
      <c r="L1159" s="6"/>
      <c r="M1159" s="6"/>
      <c r="N1159" s="6"/>
    </row>
    <row r="1160" spans="1:14" x14ac:dyDescent="0.3">
      <c r="A1160" s="92">
        <v>45517</v>
      </c>
      <c r="B1160" s="92" t="str">
        <f t="shared" si="72"/>
        <v>Tuesday</v>
      </c>
      <c r="C1160" s="93" t="s">
        <v>1381</v>
      </c>
      <c r="D1160" s="93" t="s">
        <v>511</v>
      </c>
      <c r="E1160" s="94">
        <v>32.82</v>
      </c>
      <c r="F1160" s="93" t="s">
        <v>16</v>
      </c>
      <c r="G1160" s="87">
        <f>Table1[[#This Row],[date]]</f>
        <v>45517</v>
      </c>
      <c r="H1160" s="94">
        <f>SUMIF($A$2:A4795,G1160,$E$2:E4795)</f>
        <v>354.63999999999993</v>
      </c>
      <c r="I1160" s="93" t="str">
        <f t="shared" si="73"/>
        <v>Tuesday</v>
      </c>
      <c r="J1160" s="93" t="str">
        <f t="shared" si="74"/>
        <v>August</v>
      </c>
      <c r="K1160" s="93" t="str">
        <f t="shared" si="75"/>
        <v>2024</v>
      </c>
      <c r="L1160" s="6"/>
      <c r="M1160" s="6"/>
      <c r="N1160" s="6"/>
    </row>
    <row r="1161" spans="1:14" x14ac:dyDescent="0.3">
      <c r="A1161" s="87">
        <v>45517</v>
      </c>
      <c r="B1161" s="87" t="str">
        <f t="shared" si="72"/>
        <v>Tuesday</v>
      </c>
      <c r="C1161" s="88" t="s">
        <v>1381</v>
      </c>
      <c r="D1161" s="88" t="s">
        <v>512</v>
      </c>
      <c r="E1161" s="89">
        <v>32.82</v>
      </c>
      <c r="F1161" s="88" t="s">
        <v>41</v>
      </c>
      <c r="G1161" s="87">
        <f>Table1[[#This Row],[date]]</f>
        <v>45517</v>
      </c>
      <c r="H1161" s="94">
        <f>SUMIF($A$2:A4796,G1161,$E$2:E4796)</f>
        <v>354.63999999999993</v>
      </c>
      <c r="I1161" s="93" t="str">
        <f t="shared" si="73"/>
        <v>Tuesday</v>
      </c>
      <c r="J1161" s="93" t="str">
        <f t="shared" si="74"/>
        <v>August</v>
      </c>
      <c r="K1161" s="93" t="str">
        <f t="shared" si="75"/>
        <v>2024</v>
      </c>
      <c r="L1161" s="6"/>
      <c r="M1161" s="6"/>
      <c r="N1161" s="6"/>
    </row>
    <row r="1162" spans="1:14" x14ac:dyDescent="0.3">
      <c r="A1162" s="92">
        <v>45517</v>
      </c>
      <c r="B1162" s="92" t="str">
        <f t="shared" si="72"/>
        <v>Tuesday</v>
      </c>
      <c r="C1162" s="93" t="s">
        <v>1381</v>
      </c>
      <c r="D1162" s="93" t="s">
        <v>513</v>
      </c>
      <c r="E1162" s="94">
        <v>23.02</v>
      </c>
      <c r="F1162" s="93" t="s">
        <v>26</v>
      </c>
      <c r="G1162" s="87">
        <f>Table1[[#This Row],[date]]</f>
        <v>45517</v>
      </c>
      <c r="H1162" s="94">
        <f>SUMIF($A$2:A4797,G1162,$E$2:E4797)</f>
        <v>354.63999999999993</v>
      </c>
      <c r="I1162" s="93" t="str">
        <f t="shared" si="73"/>
        <v>Tuesday</v>
      </c>
      <c r="J1162" s="93" t="str">
        <f t="shared" si="74"/>
        <v>August</v>
      </c>
      <c r="K1162" s="93" t="str">
        <f t="shared" si="75"/>
        <v>2024</v>
      </c>
      <c r="L1162" s="6"/>
      <c r="M1162" s="6"/>
      <c r="N1162" s="6"/>
    </row>
    <row r="1163" spans="1:14" x14ac:dyDescent="0.3">
      <c r="A1163" s="87">
        <v>45518</v>
      </c>
      <c r="B1163" s="87" t="str">
        <f t="shared" si="72"/>
        <v>Wednesday</v>
      </c>
      <c r="C1163" s="88" t="s">
        <v>1381</v>
      </c>
      <c r="D1163" s="88" t="s">
        <v>487</v>
      </c>
      <c r="E1163" s="89">
        <v>32.82</v>
      </c>
      <c r="F1163" s="88" t="s">
        <v>5</v>
      </c>
      <c r="G1163" s="87">
        <f>Table1[[#This Row],[date]]</f>
        <v>45518</v>
      </c>
      <c r="H1163" s="94">
        <f>SUMIF($A$2:A4798,G1163,$E$2:E4798)</f>
        <v>348.26</v>
      </c>
      <c r="I1163" s="93" t="str">
        <f t="shared" si="73"/>
        <v>Wednesday</v>
      </c>
      <c r="J1163" s="93" t="str">
        <f t="shared" si="74"/>
        <v>August</v>
      </c>
      <c r="K1163" s="93" t="str">
        <f t="shared" si="75"/>
        <v>2024</v>
      </c>
      <c r="L1163" s="6"/>
      <c r="M1163" s="6"/>
      <c r="N1163" s="6"/>
    </row>
    <row r="1164" spans="1:14" x14ac:dyDescent="0.3">
      <c r="A1164" s="92">
        <v>45518</v>
      </c>
      <c r="B1164" s="92" t="str">
        <f t="shared" si="72"/>
        <v>Wednesday</v>
      </c>
      <c r="C1164" s="93" t="s">
        <v>1381</v>
      </c>
      <c r="D1164" s="93" t="s">
        <v>484</v>
      </c>
      <c r="E1164" s="94">
        <v>32.82</v>
      </c>
      <c r="F1164" s="93" t="s">
        <v>41</v>
      </c>
      <c r="G1164" s="87">
        <f>Table1[[#This Row],[date]]</f>
        <v>45518</v>
      </c>
      <c r="H1164" s="94">
        <f>SUMIF($A$2:A4799,G1164,$E$2:E4799)</f>
        <v>348.26</v>
      </c>
      <c r="I1164" s="93" t="str">
        <f t="shared" si="73"/>
        <v>Wednesday</v>
      </c>
      <c r="J1164" s="93" t="str">
        <f t="shared" si="74"/>
        <v>August</v>
      </c>
      <c r="K1164" s="93" t="str">
        <f t="shared" si="75"/>
        <v>2024</v>
      </c>
      <c r="L1164" s="6"/>
      <c r="M1164" s="6"/>
      <c r="N1164" s="6"/>
    </row>
    <row r="1165" spans="1:14" x14ac:dyDescent="0.3">
      <c r="A1165" s="87">
        <v>45518</v>
      </c>
      <c r="B1165" s="87" t="str">
        <f t="shared" si="72"/>
        <v>Wednesday</v>
      </c>
      <c r="C1165" s="88" t="s">
        <v>1381</v>
      </c>
      <c r="D1165" s="88" t="s">
        <v>153</v>
      </c>
      <c r="E1165" s="89">
        <v>23.02</v>
      </c>
      <c r="F1165" s="88" t="s">
        <v>26</v>
      </c>
      <c r="G1165" s="87">
        <f>Table1[[#This Row],[date]]</f>
        <v>45518</v>
      </c>
      <c r="H1165" s="94">
        <f>SUMIF($A$2:A4800,G1165,$E$2:E4800)</f>
        <v>348.26</v>
      </c>
      <c r="I1165" s="93" t="str">
        <f t="shared" si="73"/>
        <v>Wednesday</v>
      </c>
      <c r="J1165" s="93" t="str">
        <f t="shared" si="74"/>
        <v>August</v>
      </c>
      <c r="K1165" s="93" t="str">
        <f t="shared" si="75"/>
        <v>2024</v>
      </c>
      <c r="L1165" s="6"/>
      <c r="M1165" s="6"/>
      <c r="N1165" s="6"/>
    </row>
    <row r="1166" spans="1:14" x14ac:dyDescent="0.3">
      <c r="A1166" s="92">
        <v>45518</v>
      </c>
      <c r="B1166" s="92" t="str">
        <f t="shared" si="72"/>
        <v>Wednesday</v>
      </c>
      <c r="C1166" s="93" t="s">
        <v>1381</v>
      </c>
      <c r="D1166" s="93" t="s">
        <v>107</v>
      </c>
      <c r="E1166" s="94">
        <v>18.12</v>
      </c>
      <c r="F1166" s="93" t="s">
        <v>33</v>
      </c>
      <c r="G1166" s="87">
        <f>Table1[[#This Row],[date]]</f>
        <v>45518</v>
      </c>
      <c r="H1166" s="94">
        <f>SUMIF($A$2:A4801,G1166,$E$2:E4801)</f>
        <v>348.26</v>
      </c>
      <c r="I1166" s="93" t="str">
        <f t="shared" si="73"/>
        <v>Wednesday</v>
      </c>
      <c r="J1166" s="93" t="str">
        <f t="shared" si="74"/>
        <v>August</v>
      </c>
      <c r="K1166" s="93" t="str">
        <f t="shared" si="75"/>
        <v>2024</v>
      </c>
      <c r="L1166" s="6"/>
      <c r="M1166" s="6"/>
      <c r="N1166" s="6"/>
    </row>
    <row r="1167" spans="1:14" x14ac:dyDescent="0.3">
      <c r="A1167" s="87">
        <v>45518</v>
      </c>
      <c r="B1167" s="87" t="str">
        <f t="shared" si="72"/>
        <v>Wednesday</v>
      </c>
      <c r="C1167" s="88" t="s">
        <v>1381</v>
      </c>
      <c r="D1167" s="88" t="s">
        <v>514</v>
      </c>
      <c r="E1167" s="89">
        <v>23.02</v>
      </c>
      <c r="F1167" s="88" t="s">
        <v>9</v>
      </c>
      <c r="G1167" s="87">
        <f>Table1[[#This Row],[date]]</f>
        <v>45518</v>
      </c>
      <c r="H1167" s="94">
        <f>SUMIF($A$2:A4802,G1167,$E$2:E4802)</f>
        <v>348.26</v>
      </c>
      <c r="I1167" s="93" t="str">
        <f t="shared" si="73"/>
        <v>Wednesday</v>
      </c>
      <c r="J1167" s="93" t="str">
        <f t="shared" si="74"/>
        <v>August</v>
      </c>
      <c r="K1167" s="93" t="str">
        <f t="shared" si="75"/>
        <v>2024</v>
      </c>
      <c r="L1167" s="6"/>
      <c r="M1167" s="6"/>
      <c r="N1167" s="6"/>
    </row>
    <row r="1168" spans="1:14" x14ac:dyDescent="0.3">
      <c r="A1168" s="92">
        <v>45518</v>
      </c>
      <c r="B1168" s="92" t="str">
        <f t="shared" si="72"/>
        <v>Wednesday</v>
      </c>
      <c r="C1168" s="93" t="s">
        <v>1381</v>
      </c>
      <c r="D1168" s="93" t="s">
        <v>462</v>
      </c>
      <c r="E1168" s="94">
        <v>23.02</v>
      </c>
      <c r="F1168" s="93" t="s">
        <v>9</v>
      </c>
      <c r="G1168" s="87">
        <f>Table1[[#This Row],[date]]</f>
        <v>45518</v>
      </c>
      <c r="H1168" s="94">
        <f>SUMIF($A$2:A4803,G1168,$E$2:E4803)</f>
        <v>348.26</v>
      </c>
      <c r="I1168" s="93" t="str">
        <f t="shared" si="73"/>
        <v>Wednesday</v>
      </c>
      <c r="J1168" s="93" t="str">
        <f t="shared" si="74"/>
        <v>August</v>
      </c>
      <c r="K1168" s="93" t="str">
        <f t="shared" si="75"/>
        <v>2024</v>
      </c>
      <c r="L1168" s="6"/>
      <c r="M1168" s="6"/>
      <c r="N1168" s="6"/>
    </row>
    <row r="1169" spans="1:14" x14ac:dyDescent="0.3">
      <c r="A1169" s="87">
        <v>45518</v>
      </c>
      <c r="B1169" s="87" t="str">
        <f t="shared" si="72"/>
        <v>Wednesday</v>
      </c>
      <c r="C1169" s="88" t="s">
        <v>1381</v>
      </c>
      <c r="D1169" s="88" t="s">
        <v>515</v>
      </c>
      <c r="E1169" s="89">
        <v>32.82</v>
      </c>
      <c r="F1169" s="88" t="s">
        <v>5</v>
      </c>
      <c r="G1169" s="87">
        <f>Table1[[#This Row],[date]]</f>
        <v>45518</v>
      </c>
      <c r="H1169" s="94">
        <f>SUMIF($A$2:A4804,G1169,$E$2:E4804)</f>
        <v>348.26</v>
      </c>
      <c r="I1169" s="93" t="str">
        <f t="shared" si="73"/>
        <v>Wednesday</v>
      </c>
      <c r="J1169" s="93" t="str">
        <f t="shared" si="74"/>
        <v>August</v>
      </c>
      <c r="K1169" s="93" t="str">
        <f t="shared" si="75"/>
        <v>2024</v>
      </c>
      <c r="L1169" s="6"/>
      <c r="M1169" s="6"/>
      <c r="N1169" s="6"/>
    </row>
    <row r="1170" spans="1:14" x14ac:dyDescent="0.3">
      <c r="A1170" s="92">
        <v>45518</v>
      </c>
      <c r="B1170" s="92" t="str">
        <f t="shared" si="72"/>
        <v>Wednesday</v>
      </c>
      <c r="C1170" s="93" t="s">
        <v>1381</v>
      </c>
      <c r="D1170" s="93" t="s">
        <v>516</v>
      </c>
      <c r="E1170" s="94">
        <v>23.02</v>
      </c>
      <c r="F1170" s="93" t="s">
        <v>9</v>
      </c>
      <c r="G1170" s="87">
        <f>Table1[[#This Row],[date]]</f>
        <v>45518</v>
      </c>
      <c r="H1170" s="94">
        <f>SUMIF($A$2:A4805,G1170,$E$2:E4805)</f>
        <v>348.26</v>
      </c>
      <c r="I1170" s="93" t="str">
        <f t="shared" si="73"/>
        <v>Wednesday</v>
      </c>
      <c r="J1170" s="93" t="str">
        <f t="shared" si="74"/>
        <v>August</v>
      </c>
      <c r="K1170" s="93" t="str">
        <f t="shared" si="75"/>
        <v>2024</v>
      </c>
      <c r="L1170" s="6"/>
      <c r="M1170" s="6"/>
      <c r="N1170" s="6"/>
    </row>
    <row r="1171" spans="1:14" x14ac:dyDescent="0.3">
      <c r="A1171" s="87">
        <v>45518</v>
      </c>
      <c r="B1171" s="87" t="str">
        <f t="shared" si="72"/>
        <v>Wednesday</v>
      </c>
      <c r="C1171" s="88" t="s">
        <v>1381</v>
      </c>
      <c r="D1171" s="88" t="s">
        <v>517</v>
      </c>
      <c r="E1171" s="89">
        <v>23.02</v>
      </c>
      <c r="F1171" s="88" t="s">
        <v>26</v>
      </c>
      <c r="G1171" s="87">
        <f>Table1[[#This Row],[date]]</f>
        <v>45518</v>
      </c>
      <c r="H1171" s="94">
        <f>SUMIF($A$2:A4806,G1171,$E$2:E4806)</f>
        <v>348.26</v>
      </c>
      <c r="I1171" s="93" t="str">
        <f t="shared" si="73"/>
        <v>Wednesday</v>
      </c>
      <c r="J1171" s="93" t="str">
        <f t="shared" si="74"/>
        <v>August</v>
      </c>
      <c r="K1171" s="93" t="str">
        <f t="shared" si="75"/>
        <v>2024</v>
      </c>
      <c r="L1171" s="6"/>
      <c r="M1171" s="6"/>
      <c r="N1171" s="6"/>
    </row>
    <row r="1172" spans="1:14" x14ac:dyDescent="0.3">
      <c r="A1172" s="92">
        <v>45518</v>
      </c>
      <c r="B1172" s="92" t="str">
        <f t="shared" si="72"/>
        <v>Wednesday</v>
      </c>
      <c r="C1172" s="93" t="s">
        <v>1381</v>
      </c>
      <c r="D1172" s="93" t="s">
        <v>518</v>
      </c>
      <c r="E1172" s="94">
        <v>27.92</v>
      </c>
      <c r="F1172" s="93" t="s">
        <v>12</v>
      </c>
      <c r="G1172" s="87">
        <f>Table1[[#This Row],[date]]</f>
        <v>45518</v>
      </c>
      <c r="H1172" s="94">
        <f>SUMIF($A$2:A4807,G1172,$E$2:E4807)</f>
        <v>348.26</v>
      </c>
      <c r="I1172" s="93" t="str">
        <f t="shared" si="73"/>
        <v>Wednesday</v>
      </c>
      <c r="J1172" s="93" t="str">
        <f t="shared" si="74"/>
        <v>August</v>
      </c>
      <c r="K1172" s="93" t="str">
        <f t="shared" si="75"/>
        <v>2024</v>
      </c>
      <c r="L1172" s="6"/>
      <c r="M1172" s="6"/>
      <c r="N1172" s="6"/>
    </row>
    <row r="1173" spans="1:14" x14ac:dyDescent="0.3">
      <c r="A1173" s="87">
        <v>45518</v>
      </c>
      <c r="B1173" s="87" t="str">
        <f t="shared" si="72"/>
        <v>Wednesday</v>
      </c>
      <c r="C1173" s="88" t="s">
        <v>1381</v>
      </c>
      <c r="D1173" s="88" t="s">
        <v>21</v>
      </c>
      <c r="E1173" s="89">
        <v>32.82</v>
      </c>
      <c r="F1173" s="88" t="s">
        <v>5</v>
      </c>
      <c r="G1173" s="87">
        <f>Table1[[#This Row],[date]]</f>
        <v>45518</v>
      </c>
      <c r="H1173" s="94">
        <f>SUMIF($A$2:A4808,G1173,$E$2:E4808)</f>
        <v>348.26</v>
      </c>
      <c r="I1173" s="93" t="str">
        <f t="shared" si="73"/>
        <v>Wednesday</v>
      </c>
      <c r="J1173" s="93" t="str">
        <f t="shared" si="74"/>
        <v>August</v>
      </c>
      <c r="K1173" s="93" t="str">
        <f t="shared" si="75"/>
        <v>2024</v>
      </c>
      <c r="L1173" s="6"/>
      <c r="M1173" s="6"/>
      <c r="N1173" s="6"/>
    </row>
    <row r="1174" spans="1:14" x14ac:dyDescent="0.3">
      <c r="A1174" s="92">
        <v>45518</v>
      </c>
      <c r="B1174" s="92" t="str">
        <f t="shared" si="72"/>
        <v>Wednesday</v>
      </c>
      <c r="C1174" s="93" t="s">
        <v>1381</v>
      </c>
      <c r="D1174" s="93" t="s">
        <v>21</v>
      </c>
      <c r="E1174" s="94">
        <v>23.02</v>
      </c>
      <c r="F1174" s="93" t="s">
        <v>26</v>
      </c>
      <c r="G1174" s="87">
        <f>Table1[[#This Row],[date]]</f>
        <v>45518</v>
      </c>
      <c r="H1174" s="94">
        <f>SUMIF($A$2:A4809,G1174,$E$2:E4809)</f>
        <v>348.26</v>
      </c>
      <c r="I1174" s="93" t="str">
        <f t="shared" si="73"/>
        <v>Wednesday</v>
      </c>
      <c r="J1174" s="93" t="str">
        <f t="shared" si="74"/>
        <v>August</v>
      </c>
      <c r="K1174" s="93" t="str">
        <f t="shared" si="75"/>
        <v>2024</v>
      </c>
      <c r="L1174" s="6"/>
      <c r="M1174" s="6"/>
      <c r="N1174" s="6"/>
    </row>
    <row r="1175" spans="1:14" x14ac:dyDescent="0.3">
      <c r="A1175" s="87">
        <v>45518</v>
      </c>
      <c r="B1175" s="87" t="str">
        <f t="shared" si="72"/>
        <v>Wednesday</v>
      </c>
      <c r="C1175" s="88" t="s">
        <v>1381</v>
      </c>
      <c r="D1175" s="88" t="s">
        <v>519</v>
      </c>
      <c r="E1175" s="89">
        <v>32.82</v>
      </c>
      <c r="F1175" s="88" t="s">
        <v>5</v>
      </c>
      <c r="G1175" s="87">
        <f>Table1[[#This Row],[date]]</f>
        <v>45518</v>
      </c>
      <c r="H1175" s="94">
        <f>SUMIF($A$2:A4810,G1175,$E$2:E4810)</f>
        <v>348.26</v>
      </c>
      <c r="I1175" s="93" t="str">
        <f t="shared" si="73"/>
        <v>Wednesday</v>
      </c>
      <c r="J1175" s="93" t="str">
        <f t="shared" si="74"/>
        <v>August</v>
      </c>
      <c r="K1175" s="93" t="str">
        <f t="shared" si="75"/>
        <v>2024</v>
      </c>
      <c r="L1175" s="6"/>
      <c r="M1175" s="6"/>
      <c r="N1175" s="6"/>
    </row>
    <row r="1176" spans="1:14" x14ac:dyDescent="0.3">
      <c r="A1176" s="92">
        <v>45519</v>
      </c>
      <c r="B1176" s="92" t="str">
        <f t="shared" si="72"/>
        <v>Thursday</v>
      </c>
      <c r="C1176" s="93" t="s">
        <v>1381</v>
      </c>
      <c r="D1176" s="93" t="s">
        <v>153</v>
      </c>
      <c r="E1176" s="94">
        <v>23.02</v>
      </c>
      <c r="F1176" s="93" t="s">
        <v>26</v>
      </c>
      <c r="G1176" s="87">
        <f>Table1[[#This Row],[date]]</f>
        <v>45519</v>
      </c>
      <c r="H1176" s="94">
        <f>SUMIF($A$2:A4811,G1176,$E$2:E4811)</f>
        <v>446.72</v>
      </c>
      <c r="I1176" s="93" t="str">
        <f t="shared" si="73"/>
        <v>Thursday</v>
      </c>
      <c r="J1176" s="93" t="str">
        <f t="shared" si="74"/>
        <v>August</v>
      </c>
      <c r="K1176" s="93" t="str">
        <f t="shared" si="75"/>
        <v>2024</v>
      </c>
      <c r="L1176" s="6"/>
      <c r="M1176" s="6"/>
      <c r="N1176" s="6"/>
    </row>
    <row r="1177" spans="1:14" x14ac:dyDescent="0.3">
      <c r="A1177" s="87">
        <v>45519</v>
      </c>
      <c r="B1177" s="87" t="str">
        <f t="shared" si="72"/>
        <v>Thursday</v>
      </c>
      <c r="C1177" s="88" t="s">
        <v>1381</v>
      </c>
      <c r="D1177" s="88" t="s">
        <v>520</v>
      </c>
      <c r="E1177" s="89">
        <v>32.82</v>
      </c>
      <c r="F1177" s="88" t="s">
        <v>41</v>
      </c>
      <c r="G1177" s="87">
        <f>Table1[[#This Row],[date]]</f>
        <v>45519</v>
      </c>
      <c r="H1177" s="94">
        <f>SUMIF($A$2:A4812,G1177,$E$2:E4812)</f>
        <v>446.72</v>
      </c>
      <c r="I1177" s="93" t="str">
        <f t="shared" si="73"/>
        <v>Thursday</v>
      </c>
      <c r="J1177" s="93" t="str">
        <f t="shared" si="74"/>
        <v>August</v>
      </c>
      <c r="K1177" s="93" t="str">
        <f t="shared" si="75"/>
        <v>2024</v>
      </c>
      <c r="L1177" s="6"/>
      <c r="M1177" s="6"/>
      <c r="N1177" s="6"/>
    </row>
    <row r="1178" spans="1:14" x14ac:dyDescent="0.3">
      <c r="A1178" s="92">
        <v>45519</v>
      </c>
      <c r="B1178" s="92" t="str">
        <f t="shared" si="72"/>
        <v>Thursday</v>
      </c>
      <c r="C1178" s="93" t="s">
        <v>1381</v>
      </c>
      <c r="D1178" s="93" t="s">
        <v>521</v>
      </c>
      <c r="E1178" s="94">
        <v>32.82</v>
      </c>
      <c r="F1178" s="93" t="s">
        <v>7</v>
      </c>
      <c r="G1178" s="87">
        <f>Table1[[#This Row],[date]]</f>
        <v>45519</v>
      </c>
      <c r="H1178" s="94">
        <f>SUMIF($A$2:A4813,G1178,$E$2:E4813)</f>
        <v>446.72</v>
      </c>
      <c r="I1178" s="93" t="str">
        <f t="shared" si="73"/>
        <v>Thursday</v>
      </c>
      <c r="J1178" s="93" t="str">
        <f t="shared" si="74"/>
        <v>August</v>
      </c>
      <c r="K1178" s="93" t="str">
        <f t="shared" si="75"/>
        <v>2024</v>
      </c>
      <c r="L1178" s="6"/>
      <c r="M1178" s="6"/>
      <c r="N1178" s="6"/>
    </row>
    <row r="1179" spans="1:14" x14ac:dyDescent="0.3">
      <c r="A1179" s="87">
        <v>45519</v>
      </c>
      <c r="B1179" s="87" t="str">
        <f t="shared" si="72"/>
        <v>Thursday</v>
      </c>
      <c r="C1179" s="88" t="s">
        <v>1381</v>
      </c>
      <c r="D1179" s="88" t="s">
        <v>521</v>
      </c>
      <c r="E1179" s="89">
        <v>32.82</v>
      </c>
      <c r="F1179" s="88" t="s">
        <v>5</v>
      </c>
      <c r="G1179" s="87">
        <f>Table1[[#This Row],[date]]</f>
        <v>45519</v>
      </c>
      <c r="H1179" s="94">
        <f>SUMIF($A$2:A4814,G1179,$E$2:E4814)</f>
        <v>446.72</v>
      </c>
      <c r="I1179" s="93" t="str">
        <f t="shared" si="73"/>
        <v>Thursday</v>
      </c>
      <c r="J1179" s="93" t="str">
        <f t="shared" si="74"/>
        <v>August</v>
      </c>
      <c r="K1179" s="93" t="str">
        <f t="shared" si="75"/>
        <v>2024</v>
      </c>
      <c r="L1179" s="6"/>
      <c r="M1179" s="6"/>
      <c r="N1179" s="6"/>
    </row>
    <row r="1180" spans="1:14" x14ac:dyDescent="0.3">
      <c r="A1180" s="92">
        <v>45519</v>
      </c>
      <c r="B1180" s="92" t="str">
        <f t="shared" si="72"/>
        <v>Thursday</v>
      </c>
      <c r="C1180" s="93" t="s">
        <v>1381</v>
      </c>
      <c r="D1180" s="93" t="s">
        <v>244</v>
      </c>
      <c r="E1180" s="94">
        <v>32.82</v>
      </c>
      <c r="F1180" s="93" t="s">
        <v>5</v>
      </c>
      <c r="G1180" s="87">
        <f>Table1[[#This Row],[date]]</f>
        <v>45519</v>
      </c>
      <c r="H1180" s="94">
        <f>SUMIF($A$2:A4815,G1180,$E$2:E4815)</f>
        <v>446.72</v>
      </c>
      <c r="I1180" s="93" t="str">
        <f t="shared" si="73"/>
        <v>Thursday</v>
      </c>
      <c r="J1180" s="93" t="str">
        <f t="shared" si="74"/>
        <v>August</v>
      </c>
      <c r="K1180" s="93" t="str">
        <f t="shared" si="75"/>
        <v>2024</v>
      </c>
      <c r="L1180" s="6"/>
      <c r="M1180" s="6"/>
      <c r="N1180" s="6"/>
    </row>
    <row r="1181" spans="1:14" x14ac:dyDescent="0.3">
      <c r="A1181" s="87">
        <v>45519</v>
      </c>
      <c r="B1181" s="87" t="str">
        <f t="shared" si="72"/>
        <v>Thursday</v>
      </c>
      <c r="C1181" s="88" t="s">
        <v>1381</v>
      </c>
      <c r="D1181" s="88" t="s">
        <v>522</v>
      </c>
      <c r="E1181" s="89">
        <v>32.82</v>
      </c>
      <c r="F1181" s="88" t="s">
        <v>5</v>
      </c>
      <c r="G1181" s="87">
        <f>Table1[[#This Row],[date]]</f>
        <v>45519</v>
      </c>
      <c r="H1181" s="94">
        <f>SUMIF($A$2:A4816,G1181,$E$2:E4816)</f>
        <v>446.72</v>
      </c>
      <c r="I1181" s="93" t="str">
        <f t="shared" si="73"/>
        <v>Thursday</v>
      </c>
      <c r="J1181" s="93" t="str">
        <f t="shared" si="74"/>
        <v>August</v>
      </c>
      <c r="K1181" s="93" t="str">
        <f t="shared" si="75"/>
        <v>2024</v>
      </c>
      <c r="L1181" s="6"/>
      <c r="M1181" s="6"/>
      <c r="N1181" s="6"/>
    </row>
    <row r="1182" spans="1:14" x14ac:dyDescent="0.3">
      <c r="A1182" s="92">
        <v>45519</v>
      </c>
      <c r="B1182" s="92" t="str">
        <f t="shared" si="72"/>
        <v>Thursday</v>
      </c>
      <c r="C1182" s="93" t="s">
        <v>1381</v>
      </c>
      <c r="D1182" s="93" t="s">
        <v>21</v>
      </c>
      <c r="E1182" s="94">
        <v>23.02</v>
      </c>
      <c r="F1182" s="93" t="s">
        <v>9</v>
      </c>
      <c r="G1182" s="87">
        <f>Table1[[#This Row],[date]]</f>
        <v>45519</v>
      </c>
      <c r="H1182" s="94">
        <f>SUMIF($A$2:A4817,G1182,$E$2:E4817)</f>
        <v>446.72</v>
      </c>
      <c r="I1182" s="93" t="str">
        <f t="shared" si="73"/>
        <v>Thursday</v>
      </c>
      <c r="J1182" s="93" t="str">
        <f t="shared" si="74"/>
        <v>August</v>
      </c>
      <c r="K1182" s="93" t="str">
        <f t="shared" si="75"/>
        <v>2024</v>
      </c>
      <c r="L1182" s="6"/>
      <c r="M1182" s="6"/>
      <c r="N1182" s="6"/>
    </row>
    <row r="1183" spans="1:14" x14ac:dyDescent="0.3">
      <c r="A1183" s="87">
        <v>45519</v>
      </c>
      <c r="B1183" s="87" t="str">
        <f t="shared" si="72"/>
        <v>Thursday</v>
      </c>
      <c r="C1183" s="88" t="s">
        <v>1381</v>
      </c>
      <c r="D1183" s="88" t="s">
        <v>21</v>
      </c>
      <c r="E1183" s="89">
        <v>18.12</v>
      </c>
      <c r="F1183" s="88" t="s">
        <v>33</v>
      </c>
      <c r="G1183" s="87">
        <f>Table1[[#This Row],[date]]</f>
        <v>45519</v>
      </c>
      <c r="H1183" s="94">
        <f>SUMIF($A$2:A4818,G1183,$E$2:E4818)</f>
        <v>446.72</v>
      </c>
      <c r="I1183" s="93" t="str">
        <f t="shared" si="73"/>
        <v>Thursday</v>
      </c>
      <c r="J1183" s="93" t="str">
        <f t="shared" si="74"/>
        <v>August</v>
      </c>
      <c r="K1183" s="93" t="str">
        <f t="shared" si="75"/>
        <v>2024</v>
      </c>
      <c r="L1183" s="6"/>
      <c r="M1183" s="6"/>
      <c r="N1183" s="6"/>
    </row>
    <row r="1184" spans="1:14" x14ac:dyDescent="0.3">
      <c r="A1184" s="92">
        <v>45519</v>
      </c>
      <c r="B1184" s="92" t="str">
        <f t="shared" si="72"/>
        <v>Thursday</v>
      </c>
      <c r="C1184" s="93" t="s">
        <v>1381</v>
      </c>
      <c r="D1184" s="93" t="s">
        <v>523</v>
      </c>
      <c r="E1184" s="94">
        <v>27.92</v>
      </c>
      <c r="F1184" s="93" t="s">
        <v>12</v>
      </c>
      <c r="G1184" s="87">
        <f>Table1[[#This Row],[date]]</f>
        <v>45519</v>
      </c>
      <c r="H1184" s="94">
        <f>SUMIF($A$2:A4819,G1184,$E$2:E4819)</f>
        <v>446.72</v>
      </c>
      <c r="I1184" s="93" t="str">
        <f t="shared" si="73"/>
        <v>Thursday</v>
      </c>
      <c r="J1184" s="93" t="str">
        <f t="shared" si="74"/>
        <v>August</v>
      </c>
      <c r="K1184" s="93" t="str">
        <f t="shared" si="75"/>
        <v>2024</v>
      </c>
      <c r="L1184" s="6"/>
      <c r="M1184" s="6"/>
      <c r="N1184" s="6"/>
    </row>
    <row r="1185" spans="1:14" x14ac:dyDescent="0.3">
      <c r="A1185" s="87">
        <v>45519</v>
      </c>
      <c r="B1185" s="87" t="str">
        <f t="shared" si="72"/>
        <v>Thursday</v>
      </c>
      <c r="C1185" s="88" t="s">
        <v>1381</v>
      </c>
      <c r="D1185" s="88" t="s">
        <v>524</v>
      </c>
      <c r="E1185" s="89">
        <v>32.82</v>
      </c>
      <c r="F1185" s="88" t="s">
        <v>7</v>
      </c>
      <c r="G1185" s="87">
        <f>Table1[[#This Row],[date]]</f>
        <v>45519</v>
      </c>
      <c r="H1185" s="94">
        <f>SUMIF($A$2:A4820,G1185,$E$2:E4820)</f>
        <v>446.72</v>
      </c>
      <c r="I1185" s="93" t="str">
        <f t="shared" si="73"/>
        <v>Thursday</v>
      </c>
      <c r="J1185" s="93" t="str">
        <f t="shared" si="74"/>
        <v>August</v>
      </c>
      <c r="K1185" s="93" t="str">
        <f t="shared" si="75"/>
        <v>2024</v>
      </c>
      <c r="L1185" s="6"/>
      <c r="M1185" s="6"/>
      <c r="N1185" s="6"/>
    </row>
    <row r="1186" spans="1:14" x14ac:dyDescent="0.3">
      <c r="A1186" s="92">
        <v>45519</v>
      </c>
      <c r="B1186" s="92" t="str">
        <f t="shared" si="72"/>
        <v>Thursday</v>
      </c>
      <c r="C1186" s="93" t="s">
        <v>1381</v>
      </c>
      <c r="D1186" s="93" t="s">
        <v>524</v>
      </c>
      <c r="E1186" s="94">
        <v>27.92</v>
      </c>
      <c r="F1186" s="93" t="s">
        <v>12</v>
      </c>
      <c r="G1186" s="87">
        <f>Table1[[#This Row],[date]]</f>
        <v>45519</v>
      </c>
      <c r="H1186" s="94">
        <f>SUMIF($A$2:A4821,G1186,$E$2:E4821)</f>
        <v>446.72</v>
      </c>
      <c r="I1186" s="93" t="str">
        <f t="shared" si="73"/>
        <v>Thursday</v>
      </c>
      <c r="J1186" s="93" t="str">
        <f t="shared" si="74"/>
        <v>August</v>
      </c>
      <c r="K1186" s="93" t="str">
        <f t="shared" si="75"/>
        <v>2024</v>
      </c>
      <c r="L1186" s="6"/>
      <c r="M1186" s="6"/>
      <c r="N1186" s="6"/>
    </row>
    <row r="1187" spans="1:14" x14ac:dyDescent="0.3">
      <c r="A1187" s="87">
        <v>45519</v>
      </c>
      <c r="B1187" s="87" t="str">
        <f t="shared" si="72"/>
        <v>Thursday</v>
      </c>
      <c r="C1187" s="88" t="s">
        <v>1381</v>
      </c>
      <c r="D1187" s="88" t="s">
        <v>525</v>
      </c>
      <c r="E1187" s="89">
        <v>27.92</v>
      </c>
      <c r="F1187" s="88" t="s">
        <v>12</v>
      </c>
      <c r="G1187" s="87">
        <f>Table1[[#This Row],[date]]</f>
        <v>45519</v>
      </c>
      <c r="H1187" s="94">
        <f>SUMIF($A$2:A4822,G1187,$E$2:E4822)</f>
        <v>446.72</v>
      </c>
      <c r="I1187" s="93" t="str">
        <f t="shared" si="73"/>
        <v>Thursday</v>
      </c>
      <c r="J1187" s="93" t="str">
        <f t="shared" si="74"/>
        <v>August</v>
      </c>
      <c r="K1187" s="93" t="str">
        <f t="shared" si="75"/>
        <v>2024</v>
      </c>
      <c r="L1187" s="6"/>
      <c r="M1187" s="6"/>
      <c r="N1187" s="6"/>
    </row>
    <row r="1188" spans="1:14" x14ac:dyDescent="0.3">
      <c r="A1188" s="92">
        <v>45519</v>
      </c>
      <c r="B1188" s="92" t="str">
        <f t="shared" si="72"/>
        <v>Thursday</v>
      </c>
      <c r="C1188" s="93" t="s">
        <v>1381</v>
      </c>
      <c r="D1188" s="93" t="s">
        <v>525</v>
      </c>
      <c r="E1188" s="94">
        <v>23.02</v>
      </c>
      <c r="F1188" s="93" t="s">
        <v>9</v>
      </c>
      <c r="G1188" s="87">
        <f>Table1[[#This Row],[date]]</f>
        <v>45519</v>
      </c>
      <c r="H1188" s="94">
        <f>SUMIF($A$2:A4823,G1188,$E$2:E4823)</f>
        <v>446.72</v>
      </c>
      <c r="I1188" s="93" t="str">
        <f t="shared" si="73"/>
        <v>Thursday</v>
      </c>
      <c r="J1188" s="93" t="str">
        <f t="shared" si="74"/>
        <v>August</v>
      </c>
      <c r="K1188" s="93" t="str">
        <f t="shared" si="75"/>
        <v>2024</v>
      </c>
      <c r="L1188" s="6"/>
      <c r="M1188" s="6"/>
      <c r="N1188" s="6"/>
    </row>
    <row r="1189" spans="1:14" x14ac:dyDescent="0.3">
      <c r="A1189" s="87">
        <v>45519</v>
      </c>
      <c r="B1189" s="87" t="str">
        <f t="shared" si="72"/>
        <v>Thursday</v>
      </c>
      <c r="C1189" s="88" t="s">
        <v>1381</v>
      </c>
      <c r="D1189" s="88" t="s">
        <v>526</v>
      </c>
      <c r="E1189" s="89">
        <v>32.82</v>
      </c>
      <c r="F1189" s="88" t="s">
        <v>41</v>
      </c>
      <c r="G1189" s="87">
        <f>Table1[[#This Row],[date]]</f>
        <v>45519</v>
      </c>
      <c r="H1189" s="94">
        <f>SUMIF($A$2:A4824,G1189,$E$2:E4824)</f>
        <v>446.72</v>
      </c>
      <c r="I1189" s="93" t="str">
        <f t="shared" si="73"/>
        <v>Thursday</v>
      </c>
      <c r="J1189" s="93" t="str">
        <f t="shared" si="74"/>
        <v>August</v>
      </c>
      <c r="K1189" s="93" t="str">
        <f t="shared" si="75"/>
        <v>2024</v>
      </c>
      <c r="L1189" s="6"/>
      <c r="M1189" s="6"/>
      <c r="N1189" s="6"/>
    </row>
    <row r="1190" spans="1:14" x14ac:dyDescent="0.3">
      <c r="A1190" s="92">
        <v>45519</v>
      </c>
      <c r="B1190" s="92" t="str">
        <f t="shared" si="72"/>
        <v>Thursday</v>
      </c>
      <c r="C1190" s="93" t="s">
        <v>1381</v>
      </c>
      <c r="D1190" s="93" t="s">
        <v>52</v>
      </c>
      <c r="E1190" s="94">
        <v>18.12</v>
      </c>
      <c r="F1190" s="93" t="s">
        <v>33</v>
      </c>
      <c r="G1190" s="87">
        <f>Table1[[#This Row],[date]]</f>
        <v>45519</v>
      </c>
      <c r="H1190" s="94">
        <f>SUMIF($A$2:A4825,G1190,$E$2:E4825)</f>
        <v>446.72</v>
      </c>
      <c r="I1190" s="93" t="str">
        <f t="shared" si="73"/>
        <v>Thursday</v>
      </c>
      <c r="J1190" s="93" t="str">
        <f t="shared" si="74"/>
        <v>August</v>
      </c>
      <c r="K1190" s="93" t="str">
        <f t="shared" si="75"/>
        <v>2024</v>
      </c>
      <c r="L1190" s="6"/>
      <c r="M1190" s="6"/>
      <c r="N1190" s="6"/>
    </row>
    <row r="1191" spans="1:14" x14ac:dyDescent="0.3">
      <c r="A1191" s="87">
        <v>45519</v>
      </c>
      <c r="B1191" s="87" t="str">
        <f t="shared" si="72"/>
        <v>Thursday</v>
      </c>
      <c r="C1191" s="88" t="s">
        <v>1381</v>
      </c>
      <c r="D1191" s="88" t="s">
        <v>52</v>
      </c>
      <c r="E1191" s="89">
        <v>27.92</v>
      </c>
      <c r="F1191" s="88" t="s">
        <v>12</v>
      </c>
      <c r="G1191" s="87">
        <f>Table1[[#This Row],[date]]</f>
        <v>45519</v>
      </c>
      <c r="H1191" s="94">
        <f>SUMIF($A$2:A4826,G1191,$E$2:E4826)</f>
        <v>446.72</v>
      </c>
      <c r="I1191" s="93" t="str">
        <f t="shared" si="73"/>
        <v>Thursday</v>
      </c>
      <c r="J1191" s="93" t="str">
        <f t="shared" si="74"/>
        <v>August</v>
      </c>
      <c r="K1191" s="93" t="str">
        <f t="shared" si="75"/>
        <v>2024</v>
      </c>
      <c r="L1191" s="6"/>
      <c r="M1191" s="6"/>
      <c r="N1191" s="6"/>
    </row>
    <row r="1192" spans="1:14" x14ac:dyDescent="0.3">
      <c r="A1192" s="92">
        <v>45520</v>
      </c>
      <c r="B1192" s="92" t="str">
        <f t="shared" si="72"/>
        <v>Friday</v>
      </c>
      <c r="C1192" s="93" t="s">
        <v>1381</v>
      </c>
      <c r="D1192" s="93" t="s">
        <v>525</v>
      </c>
      <c r="E1192" s="94">
        <v>32.82</v>
      </c>
      <c r="F1192" s="93" t="s">
        <v>5</v>
      </c>
      <c r="G1192" s="87">
        <f>Table1[[#This Row],[date]]</f>
        <v>45520</v>
      </c>
      <c r="H1192" s="94">
        <f>SUMIF($A$2:A4827,G1192,$E$2:E4827)</f>
        <v>101.88000000000001</v>
      </c>
      <c r="I1192" s="93" t="str">
        <f t="shared" si="73"/>
        <v>Friday</v>
      </c>
      <c r="J1192" s="93" t="str">
        <f t="shared" si="74"/>
        <v>August</v>
      </c>
      <c r="K1192" s="93" t="str">
        <f t="shared" si="75"/>
        <v>2024</v>
      </c>
      <c r="L1192" s="6"/>
      <c r="M1192" s="6"/>
      <c r="N1192" s="6"/>
    </row>
    <row r="1193" spans="1:14" x14ac:dyDescent="0.3">
      <c r="A1193" s="87">
        <v>45520</v>
      </c>
      <c r="B1193" s="87" t="str">
        <f t="shared" si="72"/>
        <v>Friday</v>
      </c>
      <c r="C1193" s="88" t="s">
        <v>1381</v>
      </c>
      <c r="D1193" s="88" t="s">
        <v>527</v>
      </c>
      <c r="E1193" s="89">
        <v>23.02</v>
      </c>
      <c r="F1193" s="88" t="s">
        <v>9</v>
      </c>
      <c r="G1193" s="87">
        <f>Table1[[#This Row],[date]]</f>
        <v>45520</v>
      </c>
      <c r="H1193" s="94">
        <f>SUMIF($A$2:A4828,G1193,$E$2:E4828)</f>
        <v>101.88000000000001</v>
      </c>
      <c r="I1193" s="93" t="str">
        <f t="shared" si="73"/>
        <v>Friday</v>
      </c>
      <c r="J1193" s="93" t="str">
        <f t="shared" si="74"/>
        <v>August</v>
      </c>
      <c r="K1193" s="93" t="str">
        <f t="shared" si="75"/>
        <v>2024</v>
      </c>
      <c r="L1193" s="6"/>
      <c r="M1193" s="6"/>
      <c r="N1193" s="6"/>
    </row>
    <row r="1194" spans="1:14" x14ac:dyDescent="0.3">
      <c r="A1194" s="92">
        <v>45520</v>
      </c>
      <c r="B1194" s="92" t="str">
        <f t="shared" si="72"/>
        <v>Friday</v>
      </c>
      <c r="C1194" s="93" t="s">
        <v>1381</v>
      </c>
      <c r="D1194" s="93" t="s">
        <v>441</v>
      </c>
      <c r="E1194" s="94">
        <v>27.92</v>
      </c>
      <c r="F1194" s="93" t="s">
        <v>12</v>
      </c>
      <c r="G1194" s="87">
        <f>Table1[[#This Row],[date]]</f>
        <v>45520</v>
      </c>
      <c r="H1194" s="94">
        <f>SUMIF($A$2:A4829,G1194,$E$2:E4829)</f>
        <v>101.88000000000001</v>
      </c>
      <c r="I1194" s="93" t="str">
        <f t="shared" si="73"/>
        <v>Friday</v>
      </c>
      <c r="J1194" s="93" t="str">
        <f t="shared" si="74"/>
        <v>August</v>
      </c>
      <c r="K1194" s="93" t="str">
        <f t="shared" si="75"/>
        <v>2024</v>
      </c>
      <c r="L1194" s="6"/>
      <c r="M1194" s="6"/>
      <c r="N1194" s="6"/>
    </row>
    <row r="1195" spans="1:14" x14ac:dyDescent="0.3">
      <c r="A1195" s="87">
        <v>45520</v>
      </c>
      <c r="B1195" s="87" t="str">
        <f t="shared" si="72"/>
        <v>Friday</v>
      </c>
      <c r="C1195" s="88" t="s">
        <v>1381</v>
      </c>
      <c r="D1195" s="88" t="s">
        <v>21</v>
      </c>
      <c r="E1195" s="89">
        <v>18.12</v>
      </c>
      <c r="F1195" s="88" t="s">
        <v>33</v>
      </c>
      <c r="G1195" s="87">
        <f>Table1[[#This Row],[date]]</f>
        <v>45520</v>
      </c>
      <c r="H1195" s="94">
        <f>SUMIF($A$2:A4830,G1195,$E$2:E4830)</f>
        <v>101.88000000000001</v>
      </c>
      <c r="I1195" s="93" t="str">
        <f t="shared" si="73"/>
        <v>Friday</v>
      </c>
      <c r="J1195" s="93" t="str">
        <f t="shared" si="74"/>
        <v>August</v>
      </c>
      <c r="K1195" s="93" t="str">
        <f t="shared" si="75"/>
        <v>2024</v>
      </c>
      <c r="L1195" s="6"/>
      <c r="M1195" s="6"/>
      <c r="N1195" s="6"/>
    </row>
    <row r="1196" spans="1:14" x14ac:dyDescent="0.3">
      <c r="A1196" s="87">
        <v>45521</v>
      </c>
      <c r="B1196" s="87" t="str">
        <f t="shared" si="72"/>
        <v>Saturday</v>
      </c>
      <c r="C1196" s="88" t="s">
        <v>1381</v>
      </c>
      <c r="D1196" s="88" t="s">
        <v>109</v>
      </c>
      <c r="E1196" s="89">
        <v>27.92</v>
      </c>
      <c r="F1196" s="88" t="s">
        <v>12</v>
      </c>
      <c r="G1196" s="87">
        <f>Table1[[#This Row],[date]]</f>
        <v>45521</v>
      </c>
      <c r="H1196" s="94">
        <f>SUMIF($A$2:A4831,G1196,$E$2:E4831)</f>
        <v>289</v>
      </c>
      <c r="I1196" s="93" t="str">
        <f t="shared" si="73"/>
        <v>Saturday</v>
      </c>
      <c r="J1196" s="93" t="str">
        <f t="shared" si="74"/>
        <v>August</v>
      </c>
      <c r="K1196" s="93" t="str">
        <f t="shared" si="75"/>
        <v>2024</v>
      </c>
      <c r="L1196" s="6"/>
      <c r="M1196" s="6"/>
      <c r="N1196" s="6"/>
    </row>
    <row r="1197" spans="1:14" x14ac:dyDescent="0.3">
      <c r="A1197" s="92">
        <v>45521</v>
      </c>
      <c r="B1197" s="92" t="str">
        <f t="shared" si="72"/>
        <v>Saturday</v>
      </c>
      <c r="C1197" s="93" t="s">
        <v>1381</v>
      </c>
      <c r="D1197" s="93" t="s">
        <v>528</v>
      </c>
      <c r="E1197" s="94">
        <v>32.82</v>
      </c>
      <c r="F1197" s="93" t="s">
        <v>41</v>
      </c>
      <c r="G1197" s="87">
        <f>Table1[[#This Row],[date]]</f>
        <v>45521</v>
      </c>
      <c r="H1197" s="94">
        <f>SUMIF($A$2:A4832,G1197,$E$2:E4832)</f>
        <v>289</v>
      </c>
      <c r="I1197" s="93" t="str">
        <f t="shared" si="73"/>
        <v>Saturday</v>
      </c>
      <c r="J1197" s="93" t="str">
        <f t="shared" si="74"/>
        <v>August</v>
      </c>
      <c r="K1197" s="93" t="str">
        <f t="shared" si="75"/>
        <v>2024</v>
      </c>
      <c r="L1197" s="6"/>
      <c r="M1197" s="6"/>
      <c r="N1197" s="6"/>
    </row>
    <row r="1198" spans="1:14" x14ac:dyDescent="0.3">
      <c r="A1198" s="87">
        <v>45521</v>
      </c>
      <c r="B1198" s="87" t="str">
        <f t="shared" si="72"/>
        <v>Saturday</v>
      </c>
      <c r="C1198" s="88" t="s">
        <v>1381</v>
      </c>
      <c r="D1198" s="88" t="s">
        <v>529</v>
      </c>
      <c r="E1198" s="89">
        <v>27.92</v>
      </c>
      <c r="F1198" s="88" t="s">
        <v>12</v>
      </c>
      <c r="G1198" s="87">
        <f>Table1[[#This Row],[date]]</f>
        <v>45521</v>
      </c>
      <c r="H1198" s="94">
        <f>SUMIF($A$2:A4833,G1198,$E$2:E4833)</f>
        <v>289</v>
      </c>
      <c r="I1198" s="93" t="str">
        <f t="shared" si="73"/>
        <v>Saturday</v>
      </c>
      <c r="J1198" s="93" t="str">
        <f t="shared" si="74"/>
        <v>August</v>
      </c>
      <c r="K1198" s="93" t="str">
        <f t="shared" si="75"/>
        <v>2024</v>
      </c>
      <c r="L1198" s="6"/>
      <c r="M1198" s="6"/>
      <c r="N1198" s="6"/>
    </row>
    <row r="1199" spans="1:14" x14ac:dyDescent="0.3">
      <c r="A1199" s="92">
        <v>45521</v>
      </c>
      <c r="B1199" s="92" t="str">
        <f t="shared" si="72"/>
        <v>Saturday</v>
      </c>
      <c r="C1199" s="93" t="s">
        <v>1381</v>
      </c>
      <c r="D1199" s="93" t="s">
        <v>153</v>
      </c>
      <c r="E1199" s="94">
        <v>23.02</v>
      </c>
      <c r="F1199" s="93" t="s">
        <v>26</v>
      </c>
      <c r="G1199" s="87">
        <f>Table1[[#This Row],[date]]</f>
        <v>45521</v>
      </c>
      <c r="H1199" s="94">
        <f>SUMIF($A$2:A4834,G1199,$E$2:E4834)</f>
        <v>289</v>
      </c>
      <c r="I1199" s="93" t="str">
        <f t="shared" si="73"/>
        <v>Saturday</v>
      </c>
      <c r="J1199" s="93" t="str">
        <f t="shared" si="74"/>
        <v>August</v>
      </c>
      <c r="K1199" s="93" t="str">
        <f t="shared" si="75"/>
        <v>2024</v>
      </c>
      <c r="L1199" s="6"/>
      <c r="M1199" s="6"/>
      <c r="N1199" s="6"/>
    </row>
    <row r="1200" spans="1:14" x14ac:dyDescent="0.3">
      <c r="A1200" s="92">
        <v>45521</v>
      </c>
      <c r="B1200" s="92" t="str">
        <f t="shared" si="72"/>
        <v>Saturday</v>
      </c>
      <c r="C1200" s="93" t="s">
        <v>1381</v>
      </c>
      <c r="D1200" s="93" t="s">
        <v>530</v>
      </c>
      <c r="E1200" s="94">
        <v>27.92</v>
      </c>
      <c r="F1200" s="93" t="s">
        <v>12</v>
      </c>
      <c r="G1200" s="87">
        <f>Table1[[#This Row],[date]]</f>
        <v>45521</v>
      </c>
      <c r="H1200" s="94">
        <f>SUMIF($A$2:A4835,G1200,$E$2:E4835)</f>
        <v>289</v>
      </c>
      <c r="I1200" s="93" t="str">
        <f t="shared" si="73"/>
        <v>Saturday</v>
      </c>
      <c r="J1200" s="93" t="str">
        <f t="shared" si="74"/>
        <v>August</v>
      </c>
      <c r="K1200" s="93" t="str">
        <f t="shared" si="75"/>
        <v>2024</v>
      </c>
      <c r="L1200" s="6"/>
      <c r="M1200" s="6"/>
      <c r="N1200" s="6"/>
    </row>
    <row r="1201" spans="1:14" x14ac:dyDescent="0.3">
      <c r="A1201" s="87">
        <v>45521</v>
      </c>
      <c r="B1201" s="87" t="str">
        <f t="shared" si="72"/>
        <v>Saturday</v>
      </c>
      <c r="C1201" s="88" t="s">
        <v>1381</v>
      </c>
      <c r="D1201" s="88" t="s">
        <v>289</v>
      </c>
      <c r="E1201" s="89">
        <v>23.02</v>
      </c>
      <c r="F1201" s="88" t="s">
        <v>26</v>
      </c>
      <c r="G1201" s="87">
        <f>Table1[[#This Row],[date]]</f>
        <v>45521</v>
      </c>
      <c r="H1201" s="94">
        <f>SUMIF($A$2:A4836,G1201,$E$2:E4836)</f>
        <v>289</v>
      </c>
      <c r="I1201" s="93" t="str">
        <f t="shared" si="73"/>
        <v>Saturday</v>
      </c>
      <c r="J1201" s="93" t="str">
        <f t="shared" si="74"/>
        <v>August</v>
      </c>
      <c r="K1201" s="93" t="str">
        <f t="shared" si="75"/>
        <v>2024</v>
      </c>
      <c r="L1201" s="6"/>
      <c r="M1201" s="6"/>
      <c r="N1201" s="6"/>
    </row>
    <row r="1202" spans="1:14" x14ac:dyDescent="0.3">
      <c r="A1202" s="92">
        <v>45521</v>
      </c>
      <c r="B1202" s="92" t="str">
        <f t="shared" si="72"/>
        <v>Saturday</v>
      </c>
      <c r="C1202" s="93" t="s">
        <v>1381</v>
      </c>
      <c r="D1202" s="93" t="s">
        <v>204</v>
      </c>
      <c r="E1202" s="94">
        <v>32.82</v>
      </c>
      <c r="F1202" s="93" t="s">
        <v>5</v>
      </c>
      <c r="G1202" s="87">
        <f>Table1[[#This Row],[date]]</f>
        <v>45521</v>
      </c>
      <c r="H1202" s="94">
        <f>SUMIF($A$2:A4837,G1202,$E$2:E4837)</f>
        <v>289</v>
      </c>
      <c r="I1202" s="93" t="str">
        <f t="shared" si="73"/>
        <v>Saturday</v>
      </c>
      <c r="J1202" s="93" t="str">
        <f t="shared" si="74"/>
        <v>August</v>
      </c>
      <c r="K1202" s="93" t="str">
        <f t="shared" si="75"/>
        <v>2024</v>
      </c>
      <c r="L1202" s="6"/>
      <c r="M1202" s="6"/>
      <c r="N1202" s="6"/>
    </row>
    <row r="1203" spans="1:14" x14ac:dyDescent="0.3">
      <c r="A1203" s="87">
        <v>45521</v>
      </c>
      <c r="B1203" s="87" t="str">
        <f t="shared" si="72"/>
        <v>Saturday</v>
      </c>
      <c r="C1203" s="88" t="s">
        <v>1381</v>
      </c>
      <c r="D1203" s="88" t="s">
        <v>468</v>
      </c>
      <c r="E1203" s="89">
        <v>32.82</v>
      </c>
      <c r="F1203" s="88" t="s">
        <v>41</v>
      </c>
      <c r="G1203" s="87">
        <f>Table1[[#This Row],[date]]</f>
        <v>45521</v>
      </c>
      <c r="H1203" s="94">
        <f>SUMIF($A$2:A4838,G1203,$E$2:E4838)</f>
        <v>289</v>
      </c>
      <c r="I1203" s="93" t="str">
        <f t="shared" si="73"/>
        <v>Saturday</v>
      </c>
      <c r="J1203" s="93" t="str">
        <f t="shared" si="74"/>
        <v>August</v>
      </c>
      <c r="K1203" s="93" t="str">
        <f t="shared" si="75"/>
        <v>2024</v>
      </c>
      <c r="L1203" s="6"/>
      <c r="M1203" s="6"/>
      <c r="N1203" s="6"/>
    </row>
    <row r="1204" spans="1:14" x14ac:dyDescent="0.3">
      <c r="A1204" s="92">
        <v>45521</v>
      </c>
      <c r="B1204" s="92" t="str">
        <f t="shared" si="72"/>
        <v>Saturday</v>
      </c>
      <c r="C1204" s="93" t="s">
        <v>1381</v>
      </c>
      <c r="D1204" s="93" t="s">
        <v>52</v>
      </c>
      <c r="E1204" s="94">
        <v>27.92</v>
      </c>
      <c r="F1204" s="93" t="s">
        <v>12</v>
      </c>
      <c r="G1204" s="87">
        <f>Table1[[#This Row],[date]]</f>
        <v>45521</v>
      </c>
      <c r="H1204" s="94">
        <f>SUMIF($A$2:A4839,G1204,$E$2:E4839)</f>
        <v>289</v>
      </c>
      <c r="I1204" s="93" t="str">
        <f t="shared" si="73"/>
        <v>Saturday</v>
      </c>
      <c r="J1204" s="93" t="str">
        <f t="shared" si="74"/>
        <v>August</v>
      </c>
      <c r="K1204" s="93" t="str">
        <f t="shared" si="75"/>
        <v>2024</v>
      </c>
      <c r="L1204" s="6"/>
      <c r="M1204" s="6"/>
      <c r="N1204" s="6"/>
    </row>
    <row r="1205" spans="1:14" x14ac:dyDescent="0.3">
      <c r="A1205" s="87">
        <v>45521</v>
      </c>
      <c r="B1205" s="87" t="str">
        <f t="shared" si="72"/>
        <v>Saturday</v>
      </c>
      <c r="C1205" s="88" t="s">
        <v>1381</v>
      </c>
      <c r="D1205" s="88" t="s">
        <v>531</v>
      </c>
      <c r="E1205" s="89">
        <v>32.82</v>
      </c>
      <c r="F1205" s="88" t="s">
        <v>5</v>
      </c>
      <c r="G1205" s="87">
        <f>Table1[[#This Row],[date]]</f>
        <v>45521</v>
      </c>
      <c r="H1205" s="94">
        <f>SUMIF($A$2:A4840,G1205,$E$2:E4840)</f>
        <v>289</v>
      </c>
      <c r="I1205" s="93" t="str">
        <f t="shared" si="73"/>
        <v>Saturday</v>
      </c>
      <c r="J1205" s="93" t="str">
        <f t="shared" si="74"/>
        <v>August</v>
      </c>
      <c r="K1205" s="93" t="str">
        <f t="shared" si="75"/>
        <v>2024</v>
      </c>
      <c r="L1205" s="6"/>
      <c r="M1205" s="6"/>
      <c r="N1205" s="6"/>
    </row>
    <row r="1206" spans="1:14" x14ac:dyDescent="0.3">
      <c r="A1206" s="92">
        <v>45522</v>
      </c>
      <c r="B1206" s="92" t="str">
        <f t="shared" si="72"/>
        <v>Sunday</v>
      </c>
      <c r="C1206" s="93" t="s">
        <v>1381</v>
      </c>
      <c r="D1206" s="93" t="s">
        <v>532</v>
      </c>
      <c r="E1206" s="94">
        <v>32.82</v>
      </c>
      <c r="F1206" s="93" t="s">
        <v>41</v>
      </c>
      <c r="G1206" s="87">
        <f>Table1[[#This Row],[date]]</f>
        <v>45522</v>
      </c>
      <c r="H1206" s="94">
        <f>SUMIF($A$2:A4841,G1206,$E$2:E4841)</f>
        <v>228.26000000000002</v>
      </c>
      <c r="I1206" s="93" t="str">
        <f t="shared" si="73"/>
        <v>Sunday</v>
      </c>
      <c r="J1206" s="93" t="str">
        <f t="shared" si="74"/>
        <v>August</v>
      </c>
      <c r="K1206" s="93" t="str">
        <f t="shared" si="75"/>
        <v>2024</v>
      </c>
      <c r="L1206" s="6"/>
      <c r="M1206" s="6"/>
      <c r="N1206" s="6"/>
    </row>
    <row r="1207" spans="1:14" x14ac:dyDescent="0.3">
      <c r="A1207" s="87">
        <v>45522</v>
      </c>
      <c r="B1207" s="87" t="str">
        <f t="shared" si="72"/>
        <v>Sunday</v>
      </c>
      <c r="C1207" s="88" t="s">
        <v>1381</v>
      </c>
      <c r="D1207" s="88" t="s">
        <v>533</v>
      </c>
      <c r="E1207" s="89">
        <v>32.82</v>
      </c>
      <c r="F1207" s="88" t="s">
        <v>41</v>
      </c>
      <c r="G1207" s="87">
        <f>Table1[[#This Row],[date]]</f>
        <v>45522</v>
      </c>
      <c r="H1207" s="94">
        <f>SUMIF($A$2:A4842,G1207,$E$2:E4842)</f>
        <v>228.26000000000002</v>
      </c>
      <c r="I1207" s="93" t="str">
        <f t="shared" si="73"/>
        <v>Sunday</v>
      </c>
      <c r="J1207" s="93" t="str">
        <f t="shared" si="74"/>
        <v>August</v>
      </c>
      <c r="K1207" s="93" t="str">
        <f t="shared" si="75"/>
        <v>2024</v>
      </c>
      <c r="L1207" s="6"/>
      <c r="M1207" s="6"/>
      <c r="N1207" s="6"/>
    </row>
    <row r="1208" spans="1:14" x14ac:dyDescent="0.3">
      <c r="A1208" s="92">
        <v>45522</v>
      </c>
      <c r="B1208" s="92" t="str">
        <f t="shared" si="72"/>
        <v>Sunday</v>
      </c>
      <c r="C1208" s="93" t="s">
        <v>1381</v>
      </c>
      <c r="D1208" s="93" t="s">
        <v>153</v>
      </c>
      <c r="E1208" s="94">
        <v>23.02</v>
      </c>
      <c r="F1208" s="93" t="s">
        <v>26</v>
      </c>
      <c r="G1208" s="87">
        <f>Table1[[#This Row],[date]]</f>
        <v>45522</v>
      </c>
      <c r="H1208" s="94">
        <f>SUMIF($A$2:A4843,G1208,$E$2:E4843)</f>
        <v>228.26000000000002</v>
      </c>
      <c r="I1208" s="93" t="str">
        <f t="shared" si="73"/>
        <v>Sunday</v>
      </c>
      <c r="J1208" s="93" t="str">
        <f t="shared" si="74"/>
        <v>August</v>
      </c>
      <c r="K1208" s="93" t="str">
        <f t="shared" si="75"/>
        <v>2024</v>
      </c>
      <c r="L1208" s="6"/>
      <c r="M1208" s="6"/>
      <c r="N1208" s="6"/>
    </row>
    <row r="1209" spans="1:14" x14ac:dyDescent="0.3">
      <c r="A1209" s="87">
        <v>45522</v>
      </c>
      <c r="B1209" s="87" t="str">
        <f t="shared" si="72"/>
        <v>Sunday</v>
      </c>
      <c r="C1209" s="88" t="s">
        <v>1381</v>
      </c>
      <c r="D1209" s="88" t="s">
        <v>534</v>
      </c>
      <c r="E1209" s="89">
        <v>27.92</v>
      </c>
      <c r="F1209" s="88" t="s">
        <v>12</v>
      </c>
      <c r="G1209" s="87">
        <f>Table1[[#This Row],[date]]</f>
        <v>45522</v>
      </c>
      <c r="H1209" s="94">
        <f>SUMIF($A$2:A4844,G1209,$E$2:E4844)</f>
        <v>228.26000000000002</v>
      </c>
      <c r="I1209" s="93" t="str">
        <f t="shared" si="73"/>
        <v>Sunday</v>
      </c>
      <c r="J1209" s="93" t="str">
        <f t="shared" si="74"/>
        <v>August</v>
      </c>
      <c r="K1209" s="93" t="str">
        <f t="shared" si="75"/>
        <v>2024</v>
      </c>
      <c r="L1209" s="6"/>
      <c r="M1209" s="6"/>
      <c r="N1209" s="6"/>
    </row>
    <row r="1210" spans="1:14" x14ac:dyDescent="0.3">
      <c r="A1210" s="92">
        <v>45522</v>
      </c>
      <c r="B1210" s="92" t="str">
        <f t="shared" si="72"/>
        <v>Sunday</v>
      </c>
      <c r="C1210" s="93" t="s">
        <v>1381</v>
      </c>
      <c r="D1210" s="93" t="s">
        <v>475</v>
      </c>
      <c r="E1210" s="94">
        <v>32.82</v>
      </c>
      <c r="F1210" s="93" t="s">
        <v>41</v>
      </c>
      <c r="G1210" s="87">
        <f>Table1[[#This Row],[date]]</f>
        <v>45522</v>
      </c>
      <c r="H1210" s="94">
        <f>SUMIF($A$2:A4845,G1210,$E$2:E4845)</f>
        <v>228.26000000000002</v>
      </c>
      <c r="I1210" s="93" t="str">
        <f t="shared" si="73"/>
        <v>Sunday</v>
      </c>
      <c r="J1210" s="93" t="str">
        <f t="shared" si="74"/>
        <v>August</v>
      </c>
      <c r="K1210" s="93" t="str">
        <f t="shared" si="75"/>
        <v>2024</v>
      </c>
      <c r="L1210" s="6"/>
      <c r="M1210" s="6"/>
      <c r="N1210" s="6"/>
    </row>
    <row r="1211" spans="1:14" x14ac:dyDescent="0.3">
      <c r="A1211" s="87">
        <v>45522</v>
      </c>
      <c r="B1211" s="87" t="str">
        <f t="shared" si="72"/>
        <v>Sunday</v>
      </c>
      <c r="C1211" s="88" t="s">
        <v>1381</v>
      </c>
      <c r="D1211" s="88" t="s">
        <v>52</v>
      </c>
      <c r="E1211" s="89">
        <v>27.92</v>
      </c>
      <c r="F1211" s="88" t="s">
        <v>12</v>
      </c>
      <c r="G1211" s="87">
        <f>Table1[[#This Row],[date]]</f>
        <v>45522</v>
      </c>
      <c r="H1211" s="94">
        <f>SUMIF($A$2:A4846,G1211,$E$2:E4846)</f>
        <v>228.26000000000002</v>
      </c>
      <c r="I1211" s="93" t="str">
        <f t="shared" si="73"/>
        <v>Sunday</v>
      </c>
      <c r="J1211" s="93" t="str">
        <f t="shared" si="74"/>
        <v>August</v>
      </c>
      <c r="K1211" s="93" t="str">
        <f t="shared" si="75"/>
        <v>2024</v>
      </c>
      <c r="L1211" s="6"/>
      <c r="M1211" s="6"/>
      <c r="N1211" s="6"/>
    </row>
    <row r="1212" spans="1:14" x14ac:dyDescent="0.3">
      <c r="A1212" s="92">
        <v>45522</v>
      </c>
      <c r="B1212" s="92" t="str">
        <f t="shared" si="72"/>
        <v>Sunday</v>
      </c>
      <c r="C1212" s="93" t="s">
        <v>1381</v>
      </c>
      <c r="D1212" s="93" t="s">
        <v>535</v>
      </c>
      <c r="E1212" s="94">
        <v>27.92</v>
      </c>
      <c r="F1212" s="93" t="s">
        <v>12</v>
      </c>
      <c r="G1212" s="87">
        <f>Table1[[#This Row],[date]]</f>
        <v>45522</v>
      </c>
      <c r="H1212" s="94">
        <f>SUMIF($A$2:A4847,G1212,$E$2:E4847)</f>
        <v>228.26000000000002</v>
      </c>
      <c r="I1212" s="93" t="str">
        <f t="shared" si="73"/>
        <v>Sunday</v>
      </c>
      <c r="J1212" s="93" t="str">
        <f t="shared" si="74"/>
        <v>August</v>
      </c>
      <c r="K1212" s="93" t="str">
        <f t="shared" si="75"/>
        <v>2024</v>
      </c>
      <c r="L1212" s="6"/>
      <c r="M1212" s="6"/>
      <c r="N1212" s="6"/>
    </row>
    <row r="1213" spans="1:14" x14ac:dyDescent="0.3">
      <c r="A1213" s="92">
        <v>45522</v>
      </c>
      <c r="B1213" s="92" t="str">
        <f t="shared" si="72"/>
        <v>Sunday</v>
      </c>
      <c r="C1213" s="93" t="s">
        <v>1381</v>
      </c>
      <c r="D1213" s="93" t="s">
        <v>535</v>
      </c>
      <c r="E1213" s="94">
        <v>23.02</v>
      </c>
      <c r="F1213" s="93" t="s">
        <v>9</v>
      </c>
      <c r="G1213" s="87">
        <f>Table1[[#This Row],[date]]</f>
        <v>45522</v>
      </c>
      <c r="H1213" s="94">
        <f>SUMIF($A$2:A4848,G1213,$E$2:E4848)</f>
        <v>228.26000000000002</v>
      </c>
      <c r="I1213" s="93" t="str">
        <f t="shared" si="73"/>
        <v>Sunday</v>
      </c>
      <c r="J1213" s="93" t="str">
        <f t="shared" si="74"/>
        <v>August</v>
      </c>
      <c r="K1213" s="93" t="str">
        <f t="shared" si="75"/>
        <v>2024</v>
      </c>
      <c r="L1213" s="6"/>
      <c r="M1213" s="6"/>
      <c r="N1213" s="6"/>
    </row>
    <row r="1214" spans="1:14" x14ac:dyDescent="0.3">
      <c r="A1214" s="92">
        <v>45523</v>
      </c>
      <c r="B1214" s="92" t="str">
        <f t="shared" si="72"/>
        <v>Monday</v>
      </c>
      <c r="C1214" s="93" t="s">
        <v>1381</v>
      </c>
      <c r="D1214" s="93" t="s">
        <v>536</v>
      </c>
      <c r="E1214" s="94">
        <v>27.92</v>
      </c>
      <c r="F1214" s="93" t="s">
        <v>12</v>
      </c>
      <c r="G1214" s="87">
        <f>Table1[[#This Row],[date]]</f>
        <v>45523</v>
      </c>
      <c r="H1214" s="94">
        <f>SUMIF($A$2:A4849,G1214,$E$2:E4849)</f>
        <v>93.56</v>
      </c>
      <c r="I1214" s="93" t="str">
        <f t="shared" si="73"/>
        <v>Monday</v>
      </c>
      <c r="J1214" s="93" t="str">
        <f t="shared" si="74"/>
        <v>August</v>
      </c>
      <c r="K1214" s="93" t="str">
        <f t="shared" si="75"/>
        <v>2024</v>
      </c>
      <c r="L1214" s="6"/>
      <c r="M1214" s="6"/>
      <c r="N1214" s="6"/>
    </row>
    <row r="1215" spans="1:14" x14ac:dyDescent="0.3">
      <c r="A1215" s="92">
        <v>45523</v>
      </c>
      <c r="B1215" s="92" t="str">
        <f t="shared" si="72"/>
        <v>Monday</v>
      </c>
      <c r="C1215" s="93" t="s">
        <v>1381</v>
      </c>
      <c r="D1215" s="93" t="s">
        <v>519</v>
      </c>
      <c r="E1215" s="94">
        <v>32.82</v>
      </c>
      <c r="F1215" s="93" t="s">
        <v>5</v>
      </c>
      <c r="G1215" s="87">
        <f>Table1[[#This Row],[date]]</f>
        <v>45523</v>
      </c>
      <c r="H1215" s="94">
        <f>SUMIF($A$2:A4850,G1215,$E$2:E4850)</f>
        <v>93.56</v>
      </c>
      <c r="I1215" s="93" t="str">
        <f t="shared" si="73"/>
        <v>Monday</v>
      </c>
      <c r="J1215" s="93" t="str">
        <f t="shared" si="74"/>
        <v>August</v>
      </c>
      <c r="K1215" s="93" t="str">
        <f t="shared" si="75"/>
        <v>2024</v>
      </c>
      <c r="L1215" s="6"/>
      <c r="M1215" s="6"/>
      <c r="N1215" s="6"/>
    </row>
    <row r="1216" spans="1:14" x14ac:dyDescent="0.3">
      <c r="A1216" s="87">
        <v>45523</v>
      </c>
      <c r="B1216" s="87" t="str">
        <f t="shared" si="72"/>
        <v>Monday</v>
      </c>
      <c r="C1216" s="88" t="s">
        <v>1381</v>
      </c>
      <c r="D1216" s="88" t="s">
        <v>503</v>
      </c>
      <c r="E1216" s="89">
        <v>32.82</v>
      </c>
      <c r="F1216" s="88" t="s">
        <v>16</v>
      </c>
      <c r="G1216" s="87">
        <f>Table1[[#This Row],[date]]</f>
        <v>45523</v>
      </c>
      <c r="H1216" s="94">
        <f>SUMIF($A$2:A4851,G1216,$E$2:E4851)</f>
        <v>93.56</v>
      </c>
      <c r="I1216" s="93" t="str">
        <f t="shared" si="73"/>
        <v>Monday</v>
      </c>
      <c r="J1216" s="93" t="str">
        <f t="shared" si="74"/>
        <v>August</v>
      </c>
      <c r="K1216" s="93" t="str">
        <f t="shared" si="75"/>
        <v>2024</v>
      </c>
      <c r="L1216" s="6"/>
      <c r="M1216" s="6"/>
      <c r="N1216" s="6"/>
    </row>
    <row r="1217" spans="1:14" x14ac:dyDescent="0.3">
      <c r="A1217" s="92">
        <v>45524</v>
      </c>
      <c r="B1217" s="92" t="str">
        <f t="shared" si="72"/>
        <v>Tuesday</v>
      </c>
      <c r="C1217" s="93" t="s">
        <v>1381</v>
      </c>
      <c r="D1217" s="93" t="s">
        <v>153</v>
      </c>
      <c r="E1217" s="94">
        <v>23.02</v>
      </c>
      <c r="F1217" s="93" t="s">
        <v>26</v>
      </c>
      <c r="G1217" s="87">
        <f>Table1[[#This Row],[date]]</f>
        <v>45524</v>
      </c>
      <c r="H1217" s="94">
        <f>SUMIF($A$2:A4852,G1217,$E$2:E4852)</f>
        <v>325.24</v>
      </c>
      <c r="I1217" s="93" t="str">
        <f t="shared" si="73"/>
        <v>Tuesday</v>
      </c>
      <c r="J1217" s="93" t="str">
        <f t="shared" si="74"/>
        <v>August</v>
      </c>
      <c r="K1217" s="93" t="str">
        <f t="shared" si="75"/>
        <v>2024</v>
      </c>
      <c r="L1217" s="6"/>
      <c r="M1217" s="6"/>
      <c r="N1217" s="6"/>
    </row>
    <row r="1218" spans="1:14" x14ac:dyDescent="0.3">
      <c r="A1218" s="87">
        <v>45524</v>
      </c>
      <c r="B1218" s="87" t="str">
        <f t="shared" ref="B1218:B1281" si="76">TEXT(A1218,"dddd")</f>
        <v>Tuesday</v>
      </c>
      <c r="C1218" s="88" t="s">
        <v>1381</v>
      </c>
      <c r="D1218" s="88" t="s">
        <v>537</v>
      </c>
      <c r="E1218" s="89">
        <v>32.82</v>
      </c>
      <c r="F1218" s="88" t="s">
        <v>5</v>
      </c>
      <c r="G1218" s="87">
        <f>Table1[[#This Row],[date]]</f>
        <v>45524</v>
      </c>
      <c r="H1218" s="94">
        <f>SUMIF($A$2:A4853,G1218,$E$2:E4853)</f>
        <v>325.24</v>
      </c>
      <c r="I1218" s="93" t="str">
        <f t="shared" si="73"/>
        <v>Tuesday</v>
      </c>
      <c r="J1218" s="93" t="str">
        <f t="shared" si="74"/>
        <v>August</v>
      </c>
      <c r="K1218" s="93" t="str">
        <f t="shared" si="75"/>
        <v>2024</v>
      </c>
      <c r="L1218" s="6"/>
      <c r="M1218" s="6"/>
      <c r="N1218" s="6"/>
    </row>
    <row r="1219" spans="1:14" x14ac:dyDescent="0.3">
      <c r="A1219" s="92">
        <v>45524</v>
      </c>
      <c r="B1219" s="92" t="str">
        <f t="shared" si="76"/>
        <v>Tuesday</v>
      </c>
      <c r="C1219" s="93" t="s">
        <v>1381</v>
      </c>
      <c r="D1219" s="93" t="s">
        <v>538</v>
      </c>
      <c r="E1219" s="94">
        <v>18.12</v>
      </c>
      <c r="F1219" s="93" t="s">
        <v>33</v>
      </c>
      <c r="G1219" s="87">
        <f>Table1[[#This Row],[date]]</f>
        <v>45524</v>
      </c>
      <c r="H1219" s="94">
        <f>SUMIF($A$2:A4854,G1219,$E$2:E4854)</f>
        <v>325.24</v>
      </c>
      <c r="I1219" s="93" t="str">
        <f t="shared" si="73"/>
        <v>Tuesday</v>
      </c>
      <c r="J1219" s="93" t="str">
        <f t="shared" si="74"/>
        <v>August</v>
      </c>
      <c r="K1219" s="93" t="str">
        <f t="shared" si="75"/>
        <v>2024</v>
      </c>
      <c r="L1219" s="6"/>
      <c r="M1219" s="6"/>
      <c r="N1219" s="6"/>
    </row>
    <row r="1220" spans="1:14" x14ac:dyDescent="0.3">
      <c r="A1220" s="87">
        <v>45524</v>
      </c>
      <c r="B1220" s="87" t="str">
        <f t="shared" si="76"/>
        <v>Tuesday</v>
      </c>
      <c r="C1220" s="88" t="s">
        <v>1381</v>
      </c>
      <c r="D1220" s="88" t="s">
        <v>538</v>
      </c>
      <c r="E1220" s="89">
        <v>23.02</v>
      </c>
      <c r="F1220" s="88" t="s">
        <v>26</v>
      </c>
      <c r="G1220" s="87">
        <f>Table1[[#This Row],[date]]</f>
        <v>45524</v>
      </c>
      <c r="H1220" s="94">
        <f>SUMIF($A$2:A4855,G1220,$E$2:E4855)</f>
        <v>325.24</v>
      </c>
      <c r="I1220" s="93" t="str">
        <f t="shared" si="73"/>
        <v>Tuesday</v>
      </c>
      <c r="J1220" s="93" t="str">
        <f t="shared" si="74"/>
        <v>August</v>
      </c>
      <c r="K1220" s="93" t="str">
        <f t="shared" si="75"/>
        <v>2024</v>
      </c>
      <c r="L1220" s="6"/>
      <c r="M1220" s="6"/>
      <c r="N1220" s="6"/>
    </row>
    <row r="1221" spans="1:14" x14ac:dyDescent="0.3">
      <c r="A1221" s="92">
        <v>45524</v>
      </c>
      <c r="B1221" s="92" t="str">
        <f t="shared" si="76"/>
        <v>Tuesday</v>
      </c>
      <c r="C1221" s="93" t="s">
        <v>1381</v>
      </c>
      <c r="D1221" s="93" t="s">
        <v>109</v>
      </c>
      <c r="E1221" s="94">
        <v>27.92</v>
      </c>
      <c r="F1221" s="93" t="s">
        <v>12</v>
      </c>
      <c r="G1221" s="87">
        <f>Table1[[#This Row],[date]]</f>
        <v>45524</v>
      </c>
      <c r="H1221" s="94">
        <f>SUMIF($A$2:A4856,G1221,$E$2:E4856)</f>
        <v>325.24</v>
      </c>
      <c r="I1221" s="93" t="str">
        <f t="shared" si="73"/>
        <v>Tuesday</v>
      </c>
      <c r="J1221" s="93" t="str">
        <f t="shared" si="74"/>
        <v>August</v>
      </c>
      <c r="K1221" s="93" t="str">
        <f t="shared" si="75"/>
        <v>2024</v>
      </c>
      <c r="L1221" s="6"/>
      <c r="M1221" s="6"/>
      <c r="N1221" s="6"/>
    </row>
    <row r="1222" spans="1:14" x14ac:dyDescent="0.3">
      <c r="A1222" s="87">
        <v>45524</v>
      </c>
      <c r="B1222" s="87" t="str">
        <f t="shared" si="76"/>
        <v>Tuesday</v>
      </c>
      <c r="C1222" s="88" t="s">
        <v>1381</v>
      </c>
      <c r="D1222" s="88" t="s">
        <v>539</v>
      </c>
      <c r="E1222" s="89">
        <v>23.02</v>
      </c>
      <c r="F1222" s="88" t="s">
        <v>9</v>
      </c>
      <c r="G1222" s="87">
        <f>Table1[[#This Row],[date]]</f>
        <v>45524</v>
      </c>
      <c r="H1222" s="94">
        <f>SUMIF($A$2:A4857,G1222,$E$2:E4857)</f>
        <v>325.24</v>
      </c>
      <c r="I1222" s="93" t="str">
        <f t="shared" ref="I1222:I1285" si="77">TEXT(G1222,"dddd")</f>
        <v>Tuesday</v>
      </c>
      <c r="J1222" s="93" t="str">
        <f t="shared" si="74"/>
        <v>August</v>
      </c>
      <c r="K1222" s="93" t="str">
        <f t="shared" si="75"/>
        <v>2024</v>
      </c>
      <c r="L1222" s="6"/>
      <c r="M1222" s="6"/>
      <c r="N1222" s="6"/>
    </row>
    <row r="1223" spans="1:14" x14ac:dyDescent="0.3">
      <c r="A1223" s="92">
        <v>45524</v>
      </c>
      <c r="B1223" s="92" t="str">
        <f t="shared" si="76"/>
        <v>Tuesday</v>
      </c>
      <c r="C1223" s="93" t="s">
        <v>1381</v>
      </c>
      <c r="D1223" s="93" t="s">
        <v>540</v>
      </c>
      <c r="E1223" s="94">
        <v>23.02</v>
      </c>
      <c r="F1223" s="93" t="s">
        <v>9</v>
      </c>
      <c r="G1223" s="87">
        <f>Table1[[#This Row],[date]]</f>
        <v>45524</v>
      </c>
      <c r="H1223" s="94">
        <f>SUMIF($A$2:A4858,G1223,$E$2:E4858)</f>
        <v>325.24</v>
      </c>
      <c r="I1223" s="93" t="str">
        <f t="shared" si="77"/>
        <v>Tuesday</v>
      </c>
      <c r="J1223" s="93" t="str">
        <f t="shared" ref="J1223:J1286" si="78">TEXT(G1223,"mmmm")</f>
        <v>August</v>
      </c>
      <c r="K1223" s="93" t="str">
        <f t="shared" ref="K1223:K1286" si="79">TEXT(G1223,"yyyy")</f>
        <v>2024</v>
      </c>
      <c r="L1223" s="6"/>
      <c r="M1223" s="6"/>
      <c r="N1223" s="6"/>
    </row>
    <row r="1224" spans="1:14" x14ac:dyDescent="0.3">
      <c r="A1224" s="87">
        <v>45524</v>
      </c>
      <c r="B1224" s="87" t="str">
        <f t="shared" si="76"/>
        <v>Tuesday</v>
      </c>
      <c r="C1224" s="88" t="s">
        <v>1381</v>
      </c>
      <c r="D1224" s="88" t="s">
        <v>541</v>
      </c>
      <c r="E1224" s="89">
        <v>23.02</v>
      </c>
      <c r="F1224" s="88" t="s">
        <v>9</v>
      </c>
      <c r="G1224" s="87">
        <f>Table1[[#This Row],[date]]</f>
        <v>45524</v>
      </c>
      <c r="H1224" s="94">
        <f>SUMIF($A$2:A4859,G1224,$E$2:E4859)</f>
        <v>325.24</v>
      </c>
      <c r="I1224" s="93" t="str">
        <f t="shared" si="77"/>
        <v>Tuesday</v>
      </c>
      <c r="J1224" s="93" t="str">
        <f t="shared" si="78"/>
        <v>August</v>
      </c>
      <c r="K1224" s="93" t="str">
        <f t="shared" si="79"/>
        <v>2024</v>
      </c>
      <c r="L1224" s="6"/>
      <c r="M1224" s="6"/>
      <c r="N1224" s="6"/>
    </row>
    <row r="1225" spans="1:14" x14ac:dyDescent="0.3">
      <c r="A1225" s="92">
        <v>45524</v>
      </c>
      <c r="B1225" s="92" t="str">
        <f t="shared" si="76"/>
        <v>Tuesday</v>
      </c>
      <c r="C1225" s="93" t="s">
        <v>1381</v>
      </c>
      <c r="D1225" s="93" t="s">
        <v>153</v>
      </c>
      <c r="E1225" s="94">
        <v>32.82</v>
      </c>
      <c r="F1225" s="93" t="s">
        <v>5</v>
      </c>
      <c r="G1225" s="87">
        <f>Table1[[#This Row],[date]]</f>
        <v>45524</v>
      </c>
      <c r="H1225" s="94">
        <f>SUMIF($A$2:A4860,G1225,$E$2:E4860)</f>
        <v>325.24</v>
      </c>
      <c r="I1225" s="93" t="str">
        <f t="shared" si="77"/>
        <v>Tuesday</v>
      </c>
      <c r="J1225" s="93" t="str">
        <f t="shared" si="78"/>
        <v>August</v>
      </c>
      <c r="K1225" s="93" t="str">
        <f t="shared" si="79"/>
        <v>2024</v>
      </c>
      <c r="L1225" s="6"/>
      <c r="M1225" s="6"/>
      <c r="N1225" s="6"/>
    </row>
    <row r="1226" spans="1:14" x14ac:dyDescent="0.3">
      <c r="A1226" s="87">
        <v>45524</v>
      </c>
      <c r="B1226" s="87" t="str">
        <f t="shared" si="76"/>
        <v>Tuesday</v>
      </c>
      <c r="C1226" s="88" t="s">
        <v>1381</v>
      </c>
      <c r="D1226" s="88" t="s">
        <v>542</v>
      </c>
      <c r="E1226" s="89">
        <v>32.82</v>
      </c>
      <c r="F1226" s="88" t="s">
        <v>5</v>
      </c>
      <c r="G1226" s="87">
        <f>Table1[[#This Row],[date]]</f>
        <v>45524</v>
      </c>
      <c r="H1226" s="94">
        <f>SUMIF($A$2:A4861,G1226,$E$2:E4861)</f>
        <v>325.24</v>
      </c>
      <c r="I1226" s="93" t="str">
        <f t="shared" si="77"/>
        <v>Tuesday</v>
      </c>
      <c r="J1226" s="93" t="str">
        <f t="shared" si="78"/>
        <v>August</v>
      </c>
      <c r="K1226" s="93" t="str">
        <f t="shared" si="79"/>
        <v>2024</v>
      </c>
      <c r="L1226" s="6"/>
      <c r="M1226" s="6"/>
      <c r="N1226" s="6"/>
    </row>
    <row r="1227" spans="1:14" x14ac:dyDescent="0.3">
      <c r="A1227" s="92">
        <v>45524</v>
      </c>
      <c r="B1227" s="92" t="str">
        <f t="shared" si="76"/>
        <v>Tuesday</v>
      </c>
      <c r="C1227" s="93" t="s">
        <v>1381</v>
      </c>
      <c r="D1227" s="93" t="s">
        <v>543</v>
      </c>
      <c r="E1227" s="94">
        <v>32.82</v>
      </c>
      <c r="F1227" s="93" t="s">
        <v>5</v>
      </c>
      <c r="G1227" s="87">
        <f>Table1[[#This Row],[date]]</f>
        <v>45524</v>
      </c>
      <c r="H1227" s="94">
        <f>SUMIF($A$2:A4862,G1227,$E$2:E4862)</f>
        <v>325.24</v>
      </c>
      <c r="I1227" s="93" t="str">
        <f t="shared" si="77"/>
        <v>Tuesday</v>
      </c>
      <c r="J1227" s="93" t="str">
        <f t="shared" si="78"/>
        <v>August</v>
      </c>
      <c r="K1227" s="93" t="str">
        <f t="shared" si="79"/>
        <v>2024</v>
      </c>
      <c r="L1227" s="6"/>
      <c r="M1227" s="6"/>
      <c r="N1227" s="6"/>
    </row>
    <row r="1228" spans="1:14" x14ac:dyDescent="0.3">
      <c r="A1228" s="92">
        <v>45524</v>
      </c>
      <c r="B1228" s="92" t="str">
        <f t="shared" si="76"/>
        <v>Tuesday</v>
      </c>
      <c r="C1228" s="93" t="s">
        <v>1381</v>
      </c>
      <c r="D1228" s="93" t="s">
        <v>544</v>
      </c>
      <c r="E1228" s="94">
        <v>32.82</v>
      </c>
      <c r="F1228" s="93" t="s">
        <v>5</v>
      </c>
      <c r="G1228" s="87">
        <f>Table1[[#This Row],[date]]</f>
        <v>45524</v>
      </c>
      <c r="H1228" s="94">
        <f>SUMIF($A$2:A4863,G1228,$E$2:E4863)</f>
        <v>325.24</v>
      </c>
      <c r="I1228" s="93" t="str">
        <f t="shared" si="77"/>
        <v>Tuesday</v>
      </c>
      <c r="J1228" s="93" t="str">
        <f t="shared" si="78"/>
        <v>August</v>
      </c>
      <c r="K1228" s="93" t="str">
        <f t="shared" si="79"/>
        <v>2024</v>
      </c>
      <c r="L1228" s="6"/>
      <c r="M1228" s="6"/>
      <c r="N1228" s="6"/>
    </row>
    <row r="1229" spans="1:14" x14ac:dyDescent="0.3">
      <c r="A1229" s="87">
        <v>45525</v>
      </c>
      <c r="B1229" s="87" t="str">
        <f t="shared" si="76"/>
        <v>Wednesday</v>
      </c>
      <c r="C1229" s="88" t="s">
        <v>1381</v>
      </c>
      <c r="D1229" s="88" t="s">
        <v>545</v>
      </c>
      <c r="E1229" s="89">
        <v>27.92</v>
      </c>
      <c r="F1229" s="88" t="s">
        <v>12</v>
      </c>
      <c r="G1229" s="87">
        <f>Table1[[#This Row],[date]]</f>
        <v>45525</v>
      </c>
      <c r="H1229" s="94">
        <f>SUMIF($A$2:A4864,G1229,$E$2:E4864)</f>
        <v>167.51999999999998</v>
      </c>
      <c r="I1229" s="93" t="str">
        <f t="shared" si="77"/>
        <v>Wednesday</v>
      </c>
      <c r="J1229" s="93" t="str">
        <f t="shared" si="78"/>
        <v>August</v>
      </c>
      <c r="K1229" s="93" t="str">
        <f t="shared" si="79"/>
        <v>2024</v>
      </c>
      <c r="L1229" s="6"/>
      <c r="M1229" s="6"/>
      <c r="N1229" s="6"/>
    </row>
    <row r="1230" spans="1:14" x14ac:dyDescent="0.3">
      <c r="A1230" s="92">
        <v>45525</v>
      </c>
      <c r="B1230" s="92" t="str">
        <f t="shared" si="76"/>
        <v>Wednesday</v>
      </c>
      <c r="C1230" s="93" t="s">
        <v>1381</v>
      </c>
      <c r="D1230" s="93" t="s">
        <v>153</v>
      </c>
      <c r="E1230" s="94">
        <v>23.02</v>
      </c>
      <c r="F1230" s="93" t="s">
        <v>26</v>
      </c>
      <c r="G1230" s="87">
        <f>Table1[[#This Row],[date]]</f>
        <v>45525</v>
      </c>
      <c r="H1230" s="94">
        <f>SUMIF($A$2:A4865,G1230,$E$2:E4865)</f>
        <v>167.51999999999998</v>
      </c>
      <c r="I1230" s="93" t="str">
        <f t="shared" si="77"/>
        <v>Wednesday</v>
      </c>
      <c r="J1230" s="93" t="str">
        <f t="shared" si="78"/>
        <v>August</v>
      </c>
      <c r="K1230" s="93" t="str">
        <f t="shared" si="79"/>
        <v>2024</v>
      </c>
      <c r="L1230" s="6"/>
      <c r="M1230" s="6"/>
      <c r="N1230" s="6"/>
    </row>
    <row r="1231" spans="1:14" x14ac:dyDescent="0.3">
      <c r="A1231" s="87">
        <v>45525</v>
      </c>
      <c r="B1231" s="87" t="str">
        <f t="shared" si="76"/>
        <v>Wednesday</v>
      </c>
      <c r="C1231" s="88" t="s">
        <v>1381</v>
      </c>
      <c r="D1231" s="88" t="s">
        <v>387</v>
      </c>
      <c r="E1231" s="89">
        <v>23.02</v>
      </c>
      <c r="F1231" s="88" t="s">
        <v>9</v>
      </c>
      <c r="G1231" s="87">
        <f>Table1[[#This Row],[date]]</f>
        <v>45525</v>
      </c>
      <c r="H1231" s="94">
        <f>SUMIF($A$2:A4866,G1231,$E$2:E4866)</f>
        <v>167.51999999999998</v>
      </c>
      <c r="I1231" s="93" t="str">
        <f t="shared" si="77"/>
        <v>Wednesday</v>
      </c>
      <c r="J1231" s="93" t="str">
        <f t="shared" si="78"/>
        <v>August</v>
      </c>
      <c r="K1231" s="93" t="str">
        <f t="shared" si="79"/>
        <v>2024</v>
      </c>
      <c r="L1231" s="6"/>
      <c r="M1231" s="6"/>
      <c r="N1231" s="6"/>
    </row>
    <row r="1232" spans="1:14" x14ac:dyDescent="0.3">
      <c r="A1232" s="92">
        <v>45525</v>
      </c>
      <c r="B1232" s="92" t="str">
        <f t="shared" si="76"/>
        <v>Wednesday</v>
      </c>
      <c r="C1232" s="93" t="s">
        <v>1381</v>
      </c>
      <c r="D1232" s="93" t="s">
        <v>288</v>
      </c>
      <c r="E1232" s="94">
        <v>27.92</v>
      </c>
      <c r="F1232" s="93" t="s">
        <v>12</v>
      </c>
      <c r="G1232" s="87">
        <f>Table1[[#This Row],[date]]</f>
        <v>45525</v>
      </c>
      <c r="H1232" s="94">
        <f>SUMIF($A$2:A4867,G1232,$E$2:E4867)</f>
        <v>167.51999999999998</v>
      </c>
      <c r="I1232" s="93" t="str">
        <f t="shared" si="77"/>
        <v>Wednesday</v>
      </c>
      <c r="J1232" s="93" t="str">
        <f t="shared" si="78"/>
        <v>August</v>
      </c>
      <c r="K1232" s="93" t="str">
        <f t="shared" si="79"/>
        <v>2024</v>
      </c>
      <c r="L1232" s="6"/>
      <c r="M1232" s="6"/>
      <c r="N1232" s="6"/>
    </row>
    <row r="1233" spans="1:14" x14ac:dyDescent="0.3">
      <c r="A1233" s="92">
        <v>45525</v>
      </c>
      <c r="B1233" s="92" t="str">
        <f t="shared" si="76"/>
        <v>Wednesday</v>
      </c>
      <c r="C1233" s="93" t="s">
        <v>1381</v>
      </c>
      <c r="D1233" s="93" t="s">
        <v>546</v>
      </c>
      <c r="E1233" s="94">
        <v>32.82</v>
      </c>
      <c r="F1233" s="93" t="s">
        <v>5</v>
      </c>
      <c r="G1233" s="87">
        <f>Table1[[#This Row],[date]]</f>
        <v>45525</v>
      </c>
      <c r="H1233" s="94">
        <f>SUMIF($A$2:A4868,G1233,$E$2:E4868)</f>
        <v>167.51999999999998</v>
      </c>
      <c r="I1233" s="93" t="str">
        <f t="shared" si="77"/>
        <v>Wednesday</v>
      </c>
      <c r="J1233" s="93" t="str">
        <f t="shared" si="78"/>
        <v>August</v>
      </c>
      <c r="K1233" s="93" t="str">
        <f t="shared" si="79"/>
        <v>2024</v>
      </c>
      <c r="L1233" s="6"/>
      <c r="M1233" s="6"/>
      <c r="N1233" s="6"/>
    </row>
    <row r="1234" spans="1:14" x14ac:dyDescent="0.3">
      <c r="A1234" s="87">
        <v>45525</v>
      </c>
      <c r="B1234" s="87" t="str">
        <f t="shared" si="76"/>
        <v>Wednesday</v>
      </c>
      <c r="C1234" s="88" t="s">
        <v>1381</v>
      </c>
      <c r="D1234" s="88" t="s">
        <v>519</v>
      </c>
      <c r="E1234" s="89">
        <v>32.82</v>
      </c>
      <c r="F1234" s="88" t="s">
        <v>5</v>
      </c>
      <c r="G1234" s="87">
        <f>Table1[[#This Row],[date]]</f>
        <v>45525</v>
      </c>
      <c r="H1234" s="94">
        <f>SUMIF($A$2:A4869,G1234,$E$2:E4869)</f>
        <v>167.51999999999998</v>
      </c>
      <c r="I1234" s="93" t="str">
        <f t="shared" si="77"/>
        <v>Wednesday</v>
      </c>
      <c r="J1234" s="93" t="str">
        <f t="shared" si="78"/>
        <v>August</v>
      </c>
      <c r="K1234" s="93" t="str">
        <f t="shared" si="79"/>
        <v>2024</v>
      </c>
      <c r="L1234" s="6"/>
      <c r="M1234" s="6"/>
      <c r="N1234" s="6"/>
    </row>
    <row r="1235" spans="1:14" x14ac:dyDescent="0.3">
      <c r="A1235" s="92">
        <v>45526</v>
      </c>
      <c r="B1235" s="92" t="str">
        <f t="shared" si="76"/>
        <v>Thursday</v>
      </c>
      <c r="C1235" s="93" t="s">
        <v>1381</v>
      </c>
      <c r="D1235" s="93" t="s">
        <v>153</v>
      </c>
      <c r="E1235" s="94">
        <v>23.02</v>
      </c>
      <c r="F1235" s="93" t="s">
        <v>26</v>
      </c>
      <c r="G1235" s="87">
        <f>Table1[[#This Row],[date]]</f>
        <v>45526</v>
      </c>
      <c r="H1235" s="94">
        <f>SUMIF($A$2:A4870,G1235,$E$2:E4870)</f>
        <v>200.34</v>
      </c>
      <c r="I1235" s="93" t="str">
        <f t="shared" si="77"/>
        <v>Thursday</v>
      </c>
      <c r="J1235" s="93" t="str">
        <f t="shared" si="78"/>
        <v>August</v>
      </c>
      <c r="K1235" s="93" t="str">
        <f t="shared" si="79"/>
        <v>2024</v>
      </c>
      <c r="L1235" s="6"/>
      <c r="M1235" s="6"/>
      <c r="N1235" s="6"/>
    </row>
    <row r="1236" spans="1:14" x14ac:dyDescent="0.3">
      <c r="A1236" s="87">
        <v>45526</v>
      </c>
      <c r="B1236" s="87" t="str">
        <f t="shared" si="76"/>
        <v>Thursday</v>
      </c>
      <c r="C1236" s="88" t="s">
        <v>1381</v>
      </c>
      <c r="D1236" s="88" t="s">
        <v>431</v>
      </c>
      <c r="E1236" s="89">
        <v>27.92</v>
      </c>
      <c r="F1236" s="88" t="s">
        <v>12</v>
      </c>
      <c r="G1236" s="87">
        <f>Table1[[#This Row],[date]]</f>
        <v>45526</v>
      </c>
      <c r="H1236" s="94">
        <f>SUMIF($A$2:A4871,G1236,$E$2:E4871)</f>
        <v>200.34</v>
      </c>
      <c r="I1236" s="93" t="str">
        <f t="shared" si="77"/>
        <v>Thursday</v>
      </c>
      <c r="J1236" s="93" t="str">
        <f t="shared" si="78"/>
        <v>August</v>
      </c>
      <c r="K1236" s="93" t="str">
        <f t="shared" si="79"/>
        <v>2024</v>
      </c>
      <c r="L1236" s="6"/>
      <c r="M1236" s="6"/>
      <c r="N1236" s="6"/>
    </row>
    <row r="1237" spans="1:14" x14ac:dyDescent="0.3">
      <c r="A1237" s="92">
        <v>45526</v>
      </c>
      <c r="B1237" s="92" t="str">
        <f t="shared" si="76"/>
        <v>Thursday</v>
      </c>
      <c r="C1237" s="93" t="s">
        <v>1381</v>
      </c>
      <c r="D1237" s="93" t="s">
        <v>547</v>
      </c>
      <c r="E1237" s="94">
        <v>27.92</v>
      </c>
      <c r="F1237" s="93" t="s">
        <v>12</v>
      </c>
      <c r="G1237" s="87">
        <f>Table1[[#This Row],[date]]</f>
        <v>45526</v>
      </c>
      <c r="H1237" s="94">
        <f>SUMIF($A$2:A4872,G1237,$E$2:E4872)</f>
        <v>200.34</v>
      </c>
      <c r="I1237" s="93" t="str">
        <f t="shared" si="77"/>
        <v>Thursday</v>
      </c>
      <c r="J1237" s="93" t="str">
        <f t="shared" si="78"/>
        <v>August</v>
      </c>
      <c r="K1237" s="93" t="str">
        <f t="shared" si="79"/>
        <v>2024</v>
      </c>
      <c r="L1237" s="6"/>
      <c r="M1237" s="6"/>
      <c r="N1237" s="6"/>
    </row>
    <row r="1238" spans="1:14" x14ac:dyDescent="0.3">
      <c r="A1238" s="87">
        <v>45526</v>
      </c>
      <c r="B1238" s="87" t="str">
        <f t="shared" si="76"/>
        <v>Thursday</v>
      </c>
      <c r="C1238" s="88" t="s">
        <v>1381</v>
      </c>
      <c r="D1238" s="88" t="s">
        <v>522</v>
      </c>
      <c r="E1238" s="89">
        <v>32.82</v>
      </c>
      <c r="F1238" s="88" t="s">
        <v>5</v>
      </c>
      <c r="G1238" s="87">
        <f>Table1[[#This Row],[date]]</f>
        <v>45526</v>
      </c>
      <c r="H1238" s="94">
        <f>SUMIF($A$2:A4873,G1238,$E$2:E4873)</f>
        <v>200.34</v>
      </c>
      <c r="I1238" s="93" t="str">
        <f t="shared" si="77"/>
        <v>Thursday</v>
      </c>
      <c r="J1238" s="93" t="str">
        <f t="shared" si="78"/>
        <v>August</v>
      </c>
      <c r="K1238" s="93" t="str">
        <f t="shared" si="79"/>
        <v>2024</v>
      </c>
      <c r="L1238" s="6"/>
      <c r="M1238" s="6"/>
      <c r="N1238" s="6"/>
    </row>
    <row r="1239" spans="1:14" x14ac:dyDescent="0.3">
      <c r="A1239" s="92">
        <v>45526</v>
      </c>
      <c r="B1239" s="92" t="str">
        <f t="shared" si="76"/>
        <v>Thursday</v>
      </c>
      <c r="C1239" s="93" t="s">
        <v>1381</v>
      </c>
      <c r="D1239" s="93" t="s">
        <v>548</v>
      </c>
      <c r="E1239" s="94">
        <v>32.82</v>
      </c>
      <c r="F1239" s="93" t="s">
        <v>5</v>
      </c>
      <c r="G1239" s="87">
        <f>Table1[[#This Row],[date]]</f>
        <v>45526</v>
      </c>
      <c r="H1239" s="94">
        <f>SUMIF($A$2:A4874,G1239,$E$2:E4874)</f>
        <v>200.34</v>
      </c>
      <c r="I1239" s="93" t="str">
        <f t="shared" si="77"/>
        <v>Thursday</v>
      </c>
      <c r="J1239" s="93" t="str">
        <f t="shared" si="78"/>
        <v>August</v>
      </c>
      <c r="K1239" s="93" t="str">
        <f t="shared" si="79"/>
        <v>2024</v>
      </c>
      <c r="L1239" s="6"/>
      <c r="M1239" s="6"/>
      <c r="N1239" s="6"/>
    </row>
    <row r="1240" spans="1:14" x14ac:dyDescent="0.3">
      <c r="A1240" s="87">
        <v>45526</v>
      </c>
      <c r="B1240" s="87" t="str">
        <f t="shared" si="76"/>
        <v>Thursday</v>
      </c>
      <c r="C1240" s="88" t="s">
        <v>1381</v>
      </c>
      <c r="D1240" s="88" t="s">
        <v>549</v>
      </c>
      <c r="E1240" s="89">
        <v>32.82</v>
      </c>
      <c r="F1240" s="88" t="s">
        <v>41</v>
      </c>
      <c r="G1240" s="87">
        <f>Table1[[#This Row],[date]]</f>
        <v>45526</v>
      </c>
      <c r="H1240" s="94">
        <f>SUMIF($A$2:A4875,G1240,$E$2:E4875)</f>
        <v>200.34</v>
      </c>
      <c r="I1240" s="93" t="str">
        <f t="shared" si="77"/>
        <v>Thursday</v>
      </c>
      <c r="J1240" s="93" t="str">
        <f t="shared" si="78"/>
        <v>August</v>
      </c>
      <c r="K1240" s="93" t="str">
        <f t="shared" si="79"/>
        <v>2024</v>
      </c>
      <c r="L1240" s="6"/>
      <c r="M1240" s="6"/>
      <c r="N1240" s="6"/>
    </row>
    <row r="1241" spans="1:14" x14ac:dyDescent="0.3">
      <c r="A1241" s="92">
        <v>45526</v>
      </c>
      <c r="B1241" s="92" t="str">
        <f t="shared" si="76"/>
        <v>Thursday</v>
      </c>
      <c r="C1241" s="93" t="s">
        <v>1381</v>
      </c>
      <c r="D1241" s="93" t="s">
        <v>550</v>
      </c>
      <c r="E1241" s="94">
        <v>23.02</v>
      </c>
      <c r="F1241" s="93" t="s">
        <v>9</v>
      </c>
      <c r="G1241" s="87">
        <f>Table1[[#This Row],[date]]</f>
        <v>45526</v>
      </c>
      <c r="H1241" s="94">
        <f>SUMIF($A$2:A4876,G1241,$E$2:E4876)</f>
        <v>200.34</v>
      </c>
      <c r="I1241" s="93" t="str">
        <f t="shared" si="77"/>
        <v>Thursday</v>
      </c>
      <c r="J1241" s="93" t="str">
        <f t="shared" si="78"/>
        <v>August</v>
      </c>
      <c r="K1241" s="93" t="str">
        <f t="shared" si="79"/>
        <v>2024</v>
      </c>
      <c r="L1241" s="6"/>
      <c r="M1241" s="6"/>
      <c r="N1241" s="6"/>
    </row>
    <row r="1242" spans="1:14" x14ac:dyDescent="0.3">
      <c r="A1242" s="87">
        <v>45527</v>
      </c>
      <c r="B1242" s="87" t="str">
        <f t="shared" si="76"/>
        <v>Friday</v>
      </c>
      <c r="C1242" s="88" t="s">
        <v>1381</v>
      </c>
      <c r="D1242" s="88" t="s">
        <v>487</v>
      </c>
      <c r="E1242" s="89">
        <v>32.82</v>
      </c>
      <c r="F1242" s="88" t="s">
        <v>5</v>
      </c>
      <c r="G1242" s="87">
        <f>Table1[[#This Row],[date]]</f>
        <v>45527</v>
      </c>
      <c r="H1242" s="94">
        <f>SUMIF($A$2:A4877,G1242,$E$2:E4877)</f>
        <v>307.12</v>
      </c>
      <c r="I1242" s="93" t="str">
        <f t="shared" si="77"/>
        <v>Friday</v>
      </c>
      <c r="J1242" s="93" t="str">
        <f t="shared" si="78"/>
        <v>August</v>
      </c>
      <c r="K1242" s="93" t="str">
        <f t="shared" si="79"/>
        <v>2024</v>
      </c>
      <c r="L1242" s="6"/>
      <c r="M1242" s="6"/>
      <c r="N1242" s="6"/>
    </row>
    <row r="1243" spans="1:14" x14ac:dyDescent="0.3">
      <c r="A1243" s="92">
        <v>45527</v>
      </c>
      <c r="B1243" s="92" t="str">
        <f t="shared" si="76"/>
        <v>Friday</v>
      </c>
      <c r="C1243" s="93" t="s">
        <v>1381</v>
      </c>
      <c r="D1243" s="93" t="s">
        <v>153</v>
      </c>
      <c r="E1243" s="94">
        <v>23.02</v>
      </c>
      <c r="F1243" s="93" t="s">
        <v>26</v>
      </c>
      <c r="G1243" s="87">
        <f>Table1[[#This Row],[date]]</f>
        <v>45527</v>
      </c>
      <c r="H1243" s="94">
        <f>SUMIF($A$2:A4878,G1243,$E$2:E4878)</f>
        <v>307.12</v>
      </c>
      <c r="I1243" s="93" t="str">
        <f t="shared" si="77"/>
        <v>Friday</v>
      </c>
      <c r="J1243" s="93" t="str">
        <f t="shared" si="78"/>
        <v>August</v>
      </c>
      <c r="K1243" s="93" t="str">
        <f t="shared" si="79"/>
        <v>2024</v>
      </c>
      <c r="L1243" s="6"/>
      <c r="M1243" s="6"/>
      <c r="N1243" s="6"/>
    </row>
    <row r="1244" spans="1:14" x14ac:dyDescent="0.3">
      <c r="A1244" s="87">
        <v>45527</v>
      </c>
      <c r="B1244" s="87" t="str">
        <f t="shared" si="76"/>
        <v>Friday</v>
      </c>
      <c r="C1244" s="88" t="s">
        <v>1381</v>
      </c>
      <c r="D1244" s="88" t="s">
        <v>437</v>
      </c>
      <c r="E1244" s="89">
        <v>32.82</v>
      </c>
      <c r="F1244" s="88" t="s">
        <v>5</v>
      </c>
      <c r="G1244" s="87">
        <f>Table1[[#This Row],[date]]</f>
        <v>45527</v>
      </c>
      <c r="H1244" s="94">
        <f>SUMIF($A$2:A4879,G1244,$E$2:E4879)</f>
        <v>307.12</v>
      </c>
      <c r="I1244" s="93" t="str">
        <f t="shared" si="77"/>
        <v>Friday</v>
      </c>
      <c r="J1244" s="93" t="str">
        <f t="shared" si="78"/>
        <v>August</v>
      </c>
      <c r="K1244" s="93" t="str">
        <f t="shared" si="79"/>
        <v>2024</v>
      </c>
      <c r="L1244" s="6"/>
      <c r="M1244" s="6"/>
      <c r="N1244" s="6"/>
    </row>
    <row r="1245" spans="1:14" x14ac:dyDescent="0.3">
      <c r="A1245" s="92">
        <v>45527</v>
      </c>
      <c r="B1245" s="92" t="str">
        <f t="shared" si="76"/>
        <v>Friday</v>
      </c>
      <c r="C1245" s="93" t="s">
        <v>1381</v>
      </c>
      <c r="D1245" s="93" t="s">
        <v>237</v>
      </c>
      <c r="E1245" s="94">
        <v>23.02</v>
      </c>
      <c r="F1245" s="93" t="s">
        <v>9</v>
      </c>
      <c r="G1245" s="87">
        <f>Table1[[#This Row],[date]]</f>
        <v>45527</v>
      </c>
      <c r="H1245" s="94">
        <f>SUMIF($A$2:A4880,G1245,$E$2:E4880)</f>
        <v>307.12</v>
      </c>
      <c r="I1245" s="93" t="str">
        <f t="shared" si="77"/>
        <v>Friday</v>
      </c>
      <c r="J1245" s="93" t="str">
        <f t="shared" si="78"/>
        <v>August</v>
      </c>
      <c r="K1245" s="93" t="str">
        <f t="shared" si="79"/>
        <v>2024</v>
      </c>
      <c r="L1245" s="6"/>
      <c r="M1245" s="6"/>
      <c r="N1245" s="6"/>
    </row>
    <row r="1246" spans="1:14" x14ac:dyDescent="0.3">
      <c r="A1246" s="92">
        <v>45527</v>
      </c>
      <c r="B1246" s="92" t="str">
        <f t="shared" si="76"/>
        <v>Friday</v>
      </c>
      <c r="C1246" s="93" t="s">
        <v>1381</v>
      </c>
      <c r="D1246" s="93" t="s">
        <v>431</v>
      </c>
      <c r="E1246" s="94">
        <v>27.92</v>
      </c>
      <c r="F1246" s="93" t="s">
        <v>12</v>
      </c>
      <c r="G1246" s="87">
        <f>Table1[[#This Row],[date]]</f>
        <v>45527</v>
      </c>
      <c r="H1246" s="94">
        <f>SUMIF($A$2:A4881,G1246,$E$2:E4881)</f>
        <v>307.12</v>
      </c>
      <c r="I1246" s="93" t="str">
        <f t="shared" si="77"/>
        <v>Friday</v>
      </c>
      <c r="J1246" s="93" t="str">
        <f t="shared" si="78"/>
        <v>August</v>
      </c>
      <c r="K1246" s="93" t="str">
        <f t="shared" si="79"/>
        <v>2024</v>
      </c>
      <c r="L1246" s="6"/>
      <c r="M1246" s="6"/>
      <c r="N1246" s="6"/>
    </row>
    <row r="1247" spans="1:14" x14ac:dyDescent="0.3">
      <c r="A1247" s="87">
        <v>45527</v>
      </c>
      <c r="B1247" s="87" t="str">
        <f t="shared" si="76"/>
        <v>Friday</v>
      </c>
      <c r="C1247" s="88" t="s">
        <v>1381</v>
      </c>
      <c r="D1247" s="88" t="s">
        <v>551</v>
      </c>
      <c r="E1247" s="89">
        <v>32.82</v>
      </c>
      <c r="F1247" s="88" t="s">
        <v>16</v>
      </c>
      <c r="G1247" s="87">
        <f>Table1[[#This Row],[date]]</f>
        <v>45527</v>
      </c>
      <c r="H1247" s="94">
        <f>SUMIF($A$2:A4882,G1247,$E$2:E4882)</f>
        <v>307.12</v>
      </c>
      <c r="I1247" s="93" t="str">
        <f t="shared" si="77"/>
        <v>Friday</v>
      </c>
      <c r="J1247" s="93" t="str">
        <f t="shared" si="78"/>
        <v>August</v>
      </c>
      <c r="K1247" s="93" t="str">
        <f t="shared" si="79"/>
        <v>2024</v>
      </c>
      <c r="L1247" s="6"/>
      <c r="M1247" s="6"/>
      <c r="N1247" s="6"/>
    </row>
    <row r="1248" spans="1:14" x14ac:dyDescent="0.3">
      <c r="A1248" s="92">
        <v>45527</v>
      </c>
      <c r="B1248" s="92" t="str">
        <f t="shared" si="76"/>
        <v>Friday</v>
      </c>
      <c r="C1248" s="93" t="s">
        <v>1381</v>
      </c>
      <c r="D1248" s="93" t="s">
        <v>551</v>
      </c>
      <c r="E1248" s="94">
        <v>23.02</v>
      </c>
      <c r="F1248" s="93" t="s">
        <v>9</v>
      </c>
      <c r="G1248" s="87">
        <f>Table1[[#This Row],[date]]</f>
        <v>45527</v>
      </c>
      <c r="H1248" s="94">
        <f>SUMIF($A$2:A4883,G1248,$E$2:E4883)</f>
        <v>307.12</v>
      </c>
      <c r="I1248" s="93" t="str">
        <f t="shared" si="77"/>
        <v>Friday</v>
      </c>
      <c r="J1248" s="93" t="str">
        <f t="shared" si="78"/>
        <v>August</v>
      </c>
      <c r="K1248" s="93" t="str">
        <f t="shared" si="79"/>
        <v>2024</v>
      </c>
      <c r="L1248" s="6"/>
      <c r="M1248" s="6"/>
      <c r="N1248" s="6"/>
    </row>
    <row r="1249" spans="1:14" x14ac:dyDescent="0.3">
      <c r="A1249" s="92">
        <v>45527</v>
      </c>
      <c r="B1249" s="92" t="str">
        <f t="shared" si="76"/>
        <v>Friday</v>
      </c>
      <c r="C1249" s="93" t="s">
        <v>1381</v>
      </c>
      <c r="D1249" s="93" t="s">
        <v>552</v>
      </c>
      <c r="E1249" s="94">
        <v>32.82</v>
      </c>
      <c r="F1249" s="93" t="s">
        <v>7</v>
      </c>
      <c r="G1249" s="87">
        <f>Table1[[#This Row],[date]]</f>
        <v>45527</v>
      </c>
      <c r="H1249" s="94">
        <f>SUMIF($A$2:A4884,G1249,$E$2:E4884)</f>
        <v>307.12</v>
      </c>
      <c r="I1249" s="93" t="str">
        <f t="shared" si="77"/>
        <v>Friday</v>
      </c>
      <c r="J1249" s="93" t="str">
        <f t="shared" si="78"/>
        <v>August</v>
      </c>
      <c r="K1249" s="93" t="str">
        <f t="shared" si="79"/>
        <v>2024</v>
      </c>
      <c r="L1249" s="6"/>
      <c r="M1249" s="6"/>
      <c r="N1249" s="6"/>
    </row>
    <row r="1250" spans="1:14" x14ac:dyDescent="0.3">
      <c r="A1250" s="87">
        <v>45527</v>
      </c>
      <c r="B1250" s="87" t="str">
        <f t="shared" si="76"/>
        <v>Friday</v>
      </c>
      <c r="C1250" s="88" t="s">
        <v>1381</v>
      </c>
      <c r="D1250" s="88" t="s">
        <v>553</v>
      </c>
      <c r="E1250" s="89">
        <v>23.02</v>
      </c>
      <c r="F1250" s="88" t="s">
        <v>9</v>
      </c>
      <c r="G1250" s="87">
        <f>Table1[[#This Row],[date]]</f>
        <v>45527</v>
      </c>
      <c r="H1250" s="94">
        <f>SUMIF($A$2:A4885,G1250,$E$2:E4885)</f>
        <v>307.12</v>
      </c>
      <c r="I1250" s="93" t="str">
        <f t="shared" si="77"/>
        <v>Friday</v>
      </c>
      <c r="J1250" s="93" t="str">
        <f t="shared" si="78"/>
        <v>August</v>
      </c>
      <c r="K1250" s="93" t="str">
        <f t="shared" si="79"/>
        <v>2024</v>
      </c>
      <c r="L1250" s="6"/>
      <c r="M1250" s="6"/>
      <c r="N1250" s="6"/>
    </row>
    <row r="1251" spans="1:14" x14ac:dyDescent="0.3">
      <c r="A1251" s="92">
        <v>45527</v>
      </c>
      <c r="B1251" s="92" t="str">
        <f t="shared" si="76"/>
        <v>Friday</v>
      </c>
      <c r="C1251" s="93" t="s">
        <v>1381</v>
      </c>
      <c r="D1251" s="93" t="s">
        <v>554</v>
      </c>
      <c r="E1251" s="94">
        <v>23.02</v>
      </c>
      <c r="F1251" s="93" t="s">
        <v>9</v>
      </c>
      <c r="G1251" s="87">
        <f>Table1[[#This Row],[date]]</f>
        <v>45527</v>
      </c>
      <c r="H1251" s="94">
        <f>SUMIF($A$2:A4886,G1251,$E$2:E4886)</f>
        <v>307.12</v>
      </c>
      <c r="I1251" s="93" t="str">
        <f t="shared" si="77"/>
        <v>Friday</v>
      </c>
      <c r="J1251" s="93" t="str">
        <f t="shared" si="78"/>
        <v>August</v>
      </c>
      <c r="K1251" s="93" t="str">
        <f t="shared" si="79"/>
        <v>2024</v>
      </c>
      <c r="L1251" s="6"/>
      <c r="M1251" s="6"/>
      <c r="N1251" s="6"/>
    </row>
    <row r="1252" spans="1:14" x14ac:dyDescent="0.3">
      <c r="A1252" s="87">
        <v>45527</v>
      </c>
      <c r="B1252" s="87" t="str">
        <f t="shared" si="76"/>
        <v>Friday</v>
      </c>
      <c r="C1252" s="88" t="s">
        <v>1381</v>
      </c>
      <c r="D1252" s="88" t="s">
        <v>519</v>
      </c>
      <c r="E1252" s="89">
        <v>32.82</v>
      </c>
      <c r="F1252" s="88" t="s">
        <v>5</v>
      </c>
      <c r="G1252" s="87">
        <f>Table1[[#This Row],[date]]</f>
        <v>45527</v>
      </c>
      <c r="H1252" s="94">
        <f>SUMIF($A$2:A4887,G1252,$E$2:E4887)</f>
        <v>307.12</v>
      </c>
      <c r="I1252" s="93" t="str">
        <f t="shared" si="77"/>
        <v>Friday</v>
      </c>
      <c r="J1252" s="93" t="str">
        <f t="shared" si="78"/>
        <v>August</v>
      </c>
      <c r="K1252" s="93" t="str">
        <f t="shared" si="79"/>
        <v>2024</v>
      </c>
      <c r="L1252" s="6"/>
      <c r="M1252" s="6"/>
      <c r="N1252" s="6"/>
    </row>
    <row r="1253" spans="1:14" x14ac:dyDescent="0.3">
      <c r="A1253" s="92">
        <v>45528</v>
      </c>
      <c r="B1253" s="92" t="str">
        <f t="shared" si="76"/>
        <v>Saturday</v>
      </c>
      <c r="C1253" s="93" t="s">
        <v>1381</v>
      </c>
      <c r="D1253" s="93" t="s">
        <v>153</v>
      </c>
      <c r="E1253" s="94">
        <v>23.02</v>
      </c>
      <c r="F1253" s="93" t="s">
        <v>26</v>
      </c>
      <c r="G1253" s="87">
        <f>Table1[[#This Row],[date]]</f>
        <v>45528</v>
      </c>
      <c r="H1253" s="94">
        <f>SUMIF($A$2:A4888,G1253,$E$2:E4888)</f>
        <v>87.179999999999993</v>
      </c>
      <c r="I1253" s="93" t="str">
        <f t="shared" si="77"/>
        <v>Saturday</v>
      </c>
      <c r="J1253" s="93" t="str">
        <f t="shared" si="78"/>
        <v>August</v>
      </c>
      <c r="K1253" s="93" t="str">
        <f t="shared" si="79"/>
        <v>2024</v>
      </c>
      <c r="L1253" s="6"/>
      <c r="M1253" s="6"/>
      <c r="N1253" s="6"/>
    </row>
    <row r="1254" spans="1:14" x14ac:dyDescent="0.3">
      <c r="A1254" s="92">
        <v>45528</v>
      </c>
      <c r="B1254" s="92" t="str">
        <f t="shared" si="76"/>
        <v>Saturday</v>
      </c>
      <c r="C1254" s="93" t="s">
        <v>1381</v>
      </c>
      <c r="D1254" s="93" t="s">
        <v>555</v>
      </c>
      <c r="E1254" s="94">
        <v>23.02</v>
      </c>
      <c r="F1254" s="93" t="s">
        <v>26</v>
      </c>
      <c r="G1254" s="87">
        <f>Table1[[#This Row],[date]]</f>
        <v>45528</v>
      </c>
      <c r="H1254" s="94">
        <f>SUMIF($A$2:A4889,G1254,$E$2:E4889)</f>
        <v>87.179999999999993</v>
      </c>
      <c r="I1254" s="93" t="str">
        <f t="shared" si="77"/>
        <v>Saturday</v>
      </c>
      <c r="J1254" s="93" t="str">
        <f t="shared" si="78"/>
        <v>August</v>
      </c>
      <c r="K1254" s="93" t="str">
        <f t="shared" si="79"/>
        <v>2024</v>
      </c>
      <c r="L1254" s="6"/>
      <c r="M1254" s="6"/>
      <c r="N1254" s="6"/>
    </row>
    <row r="1255" spans="1:14" x14ac:dyDescent="0.3">
      <c r="A1255" s="87">
        <v>45528</v>
      </c>
      <c r="B1255" s="87" t="str">
        <f t="shared" si="76"/>
        <v>Saturday</v>
      </c>
      <c r="C1255" s="88" t="s">
        <v>1381</v>
      </c>
      <c r="D1255" s="88" t="s">
        <v>556</v>
      </c>
      <c r="E1255" s="89">
        <v>18.12</v>
      </c>
      <c r="F1255" s="88" t="s">
        <v>33</v>
      </c>
      <c r="G1255" s="87">
        <f>Table1[[#This Row],[date]]</f>
        <v>45528</v>
      </c>
      <c r="H1255" s="94">
        <f>SUMIF($A$2:A4890,G1255,$E$2:E4890)</f>
        <v>87.179999999999993</v>
      </c>
      <c r="I1255" s="93" t="str">
        <f t="shared" si="77"/>
        <v>Saturday</v>
      </c>
      <c r="J1255" s="93" t="str">
        <f t="shared" si="78"/>
        <v>August</v>
      </c>
      <c r="K1255" s="93" t="str">
        <f t="shared" si="79"/>
        <v>2024</v>
      </c>
      <c r="L1255" s="6"/>
      <c r="M1255" s="6"/>
      <c r="N1255" s="6"/>
    </row>
    <row r="1256" spans="1:14" x14ac:dyDescent="0.3">
      <c r="A1256" s="87">
        <v>45528</v>
      </c>
      <c r="B1256" s="87" t="str">
        <f t="shared" si="76"/>
        <v>Saturday</v>
      </c>
      <c r="C1256" s="88" t="s">
        <v>1381</v>
      </c>
      <c r="D1256" s="88" t="s">
        <v>556</v>
      </c>
      <c r="E1256" s="89">
        <v>23.02</v>
      </c>
      <c r="F1256" s="88" t="s">
        <v>9</v>
      </c>
      <c r="G1256" s="87">
        <f>Table1[[#This Row],[date]]</f>
        <v>45528</v>
      </c>
      <c r="H1256" s="94">
        <f>SUMIF($A$2:A4891,G1256,$E$2:E4891)</f>
        <v>87.179999999999993</v>
      </c>
      <c r="I1256" s="93" t="str">
        <f t="shared" si="77"/>
        <v>Saturday</v>
      </c>
      <c r="J1256" s="93" t="str">
        <f t="shared" si="78"/>
        <v>August</v>
      </c>
      <c r="K1256" s="93" t="str">
        <f t="shared" si="79"/>
        <v>2024</v>
      </c>
      <c r="L1256" s="6"/>
      <c r="M1256" s="6"/>
      <c r="N1256" s="6"/>
    </row>
    <row r="1257" spans="1:14" x14ac:dyDescent="0.3">
      <c r="A1257" s="92">
        <v>45529</v>
      </c>
      <c r="B1257" s="92" t="str">
        <f t="shared" si="76"/>
        <v>Sunday</v>
      </c>
      <c r="C1257" s="93" t="s">
        <v>1381</v>
      </c>
      <c r="D1257" s="93" t="s">
        <v>153</v>
      </c>
      <c r="E1257" s="94">
        <v>23.02</v>
      </c>
      <c r="F1257" s="93" t="s">
        <v>26</v>
      </c>
      <c r="G1257" s="87">
        <f>Table1[[#This Row],[date]]</f>
        <v>45529</v>
      </c>
      <c r="H1257" s="94">
        <f>SUMIF($A$2:A4892,G1257,$E$2:E4892)</f>
        <v>144.5</v>
      </c>
      <c r="I1257" s="93" t="str">
        <f t="shared" si="77"/>
        <v>Sunday</v>
      </c>
      <c r="J1257" s="93" t="str">
        <f t="shared" si="78"/>
        <v>August</v>
      </c>
      <c r="K1257" s="93" t="str">
        <f t="shared" si="79"/>
        <v>2024</v>
      </c>
      <c r="L1257" s="6"/>
      <c r="M1257" s="6"/>
      <c r="N1257" s="6"/>
    </row>
    <row r="1258" spans="1:14" x14ac:dyDescent="0.3">
      <c r="A1258" s="87">
        <v>45529</v>
      </c>
      <c r="B1258" s="87" t="str">
        <f t="shared" si="76"/>
        <v>Sunday</v>
      </c>
      <c r="C1258" s="88" t="s">
        <v>1381</v>
      </c>
      <c r="D1258" s="88" t="s">
        <v>420</v>
      </c>
      <c r="E1258" s="89">
        <v>23.02</v>
      </c>
      <c r="F1258" s="88" t="s">
        <v>9</v>
      </c>
      <c r="G1258" s="87">
        <f>Table1[[#This Row],[date]]</f>
        <v>45529</v>
      </c>
      <c r="H1258" s="94">
        <f>SUMIF($A$2:A4893,G1258,$E$2:E4893)</f>
        <v>144.5</v>
      </c>
      <c r="I1258" s="93" t="str">
        <f t="shared" si="77"/>
        <v>Sunday</v>
      </c>
      <c r="J1258" s="93" t="str">
        <f t="shared" si="78"/>
        <v>August</v>
      </c>
      <c r="K1258" s="93" t="str">
        <f t="shared" si="79"/>
        <v>2024</v>
      </c>
      <c r="L1258" s="6"/>
      <c r="M1258" s="6"/>
      <c r="N1258" s="6"/>
    </row>
    <row r="1259" spans="1:14" x14ac:dyDescent="0.3">
      <c r="A1259" s="87">
        <v>45529</v>
      </c>
      <c r="B1259" s="87" t="str">
        <f t="shared" si="76"/>
        <v>Sunday</v>
      </c>
      <c r="C1259" s="88" t="s">
        <v>1381</v>
      </c>
      <c r="D1259" s="88" t="s">
        <v>557</v>
      </c>
      <c r="E1259" s="89">
        <v>32.82</v>
      </c>
      <c r="F1259" s="88" t="s">
        <v>41</v>
      </c>
      <c r="G1259" s="87">
        <f>Table1[[#This Row],[date]]</f>
        <v>45529</v>
      </c>
      <c r="H1259" s="94">
        <f>SUMIF($A$2:A4894,G1259,$E$2:E4894)</f>
        <v>144.5</v>
      </c>
      <c r="I1259" s="93" t="str">
        <f t="shared" si="77"/>
        <v>Sunday</v>
      </c>
      <c r="J1259" s="93" t="str">
        <f t="shared" si="78"/>
        <v>August</v>
      </c>
      <c r="K1259" s="93" t="str">
        <f t="shared" si="79"/>
        <v>2024</v>
      </c>
      <c r="L1259" s="6"/>
      <c r="M1259" s="6"/>
      <c r="N1259" s="6"/>
    </row>
    <row r="1260" spans="1:14" x14ac:dyDescent="0.3">
      <c r="A1260" s="92">
        <v>45529</v>
      </c>
      <c r="B1260" s="92" t="str">
        <f t="shared" si="76"/>
        <v>Sunday</v>
      </c>
      <c r="C1260" s="93" t="s">
        <v>1381</v>
      </c>
      <c r="D1260" s="93" t="s">
        <v>558</v>
      </c>
      <c r="E1260" s="94">
        <v>32.82</v>
      </c>
      <c r="F1260" s="93" t="s">
        <v>41</v>
      </c>
      <c r="G1260" s="87">
        <f>Table1[[#This Row],[date]]</f>
        <v>45529</v>
      </c>
      <c r="H1260" s="94">
        <f>SUMIF($A$2:A4895,G1260,$E$2:E4895)</f>
        <v>144.5</v>
      </c>
      <c r="I1260" s="93" t="str">
        <f t="shared" si="77"/>
        <v>Sunday</v>
      </c>
      <c r="J1260" s="93" t="str">
        <f t="shared" si="78"/>
        <v>August</v>
      </c>
      <c r="K1260" s="93" t="str">
        <f t="shared" si="79"/>
        <v>2024</v>
      </c>
      <c r="L1260" s="6"/>
      <c r="M1260" s="6"/>
      <c r="N1260" s="6"/>
    </row>
    <row r="1261" spans="1:14" x14ac:dyDescent="0.3">
      <c r="A1261" s="87">
        <v>45529</v>
      </c>
      <c r="B1261" s="87" t="str">
        <f t="shared" si="76"/>
        <v>Sunday</v>
      </c>
      <c r="C1261" s="88" t="s">
        <v>1381</v>
      </c>
      <c r="D1261" s="88" t="s">
        <v>89</v>
      </c>
      <c r="E1261" s="89">
        <v>32.82</v>
      </c>
      <c r="F1261" s="88" t="s">
        <v>5</v>
      </c>
      <c r="G1261" s="87">
        <f>Table1[[#This Row],[date]]</f>
        <v>45529</v>
      </c>
      <c r="H1261" s="94">
        <f>SUMIF($A$2:A4896,G1261,$E$2:E4896)</f>
        <v>144.5</v>
      </c>
      <c r="I1261" s="93" t="str">
        <f t="shared" si="77"/>
        <v>Sunday</v>
      </c>
      <c r="J1261" s="93" t="str">
        <f t="shared" si="78"/>
        <v>August</v>
      </c>
      <c r="K1261" s="93" t="str">
        <f t="shared" si="79"/>
        <v>2024</v>
      </c>
      <c r="L1261" s="6"/>
      <c r="M1261" s="6"/>
      <c r="N1261" s="6"/>
    </row>
    <row r="1262" spans="1:14" x14ac:dyDescent="0.3">
      <c r="A1262" s="92">
        <v>45530</v>
      </c>
      <c r="B1262" s="92" t="str">
        <f t="shared" si="76"/>
        <v>Monday</v>
      </c>
      <c r="C1262" s="93" t="s">
        <v>1381</v>
      </c>
      <c r="D1262" s="93" t="s">
        <v>153</v>
      </c>
      <c r="E1262" s="94">
        <v>23.02</v>
      </c>
      <c r="F1262" s="93" t="s">
        <v>26</v>
      </c>
      <c r="G1262" s="87">
        <f>Table1[[#This Row],[date]]</f>
        <v>45530</v>
      </c>
      <c r="H1262" s="94">
        <f>SUMIF($A$2:A4897,G1262,$E$2:E4897)</f>
        <v>251.28000000000003</v>
      </c>
      <c r="I1262" s="93" t="str">
        <f t="shared" si="77"/>
        <v>Monday</v>
      </c>
      <c r="J1262" s="93" t="str">
        <f t="shared" si="78"/>
        <v>August</v>
      </c>
      <c r="K1262" s="93" t="str">
        <f t="shared" si="79"/>
        <v>2024</v>
      </c>
      <c r="L1262" s="6"/>
      <c r="M1262" s="6"/>
      <c r="N1262" s="6"/>
    </row>
    <row r="1263" spans="1:14" x14ac:dyDescent="0.3">
      <c r="A1263" s="87">
        <v>45530</v>
      </c>
      <c r="B1263" s="87" t="str">
        <f t="shared" si="76"/>
        <v>Monday</v>
      </c>
      <c r="C1263" s="88" t="s">
        <v>1381</v>
      </c>
      <c r="D1263" s="88" t="s">
        <v>420</v>
      </c>
      <c r="E1263" s="89">
        <v>23.02</v>
      </c>
      <c r="F1263" s="88" t="s">
        <v>9</v>
      </c>
      <c r="G1263" s="87">
        <f>Table1[[#This Row],[date]]</f>
        <v>45530</v>
      </c>
      <c r="H1263" s="94">
        <f>SUMIF($A$2:A4898,G1263,$E$2:E4898)</f>
        <v>251.28000000000003</v>
      </c>
      <c r="I1263" s="93" t="str">
        <f t="shared" si="77"/>
        <v>Monday</v>
      </c>
      <c r="J1263" s="93" t="str">
        <f t="shared" si="78"/>
        <v>August</v>
      </c>
      <c r="K1263" s="93" t="str">
        <f t="shared" si="79"/>
        <v>2024</v>
      </c>
      <c r="L1263" s="6"/>
      <c r="M1263" s="6"/>
      <c r="N1263" s="6"/>
    </row>
    <row r="1264" spans="1:14" x14ac:dyDescent="0.3">
      <c r="A1264" s="87">
        <v>45530</v>
      </c>
      <c r="B1264" s="87" t="str">
        <f t="shared" si="76"/>
        <v>Monday</v>
      </c>
      <c r="C1264" s="88" t="s">
        <v>1381</v>
      </c>
      <c r="D1264" s="88" t="s">
        <v>109</v>
      </c>
      <c r="E1264" s="89">
        <v>27.92</v>
      </c>
      <c r="F1264" s="88" t="s">
        <v>12</v>
      </c>
      <c r="G1264" s="87">
        <f>Table1[[#This Row],[date]]</f>
        <v>45530</v>
      </c>
      <c r="H1264" s="94">
        <f>SUMIF($A$2:A4899,G1264,$E$2:E4899)</f>
        <v>251.28000000000003</v>
      </c>
      <c r="I1264" s="93" t="str">
        <f t="shared" si="77"/>
        <v>Monday</v>
      </c>
      <c r="J1264" s="93" t="str">
        <f t="shared" si="78"/>
        <v>August</v>
      </c>
      <c r="K1264" s="93" t="str">
        <f t="shared" si="79"/>
        <v>2024</v>
      </c>
      <c r="L1264" s="6"/>
      <c r="M1264" s="6"/>
      <c r="N1264" s="6"/>
    </row>
    <row r="1265" spans="1:14" x14ac:dyDescent="0.3">
      <c r="A1265" s="92">
        <v>45530</v>
      </c>
      <c r="B1265" s="92" t="str">
        <f t="shared" si="76"/>
        <v>Monday</v>
      </c>
      <c r="C1265" s="93" t="s">
        <v>1381</v>
      </c>
      <c r="D1265" s="93" t="s">
        <v>559</v>
      </c>
      <c r="E1265" s="94">
        <v>32.82</v>
      </c>
      <c r="F1265" s="93" t="s">
        <v>5</v>
      </c>
      <c r="G1265" s="87">
        <f>Table1[[#This Row],[date]]</f>
        <v>45530</v>
      </c>
      <c r="H1265" s="94">
        <f>SUMIF($A$2:A4900,G1265,$E$2:E4900)</f>
        <v>251.28000000000003</v>
      </c>
      <c r="I1265" s="93" t="str">
        <f t="shared" si="77"/>
        <v>Monday</v>
      </c>
      <c r="J1265" s="93" t="str">
        <f t="shared" si="78"/>
        <v>August</v>
      </c>
      <c r="K1265" s="93" t="str">
        <f t="shared" si="79"/>
        <v>2024</v>
      </c>
      <c r="L1265" s="6"/>
      <c r="M1265" s="6"/>
      <c r="N1265" s="6"/>
    </row>
    <row r="1266" spans="1:14" x14ac:dyDescent="0.3">
      <c r="A1266" s="87">
        <v>45530</v>
      </c>
      <c r="B1266" s="87" t="str">
        <f t="shared" si="76"/>
        <v>Monday</v>
      </c>
      <c r="C1266" s="88" t="s">
        <v>1381</v>
      </c>
      <c r="D1266" s="88" t="s">
        <v>560</v>
      </c>
      <c r="E1266" s="89">
        <v>32.82</v>
      </c>
      <c r="F1266" s="88" t="s">
        <v>41</v>
      </c>
      <c r="G1266" s="87">
        <f>Table1[[#This Row],[date]]</f>
        <v>45530</v>
      </c>
      <c r="H1266" s="94">
        <f>SUMIF($A$2:A4901,G1266,$E$2:E4901)</f>
        <v>251.28000000000003</v>
      </c>
      <c r="I1266" s="93" t="str">
        <f t="shared" si="77"/>
        <v>Monday</v>
      </c>
      <c r="J1266" s="93" t="str">
        <f t="shared" si="78"/>
        <v>August</v>
      </c>
      <c r="K1266" s="93" t="str">
        <f t="shared" si="79"/>
        <v>2024</v>
      </c>
      <c r="L1266" s="6"/>
      <c r="M1266" s="6"/>
      <c r="N1266" s="6"/>
    </row>
    <row r="1267" spans="1:14" x14ac:dyDescent="0.3">
      <c r="A1267" s="92">
        <v>45530</v>
      </c>
      <c r="B1267" s="92" t="str">
        <f t="shared" si="76"/>
        <v>Monday</v>
      </c>
      <c r="C1267" s="93" t="s">
        <v>1381</v>
      </c>
      <c r="D1267" s="93" t="s">
        <v>8</v>
      </c>
      <c r="E1267" s="94">
        <v>23.02</v>
      </c>
      <c r="F1267" s="93" t="s">
        <v>9</v>
      </c>
      <c r="G1267" s="87">
        <f>Table1[[#This Row],[date]]</f>
        <v>45530</v>
      </c>
      <c r="H1267" s="94">
        <f>SUMIF($A$2:A4902,G1267,$E$2:E4902)</f>
        <v>251.28000000000003</v>
      </c>
      <c r="I1267" s="93" t="str">
        <f t="shared" si="77"/>
        <v>Monday</v>
      </c>
      <c r="J1267" s="93" t="str">
        <f t="shared" si="78"/>
        <v>August</v>
      </c>
      <c r="K1267" s="93" t="str">
        <f t="shared" si="79"/>
        <v>2024</v>
      </c>
      <c r="L1267" s="6"/>
      <c r="M1267" s="6"/>
      <c r="N1267" s="6"/>
    </row>
    <row r="1268" spans="1:14" x14ac:dyDescent="0.3">
      <c r="A1268" s="92">
        <v>45530</v>
      </c>
      <c r="B1268" s="92" t="str">
        <f t="shared" si="76"/>
        <v>Monday</v>
      </c>
      <c r="C1268" s="93" t="s">
        <v>1381</v>
      </c>
      <c r="D1268" s="93" t="s">
        <v>561</v>
      </c>
      <c r="E1268" s="94">
        <v>27.92</v>
      </c>
      <c r="F1268" s="93" t="s">
        <v>12</v>
      </c>
      <c r="G1268" s="87">
        <f>Table1[[#This Row],[date]]</f>
        <v>45530</v>
      </c>
      <c r="H1268" s="94">
        <f>SUMIF($A$2:A4903,G1268,$E$2:E4903)</f>
        <v>251.28000000000003</v>
      </c>
      <c r="I1268" s="93" t="str">
        <f t="shared" si="77"/>
        <v>Monday</v>
      </c>
      <c r="J1268" s="93" t="str">
        <f t="shared" si="78"/>
        <v>August</v>
      </c>
      <c r="K1268" s="93" t="str">
        <f t="shared" si="79"/>
        <v>2024</v>
      </c>
      <c r="L1268" s="6"/>
      <c r="M1268" s="6"/>
      <c r="N1268" s="6"/>
    </row>
    <row r="1269" spans="1:14" x14ac:dyDescent="0.3">
      <c r="A1269" s="87">
        <v>45530</v>
      </c>
      <c r="B1269" s="87" t="str">
        <f t="shared" si="76"/>
        <v>Monday</v>
      </c>
      <c r="C1269" s="88" t="s">
        <v>1381</v>
      </c>
      <c r="D1269" s="88" t="s">
        <v>561</v>
      </c>
      <c r="E1269" s="89">
        <v>32.82</v>
      </c>
      <c r="F1269" s="88" t="s">
        <v>5</v>
      </c>
      <c r="G1269" s="87">
        <f>Table1[[#This Row],[date]]</f>
        <v>45530</v>
      </c>
      <c r="H1269" s="94">
        <f>SUMIF($A$2:A4904,G1269,$E$2:E4904)</f>
        <v>251.28000000000003</v>
      </c>
      <c r="I1269" s="93" t="str">
        <f t="shared" si="77"/>
        <v>Monday</v>
      </c>
      <c r="J1269" s="93" t="str">
        <f t="shared" si="78"/>
        <v>August</v>
      </c>
      <c r="K1269" s="93" t="str">
        <f t="shared" si="79"/>
        <v>2024</v>
      </c>
      <c r="L1269" s="6"/>
      <c r="M1269" s="6"/>
      <c r="N1269" s="6"/>
    </row>
    <row r="1270" spans="1:14" x14ac:dyDescent="0.3">
      <c r="A1270" s="92">
        <v>45530</v>
      </c>
      <c r="B1270" s="92" t="str">
        <f t="shared" si="76"/>
        <v>Monday</v>
      </c>
      <c r="C1270" s="93" t="s">
        <v>1381</v>
      </c>
      <c r="D1270" s="93" t="s">
        <v>562</v>
      </c>
      <c r="E1270" s="94">
        <v>27.92</v>
      </c>
      <c r="F1270" s="93" t="s">
        <v>12</v>
      </c>
      <c r="G1270" s="87">
        <f>Table1[[#This Row],[date]]</f>
        <v>45530</v>
      </c>
      <c r="H1270" s="94">
        <f>SUMIF($A$2:A4905,G1270,$E$2:E4905)</f>
        <v>251.28000000000003</v>
      </c>
      <c r="I1270" s="93" t="str">
        <f t="shared" si="77"/>
        <v>Monday</v>
      </c>
      <c r="J1270" s="93" t="str">
        <f t="shared" si="78"/>
        <v>August</v>
      </c>
      <c r="K1270" s="93" t="str">
        <f t="shared" si="79"/>
        <v>2024</v>
      </c>
      <c r="L1270" s="6"/>
      <c r="M1270" s="6"/>
      <c r="N1270" s="6"/>
    </row>
    <row r="1271" spans="1:14" x14ac:dyDescent="0.3">
      <c r="A1271" s="87">
        <v>45531</v>
      </c>
      <c r="B1271" s="87" t="str">
        <f t="shared" si="76"/>
        <v>Tuesday</v>
      </c>
      <c r="C1271" s="88" t="s">
        <v>1381</v>
      </c>
      <c r="D1271" s="88" t="s">
        <v>387</v>
      </c>
      <c r="E1271" s="89">
        <v>32.82</v>
      </c>
      <c r="F1271" s="88" t="s">
        <v>5</v>
      </c>
      <c r="G1271" s="87">
        <f>Table1[[#This Row],[date]]</f>
        <v>45531</v>
      </c>
      <c r="H1271" s="94">
        <f>SUMIF($A$2:A4906,G1271,$E$2:E4906)</f>
        <v>32.82</v>
      </c>
      <c r="I1271" s="93" t="str">
        <f t="shared" si="77"/>
        <v>Tuesday</v>
      </c>
      <c r="J1271" s="93" t="str">
        <f t="shared" si="78"/>
        <v>August</v>
      </c>
      <c r="K1271" s="93" t="str">
        <f t="shared" si="79"/>
        <v>2024</v>
      </c>
      <c r="L1271" s="6"/>
      <c r="M1271" s="6"/>
      <c r="N1271" s="6"/>
    </row>
    <row r="1272" spans="1:14" x14ac:dyDescent="0.3">
      <c r="A1272" s="92">
        <v>45532</v>
      </c>
      <c r="B1272" s="92" t="str">
        <f t="shared" si="76"/>
        <v>Wednesday</v>
      </c>
      <c r="C1272" s="93" t="s">
        <v>1381</v>
      </c>
      <c r="D1272" s="93" t="s">
        <v>563</v>
      </c>
      <c r="E1272" s="94">
        <v>27.92</v>
      </c>
      <c r="F1272" s="93" t="s">
        <v>12</v>
      </c>
      <c r="G1272" s="87">
        <f>Table1[[#This Row],[date]]</f>
        <v>45532</v>
      </c>
      <c r="H1272" s="94">
        <f>SUMIF($A$2:A4907,G1272,$E$2:E4907)</f>
        <v>111.68</v>
      </c>
      <c r="I1272" s="93" t="str">
        <f t="shared" si="77"/>
        <v>Wednesday</v>
      </c>
      <c r="J1272" s="93" t="str">
        <f t="shared" si="78"/>
        <v>August</v>
      </c>
      <c r="K1272" s="93" t="str">
        <f t="shared" si="79"/>
        <v>2024</v>
      </c>
      <c r="L1272" s="6"/>
      <c r="M1272" s="6"/>
      <c r="N1272" s="6"/>
    </row>
    <row r="1273" spans="1:14" x14ac:dyDescent="0.3">
      <c r="A1273" s="87">
        <v>45532</v>
      </c>
      <c r="B1273" s="87" t="str">
        <f t="shared" si="76"/>
        <v>Wednesday</v>
      </c>
      <c r="C1273" s="88" t="s">
        <v>1381</v>
      </c>
      <c r="D1273" s="88" t="s">
        <v>563</v>
      </c>
      <c r="E1273" s="89">
        <v>32.82</v>
      </c>
      <c r="F1273" s="88" t="s">
        <v>41</v>
      </c>
      <c r="G1273" s="87">
        <f>Table1[[#This Row],[date]]</f>
        <v>45532</v>
      </c>
      <c r="H1273" s="94">
        <f>SUMIF($A$2:A4908,G1273,$E$2:E4908)</f>
        <v>111.68</v>
      </c>
      <c r="I1273" s="93" t="str">
        <f t="shared" si="77"/>
        <v>Wednesday</v>
      </c>
      <c r="J1273" s="93" t="str">
        <f t="shared" si="78"/>
        <v>August</v>
      </c>
      <c r="K1273" s="93" t="str">
        <f t="shared" si="79"/>
        <v>2024</v>
      </c>
      <c r="L1273" s="6"/>
      <c r="M1273" s="6"/>
      <c r="N1273" s="6"/>
    </row>
    <row r="1274" spans="1:14" x14ac:dyDescent="0.3">
      <c r="A1274" s="92">
        <v>45532</v>
      </c>
      <c r="B1274" s="92" t="str">
        <f t="shared" si="76"/>
        <v>Wednesday</v>
      </c>
      <c r="C1274" s="93" t="s">
        <v>1381</v>
      </c>
      <c r="D1274" s="93" t="s">
        <v>387</v>
      </c>
      <c r="E1274" s="94">
        <v>23.02</v>
      </c>
      <c r="F1274" s="93" t="s">
        <v>9</v>
      </c>
      <c r="G1274" s="87">
        <f>Table1[[#This Row],[date]]</f>
        <v>45532</v>
      </c>
      <c r="H1274" s="94">
        <f>SUMIF($A$2:A4909,G1274,$E$2:E4909)</f>
        <v>111.68</v>
      </c>
      <c r="I1274" s="93" t="str">
        <f t="shared" si="77"/>
        <v>Wednesday</v>
      </c>
      <c r="J1274" s="93" t="str">
        <f t="shared" si="78"/>
        <v>August</v>
      </c>
      <c r="K1274" s="93" t="str">
        <f t="shared" si="79"/>
        <v>2024</v>
      </c>
      <c r="L1274" s="6"/>
      <c r="M1274" s="6"/>
      <c r="N1274" s="6"/>
    </row>
    <row r="1275" spans="1:14" x14ac:dyDescent="0.3">
      <c r="A1275" s="87">
        <v>45532</v>
      </c>
      <c r="B1275" s="87" t="str">
        <f t="shared" si="76"/>
        <v>Wednesday</v>
      </c>
      <c r="C1275" s="88" t="s">
        <v>1381</v>
      </c>
      <c r="D1275" s="88" t="s">
        <v>564</v>
      </c>
      <c r="E1275" s="89">
        <v>27.92</v>
      </c>
      <c r="F1275" s="88" t="s">
        <v>12</v>
      </c>
      <c r="G1275" s="87">
        <f>Table1[[#This Row],[date]]</f>
        <v>45532</v>
      </c>
      <c r="H1275" s="94">
        <f>SUMIF($A$2:A4910,G1275,$E$2:E4910)</f>
        <v>111.68</v>
      </c>
      <c r="I1275" s="93" t="str">
        <f t="shared" si="77"/>
        <v>Wednesday</v>
      </c>
      <c r="J1275" s="93" t="str">
        <f t="shared" si="78"/>
        <v>August</v>
      </c>
      <c r="K1275" s="93" t="str">
        <f t="shared" si="79"/>
        <v>2024</v>
      </c>
      <c r="L1275" s="6"/>
      <c r="M1275" s="6"/>
      <c r="N1275" s="6"/>
    </row>
    <row r="1276" spans="1:14" x14ac:dyDescent="0.3">
      <c r="A1276" s="92">
        <v>45533</v>
      </c>
      <c r="B1276" s="92" t="str">
        <f t="shared" si="76"/>
        <v>Thursday</v>
      </c>
      <c r="C1276" s="93" t="s">
        <v>1381</v>
      </c>
      <c r="D1276" s="93" t="s">
        <v>565</v>
      </c>
      <c r="E1276" s="94">
        <v>23.02</v>
      </c>
      <c r="F1276" s="93" t="s">
        <v>9</v>
      </c>
      <c r="G1276" s="87">
        <f>Table1[[#This Row],[date]]</f>
        <v>45533</v>
      </c>
      <c r="H1276" s="94">
        <f>SUMIF($A$2:A4911,G1276,$E$2:E4911)</f>
        <v>23.02</v>
      </c>
      <c r="I1276" s="93" t="str">
        <f t="shared" si="77"/>
        <v>Thursday</v>
      </c>
      <c r="J1276" s="93" t="str">
        <f t="shared" si="78"/>
        <v>August</v>
      </c>
      <c r="K1276" s="93" t="str">
        <f t="shared" si="79"/>
        <v>2024</v>
      </c>
      <c r="L1276" s="6"/>
      <c r="M1276" s="6"/>
      <c r="N1276" s="6"/>
    </row>
    <row r="1277" spans="1:14" x14ac:dyDescent="0.3">
      <c r="A1277" s="87">
        <v>45534</v>
      </c>
      <c r="B1277" s="87" t="str">
        <f t="shared" si="76"/>
        <v>Friday</v>
      </c>
      <c r="C1277" s="88" t="s">
        <v>1381</v>
      </c>
      <c r="D1277" s="88" t="s">
        <v>566</v>
      </c>
      <c r="E1277" s="89">
        <v>32.82</v>
      </c>
      <c r="F1277" s="88" t="s">
        <v>5</v>
      </c>
      <c r="G1277" s="87">
        <f>Table1[[#This Row],[date]]</f>
        <v>45534</v>
      </c>
      <c r="H1277" s="94">
        <f>SUMIF($A$2:A4912,G1277,$E$2:E4912)</f>
        <v>60.74</v>
      </c>
      <c r="I1277" s="93" t="str">
        <f t="shared" si="77"/>
        <v>Friday</v>
      </c>
      <c r="J1277" s="93" t="str">
        <f t="shared" si="78"/>
        <v>August</v>
      </c>
      <c r="K1277" s="93" t="str">
        <f t="shared" si="79"/>
        <v>2024</v>
      </c>
      <c r="L1277" s="6"/>
      <c r="M1277" s="6"/>
      <c r="N1277" s="6"/>
    </row>
    <row r="1278" spans="1:14" x14ac:dyDescent="0.3">
      <c r="A1278" s="92">
        <v>45534</v>
      </c>
      <c r="B1278" s="92" t="str">
        <f t="shared" si="76"/>
        <v>Friday</v>
      </c>
      <c r="C1278" s="93" t="s">
        <v>1381</v>
      </c>
      <c r="D1278" s="93" t="s">
        <v>566</v>
      </c>
      <c r="E1278" s="94">
        <v>27.92</v>
      </c>
      <c r="F1278" s="93" t="s">
        <v>12</v>
      </c>
      <c r="G1278" s="87">
        <f>Table1[[#This Row],[date]]</f>
        <v>45534</v>
      </c>
      <c r="H1278" s="94">
        <f>SUMIF($A$2:A4913,G1278,$E$2:E4913)</f>
        <v>60.74</v>
      </c>
      <c r="I1278" s="93" t="str">
        <f t="shared" si="77"/>
        <v>Friday</v>
      </c>
      <c r="J1278" s="93" t="str">
        <f t="shared" si="78"/>
        <v>August</v>
      </c>
      <c r="K1278" s="93" t="str">
        <f t="shared" si="79"/>
        <v>2024</v>
      </c>
      <c r="L1278" s="6"/>
      <c r="M1278" s="6"/>
      <c r="N1278" s="6"/>
    </row>
    <row r="1279" spans="1:14" x14ac:dyDescent="0.3">
      <c r="A1279" s="92">
        <v>45535</v>
      </c>
      <c r="B1279" s="92" t="str">
        <f t="shared" si="76"/>
        <v>Saturday</v>
      </c>
      <c r="C1279" s="93" t="s">
        <v>1381</v>
      </c>
      <c r="D1279" s="93" t="s">
        <v>383</v>
      </c>
      <c r="E1279" s="94">
        <v>23.02</v>
      </c>
      <c r="F1279" s="93" t="s">
        <v>26</v>
      </c>
      <c r="G1279" s="87">
        <f>Table1[[#This Row],[date]]</f>
        <v>45535</v>
      </c>
      <c r="H1279" s="94">
        <f>SUMIF($A$2:A4914,G1279,$E$2:E4914)</f>
        <v>120</v>
      </c>
      <c r="I1279" s="93" t="str">
        <f t="shared" si="77"/>
        <v>Saturday</v>
      </c>
      <c r="J1279" s="93" t="str">
        <f t="shared" si="78"/>
        <v>August</v>
      </c>
      <c r="K1279" s="93" t="str">
        <f t="shared" si="79"/>
        <v>2024</v>
      </c>
      <c r="L1279" s="6"/>
      <c r="M1279" s="6"/>
      <c r="N1279" s="6"/>
    </row>
    <row r="1280" spans="1:14" x14ac:dyDescent="0.3">
      <c r="A1280" s="87">
        <v>45535</v>
      </c>
      <c r="B1280" s="87" t="str">
        <f t="shared" si="76"/>
        <v>Saturday</v>
      </c>
      <c r="C1280" s="88" t="s">
        <v>1381</v>
      </c>
      <c r="D1280" s="88" t="s">
        <v>567</v>
      </c>
      <c r="E1280" s="89">
        <v>27.92</v>
      </c>
      <c r="F1280" s="88" t="s">
        <v>12</v>
      </c>
      <c r="G1280" s="87">
        <f>Table1[[#This Row],[date]]</f>
        <v>45535</v>
      </c>
      <c r="H1280" s="94">
        <f>SUMIF($A$2:A4915,G1280,$E$2:E4915)</f>
        <v>120</v>
      </c>
      <c r="I1280" s="93" t="str">
        <f t="shared" si="77"/>
        <v>Saturday</v>
      </c>
      <c r="J1280" s="93" t="str">
        <f t="shared" si="78"/>
        <v>August</v>
      </c>
      <c r="K1280" s="93" t="str">
        <f t="shared" si="79"/>
        <v>2024</v>
      </c>
      <c r="L1280" s="6"/>
      <c r="M1280" s="6"/>
      <c r="N1280" s="6"/>
    </row>
    <row r="1281" spans="1:14" x14ac:dyDescent="0.3">
      <c r="A1281" s="92">
        <v>45535</v>
      </c>
      <c r="B1281" s="92" t="str">
        <f t="shared" si="76"/>
        <v>Saturday</v>
      </c>
      <c r="C1281" s="93" t="s">
        <v>1381</v>
      </c>
      <c r="D1281" s="93" t="s">
        <v>568</v>
      </c>
      <c r="E1281" s="94">
        <v>18.12</v>
      </c>
      <c r="F1281" s="93" t="s">
        <v>33</v>
      </c>
      <c r="G1281" s="87">
        <f>Table1[[#This Row],[date]]</f>
        <v>45535</v>
      </c>
      <c r="H1281" s="94">
        <f>SUMIF($A$2:A4916,G1281,$E$2:E4916)</f>
        <v>120</v>
      </c>
      <c r="I1281" s="93" t="str">
        <f t="shared" si="77"/>
        <v>Saturday</v>
      </c>
      <c r="J1281" s="93" t="str">
        <f t="shared" si="78"/>
        <v>August</v>
      </c>
      <c r="K1281" s="93" t="str">
        <f t="shared" si="79"/>
        <v>2024</v>
      </c>
      <c r="L1281" s="6"/>
      <c r="M1281" s="6"/>
      <c r="N1281" s="6"/>
    </row>
    <row r="1282" spans="1:14" x14ac:dyDescent="0.3">
      <c r="A1282" s="87">
        <v>45535</v>
      </c>
      <c r="B1282" s="87" t="str">
        <f t="shared" ref="B1282:B1345" si="80">TEXT(A1282,"dddd")</f>
        <v>Saturday</v>
      </c>
      <c r="C1282" s="88" t="s">
        <v>1381</v>
      </c>
      <c r="D1282" s="88" t="s">
        <v>569</v>
      </c>
      <c r="E1282" s="89">
        <v>27.92</v>
      </c>
      <c r="F1282" s="88" t="s">
        <v>12</v>
      </c>
      <c r="G1282" s="87">
        <f>Table1[[#This Row],[date]]</f>
        <v>45535</v>
      </c>
      <c r="H1282" s="94">
        <f>SUMIF($A$2:A4917,G1282,$E$2:E4917)</f>
        <v>120</v>
      </c>
      <c r="I1282" s="93" t="str">
        <f t="shared" si="77"/>
        <v>Saturday</v>
      </c>
      <c r="J1282" s="93" t="str">
        <f t="shared" si="78"/>
        <v>August</v>
      </c>
      <c r="K1282" s="93" t="str">
        <f t="shared" si="79"/>
        <v>2024</v>
      </c>
      <c r="L1282" s="6"/>
      <c r="M1282" s="6"/>
      <c r="N1282" s="6"/>
    </row>
    <row r="1283" spans="1:14" x14ac:dyDescent="0.3">
      <c r="A1283" s="92">
        <v>45535</v>
      </c>
      <c r="B1283" s="92" t="str">
        <f t="shared" si="80"/>
        <v>Saturday</v>
      </c>
      <c r="C1283" s="93" t="s">
        <v>1381</v>
      </c>
      <c r="D1283" s="93" t="s">
        <v>153</v>
      </c>
      <c r="E1283" s="94">
        <v>23.02</v>
      </c>
      <c r="F1283" s="93" t="s">
        <v>26</v>
      </c>
      <c r="G1283" s="87">
        <f>Table1[[#This Row],[date]]</f>
        <v>45535</v>
      </c>
      <c r="H1283" s="94">
        <f>SUMIF($A$2:A4918,G1283,$E$2:E4918)</f>
        <v>120</v>
      </c>
      <c r="I1283" s="93" t="str">
        <f t="shared" si="77"/>
        <v>Saturday</v>
      </c>
      <c r="J1283" s="93" t="str">
        <f t="shared" si="78"/>
        <v>August</v>
      </c>
      <c r="K1283" s="93" t="str">
        <f t="shared" si="79"/>
        <v>2024</v>
      </c>
      <c r="L1283" s="6"/>
      <c r="M1283" s="6"/>
      <c r="N1283" s="6"/>
    </row>
    <row r="1284" spans="1:14" x14ac:dyDescent="0.3">
      <c r="A1284" s="92">
        <v>45536</v>
      </c>
      <c r="B1284" s="92" t="str">
        <f t="shared" si="80"/>
        <v>Sunday</v>
      </c>
      <c r="C1284" s="93" t="s">
        <v>1381</v>
      </c>
      <c r="D1284" s="93" t="s">
        <v>153</v>
      </c>
      <c r="E1284" s="94">
        <v>23.02</v>
      </c>
      <c r="F1284" s="93" t="s">
        <v>26</v>
      </c>
      <c r="G1284" s="87">
        <f>Table1[[#This Row],[date]]</f>
        <v>45536</v>
      </c>
      <c r="H1284" s="94">
        <f>SUMIF($A$2:A4919,G1284,$E$2:E4919)</f>
        <v>293.89999999999998</v>
      </c>
      <c r="I1284" s="93" t="str">
        <f t="shared" si="77"/>
        <v>Sunday</v>
      </c>
      <c r="J1284" s="93" t="str">
        <f t="shared" si="78"/>
        <v>September</v>
      </c>
      <c r="K1284" s="93" t="str">
        <f t="shared" si="79"/>
        <v>2024</v>
      </c>
      <c r="L1284" s="6"/>
      <c r="M1284" s="6"/>
      <c r="N1284" s="6"/>
    </row>
    <row r="1285" spans="1:14" x14ac:dyDescent="0.3">
      <c r="A1285" s="87">
        <v>45536</v>
      </c>
      <c r="B1285" s="87" t="str">
        <f t="shared" si="80"/>
        <v>Sunday</v>
      </c>
      <c r="C1285" s="88" t="s">
        <v>1381</v>
      </c>
      <c r="D1285" s="88" t="s">
        <v>570</v>
      </c>
      <c r="E1285" s="89">
        <v>32.82</v>
      </c>
      <c r="F1285" s="88" t="s">
        <v>41</v>
      </c>
      <c r="G1285" s="87">
        <f>Table1[[#This Row],[date]]</f>
        <v>45536</v>
      </c>
      <c r="H1285" s="94">
        <f>SUMIF($A$2:A4920,G1285,$E$2:E4920)</f>
        <v>293.89999999999998</v>
      </c>
      <c r="I1285" s="93" t="str">
        <f t="shared" si="77"/>
        <v>Sunday</v>
      </c>
      <c r="J1285" s="93" t="str">
        <f t="shared" si="78"/>
        <v>September</v>
      </c>
      <c r="K1285" s="93" t="str">
        <f t="shared" si="79"/>
        <v>2024</v>
      </c>
      <c r="L1285" s="6"/>
      <c r="M1285" s="6"/>
      <c r="N1285" s="6"/>
    </row>
    <row r="1286" spans="1:14" x14ac:dyDescent="0.3">
      <c r="A1286" s="92">
        <v>45536</v>
      </c>
      <c r="B1286" s="92" t="str">
        <f t="shared" si="80"/>
        <v>Sunday</v>
      </c>
      <c r="C1286" s="93" t="s">
        <v>1381</v>
      </c>
      <c r="D1286" s="93" t="s">
        <v>193</v>
      </c>
      <c r="E1286" s="94">
        <v>27.92</v>
      </c>
      <c r="F1286" s="93" t="s">
        <v>12</v>
      </c>
      <c r="G1286" s="87">
        <f>Table1[[#This Row],[date]]</f>
        <v>45536</v>
      </c>
      <c r="H1286" s="94">
        <f>SUMIF($A$2:A4921,G1286,$E$2:E4921)</f>
        <v>293.89999999999998</v>
      </c>
      <c r="I1286" s="93" t="str">
        <f t="shared" ref="I1286:I1349" si="81">TEXT(G1286,"dddd")</f>
        <v>Sunday</v>
      </c>
      <c r="J1286" s="93" t="str">
        <f t="shared" si="78"/>
        <v>September</v>
      </c>
      <c r="K1286" s="93" t="str">
        <f t="shared" si="79"/>
        <v>2024</v>
      </c>
      <c r="L1286" s="6"/>
      <c r="M1286" s="6"/>
      <c r="N1286" s="6"/>
    </row>
    <row r="1287" spans="1:14" x14ac:dyDescent="0.3">
      <c r="A1287" s="87">
        <v>45536</v>
      </c>
      <c r="B1287" s="87" t="str">
        <f t="shared" si="80"/>
        <v>Sunday</v>
      </c>
      <c r="C1287" s="88" t="s">
        <v>1381</v>
      </c>
      <c r="D1287" s="88" t="s">
        <v>193</v>
      </c>
      <c r="E1287" s="89">
        <v>23.02</v>
      </c>
      <c r="F1287" s="88" t="s">
        <v>9</v>
      </c>
      <c r="G1287" s="87">
        <f>Table1[[#This Row],[date]]</f>
        <v>45536</v>
      </c>
      <c r="H1287" s="94">
        <f>SUMIF($A$2:A4922,G1287,$E$2:E4922)</f>
        <v>293.89999999999998</v>
      </c>
      <c r="I1287" s="93" t="str">
        <f t="shared" si="81"/>
        <v>Sunday</v>
      </c>
      <c r="J1287" s="93" t="str">
        <f t="shared" ref="J1287:J1350" si="82">TEXT(G1287,"mmmm")</f>
        <v>September</v>
      </c>
      <c r="K1287" s="93" t="str">
        <f t="shared" ref="K1287:K1350" si="83">TEXT(G1287,"yyyy")</f>
        <v>2024</v>
      </c>
      <c r="L1287" s="6"/>
      <c r="M1287" s="6"/>
      <c r="N1287" s="6"/>
    </row>
    <row r="1288" spans="1:14" x14ac:dyDescent="0.3">
      <c r="A1288" s="92">
        <v>45536</v>
      </c>
      <c r="B1288" s="92" t="str">
        <f t="shared" si="80"/>
        <v>Sunday</v>
      </c>
      <c r="C1288" s="93" t="s">
        <v>1381</v>
      </c>
      <c r="D1288" s="93" t="s">
        <v>571</v>
      </c>
      <c r="E1288" s="94">
        <v>27.92</v>
      </c>
      <c r="F1288" s="93" t="s">
        <v>12</v>
      </c>
      <c r="G1288" s="87">
        <f>Table1[[#This Row],[date]]</f>
        <v>45536</v>
      </c>
      <c r="H1288" s="94">
        <f>SUMIF($A$2:A4923,G1288,$E$2:E4923)</f>
        <v>293.89999999999998</v>
      </c>
      <c r="I1288" s="93" t="str">
        <f t="shared" si="81"/>
        <v>Sunday</v>
      </c>
      <c r="J1288" s="93" t="str">
        <f t="shared" si="82"/>
        <v>September</v>
      </c>
      <c r="K1288" s="93" t="str">
        <f t="shared" si="83"/>
        <v>2024</v>
      </c>
      <c r="L1288" s="6"/>
      <c r="M1288" s="6"/>
      <c r="N1288" s="6"/>
    </row>
    <row r="1289" spans="1:14" x14ac:dyDescent="0.3">
      <c r="A1289" s="87">
        <v>45536</v>
      </c>
      <c r="B1289" s="87" t="str">
        <f t="shared" si="80"/>
        <v>Sunday</v>
      </c>
      <c r="C1289" s="88" t="s">
        <v>1381</v>
      </c>
      <c r="D1289" s="88" t="s">
        <v>572</v>
      </c>
      <c r="E1289" s="89">
        <v>32.82</v>
      </c>
      <c r="F1289" s="88" t="s">
        <v>5</v>
      </c>
      <c r="G1289" s="87">
        <f>Table1[[#This Row],[date]]</f>
        <v>45536</v>
      </c>
      <c r="H1289" s="94">
        <f>SUMIF($A$2:A4924,G1289,$E$2:E4924)</f>
        <v>293.89999999999998</v>
      </c>
      <c r="I1289" s="93" t="str">
        <f t="shared" si="81"/>
        <v>Sunday</v>
      </c>
      <c r="J1289" s="93" t="str">
        <f t="shared" si="82"/>
        <v>September</v>
      </c>
      <c r="K1289" s="93" t="str">
        <f t="shared" si="83"/>
        <v>2024</v>
      </c>
      <c r="L1289" s="6"/>
      <c r="M1289" s="6"/>
      <c r="N1289" s="6"/>
    </row>
    <row r="1290" spans="1:14" x14ac:dyDescent="0.3">
      <c r="A1290" s="92">
        <v>45536</v>
      </c>
      <c r="B1290" s="92" t="str">
        <f t="shared" si="80"/>
        <v>Sunday</v>
      </c>
      <c r="C1290" s="93" t="s">
        <v>1381</v>
      </c>
      <c r="D1290" s="93" t="s">
        <v>397</v>
      </c>
      <c r="E1290" s="94">
        <v>27.92</v>
      </c>
      <c r="F1290" s="93" t="s">
        <v>12</v>
      </c>
      <c r="G1290" s="87">
        <f>Table1[[#This Row],[date]]</f>
        <v>45536</v>
      </c>
      <c r="H1290" s="94">
        <f>SUMIF($A$2:A4925,G1290,$E$2:E4925)</f>
        <v>293.89999999999998</v>
      </c>
      <c r="I1290" s="93" t="str">
        <f t="shared" si="81"/>
        <v>Sunday</v>
      </c>
      <c r="J1290" s="93" t="str">
        <f t="shared" si="82"/>
        <v>September</v>
      </c>
      <c r="K1290" s="93" t="str">
        <f t="shared" si="83"/>
        <v>2024</v>
      </c>
      <c r="L1290" s="6"/>
      <c r="M1290" s="6"/>
      <c r="N1290" s="6"/>
    </row>
    <row r="1291" spans="1:14" x14ac:dyDescent="0.3">
      <c r="A1291" s="87">
        <v>45536</v>
      </c>
      <c r="B1291" s="87" t="str">
        <f t="shared" si="80"/>
        <v>Sunday</v>
      </c>
      <c r="C1291" s="88" t="s">
        <v>1381</v>
      </c>
      <c r="D1291" s="88" t="s">
        <v>573</v>
      </c>
      <c r="E1291" s="89">
        <v>32.82</v>
      </c>
      <c r="F1291" s="88" t="s">
        <v>5</v>
      </c>
      <c r="G1291" s="87">
        <f>Table1[[#This Row],[date]]</f>
        <v>45536</v>
      </c>
      <c r="H1291" s="94">
        <f>SUMIF($A$2:A4926,G1291,$E$2:E4926)</f>
        <v>293.89999999999998</v>
      </c>
      <c r="I1291" s="93" t="str">
        <f t="shared" si="81"/>
        <v>Sunday</v>
      </c>
      <c r="J1291" s="93" t="str">
        <f t="shared" si="82"/>
        <v>September</v>
      </c>
      <c r="K1291" s="93" t="str">
        <f t="shared" si="83"/>
        <v>2024</v>
      </c>
      <c r="L1291" s="6"/>
      <c r="M1291" s="6"/>
      <c r="N1291" s="6"/>
    </row>
    <row r="1292" spans="1:14" x14ac:dyDescent="0.3">
      <c r="A1292" s="92">
        <v>45536</v>
      </c>
      <c r="B1292" s="92" t="str">
        <f t="shared" si="80"/>
        <v>Sunday</v>
      </c>
      <c r="C1292" s="93" t="s">
        <v>1381</v>
      </c>
      <c r="D1292" s="93" t="s">
        <v>574</v>
      </c>
      <c r="E1292" s="94">
        <v>32.82</v>
      </c>
      <c r="F1292" s="93" t="s">
        <v>5</v>
      </c>
      <c r="G1292" s="87">
        <f>Table1[[#This Row],[date]]</f>
        <v>45536</v>
      </c>
      <c r="H1292" s="94">
        <f>SUMIF($A$2:A4927,G1292,$E$2:E4927)</f>
        <v>293.89999999999998</v>
      </c>
      <c r="I1292" s="93" t="str">
        <f t="shared" si="81"/>
        <v>Sunday</v>
      </c>
      <c r="J1292" s="93" t="str">
        <f t="shared" si="82"/>
        <v>September</v>
      </c>
      <c r="K1292" s="93" t="str">
        <f t="shared" si="83"/>
        <v>2024</v>
      </c>
      <c r="L1292" s="6"/>
      <c r="M1292" s="6"/>
      <c r="N1292" s="6"/>
    </row>
    <row r="1293" spans="1:14" x14ac:dyDescent="0.3">
      <c r="A1293" s="87">
        <v>45536</v>
      </c>
      <c r="B1293" s="87" t="str">
        <f t="shared" si="80"/>
        <v>Sunday</v>
      </c>
      <c r="C1293" s="88" t="s">
        <v>1381</v>
      </c>
      <c r="D1293" s="88" t="s">
        <v>575</v>
      </c>
      <c r="E1293" s="89">
        <v>32.82</v>
      </c>
      <c r="F1293" s="88" t="s">
        <v>5</v>
      </c>
      <c r="G1293" s="87">
        <f>Table1[[#This Row],[date]]</f>
        <v>45536</v>
      </c>
      <c r="H1293" s="94">
        <f>SUMIF($A$2:A4928,G1293,$E$2:E4928)</f>
        <v>293.89999999999998</v>
      </c>
      <c r="I1293" s="93" t="str">
        <f t="shared" si="81"/>
        <v>Sunday</v>
      </c>
      <c r="J1293" s="93" t="str">
        <f t="shared" si="82"/>
        <v>September</v>
      </c>
      <c r="K1293" s="93" t="str">
        <f t="shared" si="83"/>
        <v>2024</v>
      </c>
      <c r="L1293" s="6"/>
      <c r="M1293" s="6"/>
      <c r="N1293" s="6"/>
    </row>
    <row r="1294" spans="1:14" x14ac:dyDescent="0.3">
      <c r="A1294" s="92">
        <v>45537</v>
      </c>
      <c r="B1294" s="92" t="str">
        <f t="shared" si="80"/>
        <v>Monday</v>
      </c>
      <c r="C1294" s="93" t="s">
        <v>1381</v>
      </c>
      <c r="D1294" s="93" t="s">
        <v>437</v>
      </c>
      <c r="E1294" s="94">
        <v>32.82</v>
      </c>
      <c r="F1294" s="93" t="s">
        <v>5</v>
      </c>
      <c r="G1294" s="87">
        <f>Table1[[#This Row],[date]]</f>
        <v>45537</v>
      </c>
      <c r="H1294" s="94">
        <f>SUMIF($A$2:A4929,G1294,$E$2:E4929)</f>
        <v>210.14000000000001</v>
      </c>
      <c r="I1294" s="93" t="str">
        <f t="shared" si="81"/>
        <v>Monday</v>
      </c>
      <c r="J1294" s="93" t="str">
        <f t="shared" si="82"/>
        <v>September</v>
      </c>
      <c r="K1294" s="93" t="str">
        <f t="shared" si="83"/>
        <v>2024</v>
      </c>
      <c r="L1294" s="6"/>
      <c r="M1294" s="6"/>
      <c r="N1294" s="6"/>
    </row>
    <row r="1295" spans="1:14" x14ac:dyDescent="0.3">
      <c r="A1295" s="87">
        <v>45537</v>
      </c>
      <c r="B1295" s="87" t="str">
        <f t="shared" si="80"/>
        <v>Monday</v>
      </c>
      <c r="C1295" s="88" t="s">
        <v>1381</v>
      </c>
      <c r="D1295" s="88" t="s">
        <v>576</v>
      </c>
      <c r="E1295" s="89">
        <v>27.92</v>
      </c>
      <c r="F1295" s="88" t="s">
        <v>12</v>
      </c>
      <c r="G1295" s="87">
        <f>Table1[[#This Row],[date]]</f>
        <v>45537</v>
      </c>
      <c r="H1295" s="94">
        <f>SUMIF($A$2:A4930,G1295,$E$2:E4930)</f>
        <v>210.14000000000001</v>
      </c>
      <c r="I1295" s="93" t="str">
        <f t="shared" si="81"/>
        <v>Monday</v>
      </c>
      <c r="J1295" s="93" t="str">
        <f t="shared" si="82"/>
        <v>September</v>
      </c>
      <c r="K1295" s="93" t="str">
        <f t="shared" si="83"/>
        <v>2024</v>
      </c>
      <c r="L1295" s="6"/>
      <c r="M1295" s="6"/>
      <c r="N1295" s="6"/>
    </row>
    <row r="1296" spans="1:14" x14ac:dyDescent="0.3">
      <c r="A1296" s="92">
        <v>45537</v>
      </c>
      <c r="B1296" s="92" t="str">
        <f t="shared" si="80"/>
        <v>Monday</v>
      </c>
      <c r="C1296" s="93" t="s">
        <v>1381</v>
      </c>
      <c r="D1296" s="93" t="s">
        <v>577</v>
      </c>
      <c r="E1296" s="94">
        <v>32.82</v>
      </c>
      <c r="F1296" s="93" t="s">
        <v>5</v>
      </c>
      <c r="G1296" s="87">
        <f>Table1[[#This Row],[date]]</f>
        <v>45537</v>
      </c>
      <c r="H1296" s="94">
        <f>SUMIF($A$2:A4931,G1296,$E$2:E4931)</f>
        <v>210.14000000000001</v>
      </c>
      <c r="I1296" s="93" t="str">
        <f t="shared" si="81"/>
        <v>Monday</v>
      </c>
      <c r="J1296" s="93" t="str">
        <f t="shared" si="82"/>
        <v>September</v>
      </c>
      <c r="K1296" s="93" t="str">
        <f t="shared" si="83"/>
        <v>2024</v>
      </c>
      <c r="L1296" s="6"/>
      <c r="M1296" s="6"/>
      <c r="N1296" s="6"/>
    </row>
    <row r="1297" spans="1:14" x14ac:dyDescent="0.3">
      <c r="A1297" s="87">
        <v>45537</v>
      </c>
      <c r="B1297" s="87" t="str">
        <f t="shared" si="80"/>
        <v>Monday</v>
      </c>
      <c r="C1297" s="88" t="s">
        <v>1381</v>
      </c>
      <c r="D1297" s="88" t="s">
        <v>578</v>
      </c>
      <c r="E1297" s="89">
        <v>27.92</v>
      </c>
      <c r="F1297" s="88" t="s">
        <v>12</v>
      </c>
      <c r="G1297" s="87">
        <f>Table1[[#This Row],[date]]</f>
        <v>45537</v>
      </c>
      <c r="H1297" s="94">
        <f>SUMIF($A$2:A4932,G1297,$E$2:E4932)</f>
        <v>210.14000000000001</v>
      </c>
      <c r="I1297" s="93" t="str">
        <f t="shared" si="81"/>
        <v>Monday</v>
      </c>
      <c r="J1297" s="93" t="str">
        <f t="shared" si="82"/>
        <v>September</v>
      </c>
      <c r="K1297" s="93" t="str">
        <f t="shared" si="83"/>
        <v>2024</v>
      </c>
      <c r="L1297" s="6"/>
      <c r="M1297" s="6"/>
      <c r="N1297" s="6"/>
    </row>
    <row r="1298" spans="1:14" x14ac:dyDescent="0.3">
      <c r="A1298" s="92">
        <v>45537</v>
      </c>
      <c r="B1298" s="92" t="str">
        <f t="shared" si="80"/>
        <v>Monday</v>
      </c>
      <c r="C1298" s="93" t="s">
        <v>1381</v>
      </c>
      <c r="D1298" s="93" t="s">
        <v>579</v>
      </c>
      <c r="E1298" s="94">
        <v>32.82</v>
      </c>
      <c r="F1298" s="93" t="s">
        <v>41</v>
      </c>
      <c r="G1298" s="87">
        <f>Table1[[#This Row],[date]]</f>
        <v>45537</v>
      </c>
      <c r="H1298" s="94">
        <f>SUMIF($A$2:A4933,G1298,$E$2:E4933)</f>
        <v>210.14000000000001</v>
      </c>
      <c r="I1298" s="93" t="str">
        <f t="shared" si="81"/>
        <v>Monday</v>
      </c>
      <c r="J1298" s="93" t="str">
        <f t="shared" si="82"/>
        <v>September</v>
      </c>
      <c r="K1298" s="93" t="str">
        <f t="shared" si="83"/>
        <v>2024</v>
      </c>
      <c r="L1298" s="6"/>
      <c r="M1298" s="6"/>
      <c r="N1298" s="6"/>
    </row>
    <row r="1299" spans="1:14" x14ac:dyDescent="0.3">
      <c r="A1299" s="87">
        <v>45537</v>
      </c>
      <c r="B1299" s="87" t="str">
        <f t="shared" si="80"/>
        <v>Monday</v>
      </c>
      <c r="C1299" s="88" t="s">
        <v>1381</v>
      </c>
      <c r="D1299" s="88" t="s">
        <v>191</v>
      </c>
      <c r="E1299" s="89">
        <v>32.82</v>
      </c>
      <c r="F1299" s="88" t="s">
        <v>16</v>
      </c>
      <c r="G1299" s="87">
        <f>Table1[[#This Row],[date]]</f>
        <v>45537</v>
      </c>
      <c r="H1299" s="94">
        <f>SUMIF($A$2:A4934,G1299,$E$2:E4934)</f>
        <v>210.14000000000001</v>
      </c>
      <c r="I1299" s="93" t="str">
        <f t="shared" si="81"/>
        <v>Monday</v>
      </c>
      <c r="J1299" s="93" t="str">
        <f t="shared" si="82"/>
        <v>September</v>
      </c>
      <c r="K1299" s="93" t="str">
        <f t="shared" si="83"/>
        <v>2024</v>
      </c>
      <c r="L1299" s="6"/>
      <c r="M1299" s="6"/>
      <c r="N1299" s="6"/>
    </row>
    <row r="1300" spans="1:14" x14ac:dyDescent="0.3">
      <c r="A1300" s="92">
        <v>45537</v>
      </c>
      <c r="B1300" s="92" t="str">
        <f t="shared" si="80"/>
        <v>Monday</v>
      </c>
      <c r="C1300" s="93" t="s">
        <v>1381</v>
      </c>
      <c r="D1300" s="93" t="s">
        <v>580</v>
      </c>
      <c r="E1300" s="94">
        <v>23.02</v>
      </c>
      <c r="F1300" s="93" t="s">
        <v>9</v>
      </c>
      <c r="G1300" s="87">
        <f>Table1[[#This Row],[date]]</f>
        <v>45537</v>
      </c>
      <c r="H1300" s="94">
        <f>SUMIF($A$2:A4935,G1300,$E$2:E4935)</f>
        <v>210.14000000000001</v>
      </c>
      <c r="I1300" s="93" t="str">
        <f t="shared" si="81"/>
        <v>Monday</v>
      </c>
      <c r="J1300" s="93" t="str">
        <f t="shared" si="82"/>
        <v>September</v>
      </c>
      <c r="K1300" s="93" t="str">
        <f t="shared" si="83"/>
        <v>2024</v>
      </c>
      <c r="L1300" s="6"/>
      <c r="M1300" s="6"/>
      <c r="N1300" s="6"/>
    </row>
    <row r="1301" spans="1:14" x14ac:dyDescent="0.3">
      <c r="A1301" s="92">
        <v>45538</v>
      </c>
      <c r="B1301" s="92" t="str">
        <f t="shared" si="80"/>
        <v>Tuesday</v>
      </c>
      <c r="C1301" s="93" t="s">
        <v>1381</v>
      </c>
      <c r="D1301" s="93" t="s">
        <v>581</v>
      </c>
      <c r="E1301" s="94">
        <v>32.82</v>
      </c>
      <c r="F1301" s="93" t="s">
        <v>16</v>
      </c>
      <c r="G1301" s="87">
        <f>Table1[[#This Row],[date]]</f>
        <v>45538</v>
      </c>
      <c r="H1301" s="94">
        <f>SUMIF($A$2:A4936,G1301,$E$2:E4936)</f>
        <v>425.18</v>
      </c>
      <c r="I1301" s="93" t="str">
        <f t="shared" si="81"/>
        <v>Tuesday</v>
      </c>
      <c r="J1301" s="93" t="str">
        <f t="shared" si="82"/>
        <v>September</v>
      </c>
      <c r="K1301" s="93" t="str">
        <f t="shared" si="83"/>
        <v>2024</v>
      </c>
      <c r="L1301" s="6"/>
      <c r="M1301" s="6"/>
      <c r="N1301" s="6"/>
    </row>
    <row r="1302" spans="1:14" x14ac:dyDescent="0.3">
      <c r="A1302" s="87">
        <v>45538</v>
      </c>
      <c r="B1302" s="87" t="str">
        <f t="shared" si="80"/>
        <v>Tuesday</v>
      </c>
      <c r="C1302" s="88" t="s">
        <v>1381</v>
      </c>
      <c r="D1302" s="88" t="s">
        <v>180</v>
      </c>
      <c r="E1302" s="89">
        <v>32.82</v>
      </c>
      <c r="F1302" s="88" t="s">
        <v>41</v>
      </c>
      <c r="G1302" s="87">
        <f>Table1[[#This Row],[date]]</f>
        <v>45538</v>
      </c>
      <c r="H1302" s="94">
        <f>SUMIF($A$2:A4937,G1302,$E$2:E4937)</f>
        <v>425.18</v>
      </c>
      <c r="I1302" s="93" t="str">
        <f t="shared" si="81"/>
        <v>Tuesday</v>
      </c>
      <c r="J1302" s="93" t="str">
        <f t="shared" si="82"/>
        <v>September</v>
      </c>
      <c r="K1302" s="93" t="str">
        <f t="shared" si="83"/>
        <v>2024</v>
      </c>
      <c r="L1302" s="6"/>
      <c r="M1302" s="6"/>
      <c r="N1302" s="6"/>
    </row>
    <row r="1303" spans="1:14" x14ac:dyDescent="0.3">
      <c r="A1303" s="92">
        <v>45538</v>
      </c>
      <c r="B1303" s="92" t="str">
        <f t="shared" si="80"/>
        <v>Tuesday</v>
      </c>
      <c r="C1303" s="93" t="s">
        <v>1381</v>
      </c>
      <c r="D1303" s="93" t="s">
        <v>582</v>
      </c>
      <c r="E1303" s="94">
        <v>32.82</v>
      </c>
      <c r="F1303" s="93" t="s">
        <v>5</v>
      </c>
      <c r="G1303" s="87">
        <f>Table1[[#This Row],[date]]</f>
        <v>45538</v>
      </c>
      <c r="H1303" s="94">
        <f>SUMIF($A$2:A4938,G1303,$E$2:E4938)</f>
        <v>425.18</v>
      </c>
      <c r="I1303" s="93" t="str">
        <f t="shared" si="81"/>
        <v>Tuesday</v>
      </c>
      <c r="J1303" s="93" t="str">
        <f t="shared" si="82"/>
        <v>September</v>
      </c>
      <c r="K1303" s="93" t="str">
        <f t="shared" si="83"/>
        <v>2024</v>
      </c>
      <c r="L1303" s="6"/>
      <c r="M1303" s="6"/>
      <c r="N1303" s="6"/>
    </row>
    <row r="1304" spans="1:14" x14ac:dyDescent="0.3">
      <c r="A1304" s="87">
        <v>45538</v>
      </c>
      <c r="B1304" s="87" t="str">
        <f t="shared" si="80"/>
        <v>Tuesday</v>
      </c>
      <c r="C1304" s="88" t="s">
        <v>1381</v>
      </c>
      <c r="D1304" s="88" t="s">
        <v>583</v>
      </c>
      <c r="E1304" s="89">
        <v>27.92</v>
      </c>
      <c r="F1304" s="88" t="s">
        <v>12</v>
      </c>
      <c r="G1304" s="87">
        <f>Table1[[#This Row],[date]]</f>
        <v>45538</v>
      </c>
      <c r="H1304" s="94">
        <f>SUMIF($A$2:A4939,G1304,$E$2:E4939)</f>
        <v>425.18</v>
      </c>
      <c r="I1304" s="93" t="str">
        <f t="shared" si="81"/>
        <v>Tuesday</v>
      </c>
      <c r="J1304" s="93" t="str">
        <f t="shared" si="82"/>
        <v>September</v>
      </c>
      <c r="K1304" s="93" t="str">
        <f t="shared" si="83"/>
        <v>2024</v>
      </c>
      <c r="L1304" s="6"/>
      <c r="M1304" s="6"/>
      <c r="N1304" s="6"/>
    </row>
    <row r="1305" spans="1:14" x14ac:dyDescent="0.3">
      <c r="A1305" s="92">
        <v>45538</v>
      </c>
      <c r="B1305" s="92" t="str">
        <f t="shared" si="80"/>
        <v>Tuesday</v>
      </c>
      <c r="C1305" s="93" t="s">
        <v>1381</v>
      </c>
      <c r="D1305" s="93" t="s">
        <v>583</v>
      </c>
      <c r="E1305" s="94">
        <v>32.82</v>
      </c>
      <c r="F1305" s="93" t="s">
        <v>41</v>
      </c>
      <c r="G1305" s="87">
        <f>Table1[[#This Row],[date]]</f>
        <v>45538</v>
      </c>
      <c r="H1305" s="94">
        <f>SUMIF($A$2:A4940,G1305,$E$2:E4940)</f>
        <v>425.18</v>
      </c>
      <c r="I1305" s="93" t="str">
        <f t="shared" si="81"/>
        <v>Tuesday</v>
      </c>
      <c r="J1305" s="93" t="str">
        <f t="shared" si="82"/>
        <v>September</v>
      </c>
      <c r="K1305" s="93" t="str">
        <f t="shared" si="83"/>
        <v>2024</v>
      </c>
      <c r="L1305" s="6"/>
      <c r="M1305" s="6"/>
      <c r="N1305" s="6"/>
    </row>
    <row r="1306" spans="1:14" x14ac:dyDescent="0.3">
      <c r="A1306" s="87">
        <v>45538</v>
      </c>
      <c r="B1306" s="87" t="str">
        <f t="shared" si="80"/>
        <v>Tuesday</v>
      </c>
      <c r="C1306" s="88" t="s">
        <v>1381</v>
      </c>
      <c r="D1306" s="88" t="s">
        <v>584</v>
      </c>
      <c r="E1306" s="89">
        <v>32.82</v>
      </c>
      <c r="F1306" s="88" t="s">
        <v>16</v>
      </c>
      <c r="G1306" s="87">
        <f>Table1[[#This Row],[date]]</f>
        <v>45538</v>
      </c>
      <c r="H1306" s="94">
        <f>SUMIF($A$2:A4941,G1306,$E$2:E4941)</f>
        <v>425.18</v>
      </c>
      <c r="I1306" s="93" t="str">
        <f t="shared" si="81"/>
        <v>Tuesday</v>
      </c>
      <c r="J1306" s="93" t="str">
        <f t="shared" si="82"/>
        <v>September</v>
      </c>
      <c r="K1306" s="93" t="str">
        <f t="shared" si="83"/>
        <v>2024</v>
      </c>
      <c r="L1306" s="6"/>
      <c r="M1306" s="6"/>
      <c r="N1306" s="6"/>
    </row>
    <row r="1307" spans="1:14" x14ac:dyDescent="0.3">
      <c r="A1307" s="87">
        <v>45538</v>
      </c>
      <c r="B1307" s="87" t="str">
        <f t="shared" si="80"/>
        <v>Tuesday</v>
      </c>
      <c r="C1307" s="88" t="s">
        <v>1381</v>
      </c>
      <c r="D1307" s="88" t="s">
        <v>397</v>
      </c>
      <c r="E1307" s="89">
        <v>27.92</v>
      </c>
      <c r="F1307" s="88" t="s">
        <v>12</v>
      </c>
      <c r="G1307" s="87">
        <f>Table1[[#This Row],[date]]</f>
        <v>45538</v>
      </c>
      <c r="H1307" s="94">
        <f>SUMIF($A$2:A4942,G1307,$E$2:E4942)</f>
        <v>425.18</v>
      </c>
      <c r="I1307" s="93" t="str">
        <f t="shared" si="81"/>
        <v>Tuesday</v>
      </c>
      <c r="J1307" s="93" t="str">
        <f t="shared" si="82"/>
        <v>September</v>
      </c>
      <c r="K1307" s="93" t="str">
        <f t="shared" si="83"/>
        <v>2024</v>
      </c>
      <c r="L1307" s="6"/>
      <c r="M1307" s="6"/>
      <c r="N1307" s="6"/>
    </row>
    <row r="1308" spans="1:14" x14ac:dyDescent="0.3">
      <c r="A1308" s="92">
        <v>45538</v>
      </c>
      <c r="B1308" s="92" t="str">
        <f t="shared" si="80"/>
        <v>Tuesday</v>
      </c>
      <c r="C1308" s="93" t="s">
        <v>1381</v>
      </c>
      <c r="D1308" s="93" t="s">
        <v>585</v>
      </c>
      <c r="E1308" s="94">
        <v>27.92</v>
      </c>
      <c r="F1308" s="93" t="s">
        <v>12</v>
      </c>
      <c r="G1308" s="87">
        <f>Table1[[#This Row],[date]]</f>
        <v>45538</v>
      </c>
      <c r="H1308" s="94">
        <f>SUMIF($A$2:A4943,G1308,$E$2:E4943)</f>
        <v>425.18</v>
      </c>
      <c r="I1308" s="93" t="str">
        <f t="shared" si="81"/>
        <v>Tuesday</v>
      </c>
      <c r="J1308" s="93" t="str">
        <f t="shared" si="82"/>
        <v>September</v>
      </c>
      <c r="K1308" s="93" t="str">
        <f t="shared" si="83"/>
        <v>2024</v>
      </c>
      <c r="L1308" s="6"/>
      <c r="M1308" s="6"/>
      <c r="N1308" s="6"/>
    </row>
    <row r="1309" spans="1:14" x14ac:dyDescent="0.3">
      <c r="A1309" s="87">
        <v>45538</v>
      </c>
      <c r="B1309" s="87" t="str">
        <f t="shared" si="80"/>
        <v>Tuesday</v>
      </c>
      <c r="C1309" s="88" t="s">
        <v>1381</v>
      </c>
      <c r="D1309" s="88" t="s">
        <v>586</v>
      </c>
      <c r="E1309" s="89">
        <v>32.82</v>
      </c>
      <c r="F1309" s="88" t="s">
        <v>5</v>
      </c>
      <c r="G1309" s="87">
        <f>Table1[[#This Row],[date]]</f>
        <v>45538</v>
      </c>
      <c r="H1309" s="94">
        <f>SUMIF($A$2:A4944,G1309,$E$2:E4944)</f>
        <v>425.18</v>
      </c>
      <c r="I1309" s="93" t="str">
        <f t="shared" si="81"/>
        <v>Tuesday</v>
      </c>
      <c r="J1309" s="93" t="str">
        <f t="shared" si="82"/>
        <v>September</v>
      </c>
      <c r="K1309" s="93" t="str">
        <f t="shared" si="83"/>
        <v>2024</v>
      </c>
      <c r="L1309" s="6"/>
      <c r="M1309" s="6"/>
      <c r="N1309" s="6"/>
    </row>
    <row r="1310" spans="1:14" x14ac:dyDescent="0.3">
      <c r="A1310" s="92">
        <v>45538</v>
      </c>
      <c r="B1310" s="92" t="str">
        <f t="shared" si="80"/>
        <v>Tuesday</v>
      </c>
      <c r="C1310" s="93" t="s">
        <v>1381</v>
      </c>
      <c r="D1310" s="93" t="s">
        <v>587</v>
      </c>
      <c r="E1310" s="94">
        <v>32.82</v>
      </c>
      <c r="F1310" s="93" t="s">
        <v>16</v>
      </c>
      <c r="G1310" s="87">
        <f>Table1[[#This Row],[date]]</f>
        <v>45538</v>
      </c>
      <c r="H1310" s="94">
        <f>SUMIF($A$2:A4945,G1310,$E$2:E4945)</f>
        <v>425.18</v>
      </c>
      <c r="I1310" s="93" t="str">
        <f t="shared" si="81"/>
        <v>Tuesday</v>
      </c>
      <c r="J1310" s="93" t="str">
        <f t="shared" si="82"/>
        <v>September</v>
      </c>
      <c r="K1310" s="93" t="str">
        <f t="shared" si="83"/>
        <v>2024</v>
      </c>
      <c r="L1310" s="6"/>
      <c r="M1310" s="6"/>
      <c r="N1310" s="6"/>
    </row>
    <row r="1311" spans="1:14" x14ac:dyDescent="0.3">
      <c r="A1311" s="87">
        <v>45538</v>
      </c>
      <c r="B1311" s="87" t="str">
        <f t="shared" si="80"/>
        <v>Tuesday</v>
      </c>
      <c r="C1311" s="88" t="s">
        <v>1381</v>
      </c>
      <c r="D1311" s="88" t="s">
        <v>588</v>
      </c>
      <c r="E1311" s="89">
        <v>23.02</v>
      </c>
      <c r="F1311" s="88" t="s">
        <v>26</v>
      </c>
      <c r="G1311" s="87">
        <f>Table1[[#This Row],[date]]</f>
        <v>45538</v>
      </c>
      <c r="H1311" s="94">
        <f>SUMIF($A$2:A4946,G1311,$E$2:E4946)</f>
        <v>425.18</v>
      </c>
      <c r="I1311" s="93" t="str">
        <f t="shared" si="81"/>
        <v>Tuesday</v>
      </c>
      <c r="J1311" s="93" t="str">
        <f t="shared" si="82"/>
        <v>September</v>
      </c>
      <c r="K1311" s="93" t="str">
        <f t="shared" si="83"/>
        <v>2024</v>
      </c>
      <c r="L1311" s="6"/>
      <c r="M1311" s="6"/>
      <c r="N1311" s="6"/>
    </row>
    <row r="1312" spans="1:14" x14ac:dyDescent="0.3">
      <c r="A1312" s="92">
        <v>45538</v>
      </c>
      <c r="B1312" s="92" t="str">
        <f t="shared" si="80"/>
        <v>Tuesday</v>
      </c>
      <c r="C1312" s="93" t="s">
        <v>1381</v>
      </c>
      <c r="D1312" s="93" t="s">
        <v>345</v>
      </c>
      <c r="E1312" s="94">
        <v>27.92</v>
      </c>
      <c r="F1312" s="93" t="s">
        <v>12</v>
      </c>
      <c r="G1312" s="87">
        <f>Table1[[#This Row],[date]]</f>
        <v>45538</v>
      </c>
      <c r="H1312" s="94">
        <f>SUMIF($A$2:A4947,G1312,$E$2:E4947)</f>
        <v>425.18</v>
      </c>
      <c r="I1312" s="93" t="str">
        <f t="shared" si="81"/>
        <v>Tuesday</v>
      </c>
      <c r="J1312" s="93" t="str">
        <f t="shared" si="82"/>
        <v>September</v>
      </c>
      <c r="K1312" s="93" t="str">
        <f t="shared" si="83"/>
        <v>2024</v>
      </c>
      <c r="L1312" s="6"/>
      <c r="M1312" s="6"/>
      <c r="N1312" s="6"/>
    </row>
    <row r="1313" spans="1:14" x14ac:dyDescent="0.3">
      <c r="A1313" s="87">
        <v>45538</v>
      </c>
      <c r="B1313" s="87" t="str">
        <f t="shared" si="80"/>
        <v>Tuesday</v>
      </c>
      <c r="C1313" s="88" t="s">
        <v>1381</v>
      </c>
      <c r="D1313" s="88" t="s">
        <v>479</v>
      </c>
      <c r="E1313" s="89">
        <v>32.82</v>
      </c>
      <c r="F1313" s="88" t="s">
        <v>5</v>
      </c>
      <c r="G1313" s="87">
        <f>Table1[[#This Row],[date]]</f>
        <v>45538</v>
      </c>
      <c r="H1313" s="94">
        <f>SUMIF($A$2:A4948,G1313,$E$2:E4948)</f>
        <v>425.18</v>
      </c>
      <c r="I1313" s="93" t="str">
        <f t="shared" si="81"/>
        <v>Tuesday</v>
      </c>
      <c r="J1313" s="93" t="str">
        <f t="shared" si="82"/>
        <v>September</v>
      </c>
      <c r="K1313" s="93" t="str">
        <f t="shared" si="83"/>
        <v>2024</v>
      </c>
      <c r="L1313" s="6"/>
      <c r="M1313" s="6"/>
      <c r="N1313" s="6"/>
    </row>
    <row r="1314" spans="1:14" x14ac:dyDescent="0.3">
      <c r="A1314" s="92">
        <v>45538</v>
      </c>
      <c r="B1314" s="92" t="str">
        <f t="shared" si="80"/>
        <v>Tuesday</v>
      </c>
      <c r="C1314" s="93" t="s">
        <v>1381</v>
      </c>
      <c r="D1314" s="93" t="s">
        <v>479</v>
      </c>
      <c r="E1314" s="94">
        <v>27.92</v>
      </c>
      <c r="F1314" s="93" t="s">
        <v>12</v>
      </c>
      <c r="G1314" s="87">
        <f>Table1[[#This Row],[date]]</f>
        <v>45538</v>
      </c>
      <c r="H1314" s="94">
        <f>SUMIF($A$2:A4949,G1314,$E$2:E4949)</f>
        <v>425.18</v>
      </c>
      <c r="I1314" s="93" t="str">
        <f t="shared" si="81"/>
        <v>Tuesday</v>
      </c>
      <c r="J1314" s="93" t="str">
        <f t="shared" si="82"/>
        <v>September</v>
      </c>
      <c r="K1314" s="93" t="str">
        <f t="shared" si="83"/>
        <v>2024</v>
      </c>
      <c r="L1314" s="6"/>
      <c r="M1314" s="6"/>
      <c r="N1314" s="6"/>
    </row>
    <row r="1315" spans="1:14" x14ac:dyDescent="0.3">
      <c r="A1315" s="87">
        <v>45539</v>
      </c>
      <c r="B1315" s="87" t="str">
        <f t="shared" si="80"/>
        <v>Wednesday</v>
      </c>
      <c r="C1315" s="88" t="s">
        <v>1381</v>
      </c>
      <c r="D1315" s="88" t="s">
        <v>589</v>
      </c>
      <c r="E1315" s="89">
        <v>27.92</v>
      </c>
      <c r="F1315" s="88" t="s">
        <v>12</v>
      </c>
      <c r="G1315" s="87">
        <f>Table1[[#This Row],[date]]</f>
        <v>45539</v>
      </c>
      <c r="H1315" s="94">
        <f>SUMIF($A$2:A4950,G1315,$E$2:E4950)</f>
        <v>298.8</v>
      </c>
      <c r="I1315" s="93" t="str">
        <f t="shared" si="81"/>
        <v>Wednesday</v>
      </c>
      <c r="J1315" s="93" t="str">
        <f t="shared" si="82"/>
        <v>September</v>
      </c>
      <c r="K1315" s="93" t="str">
        <f t="shared" si="83"/>
        <v>2024</v>
      </c>
      <c r="L1315" s="6"/>
      <c r="M1315" s="6"/>
      <c r="N1315" s="6"/>
    </row>
    <row r="1316" spans="1:14" x14ac:dyDescent="0.3">
      <c r="A1316" s="92">
        <v>45539</v>
      </c>
      <c r="B1316" s="92" t="str">
        <f t="shared" si="80"/>
        <v>Wednesday</v>
      </c>
      <c r="C1316" s="93" t="s">
        <v>1381</v>
      </c>
      <c r="D1316" s="93" t="s">
        <v>522</v>
      </c>
      <c r="E1316" s="94">
        <v>32.82</v>
      </c>
      <c r="F1316" s="93" t="s">
        <v>5</v>
      </c>
      <c r="G1316" s="87">
        <f>Table1[[#This Row],[date]]</f>
        <v>45539</v>
      </c>
      <c r="H1316" s="94">
        <f>SUMIF($A$2:A4951,G1316,$E$2:E4951)</f>
        <v>298.8</v>
      </c>
      <c r="I1316" s="93" t="str">
        <f t="shared" si="81"/>
        <v>Wednesday</v>
      </c>
      <c r="J1316" s="93" t="str">
        <f t="shared" si="82"/>
        <v>September</v>
      </c>
      <c r="K1316" s="93" t="str">
        <f t="shared" si="83"/>
        <v>2024</v>
      </c>
      <c r="L1316" s="6"/>
      <c r="M1316" s="6"/>
      <c r="N1316" s="6"/>
    </row>
    <row r="1317" spans="1:14" x14ac:dyDescent="0.3">
      <c r="A1317" s="87">
        <v>45539</v>
      </c>
      <c r="B1317" s="87" t="str">
        <f t="shared" si="80"/>
        <v>Wednesday</v>
      </c>
      <c r="C1317" s="88" t="s">
        <v>1381</v>
      </c>
      <c r="D1317" s="88" t="s">
        <v>29</v>
      </c>
      <c r="E1317" s="89">
        <v>23.02</v>
      </c>
      <c r="F1317" s="88" t="s">
        <v>9</v>
      </c>
      <c r="G1317" s="87">
        <f>Table1[[#This Row],[date]]</f>
        <v>45539</v>
      </c>
      <c r="H1317" s="94">
        <f>SUMIF($A$2:A4952,G1317,$E$2:E4952)</f>
        <v>298.8</v>
      </c>
      <c r="I1317" s="93" t="str">
        <f t="shared" si="81"/>
        <v>Wednesday</v>
      </c>
      <c r="J1317" s="93" t="str">
        <f t="shared" si="82"/>
        <v>September</v>
      </c>
      <c r="K1317" s="93" t="str">
        <f t="shared" si="83"/>
        <v>2024</v>
      </c>
      <c r="L1317" s="6"/>
      <c r="M1317" s="6"/>
      <c r="N1317" s="6"/>
    </row>
    <row r="1318" spans="1:14" x14ac:dyDescent="0.3">
      <c r="A1318" s="92">
        <v>45539</v>
      </c>
      <c r="B1318" s="92" t="str">
        <f t="shared" si="80"/>
        <v>Wednesday</v>
      </c>
      <c r="C1318" s="93" t="s">
        <v>1381</v>
      </c>
      <c r="D1318" s="93" t="s">
        <v>590</v>
      </c>
      <c r="E1318" s="94">
        <v>27.92</v>
      </c>
      <c r="F1318" s="93" t="s">
        <v>12</v>
      </c>
      <c r="G1318" s="87">
        <f>Table1[[#This Row],[date]]</f>
        <v>45539</v>
      </c>
      <c r="H1318" s="94">
        <f>SUMIF($A$2:A4953,G1318,$E$2:E4953)</f>
        <v>298.8</v>
      </c>
      <c r="I1318" s="93" t="str">
        <f t="shared" si="81"/>
        <v>Wednesday</v>
      </c>
      <c r="J1318" s="93" t="str">
        <f t="shared" si="82"/>
        <v>September</v>
      </c>
      <c r="K1318" s="93" t="str">
        <f t="shared" si="83"/>
        <v>2024</v>
      </c>
      <c r="L1318" s="6"/>
      <c r="M1318" s="6"/>
      <c r="N1318" s="6"/>
    </row>
    <row r="1319" spans="1:14" x14ac:dyDescent="0.3">
      <c r="A1319" s="87">
        <v>45539</v>
      </c>
      <c r="B1319" s="87" t="str">
        <f t="shared" si="80"/>
        <v>Wednesday</v>
      </c>
      <c r="C1319" s="88" t="s">
        <v>1381</v>
      </c>
      <c r="D1319" s="88" t="s">
        <v>577</v>
      </c>
      <c r="E1319" s="89">
        <v>32.82</v>
      </c>
      <c r="F1319" s="88" t="s">
        <v>5</v>
      </c>
      <c r="G1319" s="87">
        <f>Table1[[#This Row],[date]]</f>
        <v>45539</v>
      </c>
      <c r="H1319" s="94">
        <f>SUMIF($A$2:A4954,G1319,$E$2:E4954)</f>
        <v>298.8</v>
      </c>
      <c r="I1319" s="93" t="str">
        <f t="shared" si="81"/>
        <v>Wednesday</v>
      </c>
      <c r="J1319" s="93" t="str">
        <f t="shared" si="82"/>
        <v>September</v>
      </c>
      <c r="K1319" s="93" t="str">
        <f t="shared" si="83"/>
        <v>2024</v>
      </c>
      <c r="L1319" s="6"/>
      <c r="M1319" s="6"/>
      <c r="N1319" s="6"/>
    </row>
    <row r="1320" spans="1:14" x14ac:dyDescent="0.3">
      <c r="A1320" s="92">
        <v>45539</v>
      </c>
      <c r="B1320" s="92" t="str">
        <f t="shared" si="80"/>
        <v>Wednesday</v>
      </c>
      <c r="C1320" s="93" t="s">
        <v>1381</v>
      </c>
      <c r="D1320" s="93" t="s">
        <v>591</v>
      </c>
      <c r="E1320" s="94">
        <v>32.82</v>
      </c>
      <c r="F1320" s="93" t="s">
        <v>5</v>
      </c>
      <c r="G1320" s="87">
        <f>Table1[[#This Row],[date]]</f>
        <v>45539</v>
      </c>
      <c r="H1320" s="94">
        <f>SUMIF($A$2:A4955,G1320,$E$2:E4955)</f>
        <v>298.8</v>
      </c>
      <c r="I1320" s="93" t="str">
        <f t="shared" si="81"/>
        <v>Wednesday</v>
      </c>
      <c r="J1320" s="93" t="str">
        <f t="shared" si="82"/>
        <v>September</v>
      </c>
      <c r="K1320" s="93" t="str">
        <f t="shared" si="83"/>
        <v>2024</v>
      </c>
      <c r="L1320" s="6"/>
      <c r="M1320" s="6"/>
      <c r="N1320" s="6"/>
    </row>
    <row r="1321" spans="1:14" x14ac:dyDescent="0.3">
      <c r="A1321" s="87">
        <v>45539</v>
      </c>
      <c r="B1321" s="87" t="str">
        <f t="shared" si="80"/>
        <v>Wednesday</v>
      </c>
      <c r="C1321" s="88" t="s">
        <v>1381</v>
      </c>
      <c r="D1321" s="88" t="s">
        <v>591</v>
      </c>
      <c r="E1321" s="89">
        <v>27.92</v>
      </c>
      <c r="F1321" s="88" t="s">
        <v>12</v>
      </c>
      <c r="G1321" s="87">
        <f>Table1[[#This Row],[date]]</f>
        <v>45539</v>
      </c>
      <c r="H1321" s="94">
        <f>SUMIF($A$2:A4956,G1321,$E$2:E4956)</f>
        <v>298.8</v>
      </c>
      <c r="I1321" s="93" t="str">
        <f t="shared" si="81"/>
        <v>Wednesday</v>
      </c>
      <c r="J1321" s="93" t="str">
        <f t="shared" si="82"/>
        <v>September</v>
      </c>
      <c r="K1321" s="93" t="str">
        <f t="shared" si="83"/>
        <v>2024</v>
      </c>
      <c r="L1321" s="6"/>
      <c r="M1321" s="6"/>
      <c r="N1321" s="6"/>
    </row>
    <row r="1322" spans="1:14" x14ac:dyDescent="0.3">
      <c r="A1322" s="92">
        <v>45539</v>
      </c>
      <c r="B1322" s="92" t="str">
        <f t="shared" si="80"/>
        <v>Wednesday</v>
      </c>
      <c r="C1322" s="93" t="s">
        <v>1381</v>
      </c>
      <c r="D1322" s="93" t="s">
        <v>592</v>
      </c>
      <c r="E1322" s="94">
        <v>32.82</v>
      </c>
      <c r="F1322" s="93" t="s">
        <v>41</v>
      </c>
      <c r="G1322" s="87">
        <f>Table1[[#This Row],[date]]</f>
        <v>45539</v>
      </c>
      <c r="H1322" s="94">
        <f>SUMIF($A$2:A4957,G1322,$E$2:E4957)</f>
        <v>298.8</v>
      </c>
      <c r="I1322" s="93" t="str">
        <f t="shared" si="81"/>
        <v>Wednesday</v>
      </c>
      <c r="J1322" s="93" t="str">
        <f t="shared" si="82"/>
        <v>September</v>
      </c>
      <c r="K1322" s="93" t="str">
        <f t="shared" si="83"/>
        <v>2024</v>
      </c>
      <c r="L1322" s="6"/>
      <c r="M1322" s="6"/>
      <c r="N1322" s="6"/>
    </row>
    <row r="1323" spans="1:14" x14ac:dyDescent="0.3">
      <c r="A1323" s="87">
        <v>45539</v>
      </c>
      <c r="B1323" s="87" t="str">
        <f t="shared" si="80"/>
        <v>Wednesday</v>
      </c>
      <c r="C1323" s="88" t="s">
        <v>1381</v>
      </c>
      <c r="D1323" s="88" t="s">
        <v>109</v>
      </c>
      <c r="E1323" s="89">
        <v>27.92</v>
      </c>
      <c r="F1323" s="88" t="s">
        <v>12</v>
      </c>
      <c r="G1323" s="87">
        <f>Table1[[#This Row],[date]]</f>
        <v>45539</v>
      </c>
      <c r="H1323" s="94">
        <f>SUMIF($A$2:A4958,G1323,$E$2:E4958)</f>
        <v>298.8</v>
      </c>
      <c r="I1323" s="93" t="str">
        <f t="shared" si="81"/>
        <v>Wednesday</v>
      </c>
      <c r="J1323" s="93" t="str">
        <f t="shared" si="82"/>
        <v>September</v>
      </c>
      <c r="K1323" s="93" t="str">
        <f t="shared" si="83"/>
        <v>2024</v>
      </c>
      <c r="L1323" s="6"/>
      <c r="M1323" s="6"/>
      <c r="N1323" s="6"/>
    </row>
    <row r="1324" spans="1:14" x14ac:dyDescent="0.3">
      <c r="A1324" s="92">
        <v>45539</v>
      </c>
      <c r="B1324" s="92" t="str">
        <f t="shared" si="80"/>
        <v>Wednesday</v>
      </c>
      <c r="C1324" s="93" t="s">
        <v>1381</v>
      </c>
      <c r="D1324" s="93" t="s">
        <v>506</v>
      </c>
      <c r="E1324" s="94">
        <v>32.82</v>
      </c>
      <c r="F1324" s="93" t="s">
        <v>5</v>
      </c>
      <c r="G1324" s="87">
        <f>Table1[[#This Row],[date]]</f>
        <v>45539</v>
      </c>
      <c r="H1324" s="94">
        <f>SUMIF($A$2:A4959,G1324,$E$2:E4959)</f>
        <v>298.8</v>
      </c>
      <c r="I1324" s="93" t="str">
        <f t="shared" si="81"/>
        <v>Wednesday</v>
      </c>
      <c r="J1324" s="93" t="str">
        <f t="shared" si="82"/>
        <v>September</v>
      </c>
      <c r="K1324" s="93" t="str">
        <f t="shared" si="83"/>
        <v>2024</v>
      </c>
      <c r="L1324" s="6"/>
      <c r="M1324" s="6"/>
      <c r="N1324" s="6"/>
    </row>
    <row r="1325" spans="1:14" x14ac:dyDescent="0.3">
      <c r="A1325" s="87">
        <v>45540</v>
      </c>
      <c r="B1325" s="87" t="str">
        <f t="shared" si="80"/>
        <v>Thursday</v>
      </c>
      <c r="C1325" s="88" t="s">
        <v>1381</v>
      </c>
      <c r="D1325" s="88" t="s">
        <v>397</v>
      </c>
      <c r="E1325" s="89">
        <v>27.92</v>
      </c>
      <c r="F1325" s="88" t="s">
        <v>12</v>
      </c>
      <c r="G1325" s="87">
        <f>Table1[[#This Row],[date]]</f>
        <v>45540</v>
      </c>
      <c r="H1325" s="94">
        <f>SUMIF($A$2:A4960,G1325,$E$2:E4960)</f>
        <v>344.84</v>
      </c>
      <c r="I1325" s="93" t="str">
        <f t="shared" si="81"/>
        <v>Thursday</v>
      </c>
      <c r="J1325" s="93" t="str">
        <f t="shared" si="82"/>
        <v>September</v>
      </c>
      <c r="K1325" s="93" t="str">
        <f t="shared" si="83"/>
        <v>2024</v>
      </c>
      <c r="L1325" s="6"/>
      <c r="M1325" s="6"/>
      <c r="N1325" s="6"/>
    </row>
    <row r="1326" spans="1:14" x14ac:dyDescent="0.3">
      <c r="A1326" s="92">
        <v>45540</v>
      </c>
      <c r="B1326" s="92" t="str">
        <f t="shared" si="80"/>
        <v>Thursday</v>
      </c>
      <c r="C1326" s="93" t="s">
        <v>1381</v>
      </c>
      <c r="D1326" s="93" t="s">
        <v>593</v>
      </c>
      <c r="E1326" s="94">
        <v>27.92</v>
      </c>
      <c r="F1326" s="93" t="s">
        <v>12</v>
      </c>
      <c r="G1326" s="87">
        <f>Table1[[#This Row],[date]]</f>
        <v>45540</v>
      </c>
      <c r="H1326" s="94">
        <f>SUMIF($A$2:A4961,G1326,$E$2:E4961)</f>
        <v>344.84</v>
      </c>
      <c r="I1326" s="93" t="str">
        <f t="shared" si="81"/>
        <v>Thursday</v>
      </c>
      <c r="J1326" s="93" t="str">
        <f t="shared" si="82"/>
        <v>September</v>
      </c>
      <c r="K1326" s="93" t="str">
        <f t="shared" si="83"/>
        <v>2024</v>
      </c>
      <c r="L1326" s="6"/>
      <c r="M1326" s="6"/>
      <c r="N1326" s="6"/>
    </row>
    <row r="1327" spans="1:14" x14ac:dyDescent="0.3">
      <c r="A1327" s="87">
        <v>45540</v>
      </c>
      <c r="B1327" s="87" t="str">
        <f t="shared" si="80"/>
        <v>Thursday</v>
      </c>
      <c r="C1327" s="88" t="s">
        <v>1381</v>
      </c>
      <c r="D1327" s="88" t="s">
        <v>29</v>
      </c>
      <c r="E1327" s="89">
        <v>23.02</v>
      </c>
      <c r="F1327" s="88" t="s">
        <v>9</v>
      </c>
      <c r="G1327" s="87">
        <f>Table1[[#This Row],[date]]</f>
        <v>45540</v>
      </c>
      <c r="H1327" s="94">
        <f>SUMIF($A$2:A4962,G1327,$E$2:E4962)</f>
        <v>344.84</v>
      </c>
      <c r="I1327" s="93" t="str">
        <f t="shared" si="81"/>
        <v>Thursday</v>
      </c>
      <c r="J1327" s="93" t="str">
        <f t="shared" si="82"/>
        <v>September</v>
      </c>
      <c r="K1327" s="93" t="str">
        <f t="shared" si="83"/>
        <v>2024</v>
      </c>
      <c r="L1327" s="6"/>
      <c r="M1327" s="6"/>
      <c r="N1327" s="6"/>
    </row>
    <row r="1328" spans="1:14" x14ac:dyDescent="0.3">
      <c r="A1328" s="92">
        <v>45540</v>
      </c>
      <c r="B1328" s="92" t="str">
        <f t="shared" si="80"/>
        <v>Thursday</v>
      </c>
      <c r="C1328" s="93" t="s">
        <v>1381</v>
      </c>
      <c r="D1328" s="93" t="s">
        <v>594</v>
      </c>
      <c r="E1328" s="94">
        <v>32.82</v>
      </c>
      <c r="F1328" s="93" t="s">
        <v>5</v>
      </c>
      <c r="G1328" s="87">
        <f>Table1[[#This Row],[date]]</f>
        <v>45540</v>
      </c>
      <c r="H1328" s="94">
        <f>SUMIF($A$2:A4963,G1328,$E$2:E4963)</f>
        <v>344.84</v>
      </c>
      <c r="I1328" s="93" t="str">
        <f t="shared" si="81"/>
        <v>Thursday</v>
      </c>
      <c r="J1328" s="93" t="str">
        <f t="shared" si="82"/>
        <v>September</v>
      </c>
      <c r="K1328" s="93" t="str">
        <f t="shared" si="83"/>
        <v>2024</v>
      </c>
      <c r="L1328" s="6"/>
      <c r="M1328" s="6"/>
      <c r="N1328" s="6"/>
    </row>
    <row r="1329" spans="1:14" x14ac:dyDescent="0.3">
      <c r="A1329" s="87">
        <v>45540</v>
      </c>
      <c r="B1329" s="87" t="str">
        <f t="shared" si="80"/>
        <v>Thursday</v>
      </c>
      <c r="C1329" s="88" t="s">
        <v>1381</v>
      </c>
      <c r="D1329" s="88" t="s">
        <v>595</v>
      </c>
      <c r="E1329" s="89">
        <v>32.82</v>
      </c>
      <c r="F1329" s="88" t="s">
        <v>5</v>
      </c>
      <c r="G1329" s="87">
        <f>Table1[[#This Row],[date]]</f>
        <v>45540</v>
      </c>
      <c r="H1329" s="94">
        <f>SUMIF($A$2:A4964,G1329,$E$2:E4964)</f>
        <v>344.84</v>
      </c>
      <c r="I1329" s="93" t="str">
        <f t="shared" si="81"/>
        <v>Thursday</v>
      </c>
      <c r="J1329" s="93" t="str">
        <f t="shared" si="82"/>
        <v>September</v>
      </c>
      <c r="K1329" s="93" t="str">
        <f t="shared" si="83"/>
        <v>2024</v>
      </c>
      <c r="L1329" s="6"/>
      <c r="M1329" s="6"/>
      <c r="N1329" s="6"/>
    </row>
    <row r="1330" spans="1:14" x14ac:dyDescent="0.3">
      <c r="A1330" s="92">
        <v>45540</v>
      </c>
      <c r="B1330" s="92" t="str">
        <f t="shared" si="80"/>
        <v>Thursday</v>
      </c>
      <c r="C1330" s="93" t="s">
        <v>1381</v>
      </c>
      <c r="D1330" s="93" t="s">
        <v>596</v>
      </c>
      <c r="E1330" s="94">
        <v>23.02</v>
      </c>
      <c r="F1330" s="93" t="s">
        <v>9</v>
      </c>
      <c r="G1330" s="87">
        <f>Table1[[#This Row],[date]]</f>
        <v>45540</v>
      </c>
      <c r="H1330" s="94">
        <f>SUMIF($A$2:A4965,G1330,$E$2:E4965)</f>
        <v>344.84</v>
      </c>
      <c r="I1330" s="93" t="str">
        <f t="shared" si="81"/>
        <v>Thursday</v>
      </c>
      <c r="J1330" s="93" t="str">
        <f t="shared" si="82"/>
        <v>September</v>
      </c>
      <c r="K1330" s="93" t="str">
        <f t="shared" si="83"/>
        <v>2024</v>
      </c>
      <c r="L1330" s="6"/>
      <c r="M1330" s="6"/>
      <c r="N1330" s="6"/>
    </row>
    <row r="1331" spans="1:14" x14ac:dyDescent="0.3">
      <c r="A1331" s="87">
        <v>45540</v>
      </c>
      <c r="B1331" s="87" t="str">
        <f t="shared" si="80"/>
        <v>Thursday</v>
      </c>
      <c r="C1331" s="88" t="s">
        <v>1381</v>
      </c>
      <c r="D1331" s="88" t="s">
        <v>597</v>
      </c>
      <c r="E1331" s="89">
        <v>27.92</v>
      </c>
      <c r="F1331" s="88" t="s">
        <v>12</v>
      </c>
      <c r="G1331" s="87">
        <f>Table1[[#This Row],[date]]</f>
        <v>45540</v>
      </c>
      <c r="H1331" s="94">
        <f>SUMIF($A$2:A4966,G1331,$E$2:E4966)</f>
        <v>344.84</v>
      </c>
      <c r="I1331" s="93" t="str">
        <f t="shared" si="81"/>
        <v>Thursday</v>
      </c>
      <c r="J1331" s="93" t="str">
        <f t="shared" si="82"/>
        <v>September</v>
      </c>
      <c r="K1331" s="93" t="str">
        <f t="shared" si="83"/>
        <v>2024</v>
      </c>
      <c r="L1331" s="6"/>
      <c r="M1331" s="6"/>
      <c r="N1331" s="6"/>
    </row>
    <row r="1332" spans="1:14" x14ac:dyDescent="0.3">
      <c r="A1332" s="92">
        <v>45540</v>
      </c>
      <c r="B1332" s="92" t="str">
        <f t="shared" si="80"/>
        <v>Thursday</v>
      </c>
      <c r="C1332" s="93" t="s">
        <v>1381</v>
      </c>
      <c r="D1332" s="93" t="s">
        <v>598</v>
      </c>
      <c r="E1332" s="94">
        <v>32.82</v>
      </c>
      <c r="F1332" s="93" t="s">
        <v>41</v>
      </c>
      <c r="G1332" s="87">
        <f>Table1[[#This Row],[date]]</f>
        <v>45540</v>
      </c>
      <c r="H1332" s="94">
        <f>SUMIF($A$2:A4967,G1332,$E$2:E4967)</f>
        <v>344.84</v>
      </c>
      <c r="I1332" s="93" t="str">
        <f t="shared" si="81"/>
        <v>Thursday</v>
      </c>
      <c r="J1332" s="93" t="str">
        <f t="shared" si="82"/>
        <v>September</v>
      </c>
      <c r="K1332" s="93" t="str">
        <f t="shared" si="83"/>
        <v>2024</v>
      </c>
      <c r="L1332" s="6"/>
      <c r="M1332" s="6"/>
      <c r="N1332" s="6"/>
    </row>
    <row r="1333" spans="1:14" x14ac:dyDescent="0.3">
      <c r="A1333" s="92">
        <v>45540</v>
      </c>
      <c r="B1333" s="92" t="str">
        <f t="shared" si="80"/>
        <v>Thursday</v>
      </c>
      <c r="C1333" s="93" t="s">
        <v>1381</v>
      </c>
      <c r="D1333" s="93" t="s">
        <v>599</v>
      </c>
      <c r="E1333" s="94">
        <v>32.82</v>
      </c>
      <c r="F1333" s="93" t="s">
        <v>41</v>
      </c>
      <c r="G1333" s="87">
        <f>Table1[[#This Row],[date]]</f>
        <v>45540</v>
      </c>
      <c r="H1333" s="94">
        <f>SUMIF($A$2:A4968,G1333,$E$2:E4968)</f>
        <v>344.84</v>
      </c>
      <c r="I1333" s="93" t="str">
        <f t="shared" si="81"/>
        <v>Thursday</v>
      </c>
      <c r="J1333" s="93" t="str">
        <f t="shared" si="82"/>
        <v>September</v>
      </c>
      <c r="K1333" s="93" t="str">
        <f t="shared" si="83"/>
        <v>2024</v>
      </c>
      <c r="L1333" s="6"/>
      <c r="M1333" s="6"/>
      <c r="N1333" s="6"/>
    </row>
    <row r="1334" spans="1:14" x14ac:dyDescent="0.3">
      <c r="A1334" s="87">
        <v>45540</v>
      </c>
      <c r="B1334" s="87" t="str">
        <f t="shared" si="80"/>
        <v>Thursday</v>
      </c>
      <c r="C1334" s="88" t="s">
        <v>1381</v>
      </c>
      <c r="D1334" s="88" t="s">
        <v>600</v>
      </c>
      <c r="E1334" s="89">
        <v>23.02</v>
      </c>
      <c r="F1334" s="88" t="s">
        <v>9</v>
      </c>
      <c r="G1334" s="87">
        <f>Table1[[#This Row],[date]]</f>
        <v>45540</v>
      </c>
      <c r="H1334" s="94">
        <f>SUMIF($A$2:A4969,G1334,$E$2:E4969)</f>
        <v>344.84</v>
      </c>
      <c r="I1334" s="93" t="str">
        <f t="shared" si="81"/>
        <v>Thursday</v>
      </c>
      <c r="J1334" s="93" t="str">
        <f t="shared" si="82"/>
        <v>September</v>
      </c>
      <c r="K1334" s="93" t="str">
        <f t="shared" si="83"/>
        <v>2024</v>
      </c>
      <c r="L1334" s="6"/>
      <c r="M1334" s="6"/>
      <c r="N1334" s="6"/>
    </row>
    <row r="1335" spans="1:14" x14ac:dyDescent="0.3">
      <c r="A1335" s="92">
        <v>45540</v>
      </c>
      <c r="B1335" s="92" t="str">
        <f t="shared" si="80"/>
        <v>Thursday</v>
      </c>
      <c r="C1335" s="93" t="s">
        <v>1381</v>
      </c>
      <c r="D1335" s="93" t="s">
        <v>600</v>
      </c>
      <c r="E1335" s="94">
        <v>32.82</v>
      </c>
      <c r="F1335" s="93" t="s">
        <v>41</v>
      </c>
      <c r="G1335" s="87">
        <f>Table1[[#This Row],[date]]</f>
        <v>45540</v>
      </c>
      <c r="H1335" s="94">
        <f>SUMIF($A$2:A4970,G1335,$E$2:E4970)</f>
        <v>344.84</v>
      </c>
      <c r="I1335" s="93" t="str">
        <f t="shared" si="81"/>
        <v>Thursday</v>
      </c>
      <c r="J1335" s="93" t="str">
        <f t="shared" si="82"/>
        <v>September</v>
      </c>
      <c r="K1335" s="93" t="str">
        <f t="shared" si="83"/>
        <v>2024</v>
      </c>
      <c r="L1335" s="6"/>
      <c r="M1335" s="6"/>
      <c r="N1335" s="6"/>
    </row>
    <row r="1336" spans="1:14" x14ac:dyDescent="0.3">
      <c r="A1336" s="87">
        <v>45540</v>
      </c>
      <c r="B1336" s="87" t="str">
        <f t="shared" si="80"/>
        <v>Thursday</v>
      </c>
      <c r="C1336" s="88" t="s">
        <v>1381</v>
      </c>
      <c r="D1336" s="88" t="s">
        <v>52</v>
      </c>
      <c r="E1336" s="89">
        <v>27.92</v>
      </c>
      <c r="F1336" s="88" t="s">
        <v>12</v>
      </c>
      <c r="G1336" s="87">
        <f>Table1[[#This Row],[date]]</f>
        <v>45540</v>
      </c>
      <c r="H1336" s="94">
        <f>SUMIF($A$2:A4971,G1336,$E$2:E4971)</f>
        <v>344.84</v>
      </c>
      <c r="I1336" s="93" t="str">
        <f t="shared" si="81"/>
        <v>Thursday</v>
      </c>
      <c r="J1336" s="93" t="str">
        <f t="shared" si="82"/>
        <v>September</v>
      </c>
      <c r="K1336" s="93" t="str">
        <f t="shared" si="83"/>
        <v>2024</v>
      </c>
      <c r="L1336" s="6"/>
      <c r="M1336" s="6"/>
      <c r="N1336" s="6"/>
    </row>
    <row r="1337" spans="1:14" x14ac:dyDescent="0.3">
      <c r="A1337" s="87">
        <v>45541</v>
      </c>
      <c r="B1337" s="87" t="str">
        <f t="shared" si="80"/>
        <v>Friday</v>
      </c>
      <c r="C1337" s="88" t="s">
        <v>1381</v>
      </c>
      <c r="D1337" s="88" t="s">
        <v>594</v>
      </c>
      <c r="E1337" s="89">
        <v>32.82</v>
      </c>
      <c r="F1337" s="88" t="s">
        <v>41</v>
      </c>
      <c r="G1337" s="87">
        <f>Table1[[#This Row],[date]]</f>
        <v>45541</v>
      </c>
      <c r="H1337" s="94">
        <f>SUMIF($A$2:A4972,G1337,$E$2:E4972)</f>
        <v>274.3</v>
      </c>
      <c r="I1337" s="93" t="str">
        <f t="shared" si="81"/>
        <v>Friday</v>
      </c>
      <c r="J1337" s="93" t="str">
        <f t="shared" si="82"/>
        <v>September</v>
      </c>
      <c r="K1337" s="93" t="str">
        <f t="shared" si="83"/>
        <v>2024</v>
      </c>
      <c r="L1337" s="6"/>
      <c r="M1337" s="6"/>
      <c r="N1337" s="6"/>
    </row>
    <row r="1338" spans="1:14" x14ac:dyDescent="0.3">
      <c r="A1338" s="92">
        <v>45541</v>
      </c>
      <c r="B1338" s="92" t="str">
        <f t="shared" si="80"/>
        <v>Friday</v>
      </c>
      <c r="C1338" s="93" t="s">
        <v>1381</v>
      </c>
      <c r="D1338" s="93" t="s">
        <v>437</v>
      </c>
      <c r="E1338" s="94">
        <v>32.82</v>
      </c>
      <c r="F1338" s="93" t="s">
        <v>5</v>
      </c>
      <c r="G1338" s="87">
        <f>Table1[[#This Row],[date]]</f>
        <v>45541</v>
      </c>
      <c r="H1338" s="94">
        <f>SUMIF($A$2:A4973,G1338,$E$2:E4973)</f>
        <v>274.3</v>
      </c>
      <c r="I1338" s="93" t="str">
        <f t="shared" si="81"/>
        <v>Friday</v>
      </c>
      <c r="J1338" s="93" t="str">
        <f t="shared" si="82"/>
        <v>September</v>
      </c>
      <c r="K1338" s="93" t="str">
        <f t="shared" si="83"/>
        <v>2024</v>
      </c>
      <c r="L1338" s="6"/>
      <c r="M1338" s="6"/>
      <c r="N1338" s="6"/>
    </row>
    <row r="1339" spans="1:14" x14ac:dyDescent="0.3">
      <c r="A1339" s="87">
        <v>45541</v>
      </c>
      <c r="B1339" s="87" t="str">
        <f t="shared" si="80"/>
        <v>Friday</v>
      </c>
      <c r="C1339" s="88" t="s">
        <v>1381</v>
      </c>
      <c r="D1339" s="88" t="s">
        <v>601</v>
      </c>
      <c r="E1339" s="89">
        <v>23.02</v>
      </c>
      <c r="F1339" s="88" t="s">
        <v>9</v>
      </c>
      <c r="G1339" s="87">
        <f>Table1[[#This Row],[date]]</f>
        <v>45541</v>
      </c>
      <c r="H1339" s="94">
        <f>SUMIF($A$2:A4974,G1339,$E$2:E4974)</f>
        <v>274.3</v>
      </c>
      <c r="I1339" s="93" t="str">
        <f t="shared" si="81"/>
        <v>Friday</v>
      </c>
      <c r="J1339" s="93" t="str">
        <f t="shared" si="82"/>
        <v>September</v>
      </c>
      <c r="K1339" s="93" t="str">
        <f t="shared" si="83"/>
        <v>2024</v>
      </c>
      <c r="L1339" s="6"/>
      <c r="M1339" s="6"/>
      <c r="N1339" s="6"/>
    </row>
    <row r="1340" spans="1:14" x14ac:dyDescent="0.3">
      <c r="A1340" s="92">
        <v>45541</v>
      </c>
      <c r="B1340" s="92" t="str">
        <f t="shared" si="80"/>
        <v>Friday</v>
      </c>
      <c r="C1340" s="93" t="s">
        <v>1381</v>
      </c>
      <c r="D1340" s="93" t="s">
        <v>602</v>
      </c>
      <c r="E1340" s="94">
        <v>18.12</v>
      </c>
      <c r="F1340" s="93" t="s">
        <v>33</v>
      </c>
      <c r="G1340" s="87">
        <f>Table1[[#This Row],[date]]</f>
        <v>45541</v>
      </c>
      <c r="H1340" s="94">
        <f>SUMIF($A$2:A4975,G1340,$E$2:E4975)</f>
        <v>274.3</v>
      </c>
      <c r="I1340" s="93" t="str">
        <f t="shared" si="81"/>
        <v>Friday</v>
      </c>
      <c r="J1340" s="93" t="str">
        <f t="shared" si="82"/>
        <v>September</v>
      </c>
      <c r="K1340" s="93" t="str">
        <f t="shared" si="83"/>
        <v>2024</v>
      </c>
      <c r="L1340" s="6"/>
      <c r="M1340" s="6"/>
      <c r="N1340" s="6"/>
    </row>
    <row r="1341" spans="1:14" x14ac:dyDescent="0.3">
      <c r="A1341" s="87">
        <v>45541</v>
      </c>
      <c r="B1341" s="87" t="str">
        <f t="shared" si="80"/>
        <v>Friday</v>
      </c>
      <c r="C1341" s="88" t="s">
        <v>1381</v>
      </c>
      <c r="D1341" s="88" t="s">
        <v>602</v>
      </c>
      <c r="E1341" s="89">
        <v>32.82</v>
      </c>
      <c r="F1341" s="88" t="s">
        <v>5</v>
      </c>
      <c r="G1341" s="87">
        <f>Table1[[#This Row],[date]]</f>
        <v>45541</v>
      </c>
      <c r="H1341" s="94">
        <f>SUMIF($A$2:A4976,G1341,$E$2:E4976)</f>
        <v>274.3</v>
      </c>
      <c r="I1341" s="93" t="str">
        <f t="shared" si="81"/>
        <v>Friday</v>
      </c>
      <c r="J1341" s="93" t="str">
        <f t="shared" si="82"/>
        <v>September</v>
      </c>
      <c r="K1341" s="93" t="str">
        <f t="shared" si="83"/>
        <v>2024</v>
      </c>
      <c r="L1341" s="6"/>
      <c r="M1341" s="6"/>
      <c r="N1341" s="6"/>
    </row>
    <row r="1342" spans="1:14" x14ac:dyDescent="0.3">
      <c r="A1342" s="92">
        <v>45541</v>
      </c>
      <c r="B1342" s="92" t="str">
        <f t="shared" si="80"/>
        <v>Friday</v>
      </c>
      <c r="C1342" s="93" t="s">
        <v>1381</v>
      </c>
      <c r="D1342" s="93" t="s">
        <v>603</v>
      </c>
      <c r="E1342" s="94">
        <v>32.82</v>
      </c>
      <c r="F1342" s="93" t="s">
        <v>7</v>
      </c>
      <c r="G1342" s="87">
        <f>Table1[[#This Row],[date]]</f>
        <v>45541</v>
      </c>
      <c r="H1342" s="94">
        <f>SUMIF($A$2:A4977,G1342,$E$2:E4977)</f>
        <v>274.3</v>
      </c>
      <c r="I1342" s="93" t="str">
        <f t="shared" si="81"/>
        <v>Friday</v>
      </c>
      <c r="J1342" s="93" t="str">
        <f t="shared" si="82"/>
        <v>September</v>
      </c>
      <c r="K1342" s="93" t="str">
        <f t="shared" si="83"/>
        <v>2024</v>
      </c>
      <c r="L1342" s="6"/>
      <c r="M1342" s="6"/>
      <c r="N1342" s="6"/>
    </row>
    <row r="1343" spans="1:14" x14ac:dyDescent="0.3">
      <c r="A1343" s="87">
        <v>45541</v>
      </c>
      <c r="B1343" s="87" t="str">
        <f t="shared" si="80"/>
        <v>Friday</v>
      </c>
      <c r="C1343" s="88" t="s">
        <v>1381</v>
      </c>
      <c r="D1343" s="88" t="s">
        <v>107</v>
      </c>
      <c r="E1343" s="89">
        <v>18.12</v>
      </c>
      <c r="F1343" s="88" t="s">
        <v>33</v>
      </c>
      <c r="G1343" s="87">
        <f>Table1[[#This Row],[date]]</f>
        <v>45541</v>
      </c>
      <c r="H1343" s="94">
        <f>SUMIF($A$2:A4978,G1343,$E$2:E4978)</f>
        <v>274.3</v>
      </c>
      <c r="I1343" s="93" t="str">
        <f t="shared" si="81"/>
        <v>Friday</v>
      </c>
      <c r="J1343" s="93" t="str">
        <f t="shared" si="82"/>
        <v>September</v>
      </c>
      <c r="K1343" s="93" t="str">
        <f t="shared" si="83"/>
        <v>2024</v>
      </c>
      <c r="L1343" s="6"/>
      <c r="M1343" s="6"/>
      <c r="N1343" s="6"/>
    </row>
    <row r="1344" spans="1:14" x14ac:dyDescent="0.3">
      <c r="A1344" s="92">
        <v>45541</v>
      </c>
      <c r="B1344" s="92" t="str">
        <f t="shared" si="80"/>
        <v>Friday</v>
      </c>
      <c r="C1344" s="93" t="s">
        <v>1381</v>
      </c>
      <c r="D1344" s="93" t="s">
        <v>479</v>
      </c>
      <c r="E1344" s="94">
        <v>18.12</v>
      </c>
      <c r="F1344" s="93" t="s">
        <v>33</v>
      </c>
      <c r="G1344" s="87">
        <f>Table1[[#This Row],[date]]</f>
        <v>45541</v>
      </c>
      <c r="H1344" s="94">
        <f>SUMIF($A$2:A4979,G1344,$E$2:E4979)</f>
        <v>274.3</v>
      </c>
      <c r="I1344" s="93" t="str">
        <f t="shared" si="81"/>
        <v>Friday</v>
      </c>
      <c r="J1344" s="93" t="str">
        <f t="shared" si="82"/>
        <v>September</v>
      </c>
      <c r="K1344" s="93" t="str">
        <f t="shared" si="83"/>
        <v>2024</v>
      </c>
      <c r="L1344" s="6"/>
      <c r="M1344" s="6"/>
      <c r="N1344" s="6"/>
    </row>
    <row r="1345" spans="1:14" x14ac:dyDescent="0.3">
      <c r="A1345" s="87">
        <v>45541</v>
      </c>
      <c r="B1345" s="87" t="str">
        <f t="shared" si="80"/>
        <v>Friday</v>
      </c>
      <c r="C1345" s="88" t="s">
        <v>1381</v>
      </c>
      <c r="D1345" s="88" t="s">
        <v>295</v>
      </c>
      <c r="E1345" s="89">
        <v>32.82</v>
      </c>
      <c r="F1345" s="88" t="s">
        <v>5</v>
      </c>
      <c r="G1345" s="87">
        <f>Table1[[#This Row],[date]]</f>
        <v>45541</v>
      </c>
      <c r="H1345" s="94">
        <f>SUMIF($A$2:A4980,G1345,$E$2:E4980)</f>
        <v>274.3</v>
      </c>
      <c r="I1345" s="93" t="str">
        <f t="shared" si="81"/>
        <v>Friday</v>
      </c>
      <c r="J1345" s="93" t="str">
        <f t="shared" si="82"/>
        <v>September</v>
      </c>
      <c r="K1345" s="93" t="str">
        <f t="shared" si="83"/>
        <v>2024</v>
      </c>
      <c r="L1345" s="6"/>
      <c r="M1345" s="6"/>
      <c r="N1345" s="6"/>
    </row>
    <row r="1346" spans="1:14" x14ac:dyDescent="0.3">
      <c r="A1346" s="92">
        <v>45541</v>
      </c>
      <c r="B1346" s="92" t="str">
        <f t="shared" ref="B1346:B1409" si="84">TEXT(A1346,"dddd")</f>
        <v>Friday</v>
      </c>
      <c r="C1346" s="93" t="s">
        <v>1381</v>
      </c>
      <c r="D1346" s="93" t="s">
        <v>519</v>
      </c>
      <c r="E1346" s="94">
        <v>32.82</v>
      </c>
      <c r="F1346" s="93" t="s">
        <v>5</v>
      </c>
      <c r="G1346" s="87">
        <f>Table1[[#This Row],[date]]</f>
        <v>45541</v>
      </c>
      <c r="H1346" s="94">
        <f>SUMIF($A$2:A4981,G1346,$E$2:E4981)</f>
        <v>274.3</v>
      </c>
      <c r="I1346" s="93" t="str">
        <f t="shared" si="81"/>
        <v>Friday</v>
      </c>
      <c r="J1346" s="93" t="str">
        <f t="shared" si="82"/>
        <v>September</v>
      </c>
      <c r="K1346" s="93" t="str">
        <f t="shared" si="83"/>
        <v>2024</v>
      </c>
      <c r="L1346" s="6"/>
      <c r="M1346" s="6"/>
      <c r="N1346" s="6"/>
    </row>
    <row r="1347" spans="1:14" x14ac:dyDescent="0.3">
      <c r="A1347" s="87">
        <v>45542</v>
      </c>
      <c r="B1347" s="87" t="str">
        <f t="shared" si="84"/>
        <v>Saturday</v>
      </c>
      <c r="C1347" s="88" t="s">
        <v>1381</v>
      </c>
      <c r="D1347" s="88" t="s">
        <v>604</v>
      </c>
      <c r="E1347" s="89">
        <v>32.82</v>
      </c>
      <c r="F1347" s="88" t="s">
        <v>5</v>
      </c>
      <c r="G1347" s="87">
        <f>Table1[[#This Row],[date]]</f>
        <v>45542</v>
      </c>
      <c r="H1347" s="94">
        <f>SUMIF($A$2:A4982,G1347,$E$2:E4982)</f>
        <v>404.09999999999997</v>
      </c>
      <c r="I1347" s="93" t="str">
        <f t="shared" si="81"/>
        <v>Saturday</v>
      </c>
      <c r="J1347" s="93" t="str">
        <f t="shared" si="82"/>
        <v>September</v>
      </c>
      <c r="K1347" s="93" t="str">
        <f t="shared" si="83"/>
        <v>2024</v>
      </c>
      <c r="L1347" s="6"/>
      <c r="M1347" s="6"/>
      <c r="N1347" s="6"/>
    </row>
    <row r="1348" spans="1:14" x14ac:dyDescent="0.3">
      <c r="A1348" s="92">
        <v>45542</v>
      </c>
      <c r="B1348" s="92" t="str">
        <f t="shared" si="84"/>
        <v>Saturday</v>
      </c>
      <c r="C1348" s="93" t="s">
        <v>1381</v>
      </c>
      <c r="D1348" s="93" t="s">
        <v>555</v>
      </c>
      <c r="E1348" s="94">
        <v>23.02</v>
      </c>
      <c r="F1348" s="93" t="s">
        <v>26</v>
      </c>
      <c r="G1348" s="87">
        <f>Table1[[#This Row],[date]]</f>
        <v>45542</v>
      </c>
      <c r="H1348" s="94">
        <f>SUMIF($A$2:A4983,G1348,$E$2:E4983)</f>
        <v>404.09999999999997</v>
      </c>
      <c r="I1348" s="93" t="str">
        <f t="shared" si="81"/>
        <v>Saturday</v>
      </c>
      <c r="J1348" s="93" t="str">
        <f t="shared" si="82"/>
        <v>September</v>
      </c>
      <c r="K1348" s="93" t="str">
        <f t="shared" si="83"/>
        <v>2024</v>
      </c>
      <c r="L1348" s="6"/>
      <c r="M1348" s="6"/>
      <c r="N1348" s="6"/>
    </row>
    <row r="1349" spans="1:14" x14ac:dyDescent="0.3">
      <c r="A1349" s="92">
        <v>45542</v>
      </c>
      <c r="B1349" s="92" t="str">
        <f t="shared" si="84"/>
        <v>Saturday</v>
      </c>
      <c r="C1349" s="93" t="s">
        <v>1381</v>
      </c>
      <c r="D1349" s="93" t="s">
        <v>605</v>
      </c>
      <c r="E1349" s="94">
        <v>23.02</v>
      </c>
      <c r="F1349" s="93" t="s">
        <v>26</v>
      </c>
      <c r="G1349" s="87">
        <f>Table1[[#This Row],[date]]</f>
        <v>45542</v>
      </c>
      <c r="H1349" s="94">
        <f>SUMIF($A$2:A4984,G1349,$E$2:E4984)</f>
        <v>404.09999999999997</v>
      </c>
      <c r="I1349" s="93" t="str">
        <f t="shared" si="81"/>
        <v>Saturday</v>
      </c>
      <c r="J1349" s="93" t="str">
        <f t="shared" si="82"/>
        <v>September</v>
      </c>
      <c r="K1349" s="93" t="str">
        <f t="shared" si="83"/>
        <v>2024</v>
      </c>
      <c r="L1349" s="6"/>
      <c r="M1349" s="6"/>
      <c r="N1349" s="6"/>
    </row>
    <row r="1350" spans="1:14" x14ac:dyDescent="0.3">
      <c r="A1350" s="87">
        <v>45542</v>
      </c>
      <c r="B1350" s="87" t="str">
        <f t="shared" si="84"/>
        <v>Saturday</v>
      </c>
      <c r="C1350" s="88" t="s">
        <v>1381</v>
      </c>
      <c r="D1350" s="88" t="s">
        <v>288</v>
      </c>
      <c r="E1350" s="89">
        <v>27.92</v>
      </c>
      <c r="F1350" s="88" t="s">
        <v>12</v>
      </c>
      <c r="G1350" s="87">
        <f>Table1[[#This Row],[date]]</f>
        <v>45542</v>
      </c>
      <c r="H1350" s="94">
        <f>SUMIF($A$2:A4985,G1350,$E$2:E4985)</f>
        <v>404.09999999999997</v>
      </c>
      <c r="I1350" s="93" t="str">
        <f t="shared" ref="I1350:I1413" si="85">TEXT(G1350,"dddd")</f>
        <v>Saturday</v>
      </c>
      <c r="J1350" s="93" t="str">
        <f t="shared" si="82"/>
        <v>September</v>
      </c>
      <c r="K1350" s="93" t="str">
        <f t="shared" si="83"/>
        <v>2024</v>
      </c>
      <c r="L1350" s="6"/>
      <c r="M1350" s="6"/>
      <c r="N1350" s="6"/>
    </row>
    <row r="1351" spans="1:14" x14ac:dyDescent="0.3">
      <c r="A1351" s="87">
        <v>45542</v>
      </c>
      <c r="B1351" s="87" t="str">
        <f t="shared" si="84"/>
        <v>Saturday</v>
      </c>
      <c r="C1351" s="88" t="s">
        <v>1381</v>
      </c>
      <c r="D1351" s="88" t="s">
        <v>153</v>
      </c>
      <c r="E1351" s="89">
        <v>23.02</v>
      </c>
      <c r="F1351" s="88" t="s">
        <v>26</v>
      </c>
      <c r="G1351" s="87">
        <f>Table1[[#This Row],[date]]</f>
        <v>45542</v>
      </c>
      <c r="H1351" s="94">
        <f>SUMIF($A$2:A4986,G1351,$E$2:E4986)</f>
        <v>404.09999999999997</v>
      </c>
      <c r="I1351" s="93" t="str">
        <f t="shared" si="85"/>
        <v>Saturday</v>
      </c>
      <c r="J1351" s="93" t="str">
        <f t="shared" ref="J1351:J1414" si="86">TEXT(G1351,"mmmm")</f>
        <v>September</v>
      </c>
      <c r="K1351" s="93" t="str">
        <f t="shared" ref="K1351:K1414" si="87">TEXT(G1351,"yyyy")</f>
        <v>2024</v>
      </c>
      <c r="L1351" s="6"/>
      <c r="M1351" s="6"/>
      <c r="N1351" s="6"/>
    </row>
    <row r="1352" spans="1:14" x14ac:dyDescent="0.3">
      <c r="A1352" s="92">
        <v>45542</v>
      </c>
      <c r="B1352" s="92" t="str">
        <f t="shared" si="84"/>
        <v>Saturday</v>
      </c>
      <c r="C1352" s="93" t="s">
        <v>1381</v>
      </c>
      <c r="D1352" s="93" t="s">
        <v>606</v>
      </c>
      <c r="E1352" s="94">
        <v>23.02</v>
      </c>
      <c r="F1352" s="93" t="s">
        <v>9</v>
      </c>
      <c r="G1352" s="87">
        <f>Table1[[#This Row],[date]]</f>
        <v>45542</v>
      </c>
      <c r="H1352" s="94">
        <f>SUMIF($A$2:A4987,G1352,$E$2:E4987)</f>
        <v>404.09999999999997</v>
      </c>
      <c r="I1352" s="93" t="str">
        <f t="shared" si="85"/>
        <v>Saturday</v>
      </c>
      <c r="J1352" s="93" t="str">
        <f t="shared" si="86"/>
        <v>September</v>
      </c>
      <c r="K1352" s="93" t="str">
        <f t="shared" si="87"/>
        <v>2024</v>
      </c>
      <c r="L1352" s="6"/>
      <c r="M1352" s="6"/>
      <c r="N1352" s="6"/>
    </row>
    <row r="1353" spans="1:14" x14ac:dyDescent="0.3">
      <c r="A1353" s="87">
        <v>45542</v>
      </c>
      <c r="B1353" s="87" t="str">
        <f t="shared" si="84"/>
        <v>Saturday</v>
      </c>
      <c r="C1353" s="88" t="s">
        <v>1381</v>
      </c>
      <c r="D1353" s="88" t="s">
        <v>607</v>
      </c>
      <c r="E1353" s="89">
        <v>18.12</v>
      </c>
      <c r="F1353" s="88" t="s">
        <v>33</v>
      </c>
      <c r="G1353" s="87">
        <f>Table1[[#This Row],[date]]</f>
        <v>45542</v>
      </c>
      <c r="H1353" s="94">
        <f>SUMIF($A$2:A4988,G1353,$E$2:E4988)</f>
        <v>404.09999999999997</v>
      </c>
      <c r="I1353" s="93" t="str">
        <f t="shared" si="85"/>
        <v>Saturday</v>
      </c>
      <c r="J1353" s="93" t="str">
        <f t="shared" si="86"/>
        <v>September</v>
      </c>
      <c r="K1353" s="93" t="str">
        <f t="shared" si="87"/>
        <v>2024</v>
      </c>
      <c r="L1353" s="6"/>
      <c r="M1353" s="6"/>
      <c r="N1353" s="6"/>
    </row>
    <row r="1354" spans="1:14" x14ac:dyDescent="0.3">
      <c r="A1354" s="87">
        <v>45542</v>
      </c>
      <c r="B1354" s="87" t="str">
        <f t="shared" si="84"/>
        <v>Saturday</v>
      </c>
      <c r="C1354" s="88" t="s">
        <v>1381</v>
      </c>
      <c r="D1354" s="88" t="s">
        <v>608</v>
      </c>
      <c r="E1354" s="89">
        <v>32.82</v>
      </c>
      <c r="F1354" s="88" t="s">
        <v>5</v>
      </c>
      <c r="G1354" s="87">
        <f>Table1[[#This Row],[date]]</f>
        <v>45542</v>
      </c>
      <c r="H1354" s="94">
        <f>SUMIF($A$2:A4989,G1354,$E$2:E4989)</f>
        <v>404.09999999999997</v>
      </c>
      <c r="I1354" s="93" t="str">
        <f t="shared" si="85"/>
        <v>Saturday</v>
      </c>
      <c r="J1354" s="93" t="str">
        <f t="shared" si="86"/>
        <v>September</v>
      </c>
      <c r="K1354" s="93" t="str">
        <f t="shared" si="87"/>
        <v>2024</v>
      </c>
      <c r="L1354" s="6"/>
      <c r="M1354" s="6"/>
      <c r="N1354" s="6"/>
    </row>
    <row r="1355" spans="1:14" x14ac:dyDescent="0.3">
      <c r="A1355" s="92">
        <v>45542</v>
      </c>
      <c r="B1355" s="92" t="str">
        <f t="shared" si="84"/>
        <v>Saturday</v>
      </c>
      <c r="C1355" s="93" t="s">
        <v>1381</v>
      </c>
      <c r="D1355" s="93" t="s">
        <v>21</v>
      </c>
      <c r="E1355" s="94">
        <v>27.92</v>
      </c>
      <c r="F1355" s="93" t="s">
        <v>12</v>
      </c>
      <c r="G1355" s="87">
        <f>Table1[[#This Row],[date]]</f>
        <v>45542</v>
      </c>
      <c r="H1355" s="94">
        <f>SUMIF($A$2:A4990,G1355,$E$2:E4990)</f>
        <v>404.09999999999997</v>
      </c>
      <c r="I1355" s="93" t="str">
        <f t="shared" si="85"/>
        <v>Saturday</v>
      </c>
      <c r="J1355" s="93" t="str">
        <f t="shared" si="86"/>
        <v>September</v>
      </c>
      <c r="K1355" s="93" t="str">
        <f t="shared" si="87"/>
        <v>2024</v>
      </c>
      <c r="L1355" s="6"/>
      <c r="M1355" s="6"/>
      <c r="N1355" s="6"/>
    </row>
    <row r="1356" spans="1:14" x14ac:dyDescent="0.3">
      <c r="A1356" s="87">
        <v>45542</v>
      </c>
      <c r="B1356" s="87" t="str">
        <f t="shared" si="84"/>
        <v>Saturday</v>
      </c>
      <c r="C1356" s="88" t="s">
        <v>1381</v>
      </c>
      <c r="D1356" s="88" t="s">
        <v>29</v>
      </c>
      <c r="E1356" s="89">
        <v>23.02</v>
      </c>
      <c r="F1356" s="88" t="s">
        <v>9</v>
      </c>
      <c r="G1356" s="87">
        <f>Table1[[#This Row],[date]]</f>
        <v>45542</v>
      </c>
      <c r="H1356" s="94">
        <f>SUMIF($A$2:A4991,G1356,$E$2:E4991)</f>
        <v>404.09999999999997</v>
      </c>
      <c r="I1356" s="93" t="str">
        <f t="shared" si="85"/>
        <v>Saturday</v>
      </c>
      <c r="J1356" s="93" t="str">
        <f t="shared" si="86"/>
        <v>September</v>
      </c>
      <c r="K1356" s="93" t="str">
        <f t="shared" si="87"/>
        <v>2024</v>
      </c>
      <c r="L1356" s="6"/>
      <c r="M1356" s="6"/>
      <c r="N1356" s="6"/>
    </row>
    <row r="1357" spans="1:14" x14ac:dyDescent="0.3">
      <c r="A1357" s="92">
        <v>45542</v>
      </c>
      <c r="B1357" s="92" t="str">
        <f t="shared" si="84"/>
        <v>Saturday</v>
      </c>
      <c r="C1357" s="93" t="s">
        <v>1381</v>
      </c>
      <c r="D1357" s="93" t="s">
        <v>21</v>
      </c>
      <c r="E1357" s="94">
        <v>18.12</v>
      </c>
      <c r="F1357" s="93" t="s">
        <v>33</v>
      </c>
      <c r="G1357" s="87">
        <f>Table1[[#This Row],[date]]</f>
        <v>45542</v>
      </c>
      <c r="H1357" s="94">
        <f>SUMIF($A$2:A4992,G1357,$E$2:E4992)</f>
        <v>404.09999999999997</v>
      </c>
      <c r="I1357" s="93" t="str">
        <f t="shared" si="85"/>
        <v>Saturday</v>
      </c>
      <c r="J1357" s="93" t="str">
        <f t="shared" si="86"/>
        <v>September</v>
      </c>
      <c r="K1357" s="93" t="str">
        <f t="shared" si="87"/>
        <v>2024</v>
      </c>
      <c r="L1357" s="6"/>
      <c r="M1357" s="6"/>
      <c r="N1357" s="6"/>
    </row>
    <row r="1358" spans="1:14" x14ac:dyDescent="0.3">
      <c r="A1358" s="87">
        <v>45542</v>
      </c>
      <c r="B1358" s="87" t="str">
        <f t="shared" si="84"/>
        <v>Saturday</v>
      </c>
      <c r="C1358" s="88" t="s">
        <v>1381</v>
      </c>
      <c r="D1358" s="88" t="s">
        <v>609</v>
      </c>
      <c r="E1358" s="89">
        <v>32.82</v>
      </c>
      <c r="F1358" s="88" t="s">
        <v>5</v>
      </c>
      <c r="G1358" s="87">
        <f>Table1[[#This Row],[date]]</f>
        <v>45542</v>
      </c>
      <c r="H1358" s="94">
        <f>SUMIF($A$2:A4993,G1358,$E$2:E4993)</f>
        <v>404.09999999999997</v>
      </c>
      <c r="I1358" s="93" t="str">
        <f t="shared" si="85"/>
        <v>Saturday</v>
      </c>
      <c r="J1358" s="93" t="str">
        <f t="shared" si="86"/>
        <v>September</v>
      </c>
      <c r="K1358" s="93" t="str">
        <f t="shared" si="87"/>
        <v>2024</v>
      </c>
      <c r="L1358" s="6"/>
      <c r="M1358" s="6"/>
      <c r="N1358" s="6"/>
    </row>
    <row r="1359" spans="1:14" x14ac:dyDescent="0.3">
      <c r="A1359" s="92">
        <v>45542</v>
      </c>
      <c r="B1359" s="92" t="str">
        <f t="shared" si="84"/>
        <v>Saturday</v>
      </c>
      <c r="C1359" s="93" t="s">
        <v>1381</v>
      </c>
      <c r="D1359" s="93" t="s">
        <v>295</v>
      </c>
      <c r="E1359" s="94">
        <v>32.82</v>
      </c>
      <c r="F1359" s="93" t="s">
        <v>16</v>
      </c>
      <c r="G1359" s="87">
        <f>Table1[[#This Row],[date]]</f>
        <v>45542</v>
      </c>
      <c r="H1359" s="94">
        <f>SUMIF($A$2:A4994,G1359,$E$2:E4994)</f>
        <v>404.09999999999997</v>
      </c>
      <c r="I1359" s="93" t="str">
        <f t="shared" si="85"/>
        <v>Saturday</v>
      </c>
      <c r="J1359" s="93" t="str">
        <f t="shared" si="86"/>
        <v>September</v>
      </c>
      <c r="K1359" s="93" t="str">
        <f t="shared" si="87"/>
        <v>2024</v>
      </c>
      <c r="L1359" s="6"/>
      <c r="M1359" s="6"/>
      <c r="N1359" s="6"/>
    </row>
    <row r="1360" spans="1:14" x14ac:dyDescent="0.3">
      <c r="A1360" s="87">
        <v>45542</v>
      </c>
      <c r="B1360" s="87" t="str">
        <f t="shared" si="84"/>
        <v>Saturday</v>
      </c>
      <c r="C1360" s="88" t="s">
        <v>1381</v>
      </c>
      <c r="D1360" s="88" t="s">
        <v>295</v>
      </c>
      <c r="E1360" s="89">
        <v>32.82</v>
      </c>
      <c r="F1360" s="88" t="s">
        <v>5</v>
      </c>
      <c r="G1360" s="87">
        <f>Table1[[#This Row],[date]]</f>
        <v>45542</v>
      </c>
      <c r="H1360" s="94">
        <f>SUMIF($A$2:A4995,G1360,$E$2:E4995)</f>
        <v>404.09999999999997</v>
      </c>
      <c r="I1360" s="93" t="str">
        <f t="shared" si="85"/>
        <v>Saturday</v>
      </c>
      <c r="J1360" s="93" t="str">
        <f t="shared" si="86"/>
        <v>September</v>
      </c>
      <c r="K1360" s="93" t="str">
        <f t="shared" si="87"/>
        <v>2024</v>
      </c>
      <c r="L1360" s="6"/>
      <c r="M1360" s="6"/>
      <c r="N1360" s="6"/>
    </row>
    <row r="1361" spans="1:14" x14ac:dyDescent="0.3">
      <c r="A1361" s="87">
        <v>45542</v>
      </c>
      <c r="B1361" s="87" t="str">
        <f t="shared" si="84"/>
        <v>Saturday</v>
      </c>
      <c r="C1361" s="88" t="s">
        <v>1381</v>
      </c>
      <c r="D1361" s="88" t="s">
        <v>610</v>
      </c>
      <c r="E1361" s="89">
        <v>32.82</v>
      </c>
      <c r="F1361" s="88" t="s">
        <v>5</v>
      </c>
      <c r="G1361" s="87">
        <f>Table1[[#This Row],[date]]</f>
        <v>45542</v>
      </c>
      <c r="H1361" s="94">
        <f>SUMIF($A$2:A4996,G1361,$E$2:E4996)</f>
        <v>404.09999999999997</v>
      </c>
      <c r="I1361" s="93" t="str">
        <f t="shared" si="85"/>
        <v>Saturday</v>
      </c>
      <c r="J1361" s="93" t="str">
        <f t="shared" si="86"/>
        <v>September</v>
      </c>
      <c r="K1361" s="93" t="str">
        <f t="shared" si="87"/>
        <v>2024</v>
      </c>
      <c r="L1361" s="6"/>
      <c r="M1361" s="6"/>
      <c r="N1361" s="6"/>
    </row>
    <row r="1362" spans="1:14" x14ac:dyDescent="0.3">
      <c r="A1362" s="87">
        <v>45543</v>
      </c>
      <c r="B1362" s="87" t="str">
        <f t="shared" si="84"/>
        <v>Sunday</v>
      </c>
      <c r="C1362" s="88" t="s">
        <v>1381</v>
      </c>
      <c r="D1362" s="88" t="s">
        <v>153</v>
      </c>
      <c r="E1362" s="89">
        <v>23.02</v>
      </c>
      <c r="F1362" s="88" t="s">
        <v>26</v>
      </c>
      <c r="G1362" s="87">
        <f>Table1[[#This Row],[date]]</f>
        <v>45543</v>
      </c>
      <c r="H1362" s="94">
        <f>SUMIF($A$2:A4997,G1362,$E$2:E4997)</f>
        <v>92.08</v>
      </c>
      <c r="I1362" s="93" t="str">
        <f t="shared" si="85"/>
        <v>Sunday</v>
      </c>
      <c r="J1362" s="93" t="str">
        <f t="shared" si="86"/>
        <v>September</v>
      </c>
      <c r="K1362" s="93" t="str">
        <f t="shared" si="87"/>
        <v>2024</v>
      </c>
      <c r="L1362" s="6"/>
      <c r="M1362" s="6"/>
      <c r="N1362" s="6"/>
    </row>
    <row r="1363" spans="1:14" x14ac:dyDescent="0.3">
      <c r="A1363" s="92">
        <v>45543</v>
      </c>
      <c r="B1363" s="92" t="str">
        <f t="shared" si="84"/>
        <v>Sunday</v>
      </c>
      <c r="C1363" s="93" t="s">
        <v>1381</v>
      </c>
      <c r="D1363" s="93" t="s">
        <v>555</v>
      </c>
      <c r="E1363" s="94">
        <v>23.02</v>
      </c>
      <c r="F1363" s="93" t="s">
        <v>26</v>
      </c>
      <c r="G1363" s="87">
        <f>Table1[[#This Row],[date]]</f>
        <v>45543</v>
      </c>
      <c r="H1363" s="94">
        <f>SUMIF($A$2:A4998,G1363,$E$2:E4998)</f>
        <v>92.08</v>
      </c>
      <c r="I1363" s="93" t="str">
        <f t="shared" si="85"/>
        <v>Sunday</v>
      </c>
      <c r="J1363" s="93" t="str">
        <f t="shared" si="86"/>
        <v>September</v>
      </c>
      <c r="K1363" s="93" t="str">
        <f t="shared" si="87"/>
        <v>2024</v>
      </c>
      <c r="L1363" s="6"/>
      <c r="M1363" s="6"/>
      <c r="N1363" s="6"/>
    </row>
    <row r="1364" spans="1:14" x14ac:dyDescent="0.3">
      <c r="A1364" s="87">
        <v>45543</v>
      </c>
      <c r="B1364" s="87" t="str">
        <f t="shared" si="84"/>
        <v>Sunday</v>
      </c>
      <c r="C1364" s="88" t="s">
        <v>1381</v>
      </c>
      <c r="D1364" s="88" t="s">
        <v>498</v>
      </c>
      <c r="E1364" s="89">
        <v>23.02</v>
      </c>
      <c r="F1364" s="88" t="s">
        <v>26</v>
      </c>
      <c r="G1364" s="87">
        <f>Table1[[#This Row],[date]]</f>
        <v>45543</v>
      </c>
      <c r="H1364" s="94">
        <f>SUMIF($A$2:A4999,G1364,$E$2:E4999)</f>
        <v>92.08</v>
      </c>
      <c r="I1364" s="93" t="str">
        <f t="shared" si="85"/>
        <v>Sunday</v>
      </c>
      <c r="J1364" s="93" t="str">
        <f t="shared" si="86"/>
        <v>September</v>
      </c>
      <c r="K1364" s="93" t="str">
        <f t="shared" si="87"/>
        <v>2024</v>
      </c>
      <c r="L1364" s="6"/>
      <c r="M1364" s="6"/>
      <c r="N1364" s="6"/>
    </row>
    <row r="1365" spans="1:14" x14ac:dyDescent="0.3">
      <c r="A1365" s="92">
        <v>45543</v>
      </c>
      <c r="B1365" s="92" t="str">
        <f t="shared" si="84"/>
        <v>Sunday</v>
      </c>
      <c r="C1365" s="93" t="s">
        <v>1381</v>
      </c>
      <c r="D1365" s="93" t="s">
        <v>359</v>
      </c>
      <c r="E1365" s="94">
        <v>23.02</v>
      </c>
      <c r="F1365" s="93" t="s">
        <v>9</v>
      </c>
      <c r="G1365" s="87">
        <f>Table1[[#This Row],[date]]</f>
        <v>45543</v>
      </c>
      <c r="H1365" s="94">
        <f>SUMIF($A$2:A5000,G1365,$E$2:E5000)</f>
        <v>92.08</v>
      </c>
      <c r="I1365" s="93" t="str">
        <f t="shared" si="85"/>
        <v>Sunday</v>
      </c>
      <c r="J1365" s="93" t="str">
        <f t="shared" si="86"/>
        <v>September</v>
      </c>
      <c r="K1365" s="93" t="str">
        <f t="shared" si="87"/>
        <v>2024</v>
      </c>
      <c r="L1365" s="6"/>
      <c r="M1365" s="6"/>
      <c r="N1365" s="6"/>
    </row>
    <row r="1366" spans="1:14" x14ac:dyDescent="0.3">
      <c r="A1366" s="87">
        <v>45544</v>
      </c>
      <c r="B1366" s="87" t="str">
        <f t="shared" si="84"/>
        <v>Monday</v>
      </c>
      <c r="C1366" s="88" t="s">
        <v>1381</v>
      </c>
      <c r="D1366" s="88" t="s">
        <v>611</v>
      </c>
      <c r="E1366" s="89">
        <v>32.82</v>
      </c>
      <c r="F1366" s="88" t="s">
        <v>5</v>
      </c>
      <c r="G1366" s="87">
        <f>Table1[[#This Row],[date]]</f>
        <v>45544</v>
      </c>
      <c r="H1366" s="94">
        <f>SUMIF($A$2:A5001,G1366,$E$2:E5001)</f>
        <v>518.74</v>
      </c>
      <c r="I1366" s="93" t="str">
        <f t="shared" si="85"/>
        <v>Monday</v>
      </c>
      <c r="J1366" s="93" t="str">
        <f t="shared" si="86"/>
        <v>September</v>
      </c>
      <c r="K1366" s="93" t="str">
        <f t="shared" si="87"/>
        <v>2024</v>
      </c>
      <c r="L1366" s="6"/>
      <c r="M1366" s="6"/>
      <c r="N1366" s="6"/>
    </row>
    <row r="1367" spans="1:14" x14ac:dyDescent="0.3">
      <c r="A1367" s="92">
        <v>45544</v>
      </c>
      <c r="B1367" s="92" t="str">
        <f t="shared" si="84"/>
        <v>Monday</v>
      </c>
      <c r="C1367" s="93" t="s">
        <v>1381</v>
      </c>
      <c r="D1367" s="93" t="s">
        <v>594</v>
      </c>
      <c r="E1367" s="94">
        <v>32.82</v>
      </c>
      <c r="F1367" s="93" t="s">
        <v>41</v>
      </c>
      <c r="G1367" s="87">
        <f>Table1[[#This Row],[date]]</f>
        <v>45544</v>
      </c>
      <c r="H1367" s="94">
        <f>SUMIF($A$2:A5002,G1367,$E$2:E5002)</f>
        <v>518.74</v>
      </c>
      <c r="I1367" s="93" t="str">
        <f t="shared" si="85"/>
        <v>Monday</v>
      </c>
      <c r="J1367" s="93" t="str">
        <f t="shared" si="86"/>
        <v>September</v>
      </c>
      <c r="K1367" s="93" t="str">
        <f t="shared" si="87"/>
        <v>2024</v>
      </c>
      <c r="L1367" s="6"/>
      <c r="M1367" s="6"/>
      <c r="N1367" s="6"/>
    </row>
    <row r="1368" spans="1:14" x14ac:dyDescent="0.3">
      <c r="A1368" s="87">
        <v>45544</v>
      </c>
      <c r="B1368" s="87" t="str">
        <f t="shared" si="84"/>
        <v>Monday</v>
      </c>
      <c r="C1368" s="88" t="s">
        <v>1381</v>
      </c>
      <c r="D1368" s="88" t="s">
        <v>611</v>
      </c>
      <c r="E1368" s="89">
        <v>27.92</v>
      </c>
      <c r="F1368" s="88" t="s">
        <v>12</v>
      </c>
      <c r="G1368" s="87">
        <f>Table1[[#This Row],[date]]</f>
        <v>45544</v>
      </c>
      <c r="H1368" s="94">
        <f>SUMIF($A$2:A5003,G1368,$E$2:E5003)</f>
        <v>518.74</v>
      </c>
      <c r="I1368" s="93" t="str">
        <f t="shared" si="85"/>
        <v>Monday</v>
      </c>
      <c r="J1368" s="93" t="str">
        <f t="shared" si="86"/>
        <v>September</v>
      </c>
      <c r="K1368" s="93" t="str">
        <f t="shared" si="87"/>
        <v>2024</v>
      </c>
      <c r="L1368" s="6"/>
      <c r="M1368" s="6"/>
      <c r="N1368" s="6"/>
    </row>
    <row r="1369" spans="1:14" x14ac:dyDescent="0.3">
      <c r="A1369" s="92">
        <v>45544</v>
      </c>
      <c r="B1369" s="92" t="str">
        <f t="shared" si="84"/>
        <v>Monday</v>
      </c>
      <c r="C1369" s="93" t="s">
        <v>1381</v>
      </c>
      <c r="D1369" s="93" t="s">
        <v>582</v>
      </c>
      <c r="E1369" s="94">
        <v>32.82</v>
      </c>
      <c r="F1369" s="93" t="s">
        <v>5</v>
      </c>
      <c r="G1369" s="87">
        <f>Table1[[#This Row],[date]]</f>
        <v>45544</v>
      </c>
      <c r="H1369" s="94">
        <f>SUMIF($A$2:A5004,G1369,$E$2:E5004)</f>
        <v>518.74</v>
      </c>
      <c r="I1369" s="93" t="str">
        <f t="shared" si="85"/>
        <v>Monday</v>
      </c>
      <c r="J1369" s="93" t="str">
        <f t="shared" si="86"/>
        <v>September</v>
      </c>
      <c r="K1369" s="93" t="str">
        <f t="shared" si="87"/>
        <v>2024</v>
      </c>
      <c r="L1369" s="6"/>
      <c r="M1369" s="6"/>
      <c r="N1369" s="6"/>
    </row>
    <row r="1370" spans="1:14" x14ac:dyDescent="0.3">
      <c r="A1370" s="87">
        <v>45544</v>
      </c>
      <c r="B1370" s="87" t="str">
        <f t="shared" si="84"/>
        <v>Monday</v>
      </c>
      <c r="C1370" s="88" t="s">
        <v>1381</v>
      </c>
      <c r="D1370" s="88" t="s">
        <v>595</v>
      </c>
      <c r="E1370" s="89">
        <v>32.82</v>
      </c>
      <c r="F1370" s="88" t="s">
        <v>5</v>
      </c>
      <c r="G1370" s="87">
        <f>Table1[[#This Row],[date]]</f>
        <v>45544</v>
      </c>
      <c r="H1370" s="94">
        <f>SUMIF($A$2:A5005,G1370,$E$2:E5005)</f>
        <v>518.74</v>
      </c>
      <c r="I1370" s="93" t="str">
        <f t="shared" si="85"/>
        <v>Monday</v>
      </c>
      <c r="J1370" s="93" t="str">
        <f t="shared" si="86"/>
        <v>September</v>
      </c>
      <c r="K1370" s="93" t="str">
        <f t="shared" si="87"/>
        <v>2024</v>
      </c>
      <c r="L1370" s="6"/>
      <c r="M1370" s="6"/>
      <c r="N1370" s="6"/>
    </row>
    <row r="1371" spans="1:14" x14ac:dyDescent="0.3">
      <c r="A1371" s="92">
        <v>45544</v>
      </c>
      <c r="B1371" s="92" t="str">
        <f t="shared" si="84"/>
        <v>Monday</v>
      </c>
      <c r="C1371" s="93" t="s">
        <v>1381</v>
      </c>
      <c r="D1371" s="93" t="s">
        <v>595</v>
      </c>
      <c r="E1371" s="94">
        <v>32.82</v>
      </c>
      <c r="F1371" s="93" t="s">
        <v>7</v>
      </c>
      <c r="G1371" s="87">
        <f>Table1[[#This Row],[date]]</f>
        <v>45544</v>
      </c>
      <c r="H1371" s="94">
        <f>SUMIF($A$2:A5006,G1371,$E$2:E5006)</f>
        <v>518.74</v>
      </c>
      <c r="I1371" s="93" t="str">
        <f t="shared" si="85"/>
        <v>Monday</v>
      </c>
      <c r="J1371" s="93" t="str">
        <f t="shared" si="86"/>
        <v>September</v>
      </c>
      <c r="K1371" s="93" t="str">
        <f t="shared" si="87"/>
        <v>2024</v>
      </c>
      <c r="L1371" s="6"/>
      <c r="M1371" s="6"/>
      <c r="N1371" s="6"/>
    </row>
    <row r="1372" spans="1:14" x14ac:dyDescent="0.3">
      <c r="A1372" s="87">
        <v>45544</v>
      </c>
      <c r="B1372" s="87" t="str">
        <f t="shared" si="84"/>
        <v>Monday</v>
      </c>
      <c r="C1372" s="88" t="s">
        <v>1381</v>
      </c>
      <c r="D1372" s="88" t="s">
        <v>506</v>
      </c>
      <c r="E1372" s="89">
        <v>32.82</v>
      </c>
      <c r="F1372" s="88" t="s">
        <v>5</v>
      </c>
      <c r="G1372" s="87">
        <f>Table1[[#This Row],[date]]</f>
        <v>45544</v>
      </c>
      <c r="H1372" s="94">
        <f>SUMIF($A$2:A5007,G1372,$E$2:E5007)</f>
        <v>518.74</v>
      </c>
      <c r="I1372" s="93" t="str">
        <f t="shared" si="85"/>
        <v>Monday</v>
      </c>
      <c r="J1372" s="93" t="str">
        <f t="shared" si="86"/>
        <v>September</v>
      </c>
      <c r="K1372" s="93" t="str">
        <f t="shared" si="87"/>
        <v>2024</v>
      </c>
      <c r="L1372" s="6"/>
      <c r="M1372" s="6"/>
      <c r="N1372" s="6"/>
    </row>
    <row r="1373" spans="1:14" x14ac:dyDescent="0.3">
      <c r="A1373" s="92">
        <v>45544</v>
      </c>
      <c r="B1373" s="92" t="str">
        <f t="shared" si="84"/>
        <v>Monday</v>
      </c>
      <c r="C1373" s="93" t="s">
        <v>1381</v>
      </c>
      <c r="D1373" s="93" t="s">
        <v>612</v>
      </c>
      <c r="E1373" s="94">
        <v>27.92</v>
      </c>
      <c r="F1373" s="93" t="s">
        <v>12</v>
      </c>
      <c r="G1373" s="87">
        <f>Table1[[#This Row],[date]]</f>
        <v>45544</v>
      </c>
      <c r="H1373" s="94">
        <f>SUMIF($A$2:A5008,G1373,$E$2:E5008)</f>
        <v>518.74</v>
      </c>
      <c r="I1373" s="93" t="str">
        <f t="shared" si="85"/>
        <v>Monday</v>
      </c>
      <c r="J1373" s="93" t="str">
        <f t="shared" si="86"/>
        <v>September</v>
      </c>
      <c r="K1373" s="93" t="str">
        <f t="shared" si="87"/>
        <v>2024</v>
      </c>
      <c r="L1373" s="6"/>
      <c r="M1373" s="6"/>
      <c r="N1373" s="6"/>
    </row>
    <row r="1374" spans="1:14" x14ac:dyDescent="0.3">
      <c r="A1374" s="87">
        <v>45544</v>
      </c>
      <c r="B1374" s="87" t="str">
        <f t="shared" si="84"/>
        <v>Monday</v>
      </c>
      <c r="C1374" s="88" t="s">
        <v>1381</v>
      </c>
      <c r="D1374" s="88" t="s">
        <v>613</v>
      </c>
      <c r="E1374" s="89">
        <v>27.92</v>
      </c>
      <c r="F1374" s="88" t="s">
        <v>12</v>
      </c>
      <c r="G1374" s="87">
        <f>Table1[[#This Row],[date]]</f>
        <v>45544</v>
      </c>
      <c r="H1374" s="94">
        <f>SUMIF($A$2:A5009,G1374,$E$2:E5009)</f>
        <v>518.74</v>
      </c>
      <c r="I1374" s="93" t="str">
        <f t="shared" si="85"/>
        <v>Monday</v>
      </c>
      <c r="J1374" s="93" t="str">
        <f t="shared" si="86"/>
        <v>September</v>
      </c>
      <c r="K1374" s="93" t="str">
        <f t="shared" si="87"/>
        <v>2024</v>
      </c>
      <c r="L1374" s="6"/>
      <c r="M1374" s="6"/>
      <c r="N1374" s="6"/>
    </row>
    <row r="1375" spans="1:14" x14ac:dyDescent="0.3">
      <c r="A1375" s="92">
        <v>45544</v>
      </c>
      <c r="B1375" s="92" t="str">
        <f t="shared" si="84"/>
        <v>Monday</v>
      </c>
      <c r="C1375" s="93" t="s">
        <v>1381</v>
      </c>
      <c r="D1375" s="93" t="s">
        <v>614</v>
      </c>
      <c r="E1375" s="94">
        <v>32.82</v>
      </c>
      <c r="F1375" s="93" t="s">
        <v>5</v>
      </c>
      <c r="G1375" s="87">
        <f>Table1[[#This Row],[date]]</f>
        <v>45544</v>
      </c>
      <c r="H1375" s="94">
        <f>SUMIF($A$2:A5010,G1375,$E$2:E5010)</f>
        <v>518.74</v>
      </c>
      <c r="I1375" s="93" t="str">
        <f t="shared" si="85"/>
        <v>Monday</v>
      </c>
      <c r="J1375" s="93" t="str">
        <f t="shared" si="86"/>
        <v>September</v>
      </c>
      <c r="K1375" s="93" t="str">
        <f t="shared" si="87"/>
        <v>2024</v>
      </c>
      <c r="L1375" s="6"/>
      <c r="M1375" s="6"/>
      <c r="N1375" s="6"/>
    </row>
    <row r="1376" spans="1:14" x14ac:dyDescent="0.3">
      <c r="A1376" s="87">
        <v>45544</v>
      </c>
      <c r="B1376" s="87" t="str">
        <f t="shared" si="84"/>
        <v>Monday</v>
      </c>
      <c r="C1376" s="88" t="s">
        <v>1381</v>
      </c>
      <c r="D1376" s="88" t="s">
        <v>615</v>
      </c>
      <c r="E1376" s="89">
        <v>18.12</v>
      </c>
      <c r="F1376" s="88" t="s">
        <v>33</v>
      </c>
      <c r="G1376" s="87">
        <f>Table1[[#This Row],[date]]</f>
        <v>45544</v>
      </c>
      <c r="H1376" s="94">
        <f>SUMIF($A$2:A5011,G1376,$E$2:E5011)</f>
        <v>518.74</v>
      </c>
      <c r="I1376" s="93" t="str">
        <f t="shared" si="85"/>
        <v>Monday</v>
      </c>
      <c r="J1376" s="93" t="str">
        <f t="shared" si="86"/>
        <v>September</v>
      </c>
      <c r="K1376" s="93" t="str">
        <f t="shared" si="87"/>
        <v>2024</v>
      </c>
      <c r="L1376" s="6"/>
      <c r="M1376" s="6"/>
      <c r="N1376" s="6"/>
    </row>
    <row r="1377" spans="1:14" x14ac:dyDescent="0.3">
      <c r="A1377" s="92">
        <v>45544</v>
      </c>
      <c r="B1377" s="92" t="str">
        <f t="shared" si="84"/>
        <v>Monday</v>
      </c>
      <c r="C1377" s="93" t="s">
        <v>1381</v>
      </c>
      <c r="D1377" s="93" t="s">
        <v>616</v>
      </c>
      <c r="E1377" s="94">
        <v>32.82</v>
      </c>
      <c r="F1377" s="93" t="s">
        <v>5</v>
      </c>
      <c r="G1377" s="87">
        <f>Table1[[#This Row],[date]]</f>
        <v>45544</v>
      </c>
      <c r="H1377" s="94">
        <f>SUMIF($A$2:A5012,G1377,$E$2:E5012)</f>
        <v>518.74</v>
      </c>
      <c r="I1377" s="93" t="str">
        <f t="shared" si="85"/>
        <v>Monday</v>
      </c>
      <c r="J1377" s="93" t="str">
        <f t="shared" si="86"/>
        <v>September</v>
      </c>
      <c r="K1377" s="93" t="str">
        <f t="shared" si="87"/>
        <v>2024</v>
      </c>
      <c r="L1377" s="6"/>
      <c r="M1377" s="6"/>
      <c r="N1377" s="6"/>
    </row>
    <row r="1378" spans="1:14" x14ac:dyDescent="0.3">
      <c r="A1378" s="87">
        <v>45544</v>
      </c>
      <c r="B1378" s="87" t="str">
        <f t="shared" si="84"/>
        <v>Monday</v>
      </c>
      <c r="C1378" s="88" t="s">
        <v>1381</v>
      </c>
      <c r="D1378" s="88" t="s">
        <v>616</v>
      </c>
      <c r="E1378" s="89">
        <v>23.02</v>
      </c>
      <c r="F1378" s="88" t="s">
        <v>9</v>
      </c>
      <c r="G1378" s="87">
        <f>Table1[[#This Row],[date]]</f>
        <v>45544</v>
      </c>
      <c r="H1378" s="94">
        <f>SUMIF($A$2:A5013,G1378,$E$2:E5013)</f>
        <v>518.74</v>
      </c>
      <c r="I1378" s="93" t="str">
        <f t="shared" si="85"/>
        <v>Monday</v>
      </c>
      <c r="J1378" s="93" t="str">
        <f t="shared" si="86"/>
        <v>September</v>
      </c>
      <c r="K1378" s="93" t="str">
        <f t="shared" si="87"/>
        <v>2024</v>
      </c>
      <c r="L1378" s="6"/>
      <c r="M1378" s="6"/>
      <c r="N1378" s="6"/>
    </row>
    <row r="1379" spans="1:14" x14ac:dyDescent="0.3">
      <c r="A1379" s="92">
        <v>45544</v>
      </c>
      <c r="B1379" s="92" t="str">
        <f t="shared" si="84"/>
        <v>Monday</v>
      </c>
      <c r="C1379" s="93" t="s">
        <v>1381</v>
      </c>
      <c r="D1379" s="93" t="s">
        <v>617</v>
      </c>
      <c r="E1379" s="94">
        <v>32.82</v>
      </c>
      <c r="F1379" s="93" t="s">
        <v>5</v>
      </c>
      <c r="G1379" s="87">
        <f>Table1[[#This Row],[date]]</f>
        <v>45544</v>
      </c>
      <c r="H1379" s="94">
        <f>SUMIF($A$2:A5014,G1379,$E$2:E5014)</f>
        <v>518.74</v>
      </c>
      <c r="I1379" s="93" t="str">
        <f t="shared" si="85"/>
        <v>Monday</v>
      </c>
      <c r="J1379" s="93" t="str">
        <f t="shared" si="86"/>
        <v>September</v>
      </c>
      <c r="K1379" s="93" t="str">
        <f t="shared" si="87"/>
        <v>2024</v>
      </c>
      <c r="L1379" s="6"/>
      <c r="M1379" s="6"/>
      <c r="N1379" s="6"/>
    </row>
    <row r="1380" spans="1:14" x14ac:dyDescent="0.3">
      <c r="A1380" s="87">
        <v>45544</v>
      </c>
      <c r="B1380" s="87" t="str">
        <f t="shared" si="84"/>
        <v>Monday</v>
      </c>
      <c r="C1380" s="88" t="s">
        <v>1381</v>
      </c>
      <c r="D1380" s="88" t="s">
        <v>519</v>
      </c>
      <c r="E1380" s="89">
        <v>32.82</v>
      </c>
      <c r="F1380" s="88" t="s">
        <v>5</v>
      </c>
      <c r="G1380" s="87">
        <f>Table1[[#This Row],[date]]</f>
        <v>45544</v>
      </c>
      <c r="H1380" s="94">
        <f>SUMIF($A$2:A5015,G1380,$E$2:E5015)</f>
        <v>518.74</v>
      </c>
      <c r="I1380" s="93" t="str">
        <f t="shared" si="85"/>
        <v>Monday</v>
      </c>
      <c r="J1380" s="93" t="str">
        <f t="shared" si="86"/>
        <v>September</v>
      </c>
      <c r="K1380" s="93" t="str">
        <f t="shared" si="87"/>
        <v>2024</v>
      </c>
      <c r="L1380" s="6"/>
      <c r="M1380" s="6"/>
      <c r="N1380" s="6"/>
    </row>
    <row r="1381" spans="1:14" x14ac:dyDescent="0.3">
      <c r="A1381" s="92">
        <v>45544</v>
      </c>
      <c r="B1381" s="92" t="str">
        <f t="shared" si="84"/>
        <v>Monday</v>
      </c>
      <c r="C1381" s="93" t="s">
        <v>1381</v>
      </c>
      <c r="D1381" s="93" t="s">
        <v>280</v>
      </c>
      <c r="E1381" s="94">
        <v>32.82</v>
      </c>
      <c r="F1381" s="93" t="s">
        <v>41</v>
      </c>
      <c r="G1381" s="87">
        <f>Table1[[#This Row],[date]]</f>
        <v>45544</v>
      </c>
      <c r="H1381" s="94">
        <f>SUMIF($A$2:A5016,G1381,$E$2:E5016)</f>
        <v>518.74</v>
      </c>
      <c r="I1381" s="93" t="str">
        <f t="shared" si="85"/>
        <v>Monday</v>
      </c>
      <c r="J1381" s="93" t="str">
        <f t="shared" si="86"/>
        <v>September</v>
      </c>
      <c r="K1381" s="93" t="str">
        <f t="shared" si="87"/>
        <v>2024</v>
      </c>
      <c r="L1381" s="6"/>
      <c r="M1381" s="6"/>
      <c r="N1381" s="6"/>
    </row>
    <row r="1382" spans="1:14" x14ac:dyDescent="0.3">
      <c r="A1382" s="87">
        <v>45544</v>
      </c>
      <c r="B1382" s="87" t="str">
        <f t="shared" si="84"/>
        <v>Monday</v>
      </c>
      <c r="C1382" s="88" t="s">
        <v>1381</v>
      </c>
      <c r="D1382" s="88" t="s">
        <v>618</v>
      </c>
      <c r="E1382" s="89">
        <v>32.82</v>
      </c>
      <c r="F1382" s="88" t="s">
        <v>5</v>
      </c>
      <c r="G1382" s="87">
        <f>Table1[[#This Row],[date]]</f>
        <v>45544</v>
      </c>
      <c r="H1382" s="94">
        <f>SUMIF($A$2:A5017,G1382,$E$2:E5017)</f>
        <v>518.74</v>
      </c>
      <c r="I1382" s="93" t="str">
        <f t="shared" si="85"/>
        <v>Monday</v>
      </c>
      <c r="J1382" s="93" t="str">
        <f t="shared" si="86"/>
        <v>September</v>
      </c>
      <c r="K1382" s="93" t="str">
        <f t="shared" si="87"/>
        <v>2024</v>
      </c>
      <c r="L1382" s="6"/>
      <c r="M1382" s="6"/>
      <c r="N1382" s="6"/>
    </row>
    <row r="1383" spans="1:14" x14ac:dyDescent="0.3">
      <c r="A1383" s="92">
        <v>45545</v>
      </c>
      <c r="B1383" s="92" t="str">
        <f t="shared" si="84"/>
        <v>Tuesday</v>
      </c>
      <c r="C1383" s="93" t="s">
        <v>1381</v>
      </c>
      <c r="D1383" s="93" t="s">
        <v>619</v>
      </c>
      <c r="E1383" s="94">
        <v>32.82</v>
      </c>
      <c r="F1383" s="93" t="s">
        <v>7</v>
      </c>
      <c r="G1383" s="87">
        <f>Table1[[#This Row],[date]]</f>
        <v>45545</v>
      </c>
      <c r="H1383" s="94">
        <f>SUMIF($A$2:A5018,G1383,$E$2:E5018)</f>
        <v>233.16</v>
      </c>
      <c r="I1383" s="93" t="str">
        <f t="shared" si="85"/>
        <v>Tuesday</v>
      </c>
      <c r="J1383" s="93" t="str">
        <f t="shared" si="86"/>
        <v>September</v>
      </c>
      <c r="K1383" s="93" t="str">
        <f t="shared" si="87"/>
        <v>2024</v>
      </c>
      <c r="L1383" s="6"/>
      <c r="M1383" s="6"/>
      <c r="N1383" s="6"/>
    </row>
    <row r="1384" spans="1:14" x14ac:dyDescent="0.3">
      <c r="A1384" s="87">
        <v>45545</v>
      </c>
      <c r="B1384" s="87" t="str">
        <f t="shared" si="84"/>
        <v>Tuesday</v>
      </c>
      <c r="C1384" s="88" t="s">
        <v>1381</v>
      </c>
      <c r="D1384" s="88" t="s">
        <v>620</v>
      </c>
      <c r="E1384" s="89">
        <v>32.82</v>
      </c>
      <c r="F1384" s="88" t="s">
        <v>41</v>
      </c>
      <c r="G1384" s="87">
        <f>Table1[[#This Row],[date]]</f>
        <v>45545</v>
      </c>
      <c r="H1384" s="94">
        <f>SUMIF($A$2:A5019,G1384,$E$2:E5019)</f>
        <v>233.16</v>
      </c>
      <c r="I1384" s="93" t="str">
        <f t="shared" si="85"/>
        <v>Tuesday</v>
      </c>
      <c r="J1384" s="93" t="str">
        <f t="shared" si="86"/>
        <v>September</v>
      </c>
      <c r="K1384" s="93" t="str">
        <f t="shared" si="87"/>
        <v>2024</v>
      </c>
      <c r="L1384" s="6"/>
      <c r="M1384" s="6"/>
      <c r="N1384" s="6"/>
    </row>
    <row r="1385" spans="1:14" x14ac:dyDescent="0.3">
      <c r="A1385" s="92">
        <v>45545</v>
      </c>
      <c r="B1385" s="92" t="str">
        <f t="shared" si="84"/>
        <v>Tuesday</v>
      </c>
      <c r="C1385" s="93" t="s">
        <v>1381</v>
      </c>
      <c r="D1385" s="93" t="s">
        <v>555</v>
      </c>
      <c r="E1385" s="94">
        <v>23.02</v>
      </c>
      <c r="F1385" s="93" t="s">
        <v>26</v>
      </c>
      <c r="G1385" s="87">
        <f>Table1[[#This Row],[date]]</f>
        <v>45545</v>
      </c>
      <c r="H1385" s="94">
        <f>SUMIF($A$2:A5020,G1385,$E$2:E5020)</f>
        <v>233.16</v>
      </c>
      <c r="I1385" s="93" t="str">
        <f t="shared" si="85"/>
        <v>Tuesday</v>
      </c>
      <c r="J1385" s="93" t="str">
        <f t="shared" si="86"/>
        <v>September</v>
      </c>
      <c r="K1385" s="93" t="str">
        <f t="shared" si="87"/>
        <v>2024</v>
      </c>
      <c r="L1385" s="6"/>
      <c r="M1385" s="6"/>
      <c r="N1385" s="6"/>
    </row>
    <row r="1386" spans="1:14" x14ac:dyDescent="0.3">
      <c r="A1386" s="92">
        <v>45545</v>
      </c>
      <c r="B1386" s="92" t="str">
        <f t="shared" si="84"/>
        <v>Tuesday</v>
      </c>
      <c r="C1386" s="93" t="s">
        <v>1381</v>
      </c>
      <c r="D1386" s="93" t="s">
        <v>621</v>
      </c>
      <c r="E1386" s="94">
        <v>32.82</v>
      </c>
      <c r="F1386" s="93" t="s">
        <v>41</v>
      </c>
      <c r="G1386" s="87">
        <f>Table1[[#This Row],[date]]</f>
        <v>45545</v>
      </c>
      <c r="H1386" s="94">
        <f>SUMIF($A$2:A5021,G1386,$E$2:E5021)</f>
        <v>233.16</v>
      </c>
      <c r="I1386" s="93" t="str">
        <f t="shared" si="85"/>
        <v>Tuesday</v>
      </c>
      <c r="J1386" s="93" t="str">
        <f t="shared" si="86"/>
        <v>September</v>
      </c>
      <c r="K1386" s="93" t="str">
        <f t="shared" si="87"/>
        <v>2024</v>
      </c>
      <c r="L1386" s="6"/>
      <c r="M1386" s="6"/>
      <c r="N1386" s="6"/>
    </row>
    <row r="1387" spans="1:14" x14ac:dyDescent="0.3">
      <c r="A1387" s="87">
        <v>45545</v>
      </c>
      <c r="B1387" s="87" t="str">
        <f t="shared" si="84"/>
        <v>Tuesday</v>
      </c>
      <c r="C1387" s="88" t="s">
        <v>1381</v>
      </c>
      <c r="D1387" s="88" t="s">
        <v>622</v>
      </c>
      <c r="E1387" s="89">
        <v>27.92</v>
      </c>
      <c r="F1387" s="88" t="s">
        <v>12</v>
      </c>
      <c r="G1387" s="87">
        <f>Table1[[#This Row],[date]]</f>
        <v>45545</v>
      </c>
      <c r="H1387" s="94">
        <f>SUMIF($A$2:A5022,G1387,$E$2:E5022)</f>
        <v>233.16</v>
      </c>
      <c r="I1387" s="93" t="str">
        <f t="shared" si="85"/>
        <v>Tuesday</v>
      </c>
      <c r="J1387" s="93" t="str">
        <f t="shared" si="86"/>
        <v>September</v>
      </c>
      <c r="K1387" s="93" t="str">
        <f t="shared" si="87"/>
        <v>2024</v>
      </c>
      <c r="L1387" s="6"/>
      <c r="M1387" s="6"/>
      <c r="N1387" s="6"/>
    </row>
    <row r="1388" spans="1:14" x14ac:dyDescent="0.3">
      <c r="A1388" s="92">
        <v>45545</v>
      </c>
      <c r="B1388" s="92" t="str">
        <f t="shared" si="84"/>
        <v>Tuesday</v>
      </c>
      <c r="C1388" s="93" t="s">
        <v>1381</v>
      </c>
      <c r="D1388" s="93" t="s">
        <v>623</v>
      </c>
      <c r="E1388" s="94">
        <v>32.82</v>
      </c>
      <c r="F1388" s="93" t="s">
        <v>5</v>
      </c>
      <c r="G1388" s="87">
        <f>Table1[[#This Row],[date]]</f>
        <v>45545</v>
      </c>
      <c r="H1388" s="94">
        <f>SUMIF($A$2:A5023,G1388,$E$2:E5023)</f>
        <v>233.16</v>
      </c>
      <c r="I1388" s="93" t="str">
        <f t="shared" si="85"/>
        <v>Tuesday</v>
      </c>
      <c r="J1388" s="93" t="str">
        <f t="shared" si="86"/>
        <v>September</v>
      </c>
      <c r="K1388" s="93" t="str">
        <f t="shared" si="87"/>
        <v>2024</v>
      </c>
      <c r="L1388" s="6"/>
      <c r="M1388" s="6"/>
      <c r="N1388" s="6"/>
    </row>
    <row r="1389" spans="1:14" x14ac:dyDescent="0.3">
      <c r="A1389" s="92">
        <v>45545</v>
      </c>
      <c r="B1389" s="92" t="str">
        <f t="shared" si="84"/>
        <v>Tuesday</v>
      </c>
      <c r="C1389" s="93" t="s">
        <v>1381</v>
      </c>
      <c r="D1389" s="93" t="s">
        <v>21</v>
      </c>
      <c r="E1389" s="94">
        <v>27.92</v>
      </c>
      <c r="F1389" s="93" t="s">
        <v>12</v>
      </c>
      <c r="G1389" s="87">
        <f>Table1[[#This Row],[date]]</f>
        <v>45545</v>
      </c>
      <c r="H1389" s="94">
        <f>SUMIF($A$2:A5024,G1389,$E$2:E5024)</f>
        <v>233.16</v>
      </c>
      <c r="I1389" s="93" t="str">
        <f t="shared" si="85"/>
        <v>Tuesday</v>
      </c>
      <c r="J1389" s="93" t="str">
        <f t="shared" si="86"/>
        <v>September</v>
      </c>
      <c r="K1389" s="93" t="str">
        <f t="shared" si="87"/>
        <v>2024</v>
      </c>
      <c r="L1389" s="6"/>
      <c r="M1389" s="6"/>
      <c r="N1389" s="6"/>
    </row>
    <row r="1390" spans="1:14" x14ac:dyDescent="0.3">
      <c r="A1390" s="87">
        <v>45545</v>
      </c>
      <c r="B1390" s="87" t="str">
        <f t="shared" si="84"/>
        <v>Tuesday</v>
      </c>
      <c r="C1390" s="88" t="s">
        <v>1381</v>
      </c>
      <c r="D1390" s="88" t="s">
        <v>21</v>
      </c>
      <c r="E1390" s="89">
        <v>23.02</v>
      </c>
      <c r="F1390" s="88" t="s">
        <v>9</v>
      </c>
      <c r="G1390" s="87">
        <f>Table1[[#This Row],[date]]</f>
        <v>45545</v>
      </c>
      <c r="H1390" s="94">
        <f>SUMIF($A$2:A5025,G1390,$E$2:E5025)</f>
        <v>233.16</v>
      </c>
      <c r="I1390" s="93" t="str">
        <f t="shared" si="85"/>
        <v>Tuesday</v>
      </c>
      <c r="J1390" s="93" t="str">
        <f t="shared" si="86"/>
        <v>September</v>
      </c>
      <c r="K1390" s="93" t="str">
        <f t="shared" si="87"/>
        <v>2024</v>
      </c>
      <c r="L1390" s="6"/>
      <c r="M1390" s="6"/>
      <c r="N1390" s="6"/>
    </row>
    <row r="1391" spans="1:14" x14ac:dyDescent="0.3">
      <c r="A1391" s="92">
        <v>45546</v>
      </c>
      <c r="B1391" s="92" t="str">
        <f t="shared" si="84"/>
        <v>Wednesday</v>
      </c>
      <c r="C1391" s="93" t="s">
        <v>1381</v>
      </c>
      <c r="D1391" s="93" t="s">
        <v>624</v>
      </c>
      <c r="E1391" s="94">
        <v>32.82</v>
      </c>
      <c r="F1391" s="93" t="s">
        <v>5</v>
      </c>
      <c r="G1391" s="87">
        <f>Table1[[#This Row],[date]]</f>
        <v>45546</v>
      </c>
      <c r="H1391" s="94">
        <f>SUMIF($A$2:A5026,G1391,$E$2:E5026)</f>
        <v>210.14000000000001</v>
      </c>
      <c r="I1391" s="93" t="str">
        <f t="shared" si="85"/>
        <v>Wednesday</v>
      </c>
      <c r="J1391" s="93" t="str">
        <f t="shared" si="86"/>
        <v>September</v>
      </c>
      <c r="K1391" s="93" t="str">
        <f t="shared" si="87"/>
        <v>2024</v>
      </c>
      <c r="L1391" s="6"/>
      <c r="M1391" s="6"/>
      <c r="N1391" s="6"/>
    </row>
    <row r="1392" spans="1:14" x14ac:dyDescent="0.3">
      <c r="A1392" s="87">
        <v>45546</v>
      </c>
      <c r="B1392" s="87" t="str">
        <f t="shared" si="84"/>
        <v>Wednesday</v>
      </c>
      <c r="C1392" s="88" t="s">
        <v>1381</v>
      </c>
      <c r="D1392" s="88" t="s">
        <v>109</v>
      </c>
      <c r="E1392" s="89">
        <v>27.92</v>
      </c>
      <c r="F1392" s="88" t="s">
        <v>12</v>
      </c>
      <c r="G1392" s="87">
        <f>Table1[[#This Row],[date]]</f>
        <v>45546</v>
      </c>
      <c r="H1392" s="94">
        <f>SUMIF($A$2:A5027,G1392,$E$2:E5027)</f>
        <v>210.14000000000001</v>
      </c>
      <c r="I1392" s="93" t="str">
        <f t="shared" si="85"/>
        <v>Wednesday</v>
      </c>
      <c r="J1392" s="93" t="str">
        <f t="shared" si="86"/>
        <v>September</v>
      </c>
      <c r="K1392" s="93" t="str">
        <f t="shared" si="87"/>
        <v>2024</v>
      </c>
      <c r="L1392" s="6"/>
      <c r="M1392" s="6"/>
      <c r="N1392" s="6"/>
    </row>
    <row r="1393" spans="1:14" x14ac:dyDescent="0.3">
      <c r="A1393" s="92">
        <v>45546</v>
      </c>
      <c r="B1393" s="92" t="str">
        <f t="shared" si="84"/>
        <v>Wednesday</v>
      </c>
      <c r="C1393" s="93" t="s">
        <v>1381</v>
      </c>
      <c r="D1393" s="93" t="s">
        <v>625</v>
      </c>
      <c r="E1393" s="94">
        <v>32.82</v>
      </c>
      <c r="F1393" s="93" t="s">
        <v>5</v>
      </c>
      <c r="G1393" s="87">
        <f>Table1[[#This Row],[date]]</f>
        <v>45546</v>
      </c>
      <c r="H1393" s="94">
        <f>SUMIF($A$2:A5028,G1393,$E$2:E5028)</f>
        <v>210.14000000000001</v>
      </c>
      <c r="I1393" s="93" t="str">
        <f t="shared" si="85"/>
        <v>Wednesday</v>
      </c>
      <c r="J1393" s="93" t="str">
        <f t="shared" si="86"/>
        <v>September</v>
      </c>
      <c r="K1393" s="93" t="str">
        <f t="shared" si="87"/>
        <v>2024</v>
      </c>
      <c r="L1393" s="6"/>
      <c r="M1393" s="6"/>
      <c r="N1393" s="6"/>
    </row>
    <row r="1394" spans="1:14" x14ac:dyDescent="0.3">
      <c r="A1394" s="87">
        <v>45546</v>
      </c>
      <c r="B1394" s="87" t="str">
        <f t="shared" si="84"/>
        <v>Wednesday</v>
      </c>
      <c r="C1394" s="88" t="s">
        <v>1381</v>
      </c>
      <c r="D1394" s="88" t="s">
        <v>626</v>
      </c>
      <c r="E1394" s="89">
        <v>32.82</v>
      </c>
      <c r="F1394" s="88" t="s">
        <v>41</v>
      </c>
      <c r="G1394" s="87">
        <f>Table1[[#This Row],[date]]</f>
        <v>45546</v>
      </c>
      <c r="H1394" s="94">
        <f>SUMIF($A$2:A5029,G1394,$E$2:E5029)</f>
        <v>210.14000000000001</v>
      </c>
      <c r="I1394" s="93" t="str">
        <f t="shared" si="85"/>
        <v>Wednesday</v>
      </c>
      <c r="J1394" s="93" t="str">
        <f t="shared" si="86"/>
        <v>September</v>
      </c>
      <c r="K1394" s="93" t="str">
        <f t="shared" si="87"/>
        <v>2024</v>
      </c>
      <c r="L1394" s="6"/>
      <c r="M1394" s="6"/>
      <c r="N1394" s="6"/>
    </row>
    <row r="1395" spans="1:14" x14ac:dyDescent="0.3">
      <c r="A1395" s="92">
        <v>45546</v>
      </c>
      <c r="B1395" s="92" t="str">
        <f t="shared" si="84"/>
        <v>Wednesday</v>
      </c>
      <c r="C1395" s="93" t="s">
        <v>1381</v>
      </c>
      <c r="D1395" s="93" t="s">
        <v>543</v>
      </c>
      <c r="E1395" s="94">
        <v>27.92</v>
      </c>
      <c r="F1395" s="93" t="s">
        <v>12</v>
      </c>
      <c r="G1395" s="87">
        <f>Table1[[#This Row],[date]]</f>
        <v>45546</v>
      </c>
      <c r="H1395" s="94">
        <f>SUMIF($A$2:A5030,G1395,$E$2:E5030)</f>
        <v>210.14000000000001</v>
      </c>
      <c r="I1395" s="93" t="str">
        <f t="shared" si="85"/>
        <v>Wednesday</v>
      </c>
      <c r="J1395" s="93" t="str">
        <f t="shared" si="86"/>
        <v>September</v>
      </c>
      <c r="K1395" s="93" t="str">
        <f t="shared" si="87"/>
        <v>2024</v>
      </c>
      <c r="L1395" s="6"/>
      <c r="M1395" s="6"/>
      <c r="N1395" s="6"/>
    </row>
    <row r="1396" spans="1:14" x14ac:dyDescent="0.3">
      <c r="A1396" s="87">
        <v>45546</v>
      </c>
      <c r="B1396" s="87" t="str">
        <f t="shared" si="84"/>
        <v>Wednesday</v>
      </c>
      <c r="C1396" s="88" t="s">
        <v>1381</v>
      </c>
      <c r="D1396" s="88" t="s">
        <v>543</v>
      </c>
      <c r="E1396" s="89">
        <v>32.82</v>
      </c>
      <c r="F1396" s="88" t="s">
        <v>5</v>
      </c>
      <c r="G1396" s="87">
        <f>Table1[[#This Row],[date]]</f>
        <v>45546</v>
      </c>
      <c r="H1396" s="94">
        <f>SUMIF($A$2:A5031,G1396,$E$2:E5031)</f>
        <v>210.14000000000001</v>
      </c>
      <c r="I1396" s="93" t="str">
        <f t="shared" si="85"/>
        <v>Wednesday</v>
      </c>
      <c r="J1396" s="93" t="str">
        <f t="shared" si="86"/>
        <v>September</v>
      </c>
      <c r="K1396" s="93" t="str">
        <f t="shared" si="87"/>
        <v>2024</v>
      </c>
      <c r="L1396" s="6"/>
      <c r="M1396" s="6"/>
      <c r="N1396" s="6"/>
    </row>
    <row r="1397" spans="1:14" x14ac:dyDescent="0.3">
      <c r="A1397" s="87">
        <v>45546</v>
      </c>
      <c r="B1397" s="87" t="str">
        <f t="shared" si="84"/>
        <v>Wednesday</v>
      </c>
      <c r="C1397" s="88" t="s">
        <v>1381</v>
      </c>
      <c r="D1397" s="88" t="s">
        <v>596</v>
      </c>
      <c r="E1397" s="89">
        <v>23.02</v>
      </c>
      <c r="F1397" s="88" t="s">
        <v>26</v>
      </c>
      <c r="G1397" s="87">
        <f>Table1[[#This Row],[date]]</f>
        <v>45546</v>
      </c>
      <c r="H1397" s="94">
        <f>SUMIF($A$2:A5032,G1397,$E$2:E5032)</f>
        <v>210.14000000000001</v>
      </c>
      <c r="I1397" s="93" t="str">
        <f t="shared" si="85"/>
        <v>Wednesday</v>
      </c>
      <c r="J1397" s="93" t="str">
        <f t="shared" si="86"/>
        <v>September</v>
      </c>
      <c r="K1397" s="93" t="str">
        <f t="shared" si="87"/>
        <v>2024</v>
      </c>
      <c r="L1397" s="6"/>
      <c r="M1397" s="6"/>
      <c r="N1397" s="6"/>
    </row>
    <row r="1398" spans="1:14" x14ac:dyDescent="0.3">
      <c r="A1398" s="92">
        <v>45547</v>
      </c>
      <c r="B1398" s="92" t="str">
        <f t="shared" si="84"/>
        <v>Thursday</v>
      </c>
      <c r="C1398" s="93" t="s">
        <v>1381</v>
      </c>
      <c r="D1398" s="93" t="s">
        <v>359</v>
      </c>
      <c r="E1398" s="94">
        <v>18.12</v>
      </c>
      <c r="F1398" s="93" t="s">
        <v>33</v>
      </c>
      <c r="G1398" s="87">
        <f>Table1[[#This Row],[date]]</f>
        <v>45547</v>
      </c>
      <c r="H1398" s="94">
        <f>SUMIF($A$2:A5033,G1398,$E$2:E5033)</f>
        <v>264.5</v>
      </c>
      <c r="I1398" s="93" t="str">
        <f t="shared" si="85"/>
        <v>Thursday</v>
      </c>
      <c r="J1398" s="93" t="str">
        <f t="shared" si="86"/>
        <v>September</v>
      </c>
      <c r="K1398" s="93" t="str">
        <f t="shared" si="87"/>
        <v>2024</v>
      </c>
      <c r="L1398" s="6"/>
      <c r="M1398" s="6"/>
      <c r="N1398" s="6"/>
    </row>
    <row r="1399" spans="1:14" x14ac:dyDescent="0.3">
      <c r="A1399" s="87">
        <v>45547</v>
      </c>
      <c r="B1399" s="87" t="str">
        <f t="shared" si="84"/>
        <v>Thursday</v>
      </c>
      <c r="C1399" s="88" t="s">
        <v>1381</v>
      </c>
      <c r="D1399" s="88" t="s">
        <v>359</v>
      </c>
      <c r="E1399" s="89">
        <v>27.92</v>
      </c>
      <c r="F1399" s="88" t="s">
        <v>12</v>
      </c>
      <c r="G1399" s="87">
        <f>Table1[[#This Row],[date]]</f>
        <v>45547</v>
      </c>
      <c r="H1399" s="94">
        <f>SUMIF($A$2:A5034,G1399,$E$2:E5034)</f>
        <v>264.5</v>
      </c>
      <c r="I1399" s="93" t="str">
        <f t="shared" si="85"/>
        <v>Thursday</v>
      </c>
      <c r="J1399" s="93" t="str">
        <f t="shared" si="86"/>
        <v>September</v>
      </c>
      <c r="K1399" s="93" t="str">
        <f t="shared" si="87"/>
        <v>2024</v>
      </c>
      <c r="L1399" s="6"/>
      <c r="M1399" s="6"/>
      <c r="N1399" s="6"/>
    </row>
    <row r="1400" spans="1:14" x14ac:dyDescent="0.3">
      <c r="A1400" s="92">
        <v>45547</v>
      </c>
      <c r="B1400" s="92" t="str">
        <f t="shared" si="84"/>
        <v>Thursday</v>
      </c>
      <c r="C1400" s="93" t="s">
        <v>1381</v>
      </c>
      <c r="D1400" s="93" t="s">
        <v>627</v>
      </c>
      <c r="E1400" s="94">
        <v>27.92</v>
      </c>
      <c r="F1400" s="93" t="s">
        <v>12</v>
      </c>
      <c r="G1400" s="87">
        <f>Table1[[#This Row],[date]]</f>
        <v>45547</v>
      </c>
      <c r="H1400" s="94">
        <f>SUMIF($A$2:A5035,G1400,$E$2:E5035)</f>
        <v>264.5</v>
      </c>
      <c r="I1400" s="93" t="str">
        <f t="shared" si="85"/>
        <v>Thursday</v>
      </c>
      <c r="J1400" s="93" t="str">
        <f t="shared" si="86"/>
        <v>September</v>
      </c>
      <c r="K1400" s="93" t="str">
        <f t="shared" si="87"/>
        <v>2024</v>
      </c>
      <c r="L1400" s="6"/>
      <c r="M1400" s="6"/>
      <c r="N1400" s="6"/>
    </row>
    <row r="1401" spans="1:14" x14ac:dyDescent="0.3">
      <c r="A1401" s="87">
        <v>45547</v>
      </c>
      <c r="B1401" s="87" t="str">
        <f t="shared" si="84"/>
        <v>Thursday</v>
      </c>
      <c r="C1401" s="88" t="s">
        <v>1381</v>
      </c>
      <c r="D1401" s="88" t="s">
        <v>577</v>
      </c>
      <c r="E1401" s="89">
        <v>32.82</v>
      </c>
      <c r="F1401" s="88" t="s">
        <v>41</v>
      </c>
      <c r="G1401" s="87">
        <f>Table1[[#This Row],[date]]</f>
        <v>45547</v>
      </c>
      <c r="H1401" s="94">
        <f>SUMIF($A$2:A5036,G1401,$E$2:E5036)</f>
        <v>264.5</v>
      </c>
      <c r="I1401" s="93" t="str">
        <f t="shared" si="85"/>
        <v>Thursday</v>
      </c>
      <c r="J1401" s="93" t="str">
        <f t="shared" si="86"/>
        <v>September</v>
      </c>
      <c r="K1401" s="93" t="str">
        <f t="shared" si="87"/>
        <v>2024</v>
      </c>
      <c r="L1401" s="6"/>
      <c r="M1401" s="6"/>
      <c r="N1401" s="6"/>
    </row>
    <row r="1402" spans="1:14" x14ac:dyDescent="0.3">
      <c r="A1402" s="92">
        <v>45547</v>
      </c>
      <c r="B1402" s="92" t="str">
        <f t="shared" si="84"/>
        <v>Thursday</v>
      </c>
      <c r="C1402" s="93" t="s">
        <v>1381</v>
      </c>
      <c r="D1402" s="93" t="s">
        <v>628</v>
      </c>
      <c r="E1402" s="94">
        <v>23.02</v>
      </c>
      <c r="F1402" s="93" t="s">
        <v>26</v>
      </c>
      <c r="G1402" s="87">
        <f>Table1[[#This Row],[date]]</f>
        <v>45547</v>
      </c>
      <c r="H1402" s="94">
        <f>SUMIF($A$2:A5037,G1402,$E$2:E5037)</f>
        <v>264.5</v>
      </c>
      <c r="I1402" s="93" t="str">
        <f t="shared" si="85"/>
        <v>Thursday</v>
      </c>
      <c r="J1402" s="93" t="str">
        <f t="shared" si="86"/>
        <v>September</v>
      </c>
      <c r="K1402" s="93" t="str">
        <f t="shared" si="87"/>
        <v>2024</v>
      </c>
      <c r="L1402" s="6"/>
      <c r="M1402" s="6"/>
      <c r="N1402" s="6"/>
    </row>
    <row r="1403" spans="1:14" x14ac:dyDescent="0.3">
      <c r="A1403" s="92">
        <v>45547</v>
      </c>
      <c r="B1403" s="92" t="str">
        <f t="shared" si="84"/>
        <v>Thursday</v>
      </c>
      <c r="C1403" s="93" t="s">
        <v>1381</v>
      </c>
      <c r="D1403" s="93" t="s">
        <v>153</v>
      </c>
      <c r="E1403" s="94">
        <v>23.02</v>
      </c>
      <c r="F1403" s="93" t="s">
        <v>26</v>
      </c>
      <c r="G1403" s="87">
        <f>Table1[[#This Row],[date]]</f>
        <v>45547</v>
      </c>
      <c r="H1403" s="94">
        <f>SUMIF($A$2:A5038,G1403,$E$2:E5038)</f>
        <v>264.5</v>
      </c>
      <c r="I1403" s="93" t="str">
        <f t="shared" si="85"/>
        <v>Thursday</v>
      </c>
      <c r="J1403" s="93" t="str">
        <f t="shared" si="86"/>
        <v>September</v>
      </c>
      <c r="K1403" s="93" t="str">
        <f t="shared" si="87"/>
        <v>2024</v>
      </c>
      <c r="L1403" s="6"/>
      <c r="M1403" s="6"/>
      <c r="N1403" s="6"/>
    </row>
    <row r="1404" spans="1:14" x14ac:dyDescent="0.3">
      <c r="A1404" s="92">
        <v>45547</v>
      </c>
      <c r="B1404" s="92" t="str">
        <f t="shared" si="84"/>
        <v>Thursday</v>
      </c>
      <c r="C1404" s="93" t="s">
        <v>1381</v>
      </c>
      <c r="D1404" s="93" t="s">
        <v>629</v>
      </c>
      <c r="E1404" s="94">
        <v>32.82</v>
      </c>
      <c r="F1404" s="93" t="s">
        <v>5</v>
      </c>
      <c r="G1404" s="87">
        <f>Table1[[#This Row],[date]]</f>
        <v>45547</v>
      </c>
      <c r="H1404" s="94">
        <f>SUMIF($A$2:A5039,G1404,$E$2:E5039)</f>
        <v>264.5</v>
      </c>
      <c r="I1404" s="93" t="str">
        <f t="shared" si="85"/>
        <v>Thursday</v>
      </c>
      <c r="J1404" s="93" t="str">
        <f t="shared" si="86"/>
        <v>September</v>
      </c>
      <c r="K1404" s="93" t="str">
        <f t="shared" si="87"/>
        <v>2024</v>
      </c>
      <c r="L1404" s="6"/>
      <c r="M1404" s="6"/>
      <c r="N1404" s="6"/>
    </row>
    <row r="1405" spans="1:14" x14ac:dyDescent="0.3">
      <c r="A1405" s="87">
        <v>45547</v>
      </c>
      <c r="B1405" s="87" t="str">
        <f t="shared" si="84"/>
        <v>Thursday</v>
      </c>
      <c r="C1405" s="88" t="s">
        <v>1381</v>
      </c>
      <c r="D1405" s="88" t="s">
        <v>630</v>
      </c>
      <c r="E1405" s="89">
        <v>23.02</v>
      </c>
      <c r="F1405" s="88" t="s">
        <v>9</v>
      </c>
      <c r="G1405" s="87">
        <f>Table1[[#This Row],[date]]</f>
        <v>45547</v>
      </c>
      <c r="H1405" s="94">
        <f>SUMIF($A$2:A5040,G1405,$E$2:E5040)</f>
        <v>264.5</v>
      </c>
      <c r="I1405" s="93" t="str">
        <f t="shared" si="85"/>
        <v>Thursday</v>
      </c>
      <c r="J1405" s="93" t="str">
        <f t="shared" si="86"/>
        <v>September</v>
      </c>
      <c r="K1405" s="93" t="str">
        <f t="shared" si="87"/>
        <v>2024</v>
      </c>
      <c r="L1405" s="6"/>
      <c r="M1405" s="6"/>
      <c r="N1405" s="6"/>
    </row>
    <row r="1406" spans="1:14" x14ac:dyDescent="0.3">
      <c r="A1406" s="92">
        <v>45547</v>
      </c>
      <c r="B1406" s="92" t="str">
        <f t="shared" si="84"/>
        <v>Thursday</v>
      </c>
      <c r="C1406" s="93" t="s">
        <v>1381</v>
      </c>
      <c r="D1406" s="93" t="s">
        <v>630</v>
      </c>
      <c r="E1406" s="94">
        <v>32.82</v>
      </c>
      <c r="F1406" s="93" t="s">
        <v>41</v>
      </c>
      <c r="G1406" s="87">
        <f>Table1[[#This Row],[date]]</f>
        <v>45547</v>
      </c>
      <c r="H1406" s="94">
        <f>SUMIF($A$2:A5041,G1406,$E$2:E5041)</f>
        <v>264.5</v>
      </c>
      <c r="I1406" s="93" t="str">
        <f t="shared" si="85"/>
        <v>Thursday</v>
      </c>
      <c r="J1406" s="93" t="str">
        <f t="shared" si="86"/>
        <v>September</v>
      </c>
      <c r="K1406" s="93" t="str">
        <f t="shared" si="87"/>
        <v>2024</v>
      </c>
      <c r="L1406" s="6"/>
      <c r="M1406" s="6"/>
      <c r="N1406" s="6"/>
    </row>
    <row r="1407" spans="1:14" x14ac:dyDescent="0.3">
      <c r="A1407" s="87">
        <v>45547</v>
      </c>
      <c r="B1407" s="87" t="str">
        <f t="shared" si="84"/>
        <v>Thursday</v>
      </c>
      <c r="C1407" s="88" t="s">
        <v>1381</v>
      </c>
      <c r="D1407" s="88" t="s">
        <v>331</v>
      </c>
      <c r="E1407" s="89">
        <v>23.02</v>
      </c>
      <c r="F1407" s="88" t="s">
        <v>26</v>
      </c>
      <c r="G1407" s="87">
        <f>Table1[[#This Row],[date]]</f>
        <v>45547</v>
      </c>
      <c r="H1407" s="94">
        <f>SUMIF($A$2:A5042,G1407,$E$2:E5042)</f>
        <v>264.5</v>
      </c>
      <c r="I1407" s="93" t="str">
        <f t="shared" si="85"/>
        <v>Thursday</v>
      </c>
      <c r="J1407" s="93" t="str">
        <f t="shared" si="86"/>
        <v>September</v>
      </c>
      <c r="K1407" s="93" t="str">
        <f t="shared" si="87"/>
        <v>2024</v>
      </c>
      <c r="L1407" s="6"/>
      <c r="M1407" s="6"/>
      <c r="N1407" s="6"/>
    </row>
    <row r="1408" spans="1:14" x14ac:dyDescent="0.3">
      <c r="A1408" s="92">
        <v>45548</v>
      </c>
      <c r="B1408" s="92" t="str">
        <f t="shared" si="84"/>
        <v>Friday</v>
      </c>
      <c r="C1408" s="93" t="s">
        <v>1381</v>
      </c>
      <c r="D1408" s="93" t="s">
        <v>582</v>
      </c>
      <c r="E1408" s="94">
        <v>32.82</v>
      </c>
      <c r="F1408" s="93" t="s">
        <v>5</v>
      </c>
      <c r="G1408" s="87">
        <f>Table1[[#This Row],[date]]</f>
        <v>45548</v>
      </c>
      <c r="H1408" s="94">
        <f>SUMIF($A$2:A5043,G1408,$E$2:E5043)</f>
        <v>187.12</v>
      </c>
      <c r="I1408" s="93" t="str">
        <f t="shared" si="85"/>
        <v>Friday</v>
      </c>
      <c r="J1408" s="93" t="str">
        <f t="shared" si="86"/>
        <v>September</v>
      </c>
      <c r="K1408" s="93" t="str">
        <f t="shared" si="87"/>
        <v>2024</v>
      </c>
      <c r="L1408" s="6"/>
      <c r="M1408" s="6"/>
      <c r="N1408" s="6"/>
    </row>
    <row r="1409" spans="1:14" x14ac:dyDescent="0.3">
      <c r="A1409" s="87">
        <v>45548</v>
      </c>
      <c r="B1409" s="87" t="str">
        <f t="shared" si="84"/>
        <v>Friday</v>
      </c>
      <c r="C1409" s="88" t="s">
        <v>1381</v>
      </c>
      <c r="D1409" s="88" t="s">
        <v>437</v>
      </c>
      <c r="E1409" s="89">
        <v>32.82</v>
      </c>
      <c r="F1409" s="88" t="s">
        <v>5</v>
      </c>
      <c r="G1409" s="87">
        <f>Table1[[#This Row],[date]]</f>
        <v>45548</v>
      </c>
      <c r="H1409" s="94">
        <f>SUMIF($A$2:A5044,G1409,$E$2:E5044)</f>
        <v>187.12</v>
      </c>
      <c r="I1409" s="93" t="str">
        <f t="shared" si="85"/>
        <v>Friday</v>
      </c>
      <c r="J1409" s="93" t="str">
        <f t="shared" si="86"/>
        <v>September</v>
      </c>
      <c r="K1409" s="93" t="str">
        <f t="shared" si="87"/>
        <v>2024</v>
      </c>
      <c r="L1409" s="6"/>
      <c r="M1409" s="6"/>
      <c r="N1409" s="6"/>
    </row>
    <row r="1410" spans="1:14" x14ac:dyDescent="0.3">
      <c r="A1410" s="92">
        <v>45548</v>
      </c>
      <c r="B1410" s="92" t="str">
        <f t="shared" ref="B1410:B1473" si="88">TEXT(A1410,"dddd")</f>
        <v>Friday</v>
      </c>
      <c r="C1410" s="93" t="s">
        <v>1381</v>
      </c>
      <c r="D1410" s="93" t="s">
        <v>387</v>
      </c>
      <c r="E1410" s="94">
        <v>32.82</v>
      </c>
      <c r="F1410" s="93" t="s">
        <v>5</v>
      </c>
      <c r="G1410" s="87">
        <f>Table1[[#This Row],[date]]</f>
        <v>45548</v>
      </c>
      <c r="H1410" s="94">
        <f>SUMIF($A$2:A5045,G1410,$E$2:E5045)</f>
        <v>187.12</v>
      </c>
      <c r="I1410" s="93" t="str">
        <f t="shared" si="85"/>
        <v>Friday</v>
      </c>
      <c r="J1410" s="93" t="str">
        <f t="shared" si="86"/>
        <v>September</v>
      </c>
      <c r="K1410" s="93" t="str">
        <f t="shared" si="87"/>
        <v>2024</v>
      </c>
      <c r="L1410" s="6"/>
      <c r="M1410" s="6"/>
      <c r="N1410" s="6"/>
    </row>
    <row r="1411" spans="1:14" x14ac:dyDescent="0.3">
      <c r="A1411" s="87">
        <v>45548</v>
      </c>
      <c r="B1411" s="87" t="str">
        <f t="shared" si="88"/>
        <v>Friday</v>
      </c>
      <c r="C1411" s="88" t="s">
        <v>1381</v>
      </c>
      <c r="D1411" s="88" t="s">
        <v>631</v>
      </c>
      <c r="E1411" s="89">
        <v>32.82</v>
      </c>
      <c r="F1411" s="88" t="s">
        <v>5</v>
      </c>
      <c r="G1411" s="87">
        <f>Table1[[#This Row],[date]]</f>
        <v>45548</v>
      </c>
      <c r="H1411" s="94">
        <f>SUMIF($A$2:A5046,G1411,$E$2:E5046)</f>
        <v>187.12</v>
      </c>
      <c r="I1411" s="93" t="str">
        <f t="shared" si="85"/>
        <v>Friday</v>
      </c>
      <c r="J1411" s="93" t="str">
        <f t="shared" si="86"/>
        <v>September</v>
      </c>
      <c r="K1411" s="93" t="str">
        <f t="shared" si="87"/>
        <v>2024</v>
      </c>
      <c r="L1411" s="6"/>
      <c r="M1411" s="6"/>
      <c r="N1411" s="6"/>
    </row>
    <row r="1412" spans="1:14" x14ac:dyDescent="0.3">
      <c r="A1412" s="92">
        <v>45548</v>
      </c>
      <c r="B1412" s="92" t="str">
        <f t="shared" si="88"/>
        <v>Friday</v>
      </c>
      <c r="C1412" s="93" t="s">
        <v>1381</v>
      </c>
      <c r="D1412" s="93" t="s">
        <v>254</v>
      </c>
      <c r="E1412" s="94">
        <v>27.92</v>
      </c>
      <c r="F1412" s="93" t="s">
        <v>12</v>
      </c>
      <c r="G1412" s="87">
        <f>Table1[[#This Row],[date]]</f>
        <v>45548</v>
      </c>
      <c r="H1412" s="94">
        <f>SUMIF($A$2:A5047,G1412,$E$2:E5047)</f>
        <v>187.12</v>
      </c>
      <c r="I1412" s="93" t="str">
        <f t="shared" si="85"/>
        <v>Friday</v>
      </c>
      <c r="J1412" s="93" t="str">
        <f t="shared" si="86"/>
        <v>September</v>
      </c>
      <c r="K1412" s="93" t="str">
        <f t="shared" si="87"/>
        <v>2024</v>
      </c>
      <c r="L1412" s="6"/>
      <c r="M1412" s="6"/>
      <c r="N1412" s="6"/>
    </row>
    <row r="1413" spans="1:14" x14ac:dyDescent="0.3">
      <c r="A1413" s="87">
        <v>45548</v>
      </c>
      <c r="B1413" s="87" t="str">
        <f t="shared" si="88"/>
        <v>Friday</v>
      </c>
      <c r="C1413" s="88" t="s">
        <v>1381</v>
      </c>
      <c r="D1413" s="88" t="s">
        <v>564</v>
      </c>
      <c r="E1413" s="89">
        <v>27.92</v>
      </c>
      <c r="F1413" s="88" t="s">
        <v>12</v>
      </c>
      <c r="G1413" s="87">
        <f>Table1[[#This Row],[date]]</f>
        <v>45548</v>
      </c>
      <c r="H1413" s="94">
        <f>SUMIF($A$2:A5048,G1413,$E$2:E5048)</f>
        <v>187.12</v>
      </c>
      <c r="I1413" s="93" t="str">
        <f t="shared" si="85"/>
        <v>Friday</v>
      </c>
      <c r="J1413" s="93" t="str">
        <f t="shared" si="86"/>
        <v>September</v>
      </c>
      <c r="K1413" s="93" t="str">
        <f t="shared" si="87"/>
        <v>2024</v>
      </c>
      <c r="L1413" s="6"/>
      <c r="M1413" s="6"/>
      <c r="N1413" s="6"/>
    </row>
    <row r="1414" spans="1:14" x14ac:dyDescent="0.3">
      <c r="A1414" s="92">
        <v>45549</v>
      </c>
      <c r="B1414" s="92" t="str">
        <f t="shared" si="88"/>
        <v>Saturday</v>
      </c>
      <c r="C1414" s="93" t="s">
        <v>1381</v>
      </c>
      <c r="D1414" s="93" t="s">
        <v>555</v>
      </c>
      <c r="E1414" s="94">
        <v>32.82</v>
      </c>
      <c r="F1414" s="93" t="s">
        <v>41</v>
      </c>
      <c r="G1414" s="87">
        <f>Table1[[#This Row],[date]]</f>
        <v>45549</v>
      </c>
      <c r="H1414" s="94">
        <f>SUMIF($A$2:A5049,G1414,$E$2:E5049)</f>
        <v>32.82</v>
      </c>
      <c r="I1414" s="93" t="str">
        <f t="shared" ref="I1414:I1477" si="89">TEXT(G1414,"dddd")</f>
        <v>Saturday</v>
      </c>
      <c r="J1414" s="93" t="str">
        <f t="shared" si="86"/>
        <v>September</v>
      </c>
      <c r="K1414" s="93" t="str">
        <f t="shared" si="87"/>
        <v>2024</v>
      </c>
      <c r="L1414" s="6"/>
      <c r="M1414" s="6"/>
      <c r="N1414" s="6"/>
    </row>
    <row r="1415" spans="1:14" x14ac:dyDescent="0.3">
      <c r="A1415" s="92">
        <v>45550</v>
      </c>
      <c r="B1415" s="92" t="str">
        <f t="shared" si="88"/>
        <v>Sunday</v>
      </c>
      <c r="C1415" s="93" t="s">
        <v>1381</v>
      </c>
      <c r="D1415" s="93" t="s">
        <v>359</v>
      </c>
      <c r="E1415" s="94">
        <v>18.12</v>
      </c>
      <c r="F1415" s="93" t="s">
        <v>33</v>
      </c>
      <c r="G1415" s="87">
        <f>Table1[[#This Row],[date]]</f>
        <v>45550</v>
      </c>
      <c r="H1415" s="94">
        <f>SUMIF($A$2:A5050,G1415,$E$2:E5050)</f>
        <v>124.9</v>
      </c>
      <c r="I1415" s="93" t="str">
        <f t="shared" si="89"/>
        <v>Sunday</v>
      </c>
      <c r="J1415" s="93" t="str">
        <f t="shared" ref="J1415:J1478" si="90">TEXT(G1415,"mmmm")</f>
        <v>September</v>
      </c>
      <c r="K1415" s="93" t="str">
        <f t="shared" ref="K1415:K1478" si="91">TEXT(G1415,"yyyy")</f>
        <v>2024</v>
      </c>
      <c r="L1415" s="6"/>
      <c r="M1415" s="6"/>
      <c r="N1415" s="6"/>
    </row>
    <row r="1416" spans="1:14" x14ac:dyDescent="0.3">
      <c r="A1416" s="87">
        <v>45550</v>
      </c>
      <c r="B1416" s="87" t="str">
        <f t="shared" si="88"/>
        <v>Sunday</v>
      </c>
      <c r="C1416" s="88" t="s">
        <v>1381</v>
      </c>
      <c r="D1416" s="88" t="s">
        <v>632</v>
      </c>
      <c r="E1416" s="89">
        <v>27.92</v>
      </c>
      <c r="F1416" s="88" t="s">
        <v>12</v>
      </c>
      <c r="G1416" s="87">
        <f>Table1[[#This Row],[date]]</f>
        <v>45550</v>
      </c>
      <c r="H1416" s="94">
        <f>SUMIF($A$2:A5051,G1416,$E$2:E5051)</f>
        <v>124.9</v>
      </c>
      <c r="I1416" s="93" t="str">
        <f t="shared" si="89"/>
        <v>Sunday</v>
      </c>
      <c r="J1416" s="93" t="str">
        <f t="shared" si="90"/>
        <v>September</v>
      </c>
      <c r="K1416" s="93" t="str">
        <f t="shared" si="91"/>
        <v>2024</v>
      </c>
      <c r="L1416" s="6"/>
      <c r="M1416" s="6"/>
      <c r="N1416" s="6"/>
    </row>
    <row r="1417" spans="1:14" x14ac:dyDescent="0.3">
      <c r="A1417" s="92">
        <v>45550</v>
      </c>
      <c r="B1417" s="92" t="str">
        <f t="shared" si="88"/>
        <v>Sunday</v>
      </c>
      <c r="C1417" s="93" t="s">
        <v>1381</v>
      </c>
      <c r="D1417" s="93" t="s">
        <v>316</v>
      </c>
      <c r="E1417" s="94">
        <v>23.02</v>
      </c>
      <c r="F1417" s="93" t="s">
        <v>9</v>
      </c>
      <c r="G1417" s="87">
        <f>Table1[[#This Row],[date]]</f>
        <v>45550</v>
      </c>
      <c r="H1417" s="94">
        <f>SUMIF($A$2:A5052,G1417,$E$2:E5052)</f>
        <v>124.9</v>
      </c>
      <c r="I1417" s="93" t="str">
        <f t="shared" si="89"/>
        <v>Sunday</v>
      </c>
      <c r="J1417" s="93" t="str">
        <f t="shared" si="90"/>
        <v>September</v>
      </c>
      <c r="K1417" s="93" t="str">
        <f t="shared" si="91"/>
        <v>2024</v>
      </c>
      <c r="L1417" s="6"/>
      <c r="M1417" s="6"/>
      <c r="N1417" s="6"/>
    </row>
    <row r="1418" spans="1:14" x14ac:dyDescent="0.3">
      <c r="A1418" s="87">
        <v>45550</v>
      </c>
      <c r="B1418" s="87" t="str">
        <f t="shared" si="88"/>
        <v>Sunday</v>
      </c>
      <c r="C1418" s="88" t="s">
        <v>1381</v>
      </c>
      <c r="D1418" s="88" t="s">
        <v>153</v>
      </c>
      <c r="E1418" s="89">
        <v>23.02</v>
      </c>
      <c r="F1418" s="88" t="s">
        <v>26</v>
      </c>
      <c r="G1418" s="87">
        <f>Table1[[#This Row],[date]]</f>
        <v>45550</v>
      </c>
      <c r="H1418" s="94">
        <f>SUMIF($A$2:A5053,G1418,$E$2:E5053)</f>
        <v>124.9</v>
      </c>
      <c r="I1418" s="93" t="str">
        <f t="shared" si="89"/>
        <v>Sunday</v>
      </c>
      <c r="J1418" s="93" t="str">
        <f t="shared" si="90"/>
        <v>September</v>
      </c>
      <c r="K1418" s="93" t="str">
        <f t="shared" si="91"/>
        <v>2024</v>
      </c>
      <c r="L1418" s="6"/>
      <c r="M1418" s="6"/>
      <c r="N1418" s="6"/>
    </row>
    <row r="1419" spans="1:14" x14ac:dyDescent="0.3">
      <c r="A1419" s="87">
        <v>45550</v>
      </c>
      <c r="B1419" s="87" t="str">
        <f t="shared" si="88"/>
        <v>Sunday</v>
      </c>
      <c r="C1419" s="88" t="s">
        <v>1381</v>
      </c>
      <c r="D1419" s="88" t="s">
        <v>555</v>
      </c>
      <c r="E1419" s="89">
        <v>32.82</v>
      </c>
      <c r="F1419" s="88" t="s">
        <v>41</v>
      </c>
      <c r="G1419" s="87">
        <f>Table1[[#This Row],[date]]</f>
        <v>45550</v>
      </c>
      <c r="H1419" s="94">
        <f>SUMIF($A$2:A5054,G1419,$E$2:E5054)</f>
        <v>124.9</v>
      </c>
      <c r="I1419" s="93" t="str">
        <f t="shared" si="89"/>
        <v>Sunday</v>
      </c>
      <c r="J1419" s="93" t="str">
        <f t="shared" si="90"/>
        <v>September</v>
      </c>
      <c r="K1419" s="93" t="str">
        <f t="shared" si="91"/>
        <v>2024</v>
      </c>
      <c r="L1419" s="6"/>
      <c r="M1419" s="6"/>
      <c r="N1419" s="6"/>
    </row>
    <row r="1420" spans="1:14" x14ac:dyDescent="0.3">
      <c r="A1420" s="92">
        <v>45551</v>
      </c>
      <c r="B1420" s="92" t="str">
        <f t="shared" si="88"/>
        <v>Monday</v>
      </c>
      <c r="C1420" s="93" t="s">
        <v>1381</v>
      </c>
      <c r="D1420" s="93" t="s">
        <v>633</v>
      </c>
      <c r="E1420" s="94">
        <v>32.82</v>
      </c>
      <c r="F1420" s="93" t="s">
        <v>5</v>
      </c>
      <c r="G1420" s="87">
        <f>Table1[[#This Row],[date]]</f>
        <v>45551</v>
      </c>
      <c r="H1420" s="94">
        <f>SUMIF($A$2:A5055,G1420,$E$2:E5055)</f>
        <v>303.7</v>
      </c>
      <c r="I1420" s="93" t="str">
        <f t="shared" si="89"/>
        <v>Monday</v>
      </c>
      <c r="J1420" s="93" t="str">
        <f t="shared" si="90"/>
        <v>September</v>
      </c>
      <c r="K1420" s="93" t="str">
        <f t="shared" si="91"/>
        <v>2024</v>
      </c>
      <c r="L1420" s="6"/>
      <c r="M1420" s="6"/>
      <c r="N1420" s="6"/>
    </row>
    <row r="1421" spans="1:14" x14ac:dyDescent="0.3">
      <c r="A1421" s="87">
        <v>45551</v>
      </c>
      <c r="B1421" s="87" t="str">
        <f t="shared" si="88"/>
        <v>Monday</v>
      </c>
      <c r="C1421" s="88" t="s">
        <v>1381</v>
      </c>
      <c r="D1421" s="88" t="s">
        <v>596</v>
      </c>
      <c r="E1421" s="89">
        <v>27.92</v>
      </c>
      <c r="F1421" s="88" t="s">
        <v>12</v>
      </c>
      <c r="G1421" s="87">
        <f>Table1[[#This Row],[date]]</f>
        <v>45551</v>
      </c>
      <c r="H1421" s="94">
        <f>SUMIF($A$2:A5056,G1421,$E$2:E5056)</f>
        <v>303.7</v>
      </c>
      <c r="I1421" s="93" t="str">
        <f t="shared" si="89"/>
        <v>Monday</v>
      </c>
      <c r="J1421" s="93" t="str">
        <f t="shared" si="90"/>
        <v>September</v>
      </c>
      <c r="K1421" s="93" t="str">
        <f t="shared" si="91"/>
        <v>2024</v>
      </c>
      <c r="L1421" s="6"/>
      <c r="M1421" s="6"/>
      <c r="N1421" s="6"/>
    </row>
    <row r="1422" spans="1:14" x14ac:dyDescent="0.3">
      <c r="A1422" s="87">
        <v>45551</v>
      </c>
      <c r="B1422" s="87" t="str">
        <f t="shared" si="88"/>
        <v>Monday</v>
      </c>
      <c r="C1422" s="88" t="s">
        <v>1381</v>
      </c>
      <c r="D1422" s="88" t="s">
        <v>634</v>
      </c>
      <c r="E1422" s="89">
        <v>27.92</v>
      </c>
      <c r="F1422" s="88" t="s">
        <v>12</v>
      </c>
      <c r="G1422" s="87">
        <f>Table1[[#This Row],[date]]</f>
        <v>45551</v>
      </c>
      <c r="H1422" s="94">
        <f>SUMIF($A$2:A5057,G1422,$E$2:E5057)</f>
        <v>303.7</v>
      </c>
      <c r="I1422" s="93" t="str">
        <f t="shared" si="89"/>
        <v>Monday</v>
      </c>
      <c r="J1422" s="93" t="str">
        <f t="shared" si="90"/>
        <v>September</v>
      </c>
      <c r="K1422" s="93" t="str">
        <f t="shared" si="91"/>
        <v>2024</v>
      </c>
      <c r="L1422" s="6"/>
      <c r="M1422" s="6"/>
      <c r="N1422" s="6"/>
    </row>
    <row r="1423" spans="1:14" x14ac:dyDescent="0.3">
      <c r="A1423" s="92">
        <v>45551</v>
      </c>
      <c r="B1423" s="92" t="str">
        <f t="shared" si="88"/>
        <v>Monday</v>
      </c>
      <c r="C1423" s="93" t="s">
        <v>1381</v>
      </c>
      <c r="D1423" s="93" t="s">
        <v>635</v>
      </c>
      <c r="E1423" s="94">
        <v>32.82</v>
      </c>
      <c r="F1423" s="93" t="s">
        <v>5</v>
      </c>
      <c r="G1423" s="87">
        <f>Table1[[#This Row],[date]]</f>
        <v>45551</v>
      </c>
      <c r="H1423" s="94">
        <f>SUMIF($A$2:A5058,G1423,$E$2:E5058)</f>
        <v>303.7</v>
      </c>
      <c r="I1423" s="93" t="str">
        <f t="shared" si="89"/>
        <v>Monday</v>
      </c>
      <c r="J1423" s="93" t="str">
        <f t="shared" si="90"/>
        <v>September</v>
      </c>
      <c r="K1423" s="93" t="str">
        <f t="shared" si="91"/>
        <v>2024</v>
      </c>
      <c r="L1423" s="6"/>
      <c r="M1423" s="6"/>
      <c r="N1423" s="6"/>
    </row>
    <row r="1424" spans="1:14" x14ac:dyDescent="0.3">
      <c r="A1424" s="87">
        <v>45551</v>
      </c>
      <c r="B1424" s="87" t="str">
        <f t="shared" si="88"/>
        <v>Monday</v>
      </c>
      <c r="C1424" s="88" t="s">
        <v>1381</v>
      </c>
      <c r="D1424" s="88" t="s">
        <v>636</v>
      </c>
      <c r="E1424" s="89">
        <v>32.82</v>
      </c>
      <c r="F1424" s="88" t="s">
        <v>5</v>
      </c>
      <c r="G1424" s="87">
        <f>Table1[[#This Row],[date]]</f>
        <v>45551</v>
      </c>
      <c r="H1424" s="94">
        <f>SUMIF($A$2:A5059,G1424,$E$2:E5059)</f>
        <v>303.7</v>
      </c>
      <c r="I1424" s="93" t="str">
        <f t="shared" si="89"/>
        <v>Monday</v>
      </c>
      <c r="J1424" s="93" t="str">
        <f t="shared" si="90"/>
        <v>September</v>
      </c>
      <c r="K1424" s="93" t="str">
        <f t="shared" si="91"/>
        <v>2024</v>
      </c>
      <c r="L1424" s="6"/>
      <c r="M1424" s="6"/>
      <c r="N1424" s="6"/>
    </row>
    <row r="1425" spans="1:14" x14ac:dyDescent="0.3">
      <c r="A1425" s="92">
        <v>45551</v>
      </c>
      <c r="B1425" s="92" t="str">
        <f t="shared" si="88"/>
        <v>Monday</v>
      </c>
      <c r="C1425" s="93" t="s">
        <v>1381</v>
      </c>
      <c r="D1425" s="93" t="s">
        <v>637</v>
      </c>
      <c r="E1425" s="94">
        <v>32.82</v>
      </c>
      <c r="F1425" s="93" t="s">
        <v>5</v>
      </c>
      <c r="G1425" s="87">
        <f>Table1[[#This Row],[date]]</f>
        <v>45551</v>
      </c>
      <c r="H1425" s="94">
        <f>SUMIF($A$2:A5060,G1425,$E$2:E5060)</f>
        <v>303.7</v>
      </c>
      <c r="I1425" s="93" t="str">
        <f t="shared" si="89"/>
        <v>Monday</v>
      </c>
      <c r="J1425" s="93" t="str">
        <f t="shared" si="90"/>
        <v>September</v>
      </c>
      <c r="K1425" s="93" t="str">
        <f t="shared" si="91"/>
        <v>2024</v>
      </c>
      <c r="L1425" s="6"/>
      <c r="M1425" s="6"/>
      <c r="N1425" s="6"/>
    </row>
    <row r="1426" spans="1:14" x14ac:dyDescent="0.3">
      <c r="A1426" s="87">
        <v>45551</v>
      </c>
      <c r="B1426" s="87" t="str">
        <f t="shared" si="88"/>
        <v>Monday</v>
      </c>
      <c r="C1426" s="88" t="s">
        <v>1381</v>
      </c>
      <c r="D1426" s="88" t="s">
        <v>638</v>
      </c>
      <c r="E1426" s="89">
        <v>27.92</v>
      </c>
      <c r="F1426" s="88" t="s">
        <v>12</v>
      </c>
      <c r="G1426" s="87">
        <f>Table1[[#This Row],[date]]</f>
        <v>45551</v>
      </c>
      <c r="H1426" s="94">
        <f>SUMIF($A$2:A5061,G1426,$E$2:E5061)</f>
        <v>303.7</v>
      </c>
      <c r="I1426" s="93" t="str">
        <f t="shared" si="89"/>
        <v>Monday</v>
      </c>
      <c r="J1426" s="93" t="str">
        <f t="shared" si="90"/>
        <v>September</v>
      </c>
      <c r="K1426" s="93" t="str">
        <f t="shared" si="91"/>
        <v>2024</v>
      </c>
      <c r="L1426" s="6"/>
      <c r="M1426" s="6"/>
      <c r="N1426" s="6"/>
    </row>
    <row r="1427" spans="1:14" x14ac:dyDescent="0.3">
      <c r="A1427" s="92">
        <v>45551</v>
      </c>
      <c r="B1427" s="92" t="str">
        <f t="shared" si="88"/>
        <v>Monday</v>
      </c>
      <c r="C1427" s="93" t="s">
        <v>1381</v>
      </c>
      <c r="D1427" s="93" t="s">
        <v>638</v>
      </c>
      <c r="E1427" s="94">
        <v>32.82</v>
      </c>
      <c r="F1427" s="93" t="s">
        <v>5</v>
      </c>
      <c r="G1427" s="87">
        <f>Table1[[#This Row],[date]]</f>
        <v>45551</v>
      </c>
      <c r="H1427" s="94">
        <f>SUMIF($A$2:A5062,G1427,$E$2:E5062)</f>
        <v>303.7</v>
      </c>
      <c r="I1427" s="93" t="str">
        <f t="shared" si="89"/>
        <v>Monday</v>
      </c>
      <c r="J1427" s="93" t="str">
        <f t="shared" si="90"/>
        <v>September</v>
      </c>
      <c r="K1427" s="93" t="str">
        <f t="shared" si="91"/>
        <v>2024</v>
      </c>
      <c r="L1427" s="6"/>
      <c r="M1427" s="6"/>
      <c r="N1427" s="6"/>
    </row>
    <row r="1428" spans="1:14" x14ac:dyDescent="0.3">
      <c r="A1428" s="87">
        <v>45551</v>
      </c>
      <c r="B1428" s="87" t="str">
        <f t="shared" si="88"/>
        <v>Monday</v>
      </c>
      <c r="C1428" s="88" t="s">
        <v>1381</v>
      </c>
      <c r="D1428" s="88" t="s">
        <v>299</v>
      </c>
      <c r="E1428" s="89">
        <v>27.92</v>
      </c>
      <c r="F1428" s="88" t="s">
        <v>12</v>
      </c>
      <c r="G1428" s="87">
        <f>Table1[[#This Row],[date]]</f>
        <v>45551</v>
      </c>
      <c r="H1428" s="94">
        <f>SUMIF($A$2:A5063,G1428,$E$2:E5063)</f>
        <v>303.7</v>
      </c>
      <c r="I1428" s="93" t="str">
        <f t="shared" si="89"/>
        <v>Monday</v>
      </c>
      <c r="J1428" s="93" t="str">
        <f t="shared" si="90"/>
        <v>September</v>
      </c>
      <c r="K1428" s="93" t="str">
        <f t="shared" si="91"/>
        <v>2024</v>
      </c>
      <c r="L1428" s="6"/>
      <c r="M1428" s="6"/>
      <c r="N1428" s="6"/>
    </row>
    <row r="1429" spans="1:14" x14ac:dyDescent="0.3">
      <c r="A1429" s="92">
        <v>45551</v>
      </c>
      <c r="B1429" s="92" t="str">
        <f t="shared" si="88"/>
        <v>Monday</v>
      </c>
      <c r="C1429" s="93" t="s">
        <v>1381</v>
      </c>
      <c r="D1429" s="93" t="s">
        <v>109</v>
      </c>
      <c r="E1429" s="94">
        <v>27.92</v>
      </c>
      <c r="F1429" s="93" t="s">
        <v>12</v>
      </c>
      <c r="G1429" s="87">
        <f>Table1[[#This Row],[date]]</f>
        <v>45551</v>
      </c>
      <c r="H1429" s="94">
        <f>SUMIF($A$2:A5064,G1429,$E$2:E5064)</f>
        <v>303.7</v>
      </c>
      <c r="I1429" s="93" t="str">
        <f t="shared" si="89"/>
        <v>Monday</v>
      </c>
      <c r="J1429" s="93" t="str">
        <f t="shared" si="90"/>
        <v>September</v>
      </c>
      <c r="K1429" s="93" t="str">
        <f t="shared" si="91"/>
        <v>2024</v>
      </c>
      <c r="L1429" s="6"/>
      <c r="M1429" s="6"/>
      <c r="N1429" s="6"/>
    </row>
    <row r="1430" spans="1:14" x14ac:dyDescent="0.3">
      <c r="A1430" s="87">
        <v>45552</v>
      </c>
      <c r="B1430" s="87" t="str">
        <f t="shared" si="88"/>
        <v>Tuesday</v>
      </c>
      <c r="C1430" s="88" t="s">
        <v>1381</v>
      </c>
      <c r="D1430" s="88" t="s">
        <v>639</v>
      </c>
      <c r="E1430" s="89">
        <v>23.02</v>
      </c>
      <c r="F1430" s="88" t="s">
        <v>26</v>
      </c>
      <c r="G1430" s="87">
        <f>Table1[[#This Row],[date]]</f>
        <v>45552</v>
      </c>
      <c r="H1430" s="94">
        <f>SUMIF($A$2:A5065,G1430,$E$2:E5065)</f>
        <v>573.10000000000014</v>
      </c>
      <c r="I1430" s="93" t="str">
        <f t="shared" si="89"/>
        <v>Tuesday</v>
      </c>
      <c r="J1430" s="93" t="str">
        <f t="shared" si="90"/>
        <v>September</v>
      </c>
      <c r="K1430" s="93" t="str">
        <f t="shared" si="91"/>
        <v>2024</v>
      </c>
      <c r="L1430" s="6"/>
      <c r="M1430" s="6"/>
      <c r="N1430" s="6"/>
    </row>
    <row r="1431" spans="1:14" x14ac:dyDescent="0.3">
      <c r="A1431" s="92">
        <v>45552</v>
      </c>
      <c r="B1431" s="92" t="str">
        <f t="shared" si="88"/>
        <v>Tuesday</v>
      </c>
      <c r="C1431" s="93" t="s">
        <v>1381</v>
      </c>
      <c r="D1431" s="93" t="s">
        <v>633</v>
      </c>
      <c r="E1431" s="94">
        <v>32.82</v>
      </c>
      <c r="F1431" s="93" t="s">
        <v>5</v>
      </c>
      <c r="G1431" s="87">
        <f>Table1[[#This Row],[date]]</f>
        <v>45552</v>
      </c>
      <c r="H1431" s="94">
        <f>SUMIF($A$2:A5066,G1431,$E$2:E5066)</f>
        <v>573.10000000000014</v>
      </c>
      <c r="I1431" s="93" t="str">
        <f t="shared" si="89"/>
        <v>Tuesday</v>
      </c>
      <c r="J1431" s="93" t="str">
        <f t="shared" si="90"/>
        <v>September</v>
      </c>
      <c r="K1431" s="93" t="str">
        <f t="shared" si="91"/>
        <v>2024</v>
      </c>
      <c r="L1431" s="6"/>
      <c r="M1431" s="6"/>
      <c r="N1431" s="6"/>
    </row>
    <row r="1432" spans="1:14" x14ac:dyDescent="0.3">
      <c r="A1432" s="87">
        <v>45552</v>
      </c>
      <c r="B1432" s="87" t="str">
        <f t="shared" si="88"/>
        <v>Tuesday</v>
      </c>
      <c r="C1432" s="88" t="s">
        <v>1381</v>
      </c>
      <c r="D1432" s="88" t="s">
        <v>288</v>
      </c>
      <c r="E1432" s="89">
        <v>27.92</v>
      </c>
      <c r="F1432" s="88" t="s">
        <v>12</v>
      </c>
      <c r="G1432" s="87">
        <f>Table1[[#This Row],[date]]</f>
        <v>45552</v>
      </c>
      <c r="H1432" s="94">
        <f>SUMIF($A$2:A5067,G1432,$E$2:E5067)</f>
        <v>573.10000000000014</v>
      </c>
      <c r="I1432" s="93" t="str">
        <f t="shared" si="89"/>
        <v>Tuesday</v>
      </c>
      <c r="J1432" s="93" t="str">
        <f t="shared" si="90"/>
        <v>September</v>
      </c>
      <c r="K1432" s="93" t="str">
        <f t="shared" si="91"/>
        <v>2024</v>
      </c>
      <c r="L1432" s="6"/>
      <c r="M1432" s="6"/>
      <c r="N1432" s="6"/>
    </row>
    <row r="1433" spans="1:14" x14ac:dyDescent="0.3">
      <c r="A1433" s="92">
        <v>45552</v>
      </c>
      <c r="B1433" s="92" t="str">
        <f t="shared" si="88"/>
        <v>Tuesday</v>
      </c>
      <c r="C1433" s="93" t="s">
        <v>1381</v>
      </c>
      <c r="D1433" s="93" t="s">
        <v>153</v>
      </c>
      <c r="E1433" s="94">
        <v>23.02</v>
      </c>
      <c r="F1433" s="93" t="s">
        <v>26</v>
      </c>
      <c r="G1433" s="87">
        <f>Table1[[#This Row],[date]]</f>
        <v>45552</v>
      </c>
      <c r="H1433" s="94">
        <f>SUMIF($A$2:A5068,G1433,$E$2:E5068)</f>
        <v>573.10000000000014</v>
      </c>
      <c r="I1433" s="93" t="str">
        <f t="shared" si="89"/>
        <v>Tuesday</v>
      </c>
      <c r="J1433" s="93" t="str">
        <f t="shared" si="90"/>
        <v>September</v>
      </c>
      <c r="K1433" s="93" t="str">
        <f t="shared" si="91"/>
        <v>2024</v>
      </c>
      <c r="L1433" s="6"/>
      <c r="M1433" s="6"/>
      <c r="N1433" s="6"/>
    </row>
    <row r="1434" spans="1:14" x14ac:dyDescent="0.3">
      <c r="A1434" s="87">
        <v>45552</v>
      </c>
      <c r="B1434" s="87" t="str">
        <f t="shared" si="88"/>
        <v>Tuesday</v>
      </c>
      <c r="C1434" s="88" t="s">
        <v>1381</v>
      </c>
      <c r="D1434" s="88" t="s">
        <v>566</v>
      </c>
      <c r="E1434" s="89">
        <v>32.82</v>
      </c>
      <c r="F1434" s="88" t="s">
        <v>41</v>
      </c>
      <c r="G1434" s="87">
        <f>Table1[[#This Row],[date]]</f>
        <v>45552</v>
      </c>
      <c r="H1434" s="94">
        <f>SUMIF($A$2:A5069,G1434,$E$2:E5069)</f>
        <v>573.10000000000014</v>
      </c>
      <c r="I1434" s="93" t="str">
        <f t="shared" si="89"/>
        <v>Tuesday</v>
      </c>
      <c r="J1434" s="93" t="str">
        <f t="shared" si="90"/>
        <v>September</v>
      </c>
      <c r="K1434" s="93" t="str">
        <f t="shared" si="91"/>
        <v>2024</v>
      </c>
      <c r="L1434" s="6"/>
      <c r="M1434" s="6"/>
      <c r="N1434" s="6"/>
    </row>
    <row r="1435" spans="1:14" x14ac:dyDescent="0.3">
      <c r="A1435" s="92">
        <v>45552</v>
      </c>
      <c r="B1435" s="92" t="str">
        <f t="shared" si="88"/>
        <v>Tuesday</v>
      </c>
      <c r="C1435" s="93" t="s">
        <v>1381</v>
      </c>
      <c r="D1435" s="93" t="s">
        <v>566</v>
      </c>
      <c r="E1435" s="94">
        <v>27.92</v>
      </c>
      <c r="F1435" s="93" t="s">
        <v>12</v>
      </c>
      <c r="G1435" s="87">
        <f>Table1[[#This Row],[date]]</f>
        <v>45552</v>
      </c>
      <c r="H1435" s="94">
        <f>SUMIF($A$2:A5070,G1435,$E$2:E5070)</f>
        <v>573.10000000000014</v>
      </c>
      <c r="I1435" s="93" t="str">
        <f t="shared" si="89"/>
        <v>Tuesday</v>
      </c>
      <c r="J1435" s="93" t="str">
        <f t="shared" si="90"/>
        <v>September</v>
      </c>
      <c r="K1435" s="93" t="str">
        <f t="shared" si="91"/>
        <v>2024</v>
      </c>
      <c r="L1435" s="6"/>
      <c r="M1435" s="6"/>
      <c r="N1435" s="6"/>
    </row>
    <row r="1436" spans="1:14" x14ac:dyDescent="0.3">
      <c r="A1436" s="87">
        <v>45552</v>
      </c>
      <c r="B1436" s="87" t="str">
        <f t="shared" si="88"/>
        <v>Tuesday</v>
      </c>
      <c r="C1436" s="88" t="s">
        <v>1381</v>
      </c>
      <c r="D1436" s="88" t="s">
        <v>632</v>
      </c>
      <c r="E1436" s="89">
        <v>27.92</v>
      </c>
      <c r="F1436" s="88" t="s">
        <v>12</v>
      </c>
      <c r="G1436" s="87">
        <f>Table1[[#This Row],[date]]</f>
        <v>45552</v>
      </c>
      <c r="H1436" s="94">
        <f>SUMIF($A$2:A5071,G1436,$E$2:E5071)</f>
        <v>573.10000000000014</v>
      </c>
      <c r="I1436" s="93" t="str">
        <f t="shared" si="89"/>
        <v>Tuesday</v>
      </c>
      <c r="J1436" s="93" t="str">
        <f t="shared" si="90"/>
        <v>September</v>
      </c>
      <c r="K1436" s="93" t="str">
        <f t="shared" si="91"/>
        <v>2024</v>
      </c>
      <c r="L1436" s="6"/>
      <c r="M1436" s="6"/>
      <c r="N1436" s="6"/>
    </row>
    <row r="1437" spans="1:14" x14ac:dyDescent="0.3">
      <c r="A1437" s="92">
        <v>45552</v>
      </c>
      <c r="B1437" s="92" t="str">
        <f t="shared" si="88"/>
        <v>Tuesday</v>
      </c>
      <c r="C1437" s="93" t="s">
        <v>1381</v>
      </c>
      <c r="D1437" s="93" t="s">
        <v>640</v>
      </c>
      <c r="E1437" s="94">
        <v>18.12</v>
      </c>
      <c r="F1437" s="93" t="s">
        <v>33</v>
      </c>
      <c r="G1437" s="87">
        <f>Table1[[#This Row],[date]]</f>
        <v>45552</v>
      </c>
      <c r="H1437" s="94">
        <f>SUMIF($A$2:A5072,G1437,$E$2:E5072)</f>
        <v>573.10000000000014</v>
      </c>
      <c r="I1437" s="93" t="str">
        <f t="shared" si="89"/>
        <v>Tuesday</v>
      </c>
      <c r="J1437" s="93" t="str">
        <f t="shared" si="90"/>
        <v>September</v>
      </c>
      <c r="K1437" s="93" t="str">
        <f t="shared" si="91"/>
        <v>2024</v>
      </c>
      <c r="L1437" s="6"/>
      <c r="M1437" s="6"/>
      <c r="N1437" s="6"/>
    </row>
    <row r="1438" spans="1:14" x14ac:dyDescent="0.3">
      <c r="A1438" s="87">
        <v>45552</v>
      </c>
      <c r="B1438" s="87" t="str">
        <f t="shared" si="88"/>
        <v>Tuesday</v>
      </c>
      <c r="C1438" s="88" t="s">
        <v>1381</v>
      </c>
      <c r="D1438" s="88" t="s">
        <v>640</v>
      </c>
      <c r="E1438" s="89">
        <v>27.92</v>
      </c>
      <c r="F1438" s="88" t="s">
        <v>12</v>
      </c>
      <c r="G1438" s="87">
        <f>Table1[[#This Row],[date]]</f>
        <v>45552</v>
      </c>
      <c r="H1438" s="94">
        <f>SUMIF($A$2:A5073,G1438,$E$2:E5073)</f>
        <v>573.10000000000014</v>
      </c>
      <c r="I1438" s="93" t="str">
        <f t="shared" si="89"/>
        <v>Tuesday</v>
      </c>
      <c r="J1438" s="93" t="str">
        <f t="shared" si="90"/>
        <v>September</v>
      </c>
      <c r="K1438" s="93" t="str">
        <f t="shared" si="91"/>
        <v>2024</v>
      </c>
      <c r="L1438" s="6"/>
      <c r="M1438" s="6"/>
      <c r="N1438" s="6"/>
    </row>
    <row r="1439" spans="1:14" x14ac:dyDescent="0.3">
      <c r="A1439" s="92">
        <v>45552</v>
      </c>
      <c r="B1439" s="92" t="str">
        <f t="shared" si="88"/>
        <v>Tuesday</v>
      </c>
      <c r="C1439" s="93" t="s">
        <v>1381</v>
      </c>
      <c r="D1439" s="93" t="s">
        <v>641</v>
      </c>
      <c r="E1439" s="94">
        <v>32.82</v>
      </c>
      <c r="F1439" s="93" t="s">
        <v>5</v>
      </c>
      <c r="G1439" s="87">
        <f>Table1[[#This Row],[date]]</f>
        <v>45552</v>
      </c>
      <c r="H1439" s="94">
        <f>SUMIF($A$2:A5074,G1439,$E$2:E5074)</f>
        <v>573.10000000000014</v>
      </c>
      <c r="I1439" s="93" t="str">
        <f t="shared" si="89"/>
        <v>Tuesday</v>
      </c>
      <c r="J1439" s="93" t="str">
        <f t="shared" si="90"/>
        <v>September</v>
      </c>
      <c r="K1439" s="93" t="str">
        <f t="shared" si="91"/>
        <v>2024</v>
      </c>
      <c r="L1439" s="6"/>
      <c r="M1439" s="6"/>
      <c r="N1439" s="6"/>
    </row>
    <row r="1440" spans="1:14" x14ac:dyDescent="0.3">
      <c r="A1440" s="92">
        <v>45552</v>
      </c>
      <c r="B1440" s="92" t="str">
        <f t="shared" si="88"/>
        <v>Tuesday</v>
      </c>
      <c r="C1440" s="93" t="s">
        <v>1381</v>
      </c>
      <c r="D1440" s="93" t="s">
        <v>642</v>
      </c>
      <c r="E1440" s="94">
        <v>23.02</v>
      </c>
      <c r="F1440" s="93" t="s">
        <v>26</v>
      </c>
      <c r="G1440" s="87">
        <f>Table1[[#This Row],[date]]</f>
        <v>45552</v>
      </c>
      <c r="H1440" s="94">
        <f>SUMIF($A$2:A5075,G1440,$E$2:E5075)</f>
        <v>573.10000000000014</v>
      </c>
      <c r="I1440" s="93" t="str">
        <f t="shared" si="89"/>
        <v>Tuesday</v>
      </c>
      <c r="J1440" s="93" t="str">
        <f t="shared" si="90"/>
        <v>September</v>
      </c>
      <c r="K1440" s="93" t="str">
        <f t="shared" si="91"/>
        <v>2024</v>
      </c>
      <c r="L1440" s="6"/>
      <c r="M1440" s="6"/>
      <c r="N1440" s="6"/>
    </row>
    <row r="1441" spans="1:14" x14ac:dyDescent="0.3">
      <c r="A1441" s="92">
        <v>45552</v>
      </c>
      <c r="B1441" s="92" t="str">
        <f t="shared" si="88"/>
        <v>Tuesday</v>
      </c>
      <c r="C1441" s="93" t="s">
        <v>1381</v>
      </c>
      <c r="D1441" s="93" t="s">
        <v>642</v>
      </c>
      <c r="E1441" s="94">
        <v>32.82</v>
      </c>
      <c r="F1441" s="93" t="s">
        <v>5</v>
      </c>
      <c r="G1441" s="87">
        <f>Table1[[#This Row],[date]]</f>
        <v>45552</v>
      </c>
      <c r="H1441" s="94">
        <f>SUMIF($A$2:A5076,G1441,$E$2:E5076)</f>
        <v>573.10000000000014</v>
      </c>
      <c r="I1441" s="93" t="str">
        <f t="shared" si="89"/>
        <v>Tuesday</v>
      </c>
      <c r="J1441" s="93" t="str">
        <f t="shared" si="90"/>
        <v>September</v>
      </c>
      <c r="K1441" s="93" t="str">
        <f t="shared" si="91"/>
        <v>2024</v>
      </c>
      <c r="L1441" s="6"/>
      <c r="M1441" s="6"/>
      <c r="N1441" s="6"/>
    </row>
    <row r="1442" spans="1:14" x14ac:dyDescent="0.3">
      <c r="A1442" s="87">
        <v>45552</v>
      </c>
      <c r="B1442" s="87" t="str">
        <f t="shared" si="88"/>
        <v>Tuesday</v>
      </c>
      <c r="C1442" s="88" t="s">
        <v>1381</v>
      </c>
      <c r="D1442" s="88" t="s">
        <v>643</v>
      </c>
      <c r="E1442" s="89">
        <v>32.82</v>
      </c>
      <c r="F1442" s="88" t="s">
        <v>7</v>
      </c>
      <c r="G1442" s="87">
        <f>Table1[[#This Row],[date]]</f>
        <v>45552</v>
      </c>
      <c r="H1442" s="94">
        <f>SUMIF($A$2:A5077,G1442,$E$2:E5077)</f>
        <v>573.10000000000014</v>
      </c>
      <c r="I1442" s="93" t="str">
        <f t="shared" si="89"/>
        <v>Tuesday</v>
      </c>
      <c r="J1442" s="93" t="str">
        <f t="shared" si="90"/>
        <v>September</v>
      </c>
      <c r="K1442" s="93" t="str">
        <f t="shared" si="91"/>
        <v>2024</v>
      </c>
      <c r="L1442" s="6"/>
      <c r="M1442" s="6"/>
      <c r="N1442" s="6"/>
    </row>
    <row r="1443" spans="1:14" x14ac:dyDescent="0.3">
      <c r="A1443" s="92">
        <v>45552</v>
      </c>
      <c r="B1443" s="92" t="str">
        <f t="shared" si="88"/>
        <v>Tuesday</v>
      </c>
      <c r="C1443" s="93" t="s">
        <v>1381</v>
      </c>
      <c r="D1443" s="93" t="s">
        <v>644</v>
      </c>
      <c r="E1443" s="94">
        <v>27.92</v>
      </c>
      <c r="F1443" s="93" t="s">
        <v>12</v>
      </c>
      <c r="G1443" s="87">
        <f>Table1[[#This Row],[date]]</f>
        <v>45552</v>
      </c>
      <c r="H1443" s="94">
        <f>SUMIF($A$2:A5078,G1443,$E$2:E5078)</f>
        <v>573.10000000000014</v>
      </c>
      <c r="I1443" s="93" t="str">
        <f t="shared" si="89"/>
        <v>Tuesday</v>
      </c>
      <c r="J1443" s="93" t="str">
        <f t="shared" si="90"/>
        <v>September</v>
      </c>
      <c r="K1443" s="93" t="str">
        <f t="shared" si="91"/>
        <v>2024</v>
      </c>
      <c r="L1443" s="6"/>
      <c r="M1443" s="6"/>
      <c r="N1443" s="6"/>
    </row>
    <row r="1444" spans="1:14" x14ac:dyDescent="0.3">
      <c r="A1444" s="87">
        <v>45552</v>
      </c>
      <c r="B1444" s="87" t="str">
        <f t="shared" si="88"/>
        <v>Tuesday</v>
      </c>
      <c r="C1444" s="88" t="s">
        <v>1381</v>
      </c>
      <c r="D1444" s="88" t="s">
        <v>645</v>
      </c>
      <c r="E1444" s="89">
        <v>27.92</v>
      </c>
      <c r="F1444" s="88" t="s">
        <v>12</v>
      </c>
      <c r="G1444" s="87">
        <f>Table1[[#This Row],[date]]</f>
        <v>45552</v>
      </c>
      <c r="H1444" s="94">
        <f>SUMIF($A$2:A5079,G1444,$E$2:E5079)</f>
        <v>573.10000000000014</v>
      </c>
      <c r="I1444" s="93" t="str">
        <f t="shared" si="89"/>
        <v>Tuesday</v>
      </c>
      <c r="J1444" s="93" t="str">
        <f t="shared" si="90"/>
        <v>September</v>
      </c>
      <c r="K1444" s="93" t="str">
        <f t="shared" si="91"/>
        <v>2024</v>
      </c>
      <c r="L1444" s="6"/>
      <c r="M1444" s="6"/>
      <c r="N1444" s="6"/>
    </row>
    <row r="1445" spans="1:14" x14ac:dyDescent="0.3">
      <c r="A1445" s="92">
        <v>45552</v>
      </c>
      <c r="B1445" s="92" t="str">
        <f t="shared" si="88"/>
        <v>Tuesday</v>
      </c>
      <c r="C1445" s="93" t="s">
        <v>1381</v>
      </c>
      <c r="D1445" s="93" t="s">
        <v>646</v>
      </c>
      <c r="E1445" s="94">
        <v>32.82</v>
      </c>
      <c r="F1445" s="93" t="s">
        <v>5</v>
      </c>
      <c r="G1445" s="87">
        <f>Table1[[#This Row],[date]]</f>
        <v>45552</v>
      </c>
      <c r="H1445" s="94">
        <f>SUMIF($A$2:A5080,G1445,$E$2:E5080)</f>
        <v>573.10000000000014</v>
      </c>
      <c r="I1445" s="93" t="str">
        <f t="shared" si="89"/>
        <v>Tuesday</v>
      </c>
      <c r="J1445" s="93" t="str">
        <f t="shared" si="90"/>
        <v>September</v>
      </c>
      <c r="K1445" s="93" t="str">
        <f t="shared" si="91"/>
        <v>2024</v>
      </c>
      <c r="L1445" s="6"/>
      <c r="M1445" s="6"/>
      <c r="N1445" s="6"/>
    </row>
    <row r="1446" spans="1:14" x14ac:dyDescent="0.3">
      <c r="A1446" s="87">
        <v>45552</v>
      </c>
      <c r="B1446" s="87" t="str">
        <f t="shared" si="88"/>
        <v>Tuesday</v>
      </c>
      <c r="C1446" s="88" t="s">
        <v>1381</v>
      </c>
      <c r="D1446" s="88" t="s">
        <v>646</v>
      </c>
      <c r="E1446" s="89">
        <v>27.92</v>
      </c>
      <c r="F1446" s="88" t="s">
        <v>12</v>
      </c>
      <c r="G1446" s="87">
        <f>Table1[[#This Row],[date]]</f>
        <v>45552</v>
      </c>
      <c r="H1446" s="94">
        <f>SUMIF($A$2:A5081,G1446,$E$2:E5081)</f>
        <v>573.10000000000014</v>
      </c>
      <c r="I1446" s="93" t="str">
        <f t="shared" si="89"/>
        <v>Tuesday</v>
      </c>
      <c r="J1446" s="93" t="str">
        <f t="shared" si="90"/>
        <v>September</v>
      </c>
      <c r="K1446" s="93" t="str">
        <f t="shared" si="91"/>
        <v>2024</v>
      </c>
      <c r="L1446" s="6"/>
      <c r="M1446" s="6"/>
      <c r="N1446" s="6"/>
    </row>
    <row r="1447" spans="1:14" x14ac:dyDescent="0.3">
      <c r="A1447" s="87">
        <v>45552</v>
      </c>
      <c r="B1447" s="87" t="str">
        <f t="shared" si="88"/>
        <v>Tuesday</v>
      </c>
      <c r="C1447" s="88" t="s">
        <v>1381</v>
      </c>
      <c r="D1447" s="88" t="s">
        <v>647</v>
      </c>
      <c r="E1447" s="89">
        <v>27.92</v>
      </c>
      <c r="F1447" s="88" t="s">
        <v>12</v>
      </c>
      <c r="G1447" s="87">
        <f>Table1[[#This Row],[date]]</f>
        <v>45552</v>
      </c>
      <c r="H1447" s="94">
        <f>SUMIF($A$2:A5082,G1447,$E$2:E5082)</f>
        <v>573.10000000000014</v>
      </c>
      <c r="I1447" s="93" t="str">
        <f t="shared" si="89"/>
        <v>Tuesday</v>
      </c>
      <c r="J1447" s="93" t="str">
        <f t="shared" si="90"/>
        <v>September</v>
      </c>
      <c r="K1447" s="93" t="str">
        <f t="shared" si="91"/>
        <v>2024</v>
      </c>
      <c r="L1447" s="6"/>
      <c r="M1447" s="6"/>
      <c r="N1447" s="6"/>
    </row>
    <row r="1448" spans="1:14" x14ac:dyDescent="0.3">
      <c r="A1448" s="92">
        <v>45552</v>
      </c>
      <c r="B1448" s="92" t="str">
        <f t="shared" si="88"/>
        <v>Tuesday</v>
      </c>
      <c r="C1448" s="93" t="s">
        <v>1381</v>
      </c>
      <c r="D1448" s="93" t="s">
        <v>648</v>
      </c>
      <c r="E1448" s="94">
        <v>32.82</v>
      </c>
      <c r="F1448" s="93" t="s">
        <v>7</v>
      </c>
      <c r="G1448" s="87">
        <f>Table1[[#This Row],[date]]</f>
        <v>45552</v>
      </c>
      <c r="H1448" s="94">
        <f>SUMIF($A$2:A5083,G1448,$E$2:E5083)</f>
        <v>573.10000000000014</v>
      </c>
      <c r="I1448" s="93" t="str">
        <f t="shared" si="89"/>
        <v>Tuesday</v>
      </c>
      <c r="J1448" s="93" t="str">
        <f t="shared" si="90"/>
        <v>September</v>
      </c>
      <c r="K1448" s="93" t="str">
        <f t="shared" si="91"/>
        <v>2024</v>
      </c>
      <c r="L1448" s="6"/>
      <c r="M1448" s="6"/>
      <c r="N1448" s="6"/>
    </row>
    <row r="1449" spans="1:14" x14ac:dyDescent="0.3">
      <c r="A1449" s="87">
        <v>45552</v>
      </c>
      <c r="B1449" s="87" t="str">
        <f t="shared" si="88"/>
        <v>Tuesday</v>
      </c>
      <c r="C1449" s="88" t="s">
        <v>1381</v>
      </c>
      <c r="D1449" s="88" t="s">
        <v>649</v>
      </c>
      <c r="E1449" s="89">
        <v>32.82</v>
      </c>
      <c r="F1449" s="88" t="s">
        <v>7</v>
      </c>
      <c r="G1449" s="87">
        <f>Table1[[#This Row],[date]]</f>
        <v>45552</v>
      </c>
      <c r="H1449" s="94">
        <f>SUMIF($A$2:A5084,G1449,$E$2:E5084)</f>
        <v>573.10000000000014</v>
      </c>
      <c r="I1449" s="93" t="str">
        <f t="shared" si="89"/>
        <v>Tuesday</v>
      </c>
      <c r="J1449" s="93" t="str">
        <f t="shared" si="90"/>
        <v>September</v>
      </c>
      <c r="K1449" s="93" t="str">
        <f t="shared" si="91"/>
        <v>2024</v>
      </c>
      <c r="L1449" s="6"/>
      <c r="M1449" s="6"/>
      <c r="N1449" s="6"/>
    </row>
    <row r="1450" spans="1:14" x14ac:dyDescent="0.3">
      <c r="A1450" s="92">
        <v>45553</v>
      </c>
      <c r="B1450" s="92" t="str">
        <f t="shared" si="88"/>
        <v>Wednesday</v>
      </c>
      <c r="C1450" s="93" t="s">
        <v>1381</v>
      </c>
      <c r="D1450" s="93" t="s">
        <v>650</v>
      </c>
      <c r="E1450" s="94">
        <v>32.82</v>
      </c>
      <c r="F1450" s="93" t="s">
        <v>5</v>
      </c>
      <c r="G1450" s="87">
        <f>Table1[[#This Row],[date]]</f>
        <v>45553</v>
      </c>
      <c r="H1450" s="94">
        <f>SUMIF($A$2:A5085,G1450,$E$2:E5085)</f>
        <v>93.56</v>
      </c>
      <c r="I1450" s="93" t="str">
        <f t="shared" si="89"/>
        <v>Wednesday</v>
      </c>
      <c r="J1450" s="93" t="str">
        <f t="shared" si="90"/>
        <v>September</v>
      </c>
      <c r="K1450" s="93" t="str">
        <f t="shared" si="91"/>
        <v>2024</v>
      </c>
      <c r="L1450" s="6"/>
      <c r="M1450" s="6"/>
      <c r="N1450" s="6"/>
    </row>
    <row r="1451" spans="1:14" x14ac:dyDescent="0.3">
      <c r="A1451" s="87">
        <v>45553</v>
      </c>
      <c r="B1451" s="87" t="str">
        <f t="shared" si="88"/>
        <v>Wednesday</v>
      </c>
      <c r="C1451" s="88" t="s">
        <v>1381</v>
      </c>
      <c r="D1451" s="88" t="s">
        <v>651</v>
      </c>
      <c r="E1451" s="89">
        <v>32.82</v>
      </c>
      <c r="F1451" s="88" t="s">
        <v>5</v>
      </c>
      <c r="G1451" s="87">
        <f>Table1[[#This Row],[date]]</f>
        <v>45553</v>
      </c>
      <c r="H1451" s="94">
        <f>SUMIF($A$2:A5086,G1451,$E$2:E5086)</f>
        <v>93.56</v>
      </c>
      <c r="I1451" s="93" t="str">
        <f t="shared" si="89"/>
        <v>Wednesday</v>
      </c>
      <c r="J1451" s="93" t="str">
        <f t="shared" si="90"/>
        <v>September</v>
      </c>
      <c r="K1451" s="93" t="str">
        <f t="shared" si="91"/>
        <v>2024</v>
      </c>
      <c r="L1451" s="6"/>
      <c r="M1451" s="6"/>
      <c r="N1451" s="6"/>
    </row>
    <row r="1452" spans="1:14" x14ac:dyDescent="0.3">
      <c r="A1452" s="92">
        <v>45553</v>
      </c>
      <c r="B1452" s="92" t="str">
        <f t="shared" si="88"/>
        <v>Wednesday</v>
      </c>
      <c r="C1452" s="93" t="s">
        <v>1381</v>
      </c>
      <c r="D1452" s="93" t="s">
        <v>52</v>
      </c>
      <c r="E1452" s="94">
        <v>27.92</v>
      </c>
      <c r="F1452" s="93" t="s">
        <v>12</v>
      </c>
      <c r="G1452" s="87">
        <f>Table1[[#This Row],[date]]</f>
        <v>45553</v>
      </c>
      <c r="H1452" s="94">
        <f>SUMIF($A$2:A5087,G1452,$E$2:E5087)</f>
        <v>93.56</v>
      </c>
      <c r="I1452" s="93" t="str">
        <f t="shared" si="89"/>
        <v>Wednesday</v>
      </c>
      <c r="J1452" s="93" t="str">
        <f t="shared" si="90"/>
        <v>September</v>
      </c>
      <c r="K1452" s="93" t="str">
        <f t="shared" si="91"/>
        <v>2024</v>
      </c>
      <c r="L1452" s="6"/>
      <c r="M1452" s="6"/>
      <c r="N1452" s="6"/>
    </row>
    <row r="1453" spans="1:14" x14ac:dyDescent="0.3">
      <c r="A1453" s="92">
        <v>45554</v>
      </c>
      <c r="B1453" s="92" t="str">
        <f t="shared" si="88"/>
        <v>Thursday</v>
      </c>
      <c r="C1453" s="93" t="s">
        <v>1381</v>
      </c>
      <c r="D1453" s="93" t="s">
        <v>288</v>
      </c>
      <c r="E1453" s="94">
        <v>27.92</v>
      </c>
      <c r="F1453" s="93" t="s">
        <v>12</v>
      </c>
      <c r="G1453" s="87">
        <f>Table1[[#This Row],[date]]</f>
        <v>45554</v>
      </c>
      <c r="H1453" s="94">
        <f>SUMIF($A$2:A5088,G1453,$E$2:E5088)</f>
        <v>157.72</v>
      </c>
      <c r="I1453" s="93" t="str">
        <f t="shared" si="89"/>
        <v>Thursday</v>
      </c>
      <c r="J1453" s="93" t="str">
        <f t="shared" si="90"/>
        <v>September</v>
      </c>
      <c r="K1453" s="93" t="str">
        <f t="shared" si="91"/>
        <v>2024</v>
      </c>
      <c r="L1453" s="6"/>
      <c r="M1453" s="6"/>
      <c r="N1453" s="6"/>
    </row>
    <row r="1454" spans="1:14" x14ac:dyDescent="0.3">
      <c r="A1454" s="87">
        <v>45554</v>
      </c>
      <c r="B1454" s="87" t="str">
        <f t="shared" si="88"/>
        <v>Thursday</v>
      </c>
      <c r="C1454" s="88" t="s">
        <v>1381</v>
      </c>
      <c r="D1454" s="88" t="s">
        <v>639</v>
      </c>
      <c r="E1454" s="89">
        <v>23.02</v>
      </c>
      <c r="F1454" s="88" t="s">
        <v>26</v>
      </c>
      <c r="G1454" s="87">
        <f>Table1[[#This Row],[date]]</f>
        <v>45554</v>
      </c>
      <c r="H1454" s="94">
        <f>SUMIF($A$2:A5089,G1454,$E$2:E5089)</f>
        <v>157.72</v>
      </c>
      <c r="I1454" s="93" t="str">
        <f t="shared" si="89"/>
        <v>Thursday</v>
      </c>
      <c r="J1454" s="93" t="str">
        <f t="shared" si="90"/>
        <v>September</v>
      </c>
      <c r="K1454" s="93" t="str">
        <f t="shared" si="91"/>
        <v>2024</v>
      </c>
      <c r="L1454" s="6"/>
      <c r="M1454" s="6"/>
      <c r="N1454" s="6"/>
    </row>
    <row r="1455" spans="1:14" x14ac:dyDescent="0.3">
      <c r="A1455" s="92">
        <v>45554</v>
      </c>
      <c r="B1455" s="92" t="str">
        <f t="shared" si="88"/>
        <v>Thursday</v>
      </c>
      <c r="C1455" s="93" t="s">
        <v>1381</v>
      </c>
      <c r="D1455" s="93" t="s">
        <v>506</v>
      </c>
      <c r="E1455" s="94">
        <v>32.82</v>
      </c>
      <c r="F1455" s="93" t="s">
        <v>5</v>
      </c>
      <c r="G1455" s="87">
        <f>Table1[[#This Row],[date]]</f>
        <v>45554</v>
      </c>
      <c r="H1455" s="94">
        <f>SUMIF($A$2:A5090,G1455,$E$2:E5090)</f>
        <v>157.72</v>
      </c>
      <c r="I1455" s="93" t="str">
        <f t="shared" si="89"/>
        <v>Thursday</v>
      </c>
      <c r="J1455" s="93" t="str">
        <f t="shared" si="90"/>
        <v>September</v>
      </c>
      <c r="K1455" s="93" t="str">
        <f t="shared" si="91"/>
        <v>2024</v>
      </c>
      <c r="L1455" s="6"/>
      <c r="M1455" s="6"/>
      <c r="N1455" s="6"/>
    </row>
    <row r="1456" spans="1:14" x14ac:dyDescent="0.3">
      <c r="A1456" s="87">
        <v>45554</v>
      </c>
      <c r="B1456" s="87" t="str">
        <f t="shared" si="88"/>
        <v>Thursday</v>
      </c>
      <c r="C1456" s="88" t="s">
        <v>1381</v>
      </c>
      <c r="D1456" s="88" t="s">
        <v>10</v>
      </c>
      <c r="E1456" s="89">
        <v>23.02</v>
      </c>
      <c r="F1456" s="88" t="s">
        <v>9</v>
      </c>
      <c r="G1456" s="87">
        <f>Table1[[#This Row],[date]]</f>
        <v>45554</v>
      </c>
      <c r="H1456" s="94">
        <f>SUMIF($A$2:A5091,G1456,$E$2:E5091)</f>
        <v>157.72</v>
      </c>
      <c r="I1456" s="93" t="str">
        <f t="shared" si="89"/>
        <v>Thursday</v>
      </c>
      <c r="J1456" s="93" t="str">
        <f t="shared" si="90"/>
        <v>September</v>
      </c>
      <c r="K1456" s="93" t="str">
        <f t="shared" si="91"/>
        <v>2024</v>
      </c>
      <c r="L1456" s="6"/>
      <c r="M1456" s="6"/>
      <c r="N1456" s="6"/>
    </row>
    <row r="1457" spans="1:14" x14ac:dyDescent="0.3">
      <c r="A1457" s="92">
        <v>45554</v>
      </c>
      <c r="B1457" s="92" t="str">
        <f t="shared" si="88"/>
        <v>Thursday</v>
      </c>
      <c r="C1457" s="93" t="s">
        <v>1381</v>
      </c>
      <c r="D1457" s="93" t="s">
        <v>10</v>
      </c>
      <c r="E1457" s="94">
        <v>27.92</v>
      </c>
      <c r="F1457" s="93" t="s">
        <v>12</v>
      </c>
      <c r="G1457" s="87">
        <f>Table1[[#This Row],[date]]</f>
        <v>45554</v>
      </c>
      <c r="H1457" s="94">
        <f>SUMIF($A$2:A5092,G1457,$E$2:E5092)</f>
        <v>157.72</v>
      </c>
      <c r="I1457" s="93" t="str">
        <f t="shared" si="89"/>
        <v>Thursday</v>
      </c>
      <c r="J1457" s="93" t="str">
        <f t="shared" si="90"/>
        <v>September</v>
      </c>
      <c r="K1457" s="93" t="str">
        <f t="shared" si="91"/>
        <v>2024</v>
      </c>
      <c r="L1457" s="6"/>
      <c r="M1457" s="6"/>
      <c r="N1457" s="6"/>
    </row>
    <row r="1458" spans="1:14" x14ac:dyDescent="0.3">
      <c r="A1458" s="87">
        <v>45554</v>
      </c>
      <c r="B1458" s="87" t="str">
        <f t="shared" si="88"/>
        <v>Thursday</v>
      </c>
      <c r="C1458" s="88" t="s">
        <v>1381</v>
      </c>
      <c r="D1458" s="88" t="s">
        <v>652</v>
      </c>
      <c r="E1458" s="89">
        <v>23.02</v>
      </c>
      <c r="F1458" s="88" t="s">
        <v>26</v>
      </c>
      <c r="G1458" s="87">
        <f>Table1[[#This Row],[date]]</f>
        <v>45554</v>
      </c>
      <c r="H1458" s="94">
        <f>SUMIF($A$2:A5093,G1458,$E$2:E5093)</f>
        <v>157.72</v>
      </c>
      <c r="I1458" s="93" t="str">
        <f t="shared" si="89"/>
        <v>Thursday</v>
      </c>
      <c r="J1458" s="93" t="str">
        <f t="shared" si="90"/>
        <v>September</v>
      </c>
      <c r="K1458" s="93" t="str">
        <f t="shared" si="91"/>
        <v>2024</v>
      </c>
      <c r="L1458" s="6"/>
      <c r="M1458" s="6"/>
      <c r="N1458" s="6"/>
    </row>
    <row r="1459" spans="1:14" x14ac:dyDescent="0.3">
      <c r="A1459" s="92">
        <v>45555</v>
      </c>
      <c r="B1459" s="92" t="str">
        <f t="shared" si="88"/>
        <v>Friday</v>
      </c>
      <c r="C1459" s="93" t="s">
        <v>1381</v>
      </c>
      <c r="D1459" s="93" t="s">
        <v>288</v>
      </c>
      <c r="E1459" s="94">
        <v>27.92</v>
      </c>
      <c r="F1459" s="93" t="s">
        <v>12</v>
      </c>
      <c r="G1459" s="87">
        <f>Table1[[#This Row],[date]]</f>
        <v>45555</v>
      </c>
      <c r="H1459" s="94">
        <f>SUMIF($A$2:A5094,G1459,$E$2:E5094)</f>
        <v>167.52000000000004</v>
      </c>
      <c r="I1459" s="93" t="str">
        <f t="shared" si="89"/>
        <v>Friday</v>
      </c>
      <c r="J1459" s="93" t="str">
        <f t="shared" si="90"/>
        <v>September</v>
      </c>
      <c r="K1459" s="93" t="str">
        <f t="shared" si="91"/>
        <v>2024</v>
      </c>
      <c r="L1459" s="6"/>
      <c r="M1459" s="6"/>
      <c r="N1459" s="6"/>
    </row>
    <row r="1460" spans="1:14" x14ac:dyDescent="0.3">
      <c r="A1460" s="87">
        <v>45555</v>
      </c>
      <c r="B1460" s="87" t="str">
        <f t="shared" si="88"/>
        <v>Friday</v>
      </c>
      <c r="C1460" s="88" t="s">
        <v>1381</v>
      </c>
      <c r="D1460" s="88" t="s">
        <v>653</v>
      </c>
      <c r="E1460" s="89">
        <v>27.92</v>
      </c>
      <c r="F1460" s="88" t="s">
        <v>12</v>
      </c>
      <c r="G1460" s="87">
        <f>Table1[[#This Row],[date]]</f>
        <v>45555</v>
      </c>
      <c r="H1460" s="94">
        <f>SUMIF($A$2:A5095,G1460,$E$2:E5095)</f>
        <v>167.52000000000004</v>
      </c>
      <c r="I1460" s="93" t="str">
        <f t="shared" si="89"/>
        <v>Friday</v>
      </c>
      <c r="J1460" s="93" t="str">
        <f t="shared" si="90"/>
        <v>September</v>
      </c>
      <c r="K1460" s="93" t="str">
        <f t="shared" si="91"/>
        <v>2024</v>
      </c>
      <c r="L1460" s="6"/>
      <c r="M1460" s="6"/>
      <c r="N1460" s="6"/>
    </row>
    <row r="1461" spans="1:14" x14ac:dyDescent="0.3">
      <c r="A1461" s="92">
        <v>45555</v>
      </c>
      <c r="B1461" s="92" t="str">
        <f t="shared" si="88"/>
        <v>Friday</v>
      </c>
      <c r="C1461" s="93" t="s">
        <v>1381</v>
      </c>
      <c r="D1461" s="93" t="s">
        <v>345</v>
      </c>
      <c r="E1461" s="94">
        <v>27.92</v>
      </c>
      <c r="F1461" s="93" t="s">
        <v>12</v>
      </c>
      <c r="G1461" s="87">
        <f>Table1[[#This Row],[date]]</f>
        <v>45555</v>
      </c>
      <c r="H1461" s="94">
        <f>SUMIF($A$2:A5096,G1461,$E$2:E5096)</f>
        <v>167.52000000000004</v>
      </c>
      <c r="I1461" s="93" t="str">
        <f t="shared" si="89"/>
        <v>Friday</v>
      </c>
      <c r="J1461" s="93" t="str">
        <f t="shared" si="90"/>
        <v>September</v>
      </c>
      <c r="K1461" s="93" t="str">
        <f t="shared" si="91"/>
        <v>2024</v>
      </c>
      <c r="L1461" s="6"/>
      <c r="M1461" s="6"/>
      <c r="N1461" s="6"/>
    </row>
    <row r="1462" spans="1:14" x14ac:dyDescent="0.3">
      <c r="A1462" s="87">
        <v>45555</v>
      </c>
      <c r="B1462" s="87" t="str">
        <f t="shared" si="88"/>
        <v>Friday</v>
      </c>
      <c r="C1462" s="88" t="s">
        <v>1381</v>
      </c>
      <c r="D1462" s="88" t="s">
        <v>654</v>
      </c>
      <c r="E1462" s="89">
        <v>32.82</v>
      </c>
      <c r="F1462" s="88" t="s">
        <v>5</v>
      </c>
      <c r="G1462" s="87">
        <f>Table1[[#This Row],[date]]</f>
        <v>45555</v>
      </c>
      <c r="H1462" s="94">
        <f>SUMIF($A$2:A5097,G1462,$E$2:E5097)</f>
        <v>167.52000000000004</v>
      </c>
      <c r="I1462" s="93" t="str">
        <f t="shared" si="89"/>
        <v>Friday</v>
      </c>
      <c r="J1462" s="93" t="str">
        <f t="shared" si="90"/>
        <v>September</v>
      </c>
      <c r="K1462" s="93" t="str">
        <f t="shared" si="91"/>
        <v>2024</v>
      </c>
      <c r="L1462" s="6"/>
      <c r="M1462" s="6"/>
      <c r="N1462" s="6"/>
    </row>
    <row r="1463" spans="1:14" x14ac:dyDescent="0.3">
      <c r="A1463" s="92">
        <v>45555</v>
      </c>
      <c r="B1463" s="92" t="str">
        <f t="shared" si="88"/>
        <v>Friday</v>
      </c>
      <c r="C1463" s="93" t="s">
        <v>1381</v>
      </c>
      <c r="D1463" s="93" t="s">
        <v>655</v>
      </c>
      <c r="E1463" s="94">
        <v>23.02</v>
      </c>
      <c r="F1463" s="93" t="s">
        <v>9</v>
      </c>
      <c r="G1463" s="87">
        <f>Table1[[#This Row],[date]]</f>
        <v>45555</v>
      </c>
      <c r="H1463" s="94">
        <f>SUMIF($A$2:A5098,G1463,$E$2:E5098)</f>
        <v>167.52000000000004</v>
      </c>
      <c r="I1463" s="93" t="str">
        <f t="shared" si="89"/>
        <v>Friday</v>
      </c>
      <c r="J1463" s="93" t="str">
        <f t="shared" si="90"/>
        <v>September</v>
      </c>
      <c r="K1463" s="93" t="str">
        <f t="shared" si="91"/>
        <v>2024</v>
      </c>
      <c r="L1463" s="6"/>
      <c r="M1463" s="6"/>
      <c r="N1463" s="6"/>
    </row>
    <row r="1464" spans="1:14" x14ac:dyDescent="0.3">
      <c r="A1464" s="87">
        <v>45555</v>
      </c>
      <c r="B1464" s="87" t="str">
        <f t="shared" si="88"/>
        <v>Friday</v>
      </c>
      <c r="C1464" s="88" t="s">
        <v>1381</v>
      </c>
      <c r="D1464" s="88" t="s">
        <v>299</v>
      </c>
      <c r="E1464" s="89">
        <v>27.92</v>
      </c>
      <c r="F1464" s="88" t="s">
        <v>12</v>
      </c>
      <c r="G1464" s="87">
        <f>Table1[[#This Row],[date]]</f>
        <v>45555</v>
      </c>
      <c r="H1464" s="94">
        <f>SUMIF($A$2:A5099,G1464,$E$2:E5099)</f>
        <v>167.52000000000004</v>
      </c>
      <c r="I1464" s="93" t="str">
        <f t="shared" si="89"/>
        <v>Friday</v>
      </c>
      <c r="J1464" s="93" t="str">
        <f t="shared" si="90"/>
        <v>September</v>
      </c>
      <c r="K1464" s="93" t="str">
        <f t="shared" si="91"/>
        <v>2024</v>
      </c>
      <c r="L1464" s="6"/>
      <c r="M1464" s="6"/>
      <c r="N1464" s="6"/>
    </row>
    <row r="1465" spans="1:14" x14ac:dyDescent="0.3">
      <c r="A1465" s="87">
        <v>45556</v>
      </c>
      <c r="B1465" s="87" t="str">
        <f t="shared" si="88"/>
        <v>Saturday</v>
      </c>
      <c r="C1465" s="88" t="s">
        <v>1381</v>
      </c>
      <c r="D1465" s="88" t="s">
        <v>656</v>
      </c>
      <c r="E1465" s="89">
        <v>32.82</v>
      </c>
      <c r="F1465" s="88" t="s">
        <v>5</v>
      </c>
      <c r="G1465" s="87">
        <f>Table1[[#This Row],[date]]</f>
        <v>45556</v>
      </c>
      <c r="H1465" s="94">
        <f>SUMIF($A$2:A5100,G1465,$E$2:E5100)</f>
        <v>293.89999999999998</v>
      </c>
      <c r="I1465" s="93" t="str">
        <f t="shared" si="89"/>
        <v>Saturday</v>
      </c>
      <c r="J1465" s="93" t="str">
        <f t="shared" si="90"/>
        <v>September</v>
      </c>
      <c r="K1465" s="93" t="str">
        <f t="shared" si="91"/>
        <v>2024</v>
      </c>
      <c r="L1465" s="6"/>
      <c r="M1465" s="6"/>
      <c r="N1465" s="6"/>
    </row>
    <row r="1466" spans="1:14" x14ac:dyDescent="0.3">
      <c r="A1466" s="92">
        <v>45556</v>
      </c>
      <c r="B1466" s="92" t="str">
        <f t="shared" si="88"/>
        <v>Saturday</v>
      </c>
      <c r="C1466" s="93" t="s">
        <v>1381</v>
      </c>
      <c r="D1466" s="93" t="s">
        <v>656</v>
      </c>
      <c r="E1466" s="94">
        <v>32.82</v>
      </c>
      <c r="F1466" s="93" t="s">
        <v>16</v>
      </c>
      <c r="G1466" s="87">
        <f>Table1[[#This Row],[date]]</f>
        <v>45556</v>
      </c>
      <c r="H1466" s="94">
        <f>SUMIF($A$2:A5101,G1466,$E$2:E5101)</f>
        <v>293.89999999999998</v>
      </c>
      <c r="I1466" s="93" t="str">
        <f t="shared" si="89"/>
        <v>Saturday</v>
      </c>
      <c r="J1466" s="93" t="str">
        <f t="shared" si="90"/>
        <v>September</v>
      </c>
      <c r="K1466" s="93" t="str">
        <f t="shared" si="91"/>
        <v>2024</v>
      </c>
      <c r="L1466" s="6"/>
      <c r="M1466" s="6"/>
      <c r="N1466" s="6"/>
    </row>
    <row r="1467" spans="1:14" x14ac:dyDescent="0.3">
      <c r="A1467" s="87">
        <v>45556</v>
      </c>
      <c r="B1467" s="87" t="str">
        <f t="shared" si="88"/>
        <v>Saturday</v>
      </c>
      <c r="C1467" s="88" t="s">
        <v>1381</v>
      </c>
      <c r="D1467" s="88" t="s">
        <v>555</v>
      </c>
      <c r="E1467" s="89">
        <v>23.02</v>
      </c>
      <c r="F1467" s="88" t="s">
        <v>26</v>
      </c>
      <c r="G1467" s="87">
        <f>Table1[[#This Row],[date]]</f>
        <v>45556</v>
      </c>
      <c r="H1467" s="94">
        <f>SUMIF($A$2:A5102,G1467,$E$2:E5102)</f>
        <v>293.89999999999998</v>
      </c>
      <c r="I1467" s="93" t="str">
        <f t="shared" si="89"/>
        <v>Saturday</v>
      </c>
      <c r="J1467" s="93" t="str">
        <f t="shared" si="90"/>
        <v>September</v>
      </c>
      <c r="K1467" s="93" t="str">
        <f t="shared" si="91"/>
        <v>2024</v>
      </c>
      <c r="L1467" s="6"/>
      <c r="M1467" s="6"/>
      <c r="N1467" s="6"/>
    </row>
    <row r="1468" spans="1:14" x14ac:dyDescent="0.3">
      <c r="A1468" s="87">
        <v>45556</v>
      </c>
      <c r="B1468" s="87" t="str">
        <f t="shared" si="88"/>
        <v>Saturday</v>
      </c>
      <c r="C1468" s="88" t="s">
        <v>1381</v>
      </c>
      <c r="D1468" s="88" t="s">
        <v>657</v>
      </c>
      <c r="E1468" s="89">
        <v>32.82</v>
      </c>
      <c r="F1468" s="88" t="s">
        <v>41</v>
      </c>
      <c r="G1468" s="87">
        <f>Table1[[#This Row],[date]]</f>
        <v>45556</v>
      </c>
      <c r="H1468" s="94">
        <f>SUMIF($A$2:A5103,G1468,$E$2:E5103)</f>
        <v>293.89999999999998</v>
      </c>
      <c r="I1468" s="93" t="str">
        <f t="shared" si="89"/>
        <v>Saturday</v>
      </c>
      <c r="J1468" s="93" t="str">
        <f t="shared" si="90"/>
        <v>September</v>
      </c>
      <c r="K1468" s="93" t="str">
        <f t="shared" si="91"/>
        <v>2024</v>
      </c>
      <c r="L1468" s="6"/>
      <c r="M1468" s="6"/>
      <c r="N1468" s="6"/>
    </row>
    <row r="1469" spans="1:14" x14ac:dyDescent="0.3">
      <c r="A1469" s="92">
        <v>45556</v>
      </c>
      <c r="B1469" s="92" t="str">
        <f t="shared" si="88"/>
        <v>Saturday</v>
      </c>
      <c r="C1469" s="93" t="s">
        <v>1381</v>
      </c>
      <c r="D1469" s="93" t="s">
        <v>658</v>
      </c>
      <c r="E1469" s="94">
        <v>32.82</v>
      </c>
      <c r="F1469" s="93" t="s">
        <v>5</v>
      </c>
      <c r="G1469" s="87">
        <f>Table1[[#This Row],[date]]</f>
        <v>45556</v>
      </c>
      <c r="H1469" s="94">
        <f>SUMIF($A$2:A5104,G1469,$E$2:E5104)</f>
        <v>293.89999999999998</v>
      </c>
      <c r="I1469" s="93" t="str">
        <f t="shared" si="89"/>
        <v>Saturday</v>
      </c>
      <c r="J1469" s="93" t="str">
        <f t="shared" si="90"/>
        <v>September</v>
      </c>
      <c r="K1469" s="93" t="str">
        <f t="shared" si="91"/>
        <v>2024</v>
      </c>
      <c r="L1469" s="6"/>
      <c r="M1469" s="6"/>
      <c r="N1469" s="6"/>
    </row>
    <row r="1470" spans="1:14" x14ac:dyDescent="0.3">
      <c r="A1470" s="87">
        <v>45556</v>
      </c>
      <c r="B1470" s="87" t="str">
        <f t="shared" si="88"/>
        <v>Saturday</v>
      </c>
      <c r="C1470" s="88" t="s">
        <v>1381</v>
      </c>
      <c r="D1470" s="88" t="s">
        <v>519</v>
      </c>
      <c r="E1470" s="89">
        <v>32.82</v>
      </c>
      <c r="F1470" s="88" t="s">
        <v>5</v>
      </c>
      <c r="G1470" s="87">
        <f>Table1[[#This Row],[date]]</f>
        <v>45556</v>
      </c>
      <c r="H1470" s="94">
        <f>SUMIF($A$2:A5105,G1470,$E$2:E5105)</f>
        <v>293.89999999999998</v>
      </c>
      <c r="I1470" s="93" t="str">
        <f t="shared" si="89"/>
        <v>Saturday</v>
      </c>
      <c r="J1470" s="93" t="str">
        <f t="shared" si="90"/>
        <v>September</v>
      </c>
      <c r="K1470" s="93" t="str">
        <f t="shared" si="91"/>
        <v>2024</v>
      </c>
      <c r="L1470" s="6"/>
      <c r="M1470" s="6"/>
      <c r="N1470" s="6"/>
    </row>
    <row r="1471" spans="1:14" x14ac:dyDescent="0.3">
      <c r="A1471" s="87">
        <v>45556</v>
      </c>
      <c r="B1471" s="87" t="str">
        <f t="shared" si="88"/>
        <v>Saturday</v>
      </c>
      <c r="C1471" s="88" t="s">
        <v>1381</v>
      </c>
      <c r="D1471" s="88" t="s">
        <v>52</v>
      </c>
      <c r="E1471" s="89">
        <v>23.02</v>
      </c>
      <c r="F1471" s="88" t="s">
        <v>9</v>
      </c>
      <c r="G1471" s="87">
        <f>Table1[[#This Row],[date]]</f>
        <v>45556</v>
      </c>
      <c r="H1471" s="94">
        <f>SUMIF($A$2:A5106,G1471,$E$2:E5106)</f>
        <v>293.89999999999998</v>
      </c>
      <c r="I1471" s="93" t="str">
        <f t="shared" si="89"/>
        <v>Saturday</v>
      </c>
      <c r="J1471" s="93" t="str">
        <f t="shared" si="90"/>
        <v>September</v>
      </c>
      <c r="K1471" s="93" t="str">
        <f t="shared" si="91"/>
        <v>2024</v>
      </c>
      <c r="L1471" s="6"/>
      <c r="M1471" s="6"/>
      <c r="N1471" s="6"/>
    </row>
    <row r="1472" spans="1:14" x14ac:dyDescent="0.3">
      <c r="A1472" s="87">
        <v>45556</v>
      </c>
      <c r="B1472" s="87" t="str">
        <f t="shared" si="88"/>
        <v>Saturday</v>
      </c>
      <c r="C1472" s="88" t="s">
        <v>1381</v>
      </c>
      <c r="D1472" s="88" t="s">
        <v>614</v>
      </c>
      <c r="E1472" s="89">
        <v>32.82</v>
      </c>
      <c r="F1472" s="88" t="s">
        <v>5</v>
      </c>
      <c r="G1472" s="87">
        <f>Table1[[#This Row],[date]]</f>
        <v>45556</v>
      </c>
      <c r="H1472" s="94">
        <f>SUMIF($A$2:A5107,G1472,$E$2:E5107)</f>
        <v>293.89999999999998</v>
      </c>
      <c r="I1472" s="93" t="str">
        <f t="shared" si="89"/>
        <v>Saturday</v>
      </c>
      <c r="J1472" s="93" t="str">
        <f t="shared" si="90"/>
        <v>September</v>
      </c>
      <c r="K1472" s="93" t="str">
        <f t="shared" si="91"/>
        <v>2024</v>
      </c>
      <c r="L1472" s="6"/>
      <c r="M1472" s="6"/>
      <c r="N1472" s="6"/>
    </row>
    <row r="1473" spans="1:14" x14ac:dyDescent="0.3">
      <c r="A1473" s="87">
        <v>45556</v>
      </c>
      <c r="B1473" s="87" t="str">
        <f t="shared" si="88"/>
        <v>Saturday</v>
      </c>
      <c r="C1473" s="88" t="s">
        <v>1381</v>
      </c>
      <c r="D1473" s="88" t="s">
        <v>659</v>
      </c>
      <c r="E1473" s="89">
        <v>27.92</v>
      </c>
      <c r="F1473" s="88" t="s">
        <v>12</v>
      </c>
      <c r="G1473" s="87">
        <f>Table1[[#This Row],[date]]</f>
        <v>45556</v>
      </c>
      <c r="H1473" s="94">
        <f>SUMIF($A$2:A5108,G1473,$E$2:E5108)</f>
        <v>293.89999999999998</v>
      </c>
      <c r="I1473" s="93" t="str">
        <f t="shared" si="89"/>
        <v>Saturday</v>
      </c>
      <c r="J1473" s="93" t="str">
        <f t="shared" si="90"/>
        <v>September</v>
      </c>
      <c r="K1473" s="93" t="str">
        <f t="shared" si="91"/>
        <v>2024</v>
      </c>
      <c r="L1473" s="6"/>
      <c r="M1473" s="6"/>
      <c r="N1473" s="6"/>
    </row>
    <row r="1474" spans="1:14" x14ac:dyDescent="0.3">
      <c r="A1474" s="92">
        <v>45556</v>
      </c>
      <c r="B1474" s="92" t="str">
        <f t="shared" ref="B1474:B1537" si="92">TEXT(A1474,"dddd")</f>
        <v>Saturday</v>
      </c>
      <c r="C1474" s="93" t="s">
        <v>1381</v>
      </c>
      <c r="D1474" s="93" t="s">
        <v>659</v>
      </c>
      <c r="E1474" s="94">
        <v>23.02</v>
      </c>
      <c r="F1474" s="93" t="s">
        <v>9</v>
      </c>
      <c r="G1474" s="87">
        <f>Table1[[#This Row],[date]]</f>
        <v>45556</v>
      </c>
      <c r="H1474" s="94">
        <f>SUMIF($A$2:A5109,G1474,$E$2:E5109)</f>
        <v>293.89999999999998</v>
      </c>
      <c r="I1474" s="93" t="str">
        <f t="shared" si="89"/>
        <v>Saturday</v>
      </c>
      <c r="J1474" s="93" t="str">
        <f t="shared" si="90"/>
        <v>September</v>
      </c>
      <c r="K1474" s="93" t="str">
        <f t="shared" si="91"/>
        <v>2024</v>
      </c>
      <c r="L1474" s="6"/>
      <c r="M1474" s="6"/>
      <c r="N1474" s="6"/>
    </row>
    <row r="1475" spans="1:14" x14ac:dyDescent="0.3">
      <c r="A1475" s="92">
        <v>45557</v>
      </c>
      <c r="B1475" s="92" t="str">
        <f t="shared" si="92"/>
        <v>Sunday</v>
      </c>
      <c r="C1475" s="93" t="s">
        <v>1381</v>
      </c>
      <c r="D1475" s="93" t="s">
        <v>660</v>
      </c>
      <c r="E1475" s="94">
        <v>23.02</v>
      </c>
      <c r="F1475" s="93" t="s">
        <v>9</v>
      </c>
      <c r="G1475" s="87">
        <f>Table1[[#This Row],[date]]</f>
        <v>45557</v>
      </c>
      <c r="H1475" s="94">
        <f>SUMIF($A$2:A5110,G1475,$E$2:E5110)</f>
        <v>540.28</v>
      </c>
      <c r="I1475" s="93" t="str">
        <f t="shared" si="89"/>
        <v>Sunday</v>
      </c>
      <c r="J1475" s="93" t="str">
        <f t="shared" si="90"/>
        <v>September</v>
      </c>
      <c r="K1475" s="93" t="str">
        <f t="shared" si="91"/>
        <v>2024</v>
      </c>
      <c r="L1475" s="6"/>
      <c r="M1475" s="6"/>
      <c r="N1475" s="6"/>
    </row>
    <row r="1476" spans="1:14" x14ac:dyDescent="0.3">
      <c r="A1476" s="87">
        <v>45557</v>
      </c>
      <c r="B1476" s="87" t="str">
        <f t="shared" si="92"/>
        <v>Sunday</v>
      </c>
      <c r="C1476" s="88" t="s">
        <v>1381</v>
      </c>
      <c r="D1476" s="88" t="s">
        <v>661</v>
      </c>
      <c r="E1476" s="89">
        <v>27.92</v>
      </c>
      <c r="F1476" s="88" t="s">
        <v>12</v>
      </c>
      <c r="G1476" s="87">
        <f>Table1[[#This Row],[date]]</f>
        <v>45557</v>
      </c>
      <c r="H1476" s="94">
        <f>SUMIF($A$2:A5111,G1476,$E$2:E5111)</f>
        <v>540.28</v>
      </c>
      <c r="I1476" s="93" t="str">
        <f t="shared" si="89"/>
        <v>Sunday</v>
      </c>
      <c r="J1476" s="93" t="str">
        <f t="shared" si="90"/>
        <v>September</v>
      </c>
      <c r="K1476" s="93" t="str">
        <f t="shared" si="91"/>
        <v>2024</v>
      </c>
      <c r="L1476" s="6"/>
      <c r="M1476" s="6"/>
      <c r="N1476" s="6"/>
    </row>
    <row r="1477" spans="1:14" x14ac:dyDescent="0.3">
      <c r="A1477" s="92">
        <v>45557</v>
      </c>
      <c r="B1477" s="92" t="str">
        <f t="shared" si="92"/>
        <v>Sunday</v>
      </c>
      <c r="C1477" s="93" t="s">
        <v>1381</v>
      </c>
      <c r="D1477" s="93" t="s">
        <v>661</v>
      </c>
      <c r="E1477" s="94">
        <v>32.82</v>
      </c>
      <c r="F1477" s="93" t="s">
        <v>5</v>
      </c>
      <c r="G1477" s="87">
        <f>Table1[[#This Row],[date]]</f>
        <v>45557</v>
      </c>
      <c r="H1477" s="94">
        <f>SUMIF($A$2:A5112,G1477,$E$2:E5112)</f>
        <v>540.28</v>
      </c>
      <c r="I1477" s="93" t="str">
        <f t="shared" si="89"/>
        <v>Sunday</v>
      </c>
      <c r="J1477" s="93" t="str">
        <f t="shared" si="90"/>
        <v>September</v>
      </c>
      <c r="K1477" s="93" t="str">
        <f t="shared" si="91"/>
        <v>2024</v>
      </c>
      <c r="L1477" s="6"/>
      <c r="M1477" s="6"/>
      <c r="N1477" s="6"/>
    </row>
    <row r="1478" spans="1:14" x14ac:dyDescent="0.3">
      <c r="A1478" s="87">
        <v>45557</v>
      </c>
      <c r="B1478" s="87" t="str">
        <f t="shared" si="92"/>
        <v>Sunday</v>
      </c>
      <c r="C1478" s="88" t="s">
        <v>1381</v>
      </c>
      <c r="D1478" s="88" t="s">
        <v>662</v>
      </c>
      <c r="E1478" s="89">
        <v>23.02</v>
      </c>
      <c r="F1478" s="88" t="s">
        <v>26</v>
      </c>
      <c r="G1478" s="87">
        <f>Table1[[#This Row],[date]]</f>
        <v>45557</v>
      </c>
      <c r="H1478" s="94">
        <f>SUMIF($A$2:A5113,G1478,$E$2:E5113)</f>
        <v>540.28</v>
      </c>
      <c r="I1478" s="93" t="str">
        <f t="shared" ref="I1478:I1541" si="93">TEXT(G1478,"dddd")</f>
        <v>Sunday</v>
      </c>
      <c r="J1478" s="93" t="str">
        <f t="shared" si="90"/>
        <v>September</v>
      </c>
      <c r="K1478" s="93" t="str">
        <f t="shared" si="91"/>
        <v>2024</v>
      </c>
      <c r="L1478" s="6"/>
      <c r="M1478" s="6"/>
      <c r="N1478" s="6"/>
    </row>
    <row r="1479" spans="1:14" x14ac:dyDescent="0.3">
      <c r="A1479" s="87">
        <v>45557</v>
      </c>
      <c r="B1479" s="87" t="str">
        <f t="shared" si="92"/>
        <v>Sunday</v>
      </c>
      <c r="C1479" s="88" t="s">
        <v>1381</v>
      </c>
      <c r="D1479" s="88" t="s">
        <v>663</v>
      </c>
      <c r="E1479" s="89">
        <v>27.92</v>
      </c>
      <c r="F1479" s="88" t="s">
        <v>12</v>
      </c>
      <c r="G1479" s="87">
        <f>Table1[[#This Row],[date]]</f>
        <v>45557</v>
      </c>
      <c r="H1479" s="94">
        <f>SUMIF($A$2:A5114,G1479,$E$2:E5114)</f>
        <v>540.28</v>
      </c>
      <c r="I1479" s="93" t="str">
        <f t="shared" si="93"/>
        <v>Sunday</v>
      </c>
      <c r="J1479" s="93" t="str">
        <f t="shared" ref="J1479:J1542" si="94">TEXT(G1479,"mmmm")</f>
        <v>September</v>
      </c>
      <c r="K1479" s="93" t="str">
        <f t="shared" ref="K1479:K1542" si="95">TEXT(G1479,"yyyy")</f>
        <v>2024</v>
      </c>
      <c r="L1479" s="6"/>
      <c r="M1479" s="6"/>
      <c r="N1479" s="6"/>
    </row>
    <row r="1480" spans="1:14" x14ac:dyDescent="0.3">
      <c r="A1480" s="92">
        <v>45557</v>
      </c>
      <c r="B1480" s="92" t="str">
        <f t="shared" si="92"/>
        <v>Sunday</v>
      </c>
      <c r="C1480" s="93" t="s">
        <v>1381</v>
      </c>
      <c r="D1480" s="93" t="s">
        <v>111</v>
      </c>
      <c r="E1480" s="94">
        <v>23.02</v>
      </c>
      <c r="F1480" s="93" t="s">
        <v>9</v>
      </c>
      <c r="G1480" s="87">
        <f>Table1[[#This Row],[date]]</f>
        <v>45557</v>
      </c>
      <c r="H1480" s="94">
        <f>SUMIF($A$2:A5115,G1480,$E$2:E5115)</f>
        <v>540.28</v>
      </c>
      <c r="I1480" s="93" t="str">
        <f t="shared" si="93"/>
        <v>Sunday</v>
      </c>
      <c r="J1480" s="93" t="str">
        <f t="shared" si="94"/>
        <v>September</v>
      </c>
      <c r="K1480" s="93" t="str">
        <f t="shared" si="95"/>
        <v>2024</v>
      </c>
      <c r="L1480" s="6"/>
      <c r="M1480" s="6"/>
      <c r="N1480" s="6"/>
    </row>
    <row r="1481" spans="1:14" x14ac:dyDescent="0.3">
      <c r="A1481" s="87">
        <v>45557</v>
      </c>
      <c r="B1481" s="87" t="str">
        <f t="shared" si="92"/>
        <v>Sunday</v>
      </c>
      <c r="C1481" s="88" t="s">
        <v>1381</v>
      </c>
      <c r="D1481" s="88" t="s">
        <v>288</v>
      </c>
      <c r="E1481" s="89">
        <v>27.92</v>
      </c>
      <c r="F1481" s="88" t="s">
        <v>12</v>
      </c>
      <c r="G1481" s="87">
        <f>Table1[[#This Row],[date]]</f>
        <v>45557</v>
      </c>
      <c r="H1481" s="94">
        <f>SUMIF($A$2:A5116,G1481,$E$2:E5116)</f>
        <v>540.28</v>
      </c>
      <c r="I1481" s="93" t="str">
        <f t="shared" si="93"/>
        <v>Sunday</v>
      </c>
      <c r="J1481" s="93" t="str">
        <f t="shared" si="94"/>
        <v>September</v>
      </c>
      <c r="K1481" s="93" t="str">
        <f t="shared" si="95"/>
        <v>2024</v>
      </c>
      <c r="L1481" s="6"/>
      <c r="M1481" s="6"/>
      <c r="N1481" s="6"/>
    </row>
    <row r="1482" spans="1:14" x14ac:dyDescent="0.3">
      <c r="A1482" s="92">
        <v>45557</v>
      </c>
      <c r="B1482" s="92" t="str">
        <f t="shared" si="92"/>
        <v>Sunday</v>
      </c>
      <c r="C1482" s="93" t="s">
        <v>1381</v>
      </c>
      <c r="D1482" s="93" t="s">
        <v>345</v>
      </c>
      <c r="E1482" s="94">
        <v>27.92</v>
      </c>
      <c r="F1482" s="93" t="s">
        <v>12</v>
      </c>
      <c r="G1482" s="87">
        <f>Table1[[#This Row],[date]]</f>
        <v>45557</v>
      </c>
      <c r="H1482" s="94">
        <f>SUMIF($A$2:A5117,G1482,$E$2:E5117)</f>
        <v>540.28</v>
      </c>
      <c r="I1482" s="93" t="str">
        <f t="shared" si="93"/>
        <v>Sunday</v>
      </c>
      <c r="J1482" s="93" t="str">
        <f t="shared" si="94"/>
        <v>September</v>
      </c>
      <c r="K1482" s="93" t="str">
        <f t="shared" si="95"/>
        <v>2024</v>
      </c>
      <c r="L1482" s="6"/>
      <c r="M1482" s="6"/>
      <c r="N1482" s="6"/>
    </row>
    <row r="1483" spans="1:14" x14ac:dyDescent="0.3">
      <c r="A1483" s="92">
        <v>45557</v>
      </c>
      <c r="B1483" s="92" t="str">
        <f t="shared" si="92"/>
        <v>Sunday</v>
      </c>
      <c r="C1483" s="93" t="s">
        <v>1381</v>
      </c>
      <c r="D1483" s="93" t="s">
        <v>522</v>
      </c>
      <c r="E1483" s="94">
        <v>27.92</v>
      </c>
      <c r="F1483" s="93" t="s">
        <v>12</v>
      </c>
      <c r="G1483" s="87">
        <f>Table1[[#This Row],[date]]</f>
        <v>45557</v>
      </c>
      <c r="H1483" s="94">
        <f>SUMIF($A$2:A5118,G1483,$E$2:E5118)</f>
        <v>540.28</v>
      </c>
      <c r="I1483" s="93" t="str">
        <f t="shared" si="93"/>
        <v>Sunday</v>
      </c>
      <c r="J1483" s="93" t="str">
        <f t="shared" si="94"/>
        <v>September</v>
      </c>
      <c r="K1483" s="93" t="str">
        <f t="shared" si="95"/>
        <v>2024</v>
      </c>
      <c r="L1483" s="6"/>
      <c r="M1483" s="6"/>
      <c r="N1483" s="6"/>
    </row>
    <row r="1484" spans="1:14" x14ac:dyDescent="0.3">
      <c r="A1484" s="87">
        <v>45557</v>
      </c>
      <c r="B1484" s="87" t="str">
        <f t="shared" si="92"/>
        <v>Sunday</v>
      </c>
      <c r="C1484" s="88" t="s">
        <v>1381</v>
      </c>
      <c r="D1484" s="88" t="s">
        <v>664</v>
      </c>
      <c r="E1484" s="89">
        <v>32.82</v>
      </c>
      <c r="F1484" s="88" t="s">
        <v>5</v>
      </c>
      <c r="G1484" s="87">
        <f>Table1[[#This Row],[date]]</f>
        <v>45557</v>
      </c>
      <c r="H1484" s="94">
        <f>SUMIF($A$2:A5119,G1484,$E$2:E5119)</f>
        <v>540.28</v>
      </c>
      <c r="I1484" s="93" t="str">
        <f t="shared" si="93"/>
        <v>Sunday</v>
      </c>
      <c r="J1484" s="93" t="str">
        <f t="shared" si="94"/>
        <v>September</v>
      </c>
      <c r="K1484" s="93" t="str">
        <f t="shared" si="95"/>
        <v>2024</v>
      </c>
      <c r="L1484" s="6"/>
      <c r="M1484" s="6"/>
      <c r="N1484" s="6"/>
    </row>
    <row r="1485" spans="1:14" x14ac:dyDescent="0.3">
      <c r="A1485" s="92">
        <v>45557</v>
      </c>
      <c r="B1485" s="92" t="str">
        <f t="shared" si="92"/>
        <v>Sunday</v>
      </c>
      <c r="C1485" s="93" t="s">
        <v>1381</v>
      </c>
      <c r="D1485" s="93" t="s">
        <v>664</v>
      </c>
      <c r="E1485" s="94">
        <v>27.92</v>
      </c>
      <c r="F1485" s="93" t="s">
        <v>12</v>
      </c>
      <c r="G1485" s="87">
        <f>Table1[[#This Row],[date]]</f>
        <v>45557</v>
      </c>
      <c r="H1485" s="94">
        <f>SUMIF($A$2:A5120,G1485,$E$2:E5120)</f>
        <v>540.28</v>
      </c>
      <c r="I1485" s="93" t="str">
        <f t="shared" si="93"/>
        <v>Sunday</v>
      </c>
      <c r="J1485" s="93" t="str">
        <f t="shared" si="94"/>
        <v>September</v>
      </c>
      <c r="K1485" s="93" t="str">
        <f t="shared" si="95"/>
        <v>2024</v>
      </c>
      <c r="L1485" s="6"/>
      <c r="M1485" s="6"/>
      <c r="N1485" s="6"/>
    </row>
    <row r="1486" spans="1:14" x14ac:dyDescent="0.3">
      <c r="A1486" s="87">
        <v>45557</v>
      </c>
      <c r="B1486" s="87" t="str">
        <f t="shared" si="92"/>
        <v>Sunday</v>
      </c>
      <c r="C1486" s="88" t="s">
        <v>1381</v>
      </c>
      <c r="D1486" s="88" t="s">
        <v>665</v>
      </c>
      <c r="E1486" s="89">
        <v>32.82</v>
      </c>
      <c r="F1486" s="88" t="s">
        <v>16</v>
      </c>
      <c r="G1486" s="87">
        <f>Table1[[#This Row],[date]]</f>
        <v>45557</v>
      </c>
      <c r="H1486" s="94">
        <f>SUMIF($A$2:A5121,G1486,$E$2:E5121)</f>
        <v>540.28</v>
      </c>
      <c r="I1486" s="93" t="str">
        <f t="shared" si="93"/>
        <v>Sunday</v>
      </c>
      <c r="J1486" s="93" t="str">
        <f t="shared" si="94"/>
        <v>September</v>
      </c>
      <c r="K1486" s="93" t="str">
        <f t="shared" si="95"/>
        <v>2024</v>
      </c>
      <c r="L1486" s="6"/>
      <c r="M1486" s="6"/>
      <c r="N1486" s="6"/>
    </row>
    <row r="1487" spans="1:14" x14ac:dyDescent="0.3">
      <c r="A1487" s="92">
        <v>45557</v>
      </c>
      <c r="B1487" s="92" t="str">
        <f t="shared" si="92"/>
        <v>Sunday</v>
      </c>
      <c r="C1487" s="93" t="s">
        <v>1381</v>
      </c>
      <c r="D1487" s="93" t="s">
        <v>666</v>
      </c>
      <c r="E1487" s="94">
        <v>32.82</v>
      </c>
      <c r="F1487" s="93" t="s">
        <v>5</v>
      </c>
      <c r="G1487" s="87">
        <f>Table1[[#This Row],[date]]</f>
        <v>45557</v>
      </c>
      <c r="H1487" s="94">
        <f>SUMIF($A$2:A5122,G1487,$E$2:E5122)</f>
        <v>540.28</v>
      </c>
      <c r="I1487" s="93" t="str">
        <f t="shared" si="93"/>
        <v>Sunday</v>
      </c>
      <c r="J1487" s="93" t="str">
        <f t="shared" si="94"/>
        <v>September</v>
      </c>
      <c r="K1487" s="93" t="str">
        <f t="shared" si="95"/>
        <v>2024</v>
      </c>
      <c r="L1487" s="6"/>
      <c r="M1487" s="6"/>
      <c r="N1487" s="6"/>
    </row>
    <row r="1488" spans="1:14" x14ac:dyDescent="0.3">
      <c r="A1488" s="87">
        <v>45557</v>
      </c>
      <c r="B1488" s="87" t="str">
        <f t="shared" si="92"/>
        <v>Sunday</v>
      </c>
      <c r="C1488" s="88" t="s">
        <v>1381</v>
      </c>
      <c r="D1488" s="88" t="s">
        <v>666</v>
      </c>
      <c r="E1488" s="89">
        <v>32.82</v>
      </c>
      <c r="F1488" s="88" t="s">
        <v>41</v>
      </c>
      <c r="G1488" s="87">
        <f>Table1[[#This Row],[date]]</f>
        <v>45557</v>
      </c>
      <c r="H1488" s="94">
        <f>SUMIF($A$2:A5123,G1488,$E$2:E5123)</f>
        <v>540.28</v>
      </c>
      <c r="I1488" s="93" t="str">
        <f t="shared" si="93"/>
        <v>Sunday</v>
      </c>
      <c r="J1488" s="93" t="str">
        <f t="shared" si="94"/>
        <v>September</v>
      </c>
      <c r="K1488" s="93" t="str">
        <f t="shared" si="95"/>
        <v>2024</v>
      </c>
      <c r="L1488" s="6"/>
      <c r="M1488" s="6"/>
      <c r="N1488" s="6"/>
    </row>
    <row r="1489" spans="1:14" x14ac:dyDescent="0.3">
      <c r="A1489" s="92">
        <v>45557</v>
      </c>
      <c r="B1489" s="92" t="str">
        <f t="shared" si="92"/>
        <v>Sunday</v>
      </c>
      <c r="C1489" s="93" t="s">
        <v>1381</v>
      </c>
      <c r="D1489" s="93" t="s">
        <v>467</v>
      </c>
      <c r="E1489" s="94">
        <v>27.92</v>
      </c>
      <c r="F1489" s="93" t="s">
        <v>12</v>
      </c>
      <c r="G1489" s="87">
        <f>Table1[[#This Row],[date]]</f>
        <v>45557</v>
      </c>
      <c r="H1489" s="94">
        <f>SUMIF($A$2:A5124,G1489,$E$2:E5124)</f>
        <v>540.28</v>
      </c>
      <c r="I1489" s="93" t="str">
        <f t="shared" si="93"/>
        <v>Sunday</v>
      </c>
      <c r="J1489" s="93" t="str">
        <f t="shared" si="94"/>
        <v>September</v>
      </c>
      <c r="K1489" s="93" t="str">
        <f t="shared" si="95"/>
        <v>2024</v>
      </c>
      <c r="L1489" s="6"/>
      <c r="M1489" s="6"/>
      <c r="N1489" s="6"/>
    </row>
    <row r="1490" spans="1:14" x14ac:dyDescent="0.3">
      <c r="A1490" s="92">
        <v>45557</v>
      </c>
      <c r="B1490" s="92" t="str">
        <f t="shared" si="92"/>
        <v>Sunday</v>
      </c>
      <c r="C1490" s="93" t="s">
        <v>1381</v>
      </c>
      <c r="D1490" s="93" t="s">
        <v>667</v>
      </c>
      <c r="E1490" s="94">
        <v>27.92</v>
      </c>
      <c r="F1490" s="93" t="s">
        <v>12</v>
      </c>
      <c r="G1490" s="87">
        <f>Table1[[#This Row],[date]]</f>
        <v>45557</v>
      </c>
      <c r="H1490" s="94">
        <f>SUMIF($A$2:A5125,G1490,$E$2:E5125)</f>
        <v>540.28</v>
      </c>
      <c r="I1490" s="93" t="str">
        <f t="shared" si="93"/>
        <v>Sunday</v>
      </c>
      <c r="J1490" s="93" t="str">
        <f t="shared" si="94"/>
        <v>September</v>
      </c>
      <c r="K1490" s="93" t="str">
        <f t="shared" si="95"/>
        <v>2024</v>
      </c>
      <c r="L1490" s="6"/>
      <c r="M1490" s="6"/>
      <c r="N1490" s="6"/>
    </row>
    <row r="1491" spans="1:14" x14ac:dyDescent="0.3">
      <c r="A1491" s="92">
        <v>45557</v>
      </c>
      <c r="B1491" s="92" t="str">
        <f t="shared" si="92"/>
        <v>Sunday</v>
      </c>
      <c r="C1491" s="93" t="s">
        <v>1381</v>
      </c>
      <c r="D1491" s="93" t="s">
        <v>649</v>
      </c>
      <c r="E1491" s="94">
        <v>32.82</v>
      </c>
      <c r="F1491" s="93" t="s">
        <v>7</v>
      </c>
      <c r="G1491" s="87">
        <f>Table1[[#This Row],[date]]</f>
        <v>45557</v>
      </c>
      <c r="H1491" s="94">
        <f>SUMIF($A$2:A5126,G1491,$E$2:E5126)</f>
        <v>540.28</v>
      </c>
      <c r="I1491" s="93" t="str">
        <f t="shared" si="93"/>
        <v>Sunday</v>
      </c>
      <c r="J1491" s="93" t="str">
        <f t="shared" si="94"/>
        <v>September</v>
      </c>
      <c r="K1491" s="93" t="str">
        <f t="shared" si="95"/>
        <v>2024</v>
      </c>
      <c r="L1491" s="6"/>
      <c r="M1491" s="6"/>
      <c r="N1491" s="6"/>
    </row>
    <row r="1492" spans="1:14" x14ac:dyDescent="0.3">
      <c r="A1492" s="92">
        <v>45557</v>
      </c>
      <c r="B1492" s="92" t="str">
        <f t="shared" si="92"/>
        <v>Sunday</v>
      </c>
      <c r="C1492" s="93" t="s">
        <v>1381</v>
      </c>
      <c r="D1492" s="93" t="s">
        <v>668</v>
      </c>
      <c r="E1492" s="94">
        <v>23.02</v>
      </c>
      <c r="F1492" s="93" t="s">
        <v>9</v>
      </c>
      <c r="G1492" s="87">
        <f>Table1[[#This Row],[date]]</f>
        <v>45557</v>
      </c>
      <c r="H1492" s="94">
        <f>SUMIF($A$2:A5127,G1492,$E$2:E5127)</f>
        <v>540.28</v>
      </c>
      <c r="I1492" s="93" t="str">
        <f t="shared" si="93"/>
        <v>Sunday</v>
      </c>
      <c r="J1492" s="93" t="str">
        <f t="shared" si="94"/>
        <v>September</v>
      </c>
      <c r="K1492" s="93" t="str">
        <f t="shared" si="95"/>
        <v>2024</v>
      </c>
      <c r="L1492" s="6"/>
      <c r="M1492" s="6"/>
      <c r="N1492" s="6"/>
    </row>
    <row r="1493" spans="1:14" x14ac:dyDescent="0.3">
      <c r="A1493" s="87">
        <v>45557</v>
      </c>
      <c r="B1493" s="87" t="str">
        <f t="shared" si="92"/>
        <v>Sunday</v>
      </c>
      <c r="C1493" s="88" t="s">
        <v>1381</v>
      </c>
      <c r="D1493" s="88" t="s">
        <v>669</v>
      </c>
      <c r="E1493" s="89">
        <v>27.92</v>
      </c>
      <c r="F1493" s="88" t="s">
        <v>12</v>
      </c>
      <c r="G1493" s="87">
        <f>Table1[[#This Row],[date]]</f>
        <v>45557</v>
      </c>
      <c r="H1493" s="94">
        <f>SUMIF($A$2:A5128,G1493,$E$2:E5128)</f>
        <v>540.28</v>
      </c>
      <c r="I1493" s="93" t="str">
        <f t="shared" si="93"/>
        <v>Sunday</v>
      </c>
      <c r="J1493" s="93" t="str">
        <f t="shared" si="94"/>
        <v>September</v>
      </c>
      <c r="K1493" s="93" t="str">
        <f t="shared" si="95"/>
        <v>2024</v>
      </c>
      <c r="L1493" s="6"/>
      <c r="M1493" s="6"/>
      <c r="N1493" s="6"/>
    </row>
    <row r="1494" spans="1:14" x14ac:dyDescent="0.3">
      <c r="A1494" s="92">
        <v>45558</v>
      </c>
      <c r="B1494" s="92" t="str">
        <f t="shared" si="92"/>
        <v>Monday</v>
      </c>
      <c r="C1494" s="93" t="s">
        <v>1381</v>
      </c>
      <c r="D1494" s="93" t="s">
        <v>288</v>
      </c>
      <c r="E1494" s="94">
        <v>27.92</v>
      </c>
      <c r="F1494" s="93" t="s">
        <v>12</v>
      </c>
      <c r="G1494" s="87">
        <f>Table1[[#This Row],[date]]</f>
        <v>45558</v>
      </c>
      <c r="H1494" s="94">
        <f>SUMIF($A$2:A5129,G1494,$E$2:E5129)</f>
        <v>251.27999999999997</v>
      </c>
      <c r="I1494" s="93" t="str">
        <f t="shared" si="93"/>
        <v>Monday</v>
      </c>
      <c r="J1494" s="93" t="str">
        <f t="shared" si="94"/>
        <v>September</v>
      </c>
      <c r="K1494" s="93" t="str">
        <f t="shared" si="95"/>
        <v>2024</v>
      </c>
      <c r="L1494" s="6"/>
      <c r="M1494" s="6"/>
      <c r="N1494" s="6"/>
    </row>
    <row r="1495" spans="1:14" x14ac:dyDescent="0.3">
      <c r="A1495" s="87">
        <v>45558</v>
      </c>
      <c r="B1495" s="87" t="str">
        <f t="shared" si="92"/>
        <v>Monday</v>
      </c>
      <c r="C1495" s="88" t="s">
        <v>1381</v>
      </c>
      <c r="D1495" s="88" t="s">
        <v>153</v>
      </c>
      <c r="E1495" s="89">
        <v>23.02</v>
      </c>
      <c r="F1495" s="88" t="s">
        <v>26</v>
      </c>
      <c r="G1495" s="87">
        <f>Table1[[#This Row],[date]]</f>
        <v>45558</v>
      </c>
      <c r="H1495" s="94">
        <f>SUMIF($A$2:A5130,G1495,$E$2:E5130)</f>
        <v>251.27999999999997</v>
      </c>
      <c r="I1495" s="93" t="str">
        <f t="shared" si="93"/>
        <v>Monday</v>
      </c>
      <c r="J1495" s="93" t="str">
        <f t="shared" si="94"/>
        <v>September</v>
      </c>
      <c r="K1495" s="93" t="str">
        <f t="shared" si="95"/>
        <v>2024</v>
      </c>
      <c r="L1495" s="6"/>
      <c r="M1495" s="6"/>
      <c r="N1495" s="6"/>
    </row>
    <row r="1496" spans="1:14" x14ac:dyDescent="0.3">
      <c r="A1496" s="92">
        <v>45558</v>
      </c>
      <c r="B1496" s="92" t="str">
        <f t="shared" si="92"/>
        <v>Monday</v>
      </c>
      <c r="C1496" s="93" t="s">
        <v>1381</v>
      </c>
      <c r="D1496" s="93" t="s">
        <v>596</v>
      </c>
      <c r="E1496" s="94">
        <v>23.02</v>
      </c>
      <c r="F1496" s="93" t="s">
        <v>9</v>
      </c>
      <c r="G1496" s="87">
        <f>Table1[[#This Row],[date]]</f>
        <v>45558</v>
      </c>
      <c r="H1496" s="94">
        <f>SUMIF($A$2:A5131,G1496,$E$2:E5131)</f>
        <v>251.27999999999997</v>
      </c>
      <c r="I1496" s="93" t="str">
        <f t="shared" si="93"/>
        <v>Monday</v>
      </c>
      <c r="J1496" s="93" t="str">
        <f t="shared" si="94"/>
        <v>September</v>
      </c>
      <c r="K1496" s="93" t="str">
        <f t="shared" si="95"/>
        <v>2024</v>
      </c>
      <c r="L1496" s="6"/>
      <c r="M1496" s="6"/>
      <c r="N1496" s="6"/>
    </row>
    <row r="1497" spans="1:14" x14ac:dyDescent="0.3">
      <c r="A1497" s="87">
        <v>45558</v>
      </c>
      <c r="B1497" s="87" t="str">
        <f t="shared" si="92"/>
        <v>Monday</v>
      </c>
      <c r="C1497" s="88" t="s">
        <v>1381</v>
      </c>
      <c r="D1497" s="88" t="s">
        <v>585</v>
      </c>
      <c r="E1497" s="89">
        <v>27.92</v>
      </c>
      <c r="F1497" s="88" t="s">
        <v>12</v>
      </c>
      <c r="G1497" s="87">
        <f>Table1[[#This Row],[date]]</f>
        <v>45558</v>
      </c>
      <c r="H1497" s="94">
        <f>SUMIF($A$2:A5132,G1497,$E$2:E5132)</f>
        <v>251.27999999999997</v>
      </c>
      <c r="I1497" s="93" t="str">
        <f t="shared" si="93"/>
        <v>Monday</v>
      </c>
      <c r="J1497" s="93" t="str">
        <f t="shared" si="94"/>
        <v>September</v>
      </c>
      <c r="K1497" s="93" t="str">
        <f t="shared" si="95"/>
        <v>2024</v>
      </c>
      <c r="L1497" s="6"/>
      <c r="M1497" s="6"/>
      <c r="N1497" s="6"/>
    </row>
    <row r="1498" spans="1:14" x14ac:dyDescent="0.3">
      <c r="A1498" s="92">
        <v>45558</v>
      </c>
      <c r="B1498" s="92" t="str">
        <f t="shared" si="92"/>
        <v>Monday</v>
      </c>
      <c r="C1498" s="93" t="s">
        <v>1381</v>
      </c>
      <c r="D1498" s="93" t="s">
        <v>670</v>
      </c>
      <c r="E1498" s="94">
        <v>32.82</v>
      </c>
      <c r="F1498" s="93" t="s">
        <v>41</v>
      </c>
      <c r="G1498" s="87">
        <f>Table1[[#This Row],[date]]</f>
        <v>45558</v>
      </c>
      <c r="H1498" s="94">
        <f>SUMIF($A$2:A5133,G1498,$E$2:E5133)</f>
        <v>251.27999999999997</v>
      </c>
      <c r="I1498" s="93" t="str">
        <f t="shared" si="93"/>
        <v>Monday</v>
      </c>
      <c r="J1498" s="93" t="str">
        <f t="shared" si="94"/>
        <v>September</v>
      </c>
      <c r="K1498" s="93" t="str">
        <f t="shared" si="95"/>
        <v>2024</v>
      </c>
      <c r="L1498" s="6"/>
      <c r="M1498" s="6"/>
      <c r="N1498" s="6"/>
    </row>
    <row r="1499" spans="1:14" x14ac:dyDescent="0.3">
      <c r="A1499" s="87">
        <v>45558</v>
      </c>
      <c r="B1499" s="87" t="str">
        <f t="shared" si="92"/>
        <v>Monday</v>
      </c>
      <c r="C1499" s="88" t="s">
        <v>1381</v>
      </c>
      <c r="D1499" s="88" t="s">
        <v>671</v>
      </c>
      <c r="E1499" s="89">
        <v>23.02</v>
      </c>
      <c r="F1499" s="88" t="s">
        <v>9</v>
      </c>
      <c r="G1499" s="87">
        <f>Table1[[#This Row],[date]]</f>
        <v>45558</v>
      </c>
      <c r="H1499" s="94">
        <f>SUMIF($A$2:A5134,G1499,$E$2:E5134)</f>
        <v>251.27999999999997</v>
      </c>
      <c r="I1499" s="93" t="str">
        <f t="shared" si="93"/>
        <v>Monday</v>
      </c>
      <c r="J1499" s="93" t="str">
        <f t="shared" si="94"/>
        <v>September</v>
      </c>
      <c r="K1499" s="93" t="str">
        <f t="shared" si="95"/>
        <v>2024</v>
      </c>
      <c r="L1499" s="6"/>
      <c r="M1499" s="6"/>
      <c r="N1499" s="6"/>
    </row>
    <row r="1500" spans="1:14" x14ac:dyDescent="0.3">
      <c r="A1500" s="92">
        <v>45558</v>
      </c>
      <c r="B1500" s="92" t="str">
        <f t="shared" si="92"/>
        <v>Monday</v>
      </c>
      <c r="C1500" s="93" t="s">
        <v>1381</v>
      </c>
      <c r="D1500" s="93" t="s">
        <v>519</v>
      </c>
      <c r="E1500" s="94">
        <v>32.82</v>
      </c>
      <c r="F1500" s="93" t="s">
        <v>5</v>
      </c>
      <c r="G1500" s="87">
        <f>Table1[[#This Row],[date]]</f>
        <v>45558</v>
      </c>
      <c r="H1500" s="94">
        <f>SUMIF($A$2:A5135,G1500,$E$2:E5135)</f>
        <v>251.27999999999997</v>
      </c>
      <c r="I1500" s="93" t="str">
        <f t="shared" si="93"/>
        <v>Monday</v>
      </c>
      <c r="J1500" s="93" t="str">
        <f t="shared" si="94"/>
        <v>September</v>
      </c>
      <c r="K1500" s="93" t="str">
        <f t="shared" si="95"/>
        <v>2024</v>
      </c>
      <c r="L1500" s="6"/>
      <c r="M1500" s="6"/>
      <c r="N1500" s="6"/>
    </row>
    <row r="1501" spans="1:14" x14ac:dyDescent="0.3">
      <c r="A1501" s="87">
        <v>45558</v>
      </c>
      <c r="B1501" s="87" t="str">
        <f t="shared" si="92"/>
        <v>Monday</v>
      </c>
      <c r="C1501" s="88" t="s">
        <v>1381</v>
      </c>
      <c r="D1501" s="88" t="s">
        <v>218</v>
      </c>
      <c r="E1501" s="89">
        <v>32.82</v>
      </c>
      <c r="F1501" s="88" t="s">
        <v>41</v>
      </c>
      <c r="G1501" s="87">
        <f>Table1[[#This Row],[date]]</f>
        <v>45558</v>
      </c>
      <c r="H1501" s="94">
        <f>SUMIF($A$2:A5136,G1501,$E$2:E5136)</f>
        <v>251.27999999999997</v>
      </c>
      <c r="I1501" s="93" t="str">
        <f t="shared" si="93"/>
        <v>Monday</v>
      </c>
      <c r="J1501" s="93" t="str">
        <f t="shared" si="94"/>
        <v>September</v>
      </c>
      <c r="K1501" s="93" t="str">
        <f t="shared" si="95"/>
        <v>2024</v>
      </c>
      <c r="L1501" s="6"/>
      <c r="M1501" s="6"/>
      <c r="N1501" s="6"/>
    </row>
    <row r="1502" spans="1:14" x14ac:dyDescent="0.3">
      <c r="A1502" s="92">
        <v>45558</v>
      </c>
      <c r="B1502" s="92" t="str">
        <f t="shared" si="92"/>
        <v>Monday</v>
      </c>
      <c r="C1502" s="93" t="s">
        <v>1381</v>
      </c>
      <c r="D1502" s="93" t="s">
        <v>653</v>
      </c>
      <c r="E1502" s="94">
        <v>27.92</v>
      </c>
      <c r="F1502" s="93" t="s">
        <v>12</v>
      </c>
      <c r="G1502" s="87">
        <f>Table1[[#This Row],[date]]</f>
        <v>45558</v>
      </c>
      <c r="H1502" s="94">
        <f>SUMIF($A$2:A5137,G1502,$E$2:E5137)</f>
        <v>251.27999999999997</v>
      </c>
      <c r="I1502" s="93" t="str">
        <f t="shared" si="93"/>
        <v>Monday</v>
      </c>
      <c r="J1502" s="93" t="str">
        <f t="shared" si="94"/>
        <v>September</v>
      </c>
      <c r="K1502" s="93" t="str">
        <f t="shared" si="95"/>
        <v>2024</v>
      </c>
      <c r="L1502" s="6"/>
      <c r="M1502" s="6"/>
      <c r="N1502" s="6"/>
    </row>
    <row r="1503" spans="1:14" x14ac:dyDescent="0.3">
      <c r="A1503" s="92">
        <v>45559</v>
      </c>
      <c r="B1503" s="92" t="str">
        <f t="shared" si="92"/>
        <v>Tuesday</v>
      </c>
      <c r="C1503" s="93" t="s">
        <v>1381</v>
      </c>
      <c r="D1503" s="93" t="s">
        <v>288</v>
      </c>
      <c r="E1503" s="94">
        <v>27.92</v>
      </c>
      <c r="F1503" s="93" t="s">
        <v>12</v>
      </c>
      <c r="G1503" s="87">
        <f>Table1[[#This Row],[date]]</f>
        <v>45559</v>
      </c>
      <c r="H1503" s="94">
        <f>SUMIF($A$2:A5138,G1503,$E$2:E5138)</f>
        <v>331.62</v>
      </c>
      <c r="I1503" s="93" t="str">
        <f t="shared" si="93"/>
        <v>Tuesday</v>
      </c>
      <c r="J1503" s="93" t="str">
        <f t="shared" si="94"/>
        <v>September</v>
      </c>
      <c r="K1503" s="93" t="str">
        <f t="shared" si="95"/>
        <v>2024</v>
      </c>
      <c r="L1503" s="6"/>
      <c r="M1503" s="6"/>
      <c r="N1503" s="6"/>
    </row>
    <row r="1504" spans="1:14" x14ac:dyDescent="0.3">
      <c r="A1504" s="87">
        <v>45559</v>
      </c>
      <c r="B1504" s="87" t="str">
        <f t="shared" si="92"/>
        <v>Tuesday</v>
      </c>
      <c r="C1504" s="88" t="s">
        <v>1381</v>
      </c>
      <c r="D1504" s="88" t="s">
        <v>646</v>
      </c>
      <c r="E1504" s="89">
        <v>32.82</v>
      </c>
      <c r="F1504" s="88" t="s">
        <v>5</v>
      </c>
      <c r="G1504" s="87">
        <f>Table1[[#This Row],[date]]</f>
        <v>45559</v>
      </c>
      <c r="H1504" s="94">
        <f>SUMIF($A$2:A5139,G1504,$E$2:E5139)</f>
        <v>331.62</v>
      </c>
      <c r="I1504" s="93" t="str">
        <f t="shared" si="93"/>
        <v>Tuesday</v>
      </c>
      <c r="J1504" s="93" t="str">
        <f t="shared" si="94"/>
        <v>September</v>
      </c>
      <c r="K1504" s="93" t="str">
        <f t="shared" si="95"/>
        <v>2024</v>
      </c>
      <c r="L1504" s="6"/>
      <c r="M1504" s="6"/>
      <c r="N1504" s="6"/>
    </row>
    <row r="1505" spans="1:14" x14ac:dyDescent="0.3">
      <c r="A1505" s="87">
        <v>45559</v>
      </c>
      <c r="B1505" s="87" t="str">
        <f t="shared" si="92"/>
        <v>Tuesday</v>
      </c>
      <c r="C1505" s="88" t="s">
        <v>1381</v>
      </c>
      <c r="D1505" s="88" t="s">
        <v>672</v>
      </c>
      <c r="E1505" s="89">
        <v>32.82</v>
      </c>
      <c r="F1505" s="88" t="s">
        <v>5</v>
      </c>
      <c r="G1505" s="87">
        <f>Table1[[#This Row],[date]]</f>
        <v>45559</v>
      </c>
      <c r="H1505" s="94">
        <f>SUMIF($A$2:A5140,G1505,$E$2:E5140)</f>
        <v>331.62</v>
      </c>
      <c r="I1505" s="93" t="str">
        <f t="shared" si="93"/>
        <v>Tuesday</v>
      </c>
      <c r="J1505" s="93" t="str">
        <f t="shared" si="94"/>
        <v>September</v>
      </c>
      <c r="K1505" s="93" t="str">
        <f t="shared" si="95"/>
        <v>2024</v>
      </c>
      <c r="L1505" s="6"/>
      <c r="M1505" s="6"/>
      <c r="N1505" s="6"/>
    </row>
    <row r="1506" spans="1:14" x14ac:dyDescent="0.3">
      <c r="A1506" s="87">
        <v>45559</v>
      </c>
      <c r="B1506" s="87" t="str">
        <f t="shared" si="92"/>
        <v>Tuesday</v>
      </c>
      <c r="C1506" s="88" t="s">
        <v>1381</v>
      </c>
      <c r="D1506" s="88" t="s">
        <v>673</v>
      </c>
      <c r="E1506" s="89">
        <v>32.82</v>
      </c>
      <c r="F1506" s="88" t="s">
        <v>5</v>
      </c>
      <c r="G1506" s="87">
        <f>Table1[[#This Row],[date]]</f>
        <v>45559</v>
      </c>
      <c r="H1506" s="94">
        <f>SUMIF($A$2:A5141,G1506,$E$2:E5141)</f>
        <v>331.62</v>
      </c>
      <c r="I1506" s="93" t="str">
        <f t="shared" si="93"/>
        <v>Tuesday</v>
      </c>
      <c r="J1506" s="93" t="str">
        <f t="shared" si="94"/>
        <v>September</v>
      </c>
      <c r="K1506" s="93" t="str">
        <f t="shared" si="95"/>
        <v>2024</v>
      </c>
      <c r="L1506" s="6"/>
      <c r="M1506" s="6"/>
      <c r="N1506" s="6"/>
    </row>
    <row r="1507" spans="1:14" x14ac:dyDescent="0.3">
      <c r="A1507" s="92">
        <v>45559</v>
      </c>
      <c r="B1507" s="92" t="str">
        <f t="shared" si="92"/>
        <v>Tuesday</v>
      </c>
      <c r="C1507" s="93" t="s">
        <v>1381</v>
      </c>
      <c r="D1507" s="93" t="s">
        <v>674</v>
      </c>
      <c r="E1507" s="94">
        <v>23.02</v>
      </c>
      <c r="F1507" s="93" t="s">
        <v>26</v>
      </c>
      <c r="G1507" s="87">
        <f>Table1[[#This Row],[date]]</f>
        <v>45559</v>
      </c>
      <c r="H1507" s="94">
        <f>SUMIF($A$2:A5142,G1507,$E$2:E5142)</f>
        <v>331.62</v>
      </c>
      <c r="I1507" s="93" t="str">
        <f t="shared" si="93"/>
        <v>Tuesday</v>
      </c>
      <c r="J1507" s="93" t="str">
        <f t="shared" si="94"/>
        <v>September</v>
      </c>
      <c r="K1507" s="93" t="str">
        <f t="shared" si="95"/>
        <v>2024</v>
      </c>
      <c r="L1507" s="6"/>
      <c r="M1507" s="6"/>
      <c r="N1507" s="6"/>
    </row>
    <row r="1508" spans="1:14" x14ac:dyDescent="0.3">
      <c r="A1508" s="87">
        <v>45559</v>
      </c>
      <c r="B1508" s="87" t="str">
        <f t="shared" si="92"/>
        <v>Tuesday</v>
      </c>
      <c r="C1508" s="88" t="s">
        <v>1381</v>
      </c>
      <c r="D1508" s="88" t="s">
        <v>522</v>
      </c>
      <c r="E1508" s="89">
        <v>32.82</v>
      </c>
      <c r="F1508" s="88" t="s">
        <v>41</v>
      </c>
      <c r="G1508" s="87">
        <f>Table1[[#This Row],[date]]</f>
        <v>45559</v>
      </c>
      <c r="H1508" s="94">
        <f>SUMIF($A$2:A5143,G1508,$E$2:E5143)</f>
        <v>331.62</v>
      </c>
      <c r="I1508" s="93" t="str">
        <f t="shared" si="93"/>
        <v>Tuesday</v>
      </c>
      <c r="J1508" s="93" t="str">
        <f t="shared" si="94"/>
        <v>September</v>
      </c>
      <c r="K1508" s="93" t="str">
        <f t="shared" si="95"/>
        <v>2024</v>
      </c>
      <c r="L1508" s="6"/>
      <c r="M1508" s="6"/>
      <c r="N1508" s="6"/>
    </row>
    <row r="1509" spans="1:14" x14ac:dyDescent="0.3">
      <c r="A1509" s="92">
        <v>45559</v>
      </c>
      <c r="B1509" s="92" t="str">
        <f t="shared" si="92"/>
        <v>Tuesday</v>
      </c>
      <c r="C1509" s="93" t="s">
        <v>1381</v>
      </c>
      <c r="D1509" s="93" t="s">
        <v>595</v>
      </c>
      <c r="E1509" s="94">
        <v>32.82</v>
      </c>
      <c r="F1509" s="93" t="s">
        <v>5</v>
      </c>
      <c r="G1509" s="87">
        <f>Table1[[#This Row],[date]]</f>
        <v>45559</v>
      </c>
      <c r="H1509" s="94">
        <f>SUMIF($A$2:A5144,G1509,$E$2:E5144)</f>
        <v>331.62</v>
      </c>
      <c r="I1509" s="93" t="str">
        <f t="shared" si="93"/>
        <v>Tuesday</v>
      </c>
      <c r="J1509" s="93" t="str">
        <f t="shared" si="94"/>
        <v>September</v>
      </c>
      <c r="K1509" s="93" t="str">
        <f t="shared" si="95"/>
        <v>2024</v>
      </c>
      <c r="L1509" s="6"/>
      <c r="M1509" s="6"/>
      <c r="N1509" s="6"/>
    </row>
    <row r="1510" spans="1:14" x14ac:dyDescent="0.3">
      <c r="A1510" s="87">
        <v>45559</v>
      </c>
      <c r="B1510" s="87" t="str">
        <f t="shared" si="92"/>
        <v>Tuesday</v>
      </c>
      <c r="C1510" s="88" t="s">
        <v>1381</v>
      </c>
      <c r="D1510" s="88" t="s">
        <v>420</v>
      </c>
      <c r="E1510" s="89">
        <v>23.02</v>
      </c>
      <c r="F1510" s="88" t="s">
        <v>9</v>
      </c>
      <c r="G1510" s="87">
        <f>Table1[[#This Row],[date]]</f>
        <v>45559</v>
      </c>
      <c r="H1510" s="94">
        <f>SUMIF($A$2:A5145,G1510,$E$2:E5145)</f>
        <v>331.62</v>
      </c>
      <c r="I1510" s="93" t="str">
        <f t="shared" si="93"/>
        <v>Tuesday</v>
      </c>
      <c r="J1510" s="93" t="str">
        <f t="shared" si="94"/>
        <v>September</v>
      </c>
      <c r="K1510" s="93" t="str">
        <f t="shared" si="95"/>
        <v>2024</v>
      </c>
      <c r="L1510" s="6"/>
      <c r="M1510" s="6"/>
      <c r="N1510" s="6"/>
    </row>
    <row r="1511" spans="1:14" x14ac:dyDescent="0.3">
      <c r="A1511" s="87">
        <v>45559</v>
      </c>
      <c r="B1511" s="87" t="str">
        <f t="shared" si="92"/>
        <v>Tuesday</v>
      </c>
      <c r="C1511" s="88" t="s">
        <v>1381</v>
      </c>
      <c r="D1511" s="88" t="s">
        <v>675</v>
      </c>
      <c r="E1511" s="89">
        <v>32.82</v>
      </c>
      <c r="F1511" s="88" t="s">
        <v>7</v>
      </c>
      <c r="G1511" s="87">
        <f>Table1[[#This Row],[date]]</f>
        <v>45559</v>
      </c>
      <c r="H1511" s="94">
        <f>SUMIF($A$2:A5146,G1511,$E$2:E5146)</f>
        <v>331.62</v>
      </c>
      <c r="I1511" s="93" t="str">
        <f t="shared" si="93"/>
        <v>Tuesday</v>
      </c>
      <c r="J1511" s="93" t="str">
        <f t="shared" si="94"/>
        <v>September</v>
      </c>
      <c r="K1511" s="93" t="str">
        <f t="shared" si="95"/>
        <v>2024</v>
      </c>
      <c r="L1511" s="6"/>
      <c r="M1511" s="6"/>
      <c r="N1511" s="6"/>
    </row>
    <row r="1512" spans="1:14" x14ac:dyDescent="0.3">
      <c r="A1512" s="92">
        <v>45559</v>
      </c>
      <c r="B1512" s="92" t="str">
        <f t="shared" si="92"/>
        <v>Tuesday</v>
      </c>
      <c r="C1512" s="93" t="s">
        <v>1381</v>
      </c>
      <c r="D1512" s="93" t="s">
        <v>643</v>
      </c>
      <c r="E1512" s="94">
        <v>32.82</v>
      </c>
      <c r="F1512" s="93" t="s">
        <v>5</v>
      </c>
      <c r="G1512" s="87">
        <f>Table1[[#This Row],[date]]</f>
        <v>45559</v>
      </c>
      <c r="H1512" s="94">
        <f>SUMIF($A$2:A5147,G1512,$E$2:E5147)</f>
        <v>331.62</v>
      </c>
      <c r="I1512" s="93" t="str">
        <f t="shared" si="93"/>
        <v>Tuesday</v>
      </c>
      <c r="J1512" s="93" t="str">
        <f t="shared" si="94"/>
        <v>September</v>
      </c>
      <c r="K1512" s="93" t="str">
        <f t="shared" si="95"/>
        <v>2024</v>
      </c>
      <c r="L1512" s="6"/>
      <c r="M1512" s="6"/>
      <c r="N1512" s="6"/>
    </row>
    <row r="1513" spans="1:14" x14ac:dyDescent="0.3">
      <c r="A1513" s="87">
        <v>45559</v>
      </c>
      <c r="B1513" s="87" t="str">
        <f t="shared" si="92"/>
        <v>Tuesday</v>
      </c>
      <c r="C1513" s="88" t="s">
        <v>1381</v>
      </c>
      <c r="D1513" s="88" t="s">
        <v>543</v>
      </c>
      <c r="E1513" s="89">
        <v>27.92</v>
      </c>
      <c r="F1513" s="88" t="s">
        <v>12</v>
      </c>
      <c r="G1513" s="87">
        <f>Table1[[#This Row],[date]]</f>
        <v>45559</v>
      </c>
      <c r="H1513" s="94">
        <f>SUMIF($A$2:A5148,G1513,$E$2:E5148)</f>
        <v>331.62</v>
      </c>
      <c r="I1513" s="93" t="str">
        <f t="shared" si="93"/>
        <v>Tuesday</v>
      </c>
      <c r="J1513" s="93" t="str">
        <f t="shared" si="94"/>
        <v>September</v>
      </c>
      <c r="K1513" s="93" t="str">
        <f t="shared" si="95"/>
        <v>2024</v>
      </c>
      <c r="L1513" s="6"/>
      <c r="M1513" s="6"/>
      <c r="N1513" s="6"/>
    </row>
    <row r="1514" spans="1:14" x14ac:dyDescent="0.3">
      <c r="A1514" s="87">
        <v>45560</v>
      </c>
      <c r="B1514" s="87" t="str">
        <f t="shared" si="92"/>
        <v>Wednesday</v>
      </c>
      <c r="C1514" s="88" t="s">
        <v>1381</v>
      </c>
      <c r="D1514" s="88" t="s">
        <v>676</v>
      </c>
      <c r="E1514" s="89">
        <v>32.82</v>
      </c>
      <c r="F1514" s="88" t="s">
        <v>41</v>
      </c>
      <c r="G1514" s="87">
        <f>Table1[[#This Row],[date]]</f>
        <v>45560</v>
      </c>
      <c r="H1514" s="94">
        <f>SUMIF($A$2:A5149,G1514,$E$2:E5149)</f>
        <v>223.36</v>
      </c>
      <c r="I1514" s="93" t="str">
        <f t="shared" si="93"/>
        <v>Wednesday</v>
      </c>
      <c r="J1514" s="93" t="str">
        <f t="shared" si="94"/>
        <v>September</v>
      </c>
      <c r="K1514" s="93" t="str">
        <f t="shared" si="95"/>
        <v>2024</v>
      </c>
      <c r="L1514" s="6"/>
      <c r="M1514" s="6"/>
      <c r="N1514" s="6"/>
    </row>
    <row r="1515" spans="1:14" x14ac:dyDescent="0.3">
      <c r="A1515" s="92">
        <v>45560</v>
      </c>
      <c r="B1515" s="92" t="str">
        <f t="shared" si="92"/>
        <v>Wednesday</v>
      </c>
      <c r="C1515" s="93" t="s">
        <v>1381</v>
      </c>
      <c r="D1515" s="93" t="s">
        <v>153</v>
      </c>
      <c r="E1515" s="94">
        <v>23.02</v>
      </c>
      <c r="F1515" s="93" t="s">
        <v>26</v>
      </c>
      <c r="G1515" s="87">
        <f>Table1[[#This Row],[date]]</f>
        <v>45560</v>
      </c>
      <c r="H1515" s="94">
        <f>SUMIF($A$2:A5150,G1515,$E$2:E5150)</f>
        <v>223.36</v>
      </c>
      <c r="I1515" s="93" t="str">
        <f t="shared" si="93"/>
        <v>Wednesday</v>
      </c>
      <c r="J1515" s="93" t="str">
        <f t="shared" si="94"/>
        <v>September</v>
      </c>
      <c r="K1515" s="93" t="str">
        <f t="shared" si="95"/>
        <v>2024</v>
      </c>
      <c r="L1515" s="6"/>
      <c r="M1515" s="6"/>
      <c r="N1515" s="6"/>
    </row>
    <row r="1516" spans="1:14" x14ac:dyDescent="0.3">
      <c r="A1516" s="87">
        <v>45560</v>
      </c>
      <c r="B1516" s="87" t="str">
        <f t="shared" si="92"/>
        <v>Wednesday</v>
      </c>
      <c r="C1516" s="88" t="s">
        <v>1381</v>
      </c>
      <c r="D1516" s="88" t="s">
        <v>677</v>
      </c>
      <c r="E1516" s="89">
        <v>27.92</v>
      </c>
      <c r="F1516" s="88" t="s">
        <v>12</v>
      </c>
      <c r="G1516" s="87">
        <f>Table1[[#This Row],[date]]</f>
        <v>45560</v>
      </c>
      <c r="H1516" s="94">
        <f>SUMIF($A$2:A5151,G1516,$E$2:E5151)</f>
        <v>223.36</v>
      </c>
      <c r="I1516" s="93" t="str">
        <f t="shared" si="93"/>
        <v>Wednesday</v>
      </c>
      <c r="J1516" s="93" t="str">
        <f t="shared" si="94"/>
        <v>September</v>
      </c>
      <c r="K1516" s="93" t="str">
        <f t="shared" si="95"/>
        <v>2024</v>
      </c>
      <c r="L1516" s="6"/>
      <c r="M1516" s="6"/>
      <c r="N1516" s="6"/>
    </row>
    <row r="1517" spans="1:14" x14ac:dyDescent="0.3">
      <c r="A1517" s="92">
        <v>45560</v>
      </c>
      <c r="B1517" s="92" t="str">
        <f t="shared" si="92"/>
        <v>Wednesday</v>
      </c>
      <c r="C1517" s="93" t="s">
        <v>1381</v>
      </c>
      <c r="D1517" s="93" t="s">
        <v>677</v>
      </c>
      <c r="E1517" s="94">
        <v>32.82</v>
      </c>
      <c r="F1517" s="93" t="s">
        <v>5</v>
      </c>
      <c r="G1517" s="87">
        <f>Table1[[#This Row],[date]]</f>
        <v>45560</v>
      </c>
      <c r="H1517" s="94">
        <f>SUMIF($A$2:A5152,G1517,$E$2:E5152)</f>
        <v>223.36</v>
      </c>
      <c r="I1517" s="93" t="str">
        <f t="shared" si="93"/>
        <v>Wednesday</v>
      </c>
      <c r="J1517" s="93" t="str">
        <f t="shared" si="94"/>
        <v>September</v>
      </c>
      <c r="K1517" s="93" t="str">
        <f t="shared" si="95"/>
        <v>2024</v>
      </c>
      <c r="L1517" s="6"/>
      <c r="M1517" s="6"/>
      <c r="N1517" s="6"/>
    </row>
    <row r="1518" spans="1:14" x14ac:dyDescent="0.3">
      <c r="A1518" s="87">
        <v>45560</v>
      </c>
      <c r="B1518" s="87" t="str">
        <f t="shared" si="92"/>
        <v>Wednesday</v>
      </c>
      <c r="C1518" s="88" t="s">
        <v>1381</v>
      </c>
      <c r="D1518" s="88" t="s">
        <v>678</v>
      </c>
      <c r="E1518" s="89">
        <v>27.92</v>
      </c>
      <c r="F1518" s="88" t="s">
        <v>12</v>
      </c>
      <c r="G1518" s="87">
        <f>Table1[[#This Row],[date]]</f>
        <v>45560</v>
      </c>
      <c r="H1518" s="94">
        <f>SUMIF($A$2:A5153,G1518,$E$2:E5153)</f>
        <v>223.36</v>
      </c>
      <c r="I1518" s="93" t="str">
        <f t="shared" si="93"/>
        <v>Wednesday</v>
      </c>
      <c r="J1518" s="93" t="str">
        <f t="shared" si="94"/>
        <v>September</v>
      </c>
      <c r="K1518" s="93" t="str">
        <f t="shared" si="95"/>
        <v>2024</v>
      </c>
      <c r="L1518" s="6"/>
      <c r="M1518" s="6"/>
      <c r="N1518" s="6"/>
    </row>
    <row r="1519" spans="1:14" x14ac:dyDescent="0.3">
      <c r="A1519" s="87">
        <v>45560</v>
      </c>
      <c r="B1519" s="87" t="str">
        <f t="shared" si="92"/>
        <v>Wednesday</v>
      </c>
      <c r="C1519" s="88" t="s">
        <v>1381</v>
      </c>
      <c r="D1519" s="88" t="s">
        <v>679</v>
      </c>
      <c r="E1519" s="89">
        <v>27.92</v>
      </c>
      <c r="F1519" s="88" t="s">
        <v>12</v>
      </c>
      <c r="G1519" s="87">
        <f>Table1[[#This Row],[date]]</f>
        <v>45560</v>
      </c>
      <c r="H1519" s="94">
        <f>SUMIF($A$2:A5154,G1519,$E$2:E5154)</f>
        <v>223.36</v>
      </c>
      <c r="I1519" s="93" t="str">
        <f t="shared" si="93"/>
        <v>Wednesday</v>
      </c>
      <c r="J1519" s="93" t="str">
        <f t="shared" si="94"/>
        <v>September</v>
      </c>
      <c r="K1519" s="93" t="str">
        <f t="shared" si="95"/>
        <v>2024</v>
      </c>
      <c r="L1519" s="6"/>
      <c r="M1519" s="6"/>
      <c r="N1519" s="6"/>
    </row>
    <row r="1520" spans="1:14" x14ac:dyDescent="0.3">
      <c r="A1520" s="87">
        <v>45560</v>
      </c>
      <c r="B1520" s="87" t="str">
        <f t="shared" si="92"/>
        <v>Wednesday</v>
      </c>
      <c r="C1520" s="88" t="s">
        <v>1381</v>
      </c>
      <c r="D1520" s="88" t="s">
        <v>680</v>
      </c>
      <c r="E1520" s="89">
        <v>23.02</v>
      </c>
      <c r="F1520" s="88" t="s">
        <v>9</v>
      </c>
      <c r="G1520" s="87">
        <f>Table1[[#This Row],[date]]</f>
        <v>45560</v>
      </c>
      <c r="H1520" s="94">
        <f>SUMIF($A$2:A5155,G1520,$E$2:E5155)</f>
        <v>223.36</v>
      </c>
      <c r="I1520" s="93" t="str">
        <f t="shared" si="93"/>
        <v>Wednesday</v>
      </c>
      <c r="J1520" s="93" t="str">
        <f t="shared" si="94"/>
        <v>September</v>
      </c>
      <c r="K1520" s="93" t="str">
        <f t="shared" si="95"/>
        <v>2024</v>
      </c>
      <c r="L1520" s="6"/>
      <c r="M1520" s="6"/>
      <c r="N1520" s="6"/>
    </row>
    <row r="1521" spans="1:14" x14ac:dyDescent="0.3">
      <c r="A1521" s="92">
        <v>45560</v>
      </c>
      <c r="B1521" s="92" t="str">
        <f t="shared" si="92"/>
        <v>Wednesday</v>
      </c>
      <c r="C1521" s="93" t="s">
        <v>1381</v>
      </c>
      <c r="D1521" s="93" t="s">
        <v>487</v>
      </c>
      <c r="E1521" s="94">
        <v>27.92</v>
      </c>
      <c r="F1521" s="93" t="s">
        <v>12</v>
      </c>
      <c r="G1521" s="87">
        <f>Table1[[#This Row],[date]]</f>
        <v>45560</v>
      </c>
      <c r="H1521" s="94">
        <f>SUMIF($A$2:A5156,G1521,$E$2:E5156)</f>
        <v>223.36</v>
      </c>
      <c r="I1521" s="93" t="str">
        <f t="shared" si="93"/>
        <v>Wednesday</v>
      </c>
      <c r="J1521" s="93" t="str">
        <f t="shared" si="94"/>
        <v>September</v>
      </c>
      <c r="K1521" s="93" t="str">
        <f t="shared" si="95"/>
        <v>2024</v>
      </c>
      <c r="L1521" s="6"/>
      <c r="M1521" s="6"/>
      <c r="N1521" s="6"/>
    </row>
    <row r="1522" spans="1:14" x14ac:dyDescent="0.3">
      <c r="A1522" s="87">
        <v>45561</v>
      </c>
      <c r="B1522" s="87" t="str">
        <f t="shared" si="92"/>
        <v>Thursday</v>
      </c>
      <c r="C1522" s="88" t="s">
        <v>1381</v>
      </c>
      <c r="D1522" s="88" t="s">
        <v>582</v>
      </c>
      <c r="E1522" s="89">
        <v>32.82</v>
      </c>
      <c r="F1522" s="88" t="s">
        <v>5</v>
      </c>
      <c r="G1522" s="87">
        <f>Table1[[#This Row],[date]]</f>
        <v>45561</v>
      </c>
      <c r="H1522" s="94">
        <f>SUMIF($A$2:A5157,G1522,$E$2:E5157)</f>
        <v>261.08</v>
      </c>
      <c r="I1522" s="93" t="str">
        <f t="shared" si="93"/>
        <v>Thursday</v>
      </c>
      <c r="J1522" s="93" t="str">
        <f t="shared" si="94"/>
        <v>September</v>
      </c>
      <c r="K1522" s="93" t="str">
        <f t="shared" si="95"/>
        <v>2024</v>
      </c>
      <c r="L1522" s="6"/>
      <c r="M1522" s="6"/>
      <c r="N1522" s="6"/>
    </row>
    <row r="1523" spans="1:14" x14ac:dyDescent="0.3">
      <c r="A1523" s="92">
        <v>45561</v>
      </c>
      <c r="B1523" s="92" t="str">
        <f t="shared" si="92"/>
        <v>Thursday</v>
      </c>
      <c r="C1523" s="93" t="s">
        <v>1381</v>
      </c>
      <c r="D1523" s="93" t="s">
        <v>345</v>
      </c>
      <c r="E1523" s="94">
        <v>27.92</v>
      </c>
      <c r="F1523" s="93" t="s">
        <v>12</v>
      </c>
      <c r="G1523" s="87">
        <f>Table1[[#This Row],[date]]</f>
        <v>45561</v>
      </c>
      <c r="H1523" s="94">
        <f>SUMIF($A$2:A5158,G1523,$E$2:E5158)</f>
        <v>261.08</v>
      </c>
      <c r="I1523" s="93" t="str">
        <f t="shared" si="93"/>
        <v>Thursday</v>
      </c>
      <c r="J1523" s="93" t="str">
        <f t="shared" si="94"/>
        <v>September</v>
      </c>
      <c r="K1523" s="93" t="str">
        <f t="shared" si="95"/>
        <v>2024</v>
      </c>
      <c r="L1523" s="6"/>
      <c r="M1523" s="6"/>
      <c r="N1523" s="6"/>
    </row>
    <row r="1524" spans="1:14" x14ac:dyDescent="0.3">
      <c r="A1524" s="87">
        <v>45561</v>
      </c>
      <c r="B1524" s="87" t="str">
        <f t="shared" si="92"/>
        <v>Thursday</v>
      </c>
      <c r="C1524" s="88" t="s">
        <v>1381</v>
      </c>
      <c r="D1524" s="88" t="s">
        <v>681</v>
      </c>
      <c r="E1524" s="89">
        <v>18.12</v>
      </c>
      <c r="F1524" s="88" t="s">
        <v>33</v>
      </c>
      <c r="G1524" s="87">
        <f>Table1[[#This Row],[date]]</f>
        <v>45561</v>
      </c>
      <c r="H1524" s="94">
        <f>SUMIF($A$2:A5159,G1524,$E$2:E5159)</f>
        <v>261.08</v>
      </c>
      <c r="I1524" s="93" t="str">
        <f t="shared" si="93"/>
        <v>Thursday</v>
      </c>
      <c r="J1524" s="93" t="str">
        <f t="shared" si="94"/>
        <v>September</v>
      </c>
      <c r="K1524" s="93" t="str">
        <f t="shared" si="95"/>
        <v>2024</v>
      </c>
      <c r="L1524" s="6"/>
      <c r="M1524" s="6"/>
      <c r="N1524" s="6"/>
    </row>
    <row r="1525" spans="1:14" x14ac:dyDescent="0.3">
      <c r="A1525" s="92">
        <v>45561</v>
      </c>
      <c r="B1525" s="92" t="str">
        <f t="shared" si="92"/>
        <v>Thursday</v>
      </c>
      <c r="C1525" s="93" t="s">
        <v>1381</v>
      </c>
      <c r="D1525" s="93" t="s">
        <v>682</v>
      </c>
      <c r="E1525" s="94">
        <v>32.82</v>
      </c>
      <c r="F1525" s="93" t="s">
        <v>41</v>
      </c>
      <c r="G1525" s="87">
        <f>Table1[[#This Row],[date]]</f>
        <v>45561</v>
      </c>
      <c r="H1525" s="94">
        <f>SUMIF($A$2:A5160,G1525,$E$2:E5160)</f>
        <v>261.08</v>
      </c>
      <c r="I1525" s="93" t="str">
        <f t="shared" si="93"/>
        <v>Thursday</v>
      </c>
      <c r="J1525" s="93" t="str">
        <f t="shared" si="94"/>
        <v>September</v>
      </c>
      <c r="K1525" s="93" t="str">
        <f t="shared" si="95"/>
        <v>2024</v>
      </c>
      <c r="L1525" s="6"/>
      <c r="M1525" s="6"/>
      <c r="N1525" s="6"/>
    </row>
    <row r="1526" spans="1:14" x14ac:dyDescent="0.3">
      <c r="A1526" s="87">
        <v>45561</v>
      </c>
      <c r="B1526" s="87" t="str">
        <f t="shared" si="92"/>
        <v>Thursday</v>
      </c>
      <c r="C1526" s="88" t="s">
        <v>1381</v>
      </c>
      <c r="D1526" s="88" t="s">
        <v>683</v>
      </c>
      <c r="E1526" s="89">
        <v>32.82</v>
      </c>
      <c r="F1526" s="88" t="s">
        <v>5</v>
      </c>
      <c r="G1526" s="87">
        <f>Table1[[#This Row],[date]]</f>
        <v>45561</v>
      </c>
      <c r="H1526" s="94">
        <f>SUMIF($A$2:A5161,G1526,$E$2:E5161)</f>
        <v>261.08</v>
      </c>
      <c r="I1526" s="93" t="str">
        <f t="shared" si="93"/>
        <v>Thursday</v>
      </c>
      <c r="J1526" s="93" t="str">
        <f t="shared" si="94"/>
        <v>September</v>
      </c>
      <c r="K1526" s="93" t="str">
        <f t="shared" si="95"/>
        <v>2024</v>
      </c>
      <c r="L1526" s="6"/>
      <c r="M1526" s="6"/>
      <c r="N1526" s="6"/>
    </row>
    <row r="1527" spans="1:14" x14ac:dyDescent="0.3">
      <c r="A1527" s="92">
        <v>45561</v>
      </c>
      <c r="B1527" s="92" t="str">
        <f t="shared" si="92"/>
        <v>Thursday</v>
      </c>
      <c r="C1527" s="93" t="s">
        <v>1381</v>
      </c>
      <c r="D1527" s="93" t="s">
        <v>684</v>
      </c>
      <c r="E1527" s="94">
        <v>32.82</v>
      </c>
      <c r="F1527" s="93" t="s">
        <v>5</v>
      </c>
      <c r="G1527" s="87">
        <f>Table1[[#This Row],[date]]</f>
        <v>45561</v>
      </c>
      <c r="H1527" s="94">
        <f>SUMIF($A$2:A5162,G1527,$E$2:E5162)</f>
        <v>261.08</v>
      </c>
      <c r="I1527" s="93" t="str">
        <f t="shared" si="93"/>
        <v>Thursday</v>
      </c>
      <c r="J1527" s="93" t="str">
        <f t="shared" si="94"/>
        <v>September</v>
      </c>
      <c r="K1527" s="93" t="str">
        <f t="shared" si="95"/>
        <v>2024</v>
      </c>
      <c r="L1527" s="6"/>
      <c r="M1527" s="6"/>
      <c r="N1527" s="6"/>
    </row>
    <row r="1528" spans="1:14" x14ac:dyDescent="0.3">
      <c r="A1528" s="87">
        <v>45561</v>
      </c>
      <c r="B1528" s="87" t="str">
        <f t="shared" si="92"/>
        <v>Thursday</v>
      </c>
      <c r="C1528" s="88" t="s">
        <v>1381</v>
      </c>
      <c r="D1528" s="88" t="s">
        <v>685</v>
      </c>
      <c r="E1528" s="89">
        <v>32.82</v>
      </c>
      <c r="F1528" s="88" t="s">
        <v>5</v>
      </c>
      <c r="G1528" s="87">
        <f>Table1[[#This Row],[date]]</f>
        <v>45561</v>
      </c>
      <c r="H1528" s="94">
        <f>SUMIF($A$2:A5163,G1528,$E$2:E5163)</f>
        <v>261.08</v>
      </c>
      <c r="I1528" s="93" t="str">
        <f t="shared" si="93"/>
        <v>Thursday</v>
      </c>
      <c r="J1528" s="93" t="str">
        <f t="shared" si="94"/>
        <v>September</v>
      </c>
      <c r="K1528" s="93" t="str">
        <f t="shared" si="95"/>
        <v>2024</v>
      </c>
      <c r="L1528" s="6"/>
      <c r="M1528" s="6"/>
      <c r="N1528" s="6"/>
    </row>
    <row r="1529" spans="1:14" x14ac:dyDescent="0.3">
      <c r="A1529" s="92">
        <v>45561</v>
      </c>
      <c r="B1529" s="92" t="str">
        <f t="shared" si="92"/>
        <v>Thursday</v>
      </c>
      <c r="C1529" s="93" t="s">
        <v>1381</v>
      </c>
      <c r="D1529" s="93" t="s">
        <v>685</v>
      </c>
      <c r="E1529" s="94">
        <v>23.02</v>
      </c>
      <c r="F1529" s="93" t="s">
        <v>26</v>
      </c>
      <c r="G1529" s="87">
        <f>Table1[[#This Row],[date]]</f>
        <v>45561</v>
      </c>
      <c r="H1529" s="94">
        <f>SUMIF($A$2:A5164,G1529,$E$2:E5164)</f>
        <v>261.08</v>
      </c>
      <c r="I1529" s="93" t="str">
        <f t="shared" si="93"/>
        <v>Thursday</v>
      </c>
      <c r="J1529" s="93" t="str">
        <f t="shared" si="94"/>
        <v>September</v>
      </c>
      <c r="K1529" s="93" t="str">
        <f t="shared" si="95"/>
        <v>2024</v>
      </c>
      <c r="L1529" s="6"/>
      <c r="M1529" s="6"/>
      <c r="N1529" s="6"/>
    </row>
    <row r="1530" spans="1:14" x14ac:dyDescent="0.3">
      <c r="A1530" s="87">
        <v>45561</v>
      </c>
      <c r="B1530" s="87" t="str">
        <f t="shared" si="92"/>
        <v>Thursday</v>
      </c>
      <c r="C1530" s="88" t="s">
        <v>1381</v>
      </c>
      <c r="D1530" s="88" t="s">
        <v>484</v>
      </c>
      <c r="E1530" s="89">
        <v>27.92</v>
      </c>
      <c r="F1530" s="88" t="s">
        <v>12</v>
      </c>
      <c r="G1530" s="87">
        <f>Table1[[#This Row],[date]]</f>
        <v>45561</v>
      </c>
      <c r="H1530" s="94">
        <f>SUMIF($A$2:A5165,G1530,$E$2:E5165)</f>
        <v>261.08</v>
      </c>
      <c r="I1530" s="93" t="str">
        <f t="shared" si="93"/>
        <v>Thursday</v>
      </c>
      <c r="J1530" s="93" t="str">
        <f t="shared" si="94"/>
        <v>September</v>
      </c>
      <c r="K1530" s="93" t="str">
        <f t="shared" si="95"/>
        <v>2024</v>
      </c>
      <c r="L1530" s="6"/>
      <c r="M1530" s="6"/>
      <c r="N1530" s="6"/>
    </row>
    <row r="1531" spans="1:14" x14ac:dyDescent="0.3">
      <c r="A1531" s="92">
        <v>45562</v>
      </c>
      <c r="B1531" s="92" t="str">
        <f t="shared" si="92"/>
        <v>Friday</v>
      </c>
      <c r="C1531" s="93" t="s">
        <v>1381</v>
      </c>
      <c r="D1531" s="93" t="s">
        <v>288</v>
      </c>
      <c r="E1531" s="94">
        <v>27.92</v>
      </c>
      <c r="F1531" s="93" t="s">
        <v>12</v>
      </c>
      <c r="G1531" s="87">
        <f>Table1[[#This Row],[date]]</f>
        <v>45562</v>
      </c>
      <c r="H1531" s="94">
        <f>SUMIF($A$2:A5166,G1531,$E$2:E5166)</f>
        <v>387.46</v>
      </c>
      <c r="I1531" s="93" t="str">
        <f t="shared" si="93"/>
        <v>Friday</v>
      </c>
      <c r="J1531" s="93" t="str">
        <f t="shared" si="94"/>
        <v>September</v>
      </c>
      <c r="K1531" s="93" t="str">
        <f t="shared" si="95"/>
        <v>2024</v>
      </c>
      <c r="L1531" s="6"/>
      <c r="M1531" s="6"/>
      <c r="N1531" s="6"/>
    </row>
    <row r="1532" spans="1:14" x14ac:dyDescent="0.3">
      <c r="A1532" s="87">
        <v>45562</v>
      </c>
      <c r="B1532" s="87" t="str">
        <f t="shared" si="92"/>
        <v>Friday</v>
      </c>
      <c r="C1532" s="88" t="s">
        <v>1381</v>
      </c>
      <c r="D1532" s="88" t="s">
        <v>153</v>
      </c>
      <c r="E1532" s="89">
        <v>23.02</v>
      </c>
      <c r="F1532" s="88" t="s">
        <v>26</v>
      </c>
      <c r="G1532" s="87">
        <f>Table1[[#This Row],[date]]</f>
        <v>45562</v>
      </c>
      <c r="H1532" s="94">
        <f>SUMIF($A$2:A5167,G1532,$E$2:E5167)</f>
        <v>387.46</v>
      </c>
      <c r="I1532" s="93" t="str">
        <f t="shared" si="93"/>
        <v>Friday</v>
      </c>
      <c r="J1532" s="93" t="str">
        <f t="shared" si="94"/>
        <v>September</v>
      </c>
      <c r="K1532" s="93" t="str">
        <f t="shared" si="95"/>
        <v>2024</v>
      </c>
      <c r="L1532" s="6"/>
      <c r="M1532" s="6"/>
      <c r="N1532" s="6"/>
    </row>
    <row r="1533" spans="1:14" x14ac:dyDescent="0.3">
      <c r="A1533" s="92">
        <v>45562</v>
      </c>
      <c r="B1533" s="92" t="str">
        <f t="shared" si="92"/>
        <v>Friday</v>
      </c>
      <c r="C1533" s="93" t="s">
        <v>1381</v>
      </c>
      <c r="D1533" s="93" t="s">
        <v>686</v>
      </c>
      <c r="E1533" s="94">
        <v>32.82</v>
      </c>
      <c r="F1533" s="93" t="s">
        <v>41</v>
      </c>
      <c r="G1533" s="87">
        <f>Table1[[#This Row],[date]]</f>
        <v>45562</v>
      </c>
      <c r="H1533" s="94">
        <f>SUMIF($A$2:A5168,G1533,$E$2:E5168)</f>
        <v>387.46</v>
      </c>
      <c r="I1533" s="93" t="str">
        <f t="shared" si="93"/>
        <v>Friday</v>
      </c>
      <c r="J1533" s="93" t="str">
        <f t="shared" si="94"/>
        <v>September</v>
      </c>
      <c r="K1533" s="93" t="str">
        <f t="shared" si="95"/>
        <v>2024</v>
      </c>
      <c r="L1533" s="6"/>
      <c r="M1533" s="6"/>
      <c r="N1533" s="6"/>
    </row>
    <row r="1534" spans="1:14" x14ac:dyDescent="0.3">
      <c r="A1534" s="87">
        <v>45562</v>
      </c>
      <c r="B1534" s="87" t="str">
        <f t="shared" si="92"/>
        <v>Friday</v>
      </c>
      <c r="C1534" s="88" t="s">
        <v>1381</v>
      </c>
      <c r="D1534" s="88" t="s">
        <v>345</v>
      </c>
      <c r="E1534" s="89">
        <v>27.92</v>
      </c>
      <c r="F1534" s="88" t="s">
        <v>12</v>
      </c>
      <c r="G1534" s="87">
        <f>Table1[[#This Row],[date]]</f>
        <v>45562</v>
      </c>
      <c r="H1534" s="94">
        <f>SUMIF($A$2:A5169,G1534,$E$2:E5169)</f>
        <v>387.46</v>
      </c>
      <c r="I1534" s="93" t="str">
        <f t="shared" si="93"/>
        <v>Friday</v>
      </c>
      <c r="J1534" s="93" t="str">
        <f t="shared" si="94"/>
        <v>September</v>
      </c>
      <c r="K1534" s="93" t="str">
        <f t="shared" si="95"/>
        <v>2024</v>
      </c>
      <c r="L1534" s="6"/>
      <c r="M1534" s="6"/>
      <c r="N1534" s="6"/>
    </row>
    <row r="1535" spans="1:14" x14ac:dyDescent="0.3">
      <c r="A1535" s="87">
        <v>45562</v>
      </c>
      <c r="B1535" s="87" t="str">
        <f t="shared" si="92"/>
        <v>Friday</v>
      </c>
      <c r="C1535" s="88" t="s">
        <v>1381</v>
      </c>
      <c r="D1535" s="88" t="s">
        <v>687</v>
      </c>
      <c r="E1535" s="89">
        <v>32.82</v>
      </c>
      <c r="F1535" s="88" t="s">
        <v>41</v>
      </c>
      <c r="G1535" s="87">
        <f>Table1[[#This Row],[date]]</f>
        <v>45562</v>
      </c>
      <c r="H1535" s="94">
        <f>SUMIF($A$2:A5170,G1535,$E$2:E5170)</f>
        <v>387.46</v>
      </c>
      <c r="I1535" s="93" t="str">
        <f t="shared" si="93"/>
        <v>Friday</v>
      </c>
      <c r="J1535" s="93" t="str">
        <f t="shared" si="94"/>
        <v>September</v>
      </c>
      <c r="K1535" s="93" t="str">
        <f t="shared" si="95"/>
        <v>2024</v>
      </c>
      <c r="L1535" s="6"/>
      <c r="M1535" s="6"/>
      <c r="N1535" s="6"/>
    </row>
    <row r="1536" spans="1:14" x14ac:dyDescent="0.3">
      <c r="A1536" s="92">
        <v>45562</v>
      </c>
      <c r="B1536" s="92" t="str">
        <f t="shared" si="92"/>
        <v>Friday</v>
      </c>
      <c r="C1536" s="93" t="s">
        <v>1381</v>
      </c>
      <c r="D1536" s="93" t="s">
        <v>688</v>
      </c>
      <c r="E1536" s="94">
        <v>32.82</v>
      </c>
      <c r="F1536" s="93" t="s">
        <v>41</v>
      </c>
      <c r="G1536" s="87">
        <f>Table1[[#This Row],[date]]</f>
        <v>45562</v>
      </c>
      <c r="H1536" s="94">
        <f>SUMIF($A$2:A5171,G1536,$E$2:E5171)</f>
        <v>387.46</v>
      </c>
      <c r="I1536" s="93" t="str">
        <f t="shared" si="93"/>
        <v>Friday</v>
      </c>
      <c r="J1536" s="93" t="str">
        <f t="shared" si="94"/>
        <v>September</v>
      </c>
      <c r="K1536" s="93" t="str">
        <f t="shared" si="95"/>
        <v>2024</v>
      </c>
      <c r="L1536" s="6"/>
      <c r="M1536" s="6"/>
      <c r="N1536" s="6"/>
    </row>
    <row r="1537" spans="1:14" x14ac:dyDescent="0.3">
      <c r="A1537" s="87">
        <v>45562</v>
      </c>
      <c r="B1537" s="87" t="str">
        <f t="shared" si="92"/>
        <v>Friday</v>
      </c>
      <c r="C1537" s="88" t="s">
        <v>1381</v>
      </c>
      <c r="D1537" s="88" t="s">
        <v>688</v>
      </c>
      <c r="E1537" s="89">
        <v>23.02</v>
      </c>
      <c r="F1537" s="88" t="s">
        <v>9</v>
      </c>
      <c r="G1537" s="87">
        <f>Table1[[#This Row],[date]]</f>
        <v>45562</v>
      </c>
      <c r="H1537" s="94">
        <f>SUMIF($A$2:A5172,G1537,$E$2:E5172)</f>
        <v>387.46</v>
      </c>
      <c r="I1537" s="93" t="str">
        <f t="shared" si="93"/>
        <v>Friday</v>
      </c>
      <c r="J1537" s="93" t="str">
        <f t="shared" si="94"/>
        <v>September</v>
      </c>
      <c r="K1537" s="93" t="str">
        <f t="shared" si="95"/>
        <v>2024</v>
      </c>
      <c r="L1537" s="6"/>
      <c r="M1537" s="6"/>
      <c r="N1537" s="6"/>
    </row>
    <row r="1538" spans="1:14" x14ac:dyDescent="0.3">
      <c r="A1538" s="92">
        <v>45562</v>
      </c>
      <c r="B1538" s="92" t="str">
        <f t="shared" ref="B1538:B1601" si="96">TEXT(A1538,"dddd")</f>
        <v>Friday</v>
      </c>
      <c r="C1538" s="93" t="s">
        <v>1381</v>
      </c>
      <c r="D1538" s="93" t="s">
        <v>689</v>
      </c>
      <c r="E1538" s="94">
        <v>27.92</v>
      </c>
      <c r="F1538" s="93" t="s">
        <v>12</v>
      </c>
      <c r="G1538" s="87">
        <f>Table1[[#This Row],[date]]</f>
        <v>45562</v>
      </c>
      <c r="H1538" s="94">
        <f>SUMIF($A$2:A5173,G1538,$E$2:E5173)</f>
        <v>387.46</v>
      </c>
      <c r="I1538" s="93" t="str">
        <f t="shared" si="93"/>
        <v>Friday</v>
      </c>
      <c r="J1538" s="93" t="str">
        <f t="shared" si="94"/>
        <v>September</v>
      </c>
      <c r="K1538" s="93" t="str">
        <f t="shared" si="95"/>
        <v>2024</v>
      </c>
      <c r="L1538" s="6"/>
      <c r="M1538" s="6"/>
      <c r="N1538" s="6"/>
    </row>
    <row r="1539" spans="1:14" x14ac:dyDescent="0.3">
      <c r="A1539" s="87">
        <v>45562</v>
      </c>
      <c r="B1539" s="87" t="str">
        <f t="shared" si="96"/>
        <v>Friday</v>
      </c>
      <c r="C1539" s="88" t="s">
        <v>1381</v>
      </c>
      <c r="D1539" s="88" t="s">
        <v>690</v>
      </c>
      <c r="E1539" s="89">
        <v>32.82</v>
      </c>
      <c r="F1539" s="88" t="s">
        <v>5</v>
      </c>
      <c r="G1539" s="87">
        <f>Table1[[#This Row],[date]]</f>
        <v>45562</v>
      </c>
      <c r="H1539" s="94">
        <f>SUMIF($A$2:A5174,G1539,$E$2:E5174)</f>
        <v>387.46</v>
      </c>
      <c r="I1539" s="93" t="str">
        <f t="shared" si="93"/>
        <v>Friday</v>
      </c>
      <c r="J1539" s="93" t="str">
        <f t="shared" si="94"/>
        <v>September</v>
      </c>
      <c r="K1539" s="93" t="str">
        <f t="shared" si="95"/>
        <v>2024</v>
      </c>
      <c r="L1539" s="6"/>
      <c r="M1539" s="6"/>
      <c r="N1539" s="6"/>
    </row>
    <row r="1540" spans="1:14" x14ac:dyDescent="0.3">
      <c r="A1540" s="87">
        <v>45562</v>
      </c>
      <c r="B1540" s="87" t="str">
        <f t="shared" si="96"/>
        <v>Friday</v>
      </c>
      <c r="C1540" s="88" t="s">
        <v>1381</v>
      </c>
      <c r="D1540" s="88" t="s">
        <v>691</v>
      </c>
      <c r="E1540" s="89">
        <v>32.82</v>
      </c>
      <c r="F1540" s="88" t="s">
        <v>41</v>
      </c>
      <c r="G1540" s="87">
        <f>Table1[[#This Row],[date]]</f>
        <v>45562</v>
      </c>
      <c r="H1540" s="94">
        <f>SUMIF($A$2:A5175,G1540,$E$2:E5175)</f>
        <v>387.46</v>
      </c>
      <c r="I1540" s="93" t="str">
        <f t="shared" si="93"/>
        <v>Friday</v>
      </c>
      <c r="J1540" s="93" t="str">
        <f t="shared" si="94"/>
        <v>September</v>
      </c>
      <c r="K1540" s="93" t="str">
        <f t="shared" si="95"/>
        <v>2024</v>
      </c>
      <c r="L1540" s="6"/>
      <c r="M1540" s="6"/>
      <c r="N1540" s="6"/>
    </row>
    <row r="1541" spans="1:14" x14ac:dyDescent="0.3">
      <c r="A1541" s="92">
        <v>45562</v>
      </c>
      <c r="B1541" s="92" t="str">
        <f t="shared" si="96"/>
        <v>Friday</v>
      </c>
      <c r="C1541" s="93" t="s">
        <v>1381</v>
      </c>
      <c r="D1541" s="93" t="s">
        <v>692</v>
      </c>
      <c r="E1541" s="94">
        <v>32.82</v>
      </c>
      <c r="F1541" s="93" t="s">
        <v>41</v>
      </c>
      <c r="G1541" s="87">
        <f>Table1[[#This Row],[date]]</f>
        <v>45562</v>
      </c>
      <c r="H1541" s="94">
        <f>SUMIF($A$2:A5176,G1541,$E$2:E5176)</f>
        <v>387.46</v>
      </c>
      <c r="I1541" s="93" t="str">
        <f t="shared" si="93"/>
        <v>Friday</v>
      </c>
      <c r="J1541" s="93" t="str">
        <f t="shared" si="94"/>
        <v>September</v>
      </c>
      <c r="K1541" s="93" t="str">
        <f t="shared" si="95"/>
        <v>2024</v>
      </c>
      <c r="L1541" s="6"/>
      <c r="M1541" s="6"/>
      <c r="N1541" s="6"/>
    </row>
    <row r="1542" spans="1:14" x14ac:dyDescent="0.3">
      <c r="A1542" s="87">
        <v>45562</v>
      </c>
      <c r="B1542" s="87" t="str">
        <f t="shared" si="96"/>
        <v>Friday</v>
      </c>
      <c r="C1542" s="88" t="s">
        <v>1381</v>
      </c>
      <c r="D1542" s="88" t="s">
        <v>420</v>
      </c>
      <c r="E1542" s="89">
        <v>32.82</v>
      </c>
      <c r="F1542" s="88" t="s">
        <v>41</v>
      </c>
      <c r="G1542" s="87">
        <f>Table1[[#This Row],[date]]</f>
        <v>45562</v>
      </c>
      <c r="H1542" s="94">
        <f>SUMIF($A$2:A5177,G1542,$E$2:E5177)</f>
        <v>387.46</v>
      </c>
      <c r="I1542" s="93" t="str">
        <f t="shared" ref="I1542:I1605" si="97">TEXT(G1542,"dddd")</f>
        <v>Friday</v>
      </c>
      <c r="J1542" s="93" t="str">
        <f t="shared" si="94"/>
        <v>September</v>
      </c>
      <c r="K1542" s="93" t="str">
        <f t="shared" si="95"/>
        <v>2024</v>
      </c>
      <c r="L1542" s="6"/>
      <c r="M1542" s="6"/>
      <c r="N1542" s="6"/>
    </row>
    <row r="1543" spans="1:14" x14ac:dyDescent="0.3">
      <c r="A1543" s="87">
        <v>45562</v>
      </c>
      <c r="B1543" s="87" t="str">
        <f t="shared" si="96"/>
        <v>Friday</v>
      </c>
      <c r="C1543" s="88" t="s">
        <v>1381</v>
      </c>
      <c r="D1543" s="88" t="s">
        <v>693</v>
      </c>
      <c r="E1543" s="89">
        <v>27.92</v>
      </c>
      <c r="F1543" s="88" t="s">
        <v>12</v>
      </c>
      <c r="G1543" s="87">
        <f>Table1[[#This Row],[date]]</f>
        <v>45562</v>
      </c>
      <c r="H1543" s="94">
        <f>SUMIF($A$2:A5178,G1543,$E$2:E5178)</f>
        <v>387.46</v>
      </c>
      <c r="I1543" s="93" t="str">
        <f t="shared" si="97"/>
        <v>Friday</v>
      </c>
      <c r="J1543" s="93" t="str">
        <f t="shared" ref="J1543:J1606" si="98">TEXT(G1543,"mmmm")</f>
        <v>September</v>
      </c>
      <c r="K1543" s="93" t="str">
        <f t="shared" ref="K1543:K1606" si="99">TEXT(G1543,"yyyy")</f>
        <v>2024</v>
      </c>
      <c r="L1543" s="6"/>
      <c r="M1543" s="6"/>
      <c r="N1543" s="6"/>
    </row>
    <row r="1544" spans="1:14" x14ac:dyDescent="0.3">
      <c r="A1544" s="92">
        <v>45563</v>
      </c>
      <c r="B1544" s="92" t="str">
        <f t="shared" si="96"/>
        <v>Saturday</v>
      </c>
      <c r="C1544" s="93" t="s">
        <v>1381</v>
      </c>
      <c r="D1544" s="93" t="s">
        <v>678</v>
      </c>
      <c r="E1544" s="94">
        <v>27.92</v>
      </c>
      <c r="F1544" s="93" t="s">
        <v>12</v>
      </c>
      <c r="G1544" s="87">
        <f>Table1[[#This Row],[date]]</f>
        <v>45563</v>
      </c>
      <c r="H1544" s="94">
        <f>SUMIF($A$2:A5179,G1544,$E$2:E5179)</f>
        <v>362.9799999999999</v>
      </c>
      <c r="I1544" s="93" t="str">
        <f t="shared" si="97"/>
        <v>Saturday</v>
      </c>
      <c r="J1544" s="93" t="str">
        <f t="shared" si="98"/>
        <v>September</v>
      </c>
      <c r="K1544" s="93" t="str">
        <f t="shared" si="99"/>
        <v>2024</v>
      </c>
      <c r="L1544" s="6"/>
      <c r="M1544" s="6"/>
      <c r="N1544" s="6"/>
    </row>
    <row r="1545" spans="1:14" x14ac:dyDescent="0.3">
      <c r="A1545" s="87">
        <v>45563</v>
      </c>
      <c r="B1545" s="87" t="str">
        <f t="shared" si="96"/>
        <v>Saturday</v>
      </c>
      <c r="C1545" s="88" t="s">
        <v>1381</v>
      </c>
      <c r="D1545" s="88" t="s">
        <v>694</v>
      </c>
      <c r="E1545" s="89">
        <v>27.92</v>
      </c>
      <c r="F1545" s="88" t="s">
        <v>12</v>
      </c>
      <c r="G1545" s="87">
        <f>Table1[[#This Row],[date]]</f>
        <v>45563</v>
      </c>
      <c r="H1545" s="94">
        <f>SUMIF($A$2:A5180,G1545,$E$2:E5180)</f>
        <v>362.9799999999999</v>
      </c>
      <c r="I1545" s="93" t="str">
        <f t="shared" si="97"/>
        <v>Saturday</v>
      </c>
      <c r="J1545" s="93" t="str">
        <f t="shared" si="98"/>
        <v>September</v>
      </c>
      <c r="K1545" s="93" t="str">
        <f t="shared" si="99"/>
        <v>2024</v>
      </c>
      <c r="L1545" s="6"/>
      <c r="M1545" s="6"/>
      <c r="N1545" s="6"/>
    </row>
    <row r="1546" spans="1:14" x14ac:dyDescent="0.3">
      <c r="A1546" s="92">
        <v>45563</v>
      </c>
      <c r="B1546" s="92" t="str">
        <f t="shared" si="96"/>
        <v>Saturday</v>
      </c>
      <c r="C1546" s="93" t="s">
        <v>1381</v>
      </c>
      <c r="D1546" s="93" t="s">
        <v>519</v>
      </c>
      <c r="E1546" s="94">
        <v>35.76</v>
      </c>
      <c r="F1546" s="93" t="s">
        <v>5</v>
      </c>
      <c r="G1546" s="87">
        <f>Table1[[#This Row],[date]]</f>
        <v>45563</v>
      </c>
      <c r="H1546" s="94">
        <f>SUMIF($A$2:A5181,G1546,$E$2:E5181)</f>
        <v>362.9799999999999</v>
      </c>
      <c r="I1546" s="93" t="str">
        <f t="shared" si="97"/>
        <v>Saturday</v>
      </c>
      <c r="J1546" s="93" t="str">
        <f t="shared" si="98"/>
        <v>September</v>
      </c>
      <c r="K1546" s="93" t="str">
        <f t="shared" si="99"/>
        <v>2024</v>
      </c>
      <c r="L1546" s="6"/>
      <c r="M1546" s="6"/>
      <c r="N1546" s="6"/>
    </row>
    <row r="1547" spans="1:14" x14ac:dyDescent="0.3">
      <c r="A1547" s="87">
        <v>45563</v>
      </c>
      <c r="B1547" s="87" t="str">
        <f t="shared" si="96"/>
        <v>Saturday</v>
      </c>
      <c r="C1547" s="88" t="s">
        <v>1381</v>
      </c>
      <c r="D1547" s="88" t="s">
        <v>695</v>
      </c>
      <c r="E1547" s="89">
        <v>35.76</v>
      </c>
      <c r="F1547" s="88" t="s">
        <v>5</v>
      </c>
      <c r="G1547" s="87">
        <f>Table1[[#This Row],[date]]</f>
        <v>45563</v>
      </c>
      <c r="H1547" s="94">
        <f>SUMIF($A$2:A5182,G1547,$E$2:E5182)</f>
        <v>362.9799999999999</v>
      </c>
      <c r="I1547" s="93" t="str">
        <f t="shared" si="97"/>
        <v>Saturday</v>
      </c>
      <c r="J1547" s="93" t="str">
        <f t="shared" si="98"/>
        <v>September</v>
      </c>
      <c r="K1547" s="93" t="str">
        <f t="shared" si="99"/>
        <v>2024</v>
      </c>
      <c r="L1547" s="6"/>
      <c r="M1547" s="6"/>
      <c r="N1547" s="6"/>
    </row>
    <row r="1548" spans="1:14" x14ac:dyDescent="0.3">
      <c r="A1548" s="92">
        <v>45563</v>
      </c>
      <c r="B1548" s="92" t="str">
        <f t="shared" si="96"/>
        <v>Saturday</v>
      </c>
      <c r="C1548" s="93" t="s">
        <v>1381</v>
      </c>
      <c r="D1548" s="93" t="s">
        <v>696</v>
      </c>
      <c r="E1548" s="94">
        <v>30.86</v>
      </c>
      <c r="F1548" s="93" t="s">
        <v>12</v>
      </c>
      <c r="G1548" s="87">
        <f>Table1[[#This Row],[date]]</f>
        <v>45563</v>
      </c>
      <c r="H1548" s="94">
        <f>SUMIF($A$2:A5183,G1548,$E$2:E5183)</f>
        <v>362.9799999999999</v>
      </c>
      <c r="I1548" s="93" t="str">
        <f t="shared" si="97"/>
        <v>Saturday</v>
      </c>
      <c r="J1548" s="93" t="str">
        <f t="shared" si="98"/>
        <v>September</v>
      </c>
      <c r="K1548" s="93" t="str">
        <f t="shared" si="99"/>
        <v>2024</v>
      </c>
      <c r="L1548" s="6"/>
      <c r="M1548" s="6"/>
      <c r="N1548" s="6"/>
    </row>
    <row r="1549" spans="1:14" x14ac:dyDescent="0.3">
      <c r="A1549" s="87">
        <v>45563</v>
      </c>
      <c r="B1549" s="87" t="str">
        <f t="shared" si="96"/>
        <v>Saturday</v>
      </c>
      <c r="C1549" s="88" t="s">
        <v>1381</v>
      </c>
      <c r="D1549" s="88" t="s">
        <v>457</v>
      </c>
      <c r="E1549" s="89">
        <v>35.76</v>
      </c>
      <c r="F1549" s="88" t="s">
        <v>5</v>
      </c>
      <c r="G1549" s="87">
        <f>Table1[[#This Row],[date]]</f>
        <v>45563</v>
      </c>
      <c r="H1549" s="94">
        <f>SUMIF($A$2:A5184,G1549,$E$2:E5184)</f>
        <v>362.9799999999999</v>
      </c>
      <c r="I1549" s="93" t="str">
        <f t="shared" si="97"/>
        <v>Saturday</v>
      </c>
      <c r="J1549" s="93" t="str">
        <f t="shared" si="98"/>
        <v>September</v>
      </c>
      <c r="K1549" s="93" t="str">
        <f t="shared" si="99"/>
        <v>2024</v>
      </c>
      <c r="L1549" s="6"/>
      <c r="M1549" s="6"/>
      <c r="N1549" s="6"/>
    </row>
    <row r="1550" spans="1:14" x14ac:dyDescent="0.3">
      <c r="A1550" s="92">
        <v>45563</v>
      </c>
      <c r="B1550" s="92" t="str">
        <f t="shared" si="96"/>
        <v>Saturday</v>
      </c>
      <c r="C1550" s="93" t="s">
        <v>1381</v>
      </c>
      <c r="D1550" s="93" t="s">
        <v>697</v>
      </c>
      <c r="E1550" s="94">
        <v>35.76</v>
      </c>
      <c r="F1550" s="93" t="s">
        <v>5</v>
      </c>
      <c r="G1550" s="87">
        <f>Table1[[#This Row],[date]]</f>
        <v>45563</v>
      </c>
      <c r="H1550" s="94">
        <f>SUMIF($A$2:A5185,G1550,$E$2:E5185)</f>
        <v>362.9799999999999</v>
      </c>
      <c r="I1550" s="93" t="str">
        <f t="shared" si="97"/>
        <v>Saturday</v>
      </c>
      <c r="J1550" s="93" t="str">
        <f t="shared" si="98"/>
        <v>September</v>
      </c>
      <c r="K1550" s="93" t="str">
        <f t="shared" si="99"/>
        <v>2024</v>
      </c>
      <c r="L1550" s="6"/>
      <c r="M1550" s="6"/>
      <c r="N1550" s="6"/>
    </row>
    <row r="1551" spans="1:14" x14ac:dyDescent="0.3">
      <c r="A1551" s="87">
        <v>45563</v>
      </c>
      <c r="B1551" s="87" t="str">
        <f t="shared" si="96"/>
        <v>Saturday</v>
      </c>
      <c r="C1551" s="88" t="s">
        <v>1381</v>
      </c>
      <c r="D1551" s="88" t="s">
        <v>698</v>
      </c>
      <c r="E1551" s="89">
        <v>35.76</v>
      </c>
      <c r="F1551" s="88" t="s">
        <v>41</v>
      </c>
      <c r="G1551" s="87">
        <f>Table1[[#This Row],[date]]</f>
        <v>45563</v>
      </c>
      <c r="H1551" s="94">
        <f>SUMIF($A$2:A5186,G1551,$E$2:E5186)</f>
        <v>362.9799999999999</v>
      </c>
      <c r="I1551" s="93" t="str">
        <f t="shared" si="97"/>
        <v>Saturday</v>
      </c>
      <c r="J1551" s="93" t="str">
        <f t="shared" si="98"/>
        <v>September</v>
      </c>
      <c r="K1551" s="93" t="str">
        <f t="shared" si="99"/>
        <v>2024</v>
      </c>
      <c r="L1551" s="6"/>
      <c r="M1551" s="6"/>
      <c r="N1551" s="6"/>
    </row>
    <row r="1552" spans="1:14" x14ac:dyDescent="0.3">
      <c r="A1552" s="92">
        <v>45563</v>
      </c>
      <c r="B1552" s="92" t="str">
        <f t="shared" si="96"/>
        <v>Saturday</v>
      </c>
      <c r="C1552" s="93" t="s">
        <v>1381</v>
      </c>
      <c r="D1552" s="93" t="s">
        <v>698</v>
      </c>
      <c r="E1552" s="94">
        <v>35.76</v>
      </c>
      <c r="F1552" s="93" t="s">
        <v>16</v>
      </c>
      <c r="G1552" s="87">
        <f>Table1[[#This Row],[date]]</f>
        <v>45563</v>
      </c>
      <c r="H1552" s="94">
        <f>SUMIF($A$2:A5187,G1552,$E$2:E5187)</f>
        <v>362.9799999999999</v>
      </c>
      <c r="I1552" s="93" t="str">
        <f t="shared" si="97"/>
        <v>Saturday</v>
      </c>
      <c r="J1552" s="93" t="str">
        <f t="shared" si="98"/>
        <v>September</v>
      </c>
      <c r="K1552" s="93" t="str">
        <f t="shared" si="99"/>
        <v>2024</v>
      </c>
      <c r="L1552" s="6"/>
      <c r="M1552" s="6"/>
      <c r="N1552" s="6"/>
    </row>
    <row r="1553" spans="1:14" x14ac:dyDescent="0.3">
      <c r="A1553" s="87">
        <v>45563</v>
      </c>
      <c r="B1553" s="87" t="str">
        <f t="shared" si="96"/>
        <v>Saturday</v>
      </c>
      <c r="C1553" s="88" t="s">
        <v>1381</v>
      </c>
      <c r="D1553" s="88" t="s">
        <v>699</v>
      </c>
      <c r="E1553" s="89">
        <v>25.96</v>
      </c>
      <c r="F1553" s="88" t="s">
        <v>26</v>
      </c>
      <c r="G1553" s="87">
        <f>Table1[[#This Row],[date]]</f>
        <v>45563</v>
      </c>
      <c r="H1553" s="94">
        <f>SUMIF($A$2:A5188,G1553,$E$2:E5188)</f>
        <v>362.9799999999999</v>
      </c>
      <c r="I1553" s="93" t="str">
        <f t="shared" si="97"/>
        <v>Saturday</v>
      </c>
      <c r="J1553" s="93" t="str">
        <f t="shared" si="98"/>
        <v>September</v>
      </c>
      <c r="K1553" s="93" t="str">
        <f t="shared" si="99"/>
        <v>2024</v>
      </c>
      <c r="L1553" s="6"/>
      <c r="M1553" s="6"/>
      <c r="N1553" s="6"/>
    </row>
    <row r="1554" spans="1:14" x14ac:dyDescent="0.3">
      <c r="A1554" s="92">
        <v>45563</v>
      </c>
      <c r="B1554" s="92" t="str">
        <f t="shared" si="96"/>
        <v>Saturday</v>
      </c>
      <c r="C1554" s="93" t="s">
        <v>1381</v>
      </c>
      <c r="D1554" s="93" t="s">
        <v>699</v>
      </c>
      <c r="E1554" s="94">
        <v>35.76</v>
      </c>
      <c r="F1554" s="93" t="s">
        <v>7</v>
      </c>
      <c r="G1554" s="87">
        <f>Table1[[#This Row],[date]]</f>
        <v>45563</v>
      </c>
      <c r="H1554" s="94">
        <f>SUMIF($A$2:A5189,G1554,$E$2:E5189)</f>
        <v>362.9799999999999</v>
      </c>
      <c r="I1554" s="93" t="str">
        <f t="shared" si="97"/>
        <v>Saturday</v>
      </c>
      <c r="J1554" s="93" t="str">
        <f t="shared" si="98"/>
        <v>September</v>
      </c>
      <c r="K1554" s="93" t="str">
        <f t="shared" si="99"/>
        <v>2024</v>
      </c>
      <c r="L1554" s="6"/>
      <c r="M1554" s="6"/>
      <c r="N1554" s="6"/>
    </row>
    <row r="1555" spans="1:14" x14ac:dyDescent="0.3">
      <c r="A1555" s="87">
        <v>45564</v>
      </c>
      <c r="B1555" s="87" t="str">
        <f t="shared" si="96"/>
        <v>Sunday</v>
      </c>
      <c r="C1555" s="88" t="s">
        <v>1381</v>
      </c>
      <c r="D1555" s="88" t="s">
        <v>479</v>
      </c>
      <c r="E1555" s="89">
        <v>25.96</v>
      </c>
      <c r="F1555" s="88" t="s">
        <v>9</v>
      </c>
      <c r="G1555" s="87">
        <f>Table1[[#This Row],[date]]</f>
        <v>45564</v>
      </c>
      <c r="H1555" s="94">
        <f>SUMIF($A$2:A5190,G1555,$E$2:E5190)</f>
        <v>297.33999999999997</v>
      </c>
      <c r="I1555" s="93" t="str">
        <f t="shared" si="97"/>
        <v>Sunday</v>
      </c>
      <c r="J1555" s="93" t="str">
        <f t="shared" si="98"/>
        <v>September</v>
      </c>
      <c r="K1555" s="93" t="str">
        <f t="shared" si="99"/>
        <v>2024</v>
      </c>
      <c r="L1555" s="6"/>
      <c r="M1555" s="6"/>
      <c r="N1555" s="6"/>
    </row>
    <row r="1556" spans="1:14" x14ac:dyDescent="0.3">
      <c r="A1556" s="92">
        <v>45564</v>
      </c>
      <c r="B1556" s="92" t="str">
        <f t="shared" si="96"/>
        <v>Sunday</v>
      </c>
      <c r="C1556" s="93" t="s">
        <v>1381</v>
      </c>
      <c r="D1556" s="93" t="s">
        <v>184</v>
      </c>
      <c r="E1556" s="94">
        <v>35.76</v>
      </c>
      <c r="F1556" s="93" t="s">
        <v>41</v>
      </c>
      <c r="G1556" s="87">
        <f>Table1[[#This Row],[date]]</f>
        <v>45564</v>
      </c>
      <c r="H1556" s="94">
        <f>SUMIF($A$2:A5191,G1556,$E$2:E5191)</f>
        <v>297.33999999999997</v>
      </c>
      <c r="I1556" s="93" t="str">
        <f t="shared" si="97"/>
        <v>Sunday</v>
      </c>
      <c r="J1556" s="93" t="str">
        <f t="shared" si="98"/>
        <v>September</v>
      </c>
      <c r="K1556" s="93" t="str">
        <f t="shared" si="99"/>
        <v>2024</v>
      </c>
      <c r="L1556" s="6"/>
      <c r="M1556" s="6"/>
      <c r="N1556" s="6"/>
    </row>
    <row r="1557" spans="1:14" x14ac:dyDescent="0.3">
      <c r="A1557" s="87">
        <v>45564</v>
      </c>
      <c r="B1557" s="87" t="str">
        <f t="shared" si="96"/>
        <v>Sunday</v>
      </c>
      <c r="C1557" s="88" t="s">
        <v>1381</v>
      </c>
      <c r="D1557" s="88" t="s">
        <v>345</v>
      </c>
      <c r="E1557" s="89">
        <v>30.86</v>
      </c>
      <c r="F1557" s="88" t="s">
        <v>12</v>
      </c>
      <c r="G1557" s="87">
        <f>Table1[[#This Row],[date]]</f>
        <v>45564</v>
      </c>
      <c r="H1557" s="94">
        <f>SUMIF($A$2:A5192,G1557,$E$2:E5192)</f>
        <v>297.33999999999997</v>
      </c>
      <c r="I1557" s="93" t="str">
        <f t="shared" si="97"/>
        <v>Sunday</v>
      </c>
      <c r="J1557" s="93" t="str">
        <f t="shared" si="98"/>
        <v>September</v>
      </c>
      <c r="K1557" s="93" t="str">
        <f t="shared" si="99"/>
        <v>2024</v>
      </c>
      <c r="L1557" s="6"/>
      <c r="M1557" s="6"/>
      <c r="N1557" s="6"/>
    </row>
    <row r="1558" spans="1:14" x14ac:dyDescent="0.3">
      <c r="A1558" s="92">
        <v>45564</v>
      </c>
      <c r="B1558" s="92" t="str">
        <f t="shared" si="96"/>
        <v>Sunday</v>
      </c>
      <c r="C1558" s="93" t="s">
        <v>1381</v>
      </c>
      <c r="D1558" s="93" t="s">
        <v>695</v>
      </c>
      <c r="E1558" s="94">
        <v>35.76</v>
      </c>
      <c r="F1558" s="93" t="s">
        <v>5</v>
      </c>
      <c r="G1558" s="87">
        <f>Table1[[#This Row],[date]]</f>
        <v>45564</v>
      </c>
      <c r="H1558" s="94">
        <f>SUMIF($A$2:A5193,G1558,$E$2:E5193)</f>
        <v>297.33999999999997</v>
      </c>
      <c r="I1558" s="93" t="str">
        <f t="shared" si="97"/>
        <v>Sunday</v>
      </c>
      <c r="J1558" s="93" t="str">
        <f t="shared" si="98"/>
        <v>September</v>
      </c>
      <c r="K1558" s="93" t="str">
        <f t="shared" si="99"/>
        <v>2024</v>
      </c>
      <c r="L1558" s="6"/>
      <c r="M1558" s="6"/>
      <c r="N1558" s="6"/>
    </row>
    <row r="1559" spans="1:14" x14ac:dyDescent="0.3">
      <c r="A1559" s="87">
        <v>45564</v>
      </c>
      <c r="B1559" s="87" t="str">
        <f t="shared" si="96"/>
        <v>Sunday</v>
      </c>
      <c r="C1559" s="88" t="s">
        <v>1381</v>
      </c>
      <c r="D1559" s="88" t="s">
        <v>153</v>
      </c>
      <c r="E1559" s="89">
        <v>25.96</v>
      </c>
      <c r="F1559" s="88" t="s">
        <v>26</v>
      </c>
      <c r="G1559" s="87">
        <f>Table1[[#This Row],[date]]</f>
        <v>45564</v>
      </c>
      <c r="H1559" s="94">
        <f>SUMIF($A$2:A5194,G1559,$E$2:E5194)</f>
        <v>297.33999999999997</v>
      </c>
      <c r="I1559" s="93" t="str">
        <f t="shared" si="97"/>
        <v>Sunday</v>
      </c>
      <c r="J1559" s="93" t="str">
        <f t="shared" si="98"/>
        <v>September</v>
      </c>
      <c r="K1559" s="93" t="str">
        <f t="shared" si="99"/>
        <v>2024</v>
      </c>
      <c r="L1559" s="6"/>
      <c r="M1559" s="6"/>
      <c r="N1559" s="6"/>
    </row>
    <row r="1560" spans="1:14" x14ac:dyDescent="0.3">
      <c r="A1560" s="92">
        <v>45564</v>
      </c>
      <c r="B1560" s="92" t="str">
        <f t="shared" si="96"/>
        <v>Sunday</v>
      </c>
      <c r="C1560" s="93" t="s">
        <v>1381</v>
      </c>
      <c r="D1560" s="93" t="s">
        <v>614</v>
      </c>
      <c r="E1560" s="94">
        <v>35.76</v>
      </c>
      <c r="F1560" s="93" t="s">
        <v>5</v>
      </c>
      <c r="G1560" s="87">
        <f>Table1[[#This Row],[date]]</f>
        <v>45564</v>
      </c>
      <c r="H1560" s="94">
        <f>SUMIF($A$2:A5195,G1560,$E$2:E5195)</f>
        <v>297.33999999999997</v>
      </c>
      <c r="I1560" s="93" t="str">
        <f t="shared" si="97"/>
        <v>Sunday</v>
      </c>
      <c r="J1560" s="93" t="str">
        <f t="shared" si="98"/>
        <v>September</v>
      </c>
      <c r="K1560" s="93" t="str">
        <f t="shared" si="99"/>
        <v>2024</v>
      </c>
      <c r="L1560" s="6"/>
      <c r="M1560" s="6"/>
      <c r="N1560" s="6"/>
    </row>
    <row r="1561" spans="1:14" x14ac:dyDescent="0.3">
      <c r="A1561" s="87">
        <v>45564</v>
      </c>
      <c r="B1561" s="87" t="str">
        <f t="shared" si="96"/>
        <v>Sunday</v>
      </c>
      <c r="C1561" s="88" t="s">
        <v>1381</v>
      </c>
      <c r="D1561" s="88" t="s">
        <v>700</v>
      </c>
      <c r="E1561" s="89">
        <v>35.76</v>
      </c>
      <c r="F1561" s="88" t="s">
        <v>5</v>
      </c>
      <c r="G1561" s="87">
        <f>Table1[[#This Row],[date]]</f>
        <v>45564</v>
      </c>
      <c r="H1561" s="94">
        <f>SUMIF($A$2:A5196,G1561,$E$2:E5196)</f>
        <v>297.33999999999997</v>
      </c>
      <c r="I1561" s="93" t="str">
        <f t="shared" si="97"/>
        <v>Sunday</v>
      </c>
      <c r="J1561" s="93" t="str">
        <f t="shared" si="98"/>
        <v>September</v>
      </c>
      <c r="K1561" s="93" t="str">
        <f t="shared" si="99"/>
        <v>2024</v>
      </c>
      <c r="L1561" s="6"/>
      <c r="M1561" s="6"/>
      <c r="N1561" s="6"/>
    </row>
    <row r="1562" spans="1:14" x14ac:dyDescent="0.3">
      <c r="A1562" s="92">
        <v>45564</v>
      </c>
      <c r="B1562" s="92" t="str">
        <f t="shared" si="96"/>
        <v>Sunday</v>
      </c>
      <c r="C1562" s="93" t="s">
        <v>1381</v>
      </c>
      <c r="D1562" s="93" t="s">
        <v>701</v>
      </c>
      <c r="E1562" s="94">
        <v>35.76</v>
      </c>
      <c r="F1562" s="93" t="s">
        <v>41</v>
      </c>
      <c r="G1562" s="87">
        <f>Table1[[#This Row],[date]]</f>
        <v>45564</v>
      </c>
      <c r="H1562" s="94">
        <f>SUMIF($A$2:A5197,G1562,$E$2:E5197)</f>
        <v>297.33999999999997</v>
      </c>
      <c r="I1562" s="93" t="str">
        <f t="shared" si="97"/>
        <v>Sunday</v>
      </c>
      <c r="J1562" s="93" t="str">
        <f t="shared" si="98"/>
        <v>September</v>
      </c>
      <c r="K1562" s="93" t="str">
        <f t="shared" si="99"/>
        <v>2024</v>
      </c>
      <c r="L1562" s="6"/>
      <c r="M1562" s="6"/>
      <c r="N1562" s="6"/>
    </row>
    <row r="1563" spans="1:14" x14ac:dyDescent="0.3">
      <c r="A1563" s="87">
        <v>45564</v>
      </c>
      <c r="B1563" s="87" t="str">
        <f t="shared" si="96"/>
        <v>Sunday</v>
      </c>
      <c r="C1563" s="88" t="s">
        <v>1381</v>
      </c>
      <c r="D1563" s="88" t="s">
        <v>702</v>
      </c>
      <c r="E1563" s="89">
        <v>35.76</v>
      </c>
      <c r="F1563" s="88" t="s">
        <v>5</v>
      </c>
      <c r="G1563" s="87">
        <f>Table1[[#This Row],[date]]</f>
        <v>45564</v>
      </c>
      <c r="H1563" s="94">
        <f>SUMIF($A$2:A5198,G1563,$E$2:E5198)</f>
        <v>297.33999999999997</v>
      </c>
      <c r="I1563" s="93" t="str">
        <f t="shared" si="97"/>
        <v>Sunday</v>
      </c>
      <c r="J1563" s="93" t="str">
        <f t="shared" si="98"/>
        <v>September</v>
      </c>
      <c r="K1563" s="93" t="str">
        <f t="shared" si="99"/>
        <v>2024</v>
      </c>
      <c r="L1563" s="6"/>
      <c r="M1563" s="6"/>
      <c r="N1563" s="6"/>
    </row>
    <row r="1564" spans="1:14" x14ac:dyDescent="0.3">
      <c r="A1564" s="92">
        <v>45565</v>
      </c>
      <c r="B1564" s="92" t="str">
        <f t="shared" si="96"/>
        <v>Monday</v>
      </c>
      <c r="C1564" s="93" t="s">
        <v>1381</v>
      </c>
      <c r="D1564" s="93" t="s">
        <v>153</v>
      </c>
      <c r="E1564" s="94">
        <v>25.96</v>
      </c>
      <c r="F1564" s="93" t="s">
        <v>26</v>
      </c>
      <c r="G1564" s="87">
        <f>Table1[[#This Row],[date]]</f>
        <v>45565</v>
      </c>
      <c r="H1564" s="94">
        <f>SUMIF($A$2:A5199,G1564,$E$2:E5199)</f>
        <v>401.18</v>
      </c>
      <c r="I1564" s="93" t="str">
        <f t="shared" si="97"/>
        <v>Monday</v>
      </c>
      <c r="J1564" s="93" t="str">
        <f t="shared" si="98"/>
        <v>September</v>
      </c>
      <c r="K1564" s="93" t="str">
        <f t="shared" si="99"/>
        <v>2024</v>
      </c>
      <c r="L1564" s="6"/>
      <c r="M1564" s="6"/>
      <c r="N1564" s="6"/>
    </row>
    <row r="1565" spans="1:14" x14ac:dyDescent="0.3">
      <c r="A1565" s="87">
        <v>45565</v>
      </c>
      <c r="B1565" s="87" t="str">
        <f t="shared" si="96"/>
        <v>Monday</v>
      </c>
      <c r="C1565" s="88" t="s">
        <v>1381</v>
      </c>
      <c r="D1565" s="88" t="s">
        <v>703</v>
      </c>
      <c r="E1565" s="89">
        <v>25.96</v>
      </c>
      <c r="F1565" s="88" t="s">
        <v>26</v>
      </c>
      <c r="G1565" s="87">
        <f>Table1[[#This Row],[date]]</f>
        <v>45565</v>
      </c>
      <c r="H1565" s="94">
        <f>SUMIF($A$2:A5200,G1565,$E$2:E5200)</f>
        <v>401.18</v>
      </c>
      <c r="I1565" s="93" t="str">
        <f t="shared" si="97"/>
        <v>Monday</v>
      </c>
      <c r="J1565" s="93" t="str">
        <f t="shared" si="98"/>
        <v>September</v>
      </c>
      <c r="K1565" s="93" t="str">
        <f t="shared" si="99"/>
        <v>2024</v>
      </c>
      <c r="L1565" s="6"/>
      <c r="M1565" s="6"/>
      <c r="N1565" s="6"/>
    </row>
    <row r="1566" spans="1:14" x14ac:dyDescent="0.3">
      <c r="A1566" s="92">
        <v>45565</v>
      </c>
      <c r="B1566" s="92" t="str">
        <f t="shared" si="96"/>
        <v>Monday</v>
      </c>
      <c r="C1566" s="93" t="s">
        <v>1381</v>
      </c>
      <c r="D1566" s="93" t="s">
        <v>704</v>
      </c>
      <c r="E1566" s="94">
        <v>35.76</v>
      </c>
      <c r="F1566" s="93" t="s">
        <v>7</v>
      </c>
      <c r="G1566" s="87">
        <f>Table1[[#This Row],[date]]</f>
        <v>45565</v>
      </c>
      <c r="H1566" s="94">
        <f>SUMIF($A$2:A5201,G1566,$E$2:E5201)</f>
        <v>401.18</v>
      </c>
      <c r="I1566" s="93" t="str">
        <f t="shared" si="97"/>
        <v>Monday</v>
      </c>
      <c r="J1566" s="93" t="str">
        <f t="shared" si="98"/>
        <v>September</v>
      </c>
      <c r="K1566" s="93" t="str">
        <f t="shared" si="99"/>
        <v>2024</v>
      </c>
      <c r="L1566" s="6"/>
      <c r="M1566" s="6"/>
      <c r="N1566" s="6"/>
    </row>
    <row r="1567" spans="1:14" x14ac:dyDescent="0.3">
      <c r="A1567" s="87">
        <v>45565</v>
      </c>
      <c r="B1567" s="87" t="str">
        <f t="shared" si="96"/>
        <v>Monday</v>
      </c>
      <c r="C1567" s="88" t="s">
        <v>1381</v>
      </c>
      <c r="D1567" s="88" t="s">
        <v>288</v>
      </c>
      <c r="E1567" s="89">
        <v>30.86</v>
      </c>
      <c r="F1567" s="88" t="s">
        <v>12</v>
      </c>
      <c r="G1567" s="87">
        <f>Table1[[#This Row],[date]]</f>
        <v>45565</v>
      </c>
      <c r="H1567" s="94">
        <f>SUMIF($A$2:A5202,G1567,$E$2:E5202)</f>
        <v>401.18</v>
      </c>
      <c r="I1567" s="93" t="str">
        <f t="shared" si="97"/>
        <v>Monday</v>
      </c>
      <c r="J1567" s="93" t="str">
        <f t="shared" si="98"/>
        <v>September</v>
      </c>
      <c r="K1567" s="93" t="str">
        <f t="shared" si="99"/>
        <v>2024</v>
      </c>
      <c r="L1567" s="6"/>
      <c r="M1567" s="6"/>
      <c r="N1567" s="6"/>
    </row>
    <row r="1568" spans="1:14" x14ac:dyDescent="0.3">
      <c r="A1568" s="87">
        <v>45565</v>
      </c>
      <c r="B1568" s="87" t="str">
        <f t="shared" si="96"/>
        <v>Monday</v>
      </c>
      <c r="C1568" s="88" t="s">
        <v>1381</v>
      </c>
      <c r="D1568" s="88" t="s">
        <v>705</v>
      </c>
      <c r="E1568" s="89">
        <v>30.86</v>
      </c>
      <c r="F1568" s="88" t="s">
        <v>12</v>
      </c>
      <c r="G1568" s="87">
        <f>Table1[[#This Row],[date]]</f>
        <v>45565</v>
      </c>
      <c r="H1568" s="94">
        <f>SUMIF($A$2:A5203,G1568,$E$2:E5203)</f>
        <v>401.18</v>
      </c>
      <c r="I1568" s="93" t="str">
        <f t="shared" si="97"/>
        <v>Monday</v>
      </c>
      <c r="J1568" s="93" t="str">
        <f t="shared" si="98"/>
        <v>September</v>
      </c>
      <c r="K1568" s="93" t="str">
        <f t="shared" si="99"/>
        <v>2024</v>
      </c>
      <c r="L1568" s="6"/>
      <c r="M1568" s="6"/>
      <c r="N1568" s="6"/>
    </row>
    <row r="1569" spans="1:14" x14ac:dyDescent="0.3">
      <c r="A1569" s="92">
        <v>45565</v>
      </c>
      <c r="B1569" s="92" t="str">
        <f t="shared" si="96"/>
        <v>Monday</v>
      </c>
      <c r="C1569" s="93" t="s">
        <v>1381</v>
      </c>
      <c r="D1569" s="93" t="s">
        <v>345</v>
      </c>
      <c r="E1569" s="94">
        <v>30.86</v>
      </c>
      <c r="F1569" s="93" t="s">
        <v>12</v>
      </c>
      <c r="G1569" s="87">
        <f>Table1[[#This Row],[date]]</f>
        <v>45565</v>
      </c>
      <c r="H1569" s="94">
        <f>SUMIF($A$2:A5204,G1569,$E$2:E5204)</f>
        <v>401.18</v>
      </c>
      <c r="I1569" s="93" t="str">
        <f t="shared" si="97"/>
        <v>Monday</v>
      </c>
      <c r="J1569" s="93" t="str">
        <f t="shared" si="98"/>
        <v>September</v>
      </c>
      <c r="K1569" s="93" t="str">
        <f t="shared" si="99"/>
        <v>2024</v>
      </c>
      <c r="L1569" s="6"/>
      <c r="M1569" s="6"/>
      <c r="N1569" s="6"/>
    </row>
    <row r="1570" spans="1:14" x14ac:dyDescent="0.3">
      <c r="A1570" s="87">
        <v>45565</v>
      </c>
      <c r="B1570" s="87" t="str">
        <f t="shared" si="96"/>
        <v>Monday</v>
      </c>
      <c r="C1570" s="88" t="s">
        <v>1381</v>
      </c>
      <c r="D1570" s="88" t="s">
        <v>519</v>
      </c>
      <c r="E1570" s="89">
        <v>35.76</v>
      </c>
      <c r="F1570" s="88" t="s">
        <v>5</v>
      </c>
      <c r="G1570" s="87">
        <f>Table1[[#This Row],[date]]</f>
        <v>45565</v>
      </c>
      <c r="H1570" s="94">
        <f>SUMIF($A$2:A5205,G1570,$E$2:E5205)</f>
        <v>401.18</v>
      </c>
      <c r="I1570" s="93" t="str">
        <f t="shared" si="97"/>
        <v>Monday</v>
      </c>
      <c r="J1570" s="93" t="str">
        <f t="shared" si="98"/>
        <v>September</v>
      </c>
      <c r="K1570" s="93" t="str">
        <f t="shared" si="99"/>
        <v>2024</v>
      </c>
      <c r="L1570" s="6"/>
      <c r="M1570" s="6"/>
      <c r="N1570" s="6"/>
    </row>
    <row r="1571" spans="1:14" x14ac:dyDescent="0.3">
      <c r="A1571" s="92">
        <v>45565</v>
      </c>
      <c r="B1571" s="92" t="str">
        <f t="shared" si="96"/>
        <v>Monday</v>
      </c>
      <c r="C1571" s="93" t="s">
        <v>1381</v>
      </c>
      <c r="D1571" s="93" t="s">
        <v>706</v>
      </c>
      <c r="E1571" s="94">
        <v>30.86</v>
      </c>
      <c r="F1571" s="93" t="s">
        <v>12</v>
      </c>
      <c r="G1571" s="87">
        <f>Table1[[#This Row],[date]]</f>
        <v>45565</v>
      </c>
      <c r="H1571" s="94">
        <f>SUMIF($A$2:A5206,G1571,$E$2:E5206)</f>
        <v>401.18</v>
      </c>
      <c r="I1571" s="93" t="str">
        <f t="shared" si="97"/>
        <v>Monday</v>
      </c>
      <c r="J1571" s="93" t="str">
        <f t="shared" si="98"/>
        <v>September</v>
      </c>
      <c r="K1571" s="93" t="str">
        <f t="shared" si="99"/>
        <v>2024</v>
      </c>
      <c r="L1571" s="6"/>
      <c r="M1571" s="6"/>
      <c r="N1571" s="6"/>
    </row>
    <row r="1572" spans="1:14" x14ac:dyDescent="0.3">
      <c r="A1572" s="87">
        <v>45565</v>
      </c>
      <c r="B1572" s="87" t="str">
        <f t="shared" si="96"/>
        <v>Monday</v>
      </c>
      <c r="C1572" s="88" t="s">
        <v>1381</v>
      </c>
      <c r="D1572" s="88" t="s">
        <v>706</v>
      </c>
      <c r="E1572" s="89">
        <v>25.96</v>
      </c>
      <c r="F1572" s="88" t="s">
        <v>26</v>
      </c>
      <c r="G1572" s="87">
        <f>Table1[[#This Row],[date]]</f>
        <v>45565</v>
      </c>
      <c r="H1572" s="94">
        <f>SUMIF($A$2:A5207,G1572,$E$2:E5207)</f>
        <v>401.18</v>
      </c>
      <c r="I1572" s="93" t="str">
        <f t="shared" si="97"/>
        <v>Monday</v>
      </c>
      <c r="J1572" s="93" t="str">
        <f t="shared" si="98"/>
        <v>September</v>
      </c>
      <c r="K1572" s="93" t="str">
        <f t="shared" si="99"/>
        <v>2024</v>
      </c>
      <c r="L1572" s="6"/>
      <c r="M1572" s="6"/>
      <c r="N1572" s="6"/>
    </row>
    <row r="1573" spans="1:14" x14ac:dyDescent="0.3">
      <c r="A1573" s="92">
        <v>45565</v>
      </c>
      <c r="B1573" s="92" t="str">
        <f t="shared" si="96"/>
        <v>Monday</v>
      </c>
      <c r="C1573" s="93" t="s">
        <v>1381</v>
      </c>
      <c r="D1573" s="93" t="s">
        <v>643</v>
      </c>
      <c r="E1573" s="94">
        <v>35.76</v>
      </c>
      <c r="F1573" s="93" t="s">
        <v>5</v>
      </c>
      <c r="G1573" s="87">
        <f>Table1[[#This Row],[date]]</f>
        <v>45565</v>
      </c>
      <c r="H1573" s="94">
        <f>SUMIF($A$2:A5208,G1573,$E$2:E5208)</f>
        <v>401.18</v>
      </c>
      <c r="I1573" s="93" t="str">
        <f t="shared" si="97"/>
        <v>Monday</v>
      </c>
      <c r="J1573" s="93" t="str">
        <f t="shared" si="98"/>
        <v>September</v>
      </c>
      <c r="K1573" s="93" t="str">
        <f t="shared" si="99"/>
        <v>2024</v>
      </c>
      <c r="L1573" s="6"/>
      <c r="M1573" s="6"/>
      <c r="N1573" s="6"/>
    </row>
    <row r="1574" spans="1:14" x14ac:dyDescent="0.3">
      <c r="A1574" s="87">
        <v>45565</v>
      </c>
      <c r="B1574" s="87" t="str">
        <f t="shared" si="96"/>
        <v>Monday</v>
      </c>
      <c r="C1574" s="88" t="s">
        <v>1381</v>
      </c>
      <c r="D1574" s="88" t="s">
        <v>543</v>
      </c>
      <c r="E1574" s="89">
        <v>30.86</v>
      </c>
      <c r="F1574" s="88" t="s">
        <v>12</v>
      </c>
      <c r="G1574" s="87">
        <f>Table1[[#This Row],[date]]</f>
        <v>45565</v>
      </c>
      <c r="H1574" s="94">
        <f>SUMIF($A$2:A5209,G1574,$E$2:E5209)</f>
        <v>401.18</v>
      </c>
      <c r="I1574" s="93" t="str">
        <f t="shared" si="97"/>
        <v>Monday</v>
      </c>
      <c r="J1574" s="93" t="str">
        <f t="shared" si="98"/>
        <v>September</v>
      </c>
      <c r="K1574" s="93" t="str">
        <f t="shared" si="99"/>
        <v>2024</v>
      </c>
      <c r="L1574" s="6"/>
      <c r="M1574" s="6"/>
      <c r="N1574" s="6"/>
    </row>
    <row r="1575" spans="1:14" x14ac:dyDescent="0.3">
      <c r="A1575" s="92">
        <v>45565</v>
      </c>
      <c r="B1575" s="92" t="str">
        <f t="shared" si="96"/>
        <v>Monday</v>
      </c>
      <c r="C1575" s="93" t="s">
        <v>1381</v>
      </c>
      <c r="D1575" s="93" t="s">
        <v>645</v>
      </c>
      <c r="E1575" s="94">
        <v>30.86</v>
      </c>
      <c r="F1575" s="93" t="s">
        <v>12</v>
      </c>
      <c r="G1575" s="87">
        <f>Table1[[#This Row],[date]]</f>
        <v>45565</v>
      </c>
      <c r="H1575" s="94">
        <f>SUMIF($A$2:A5210,G1575,$E$2:E5210)</f>
        <v>401.18</v>
      </c>
      <c r="I1575" s="93" t="str">
        <f t="shared" si="97"/>
        <v>Monday</v>
      </c>
      <c r="J1575" s="93" t="str">
        <f t="shared" si="98"/>
        <v>September</v>
      </c>
      <c r="K1575" s="93" t="str">
        <f t="shared" si="99"/>
        <v>2024</v>
      </c>
      <c r="L1575" s="6"/>
      <c r="M1575" s="6"/>
      <c r="N1575" s="6"/>
    </row>
    <row r="1576" spans="1:14" x14ac:dyDescent="0.3">
      <c r="A1576" s="87">
        <v>45565</v>
      </c>
      <c r="B1576" s="87" t="str">
        <f t="shared" si="96"/>
        <v>Monday</v>
      </c>
      <c r="C1576" s="88" t="s">
        <v>1381</v>
      </c>
      <c r="D1576" s="88" t="s">
        <v>707</v>
      </c>
      <c r="E1576" s="89">
        <v>30.86</v>
      </c>
      <c r="F1576" s="88" t="s">
        <v>12</v>
      </c>
      <c r="G1576" s="87">
        <f>Table1[[#This Row],[date]]</f>
        <v>45565</v>
      </c>
      <c r="H1576" s="94">
        <f>SUMIF($A$2:A5211,G1576,$E$2:E5211)</f>
        <v>401.18</v>
      </c>
      <c r="I1576" s="93" t="str">
        <f t="shared" si="97"/>
        <v>Monday</v>
      </c>
      <c r="J1576" s="93" t="str">
        <f t="shared" si="98"/>
        <v>September</v>
      </c>
      <c r="K1576" s="93" t="str">
        <f t="shared" si="99"/>
        <v>2024</v>
      </c>
      <c r="L1576" s="6"/>
      <c r="M1576" s="6"/>
      <c r="N1576" s="6"/>
    </row>
    <row r="1577" spans="1:14" x14ac:dyDescent="0.3">
      <c r="A1577" s="92">
        <v>45566</v>
      </c>
      <c r="B1577" s="92" t="str">
        <f t="shared" si="96"/>
        <v>Tuesday</v>
      </c>
      <c r="C1577" s="93" t="s">
        <v>1381</v>
      </c>
      <c r="D1577" s="93" t="s">
        <v>708</v>
      </c>
      <c r="E1577" s="94">
        <v>35.76</v>
      </c>
      <c r="F1577" s="93" t="s">
        <v>5</v>
      </c>
      <c r="G1577" s="87">
        <f>Table1[[#This Row],[date]]</f>
        <v>45566</v>
      </c>
      <c r="H1577" s="94">
        <f>SUMIF($A$2:A5212,G1577,$E$2:E5212)</f>
        <v>420.77999999999992</v>
      </c>
      <c r="I1577" s="93" t="str">
        <f t="shared" si="97"/>
        <v>Tuesday</v>
      </c>
      <c r="J1577" s="93" t="str">
        <f t="shared" si="98"/>
        <v>October</v>
      </c>
      <c r="K1577" s="93" t="str">
        <f t="shared" si="99"/>
        <v>2024</v>
      </c>
      <c r="L1577" s="6"/>
      <c r="M1577" s="6"/>
      <c r="N1577" s="6"/>
    </row>
    <row r="1578" spans="1:14" x14ac:dyDescent="0.3">
      <c r="A1578" s="87">
        <v>45566</v>
      </c>
      <c r="B1578" s="87" t="str">
        <f t="shared" si="96"/>
        <v>Tuesday</v>
      </c>
      <c r="C1578" s="88" t="s">
        <v>1381</v>
      </c>
      <c r="D1578" s="88" t="s">
        <v>288</v>
      </c>
      <c r="E1578" s="89">
        <v>30.86</v>
      </c>
      <c r="F1578" s="88" t="s">
        <v>12</v>
      </c>
      <c r="G1578" s="87">
        <f>Table1[[#This Row],[date]]</f>
        <v>45566</v>
      </c>
      <c r="H1578" s="94">
        <f>SUMIF($A$2:A5213,G1578,$E$2:E5213)</f>
        <v>420.77999999999992</v>
      </c>
      <c r="I1578" s="93" t="str">
        <f t="shared" si="97"/>
        <v>Tuesday</v>
      </c>
      <c r="J1578" s="93" t="str">
        <f t="shared" si="98"/>
        <v>October</v>
      </c>
      <c r="K1578" s="93" t="str">
        <f t="shared" si="99"/>
        <v>2024</v>
      </c>
      <c r="L1578" s="6"/>
      <c r="M1578" s="6"/>
      <c r="N1578" s="6"/>
    </row>
    <row r="1579" spans="1:14" x14ac:dyDescent="0.3">
      <c r="A1579" s="92">
        <v>45566</v>
      </c>
      <c r="B1579" s="92" t="str">
        <f t="shared" si="96"/>
        <v>Tuesday</v>
      </c>
      <c r="C1579" s="93" t="s">
        <v>1381</v>
      </c>
      <c r="D1579" s="93" t="s">
        <v>345</v>
      </c>
      <c r="E1579" s="94">
        <v>30.86</v>
      </c>
      <c r="F1579" s="93" t="s">
        <v>12</v>
      </c>
      <c r="G1579" s="87">
        <f>Table1[[#This Row],[date]]</f>
        <v>45566</v>
      </c>
      <c r="H1579" s="94">
        <f>SUMIF($A$2:A5214,G1579,$E$2:E5214)</f>
        <v>420.77999999999992</v>
      </c>
      <c r="I1579" s="93" t="str">
        <f t="shared" si="97"/>
        <v>Tuesday</v>
      </c>
      <c r="J1579" s="93" t="str">
        <f t="shared" si="98"/>
        <v>October</v>
      </c>
      <c r="K1579" s="93" t="str">
        <f t="shared" si="99"/>
        <v>2024</v>
      </c>
      <c r="L1579" s="6"/>
      <c r="M1579" s="6"/>
      <c r="N1579" s="6"/>
    </row>
    <row r="1580" spans="1:14" x14ac:dyDescent="0.3">
      <c r="A1580" s="92">
        <v>45566</v>
      </c>
      <c r="B1580" s="92" t="str">
        <f t="shared" si="96"/>
        <v>Tuesday</v>
      </c>
      <c r="C1580" s="93" t="s">
        <v>1381</v>
      </c>
      <c r="D1580" s="93" t="s">
        <v>709</v>
      </c>
      <c r="E1580" s="94">
        <v>30.86</v>
      </c>
      <c r="F1580" s="93" t="s">
        <v>12</v>
      </c>
      <c r="G1580" s="87">
        <f>Table1[[#This Row],[date]]</f>
        <v>45566</v>
      </c>
      <c r="H1580" s="94">
        <f>SUMIF($A$2:A5215,G1580,$E$2:E5215)</f>
        <v>420.77999999999992</v>
      </c>
      <c r="I1580" s="93" t="str">
        <f t="shared" si="97"/>
        <v>Tuesday</v>
      </c>
      <c r="J1580" s="93" t="str">
        <f t="shared" si="98"/>
        <v>October</v>
      </c>
      <c r="K1580" s="93" t="str">
        <f t="shared" si="99"/>
        <v>2024</v>
      </c>
      <c r="L1580" s="6"/>
      <c r="M1580" s="6"/>
      <c r="N1580" s="6"/>
    </row>
    <row r="1581" spans="1:14" x14ac:dyDescent="0.3">
      <c r="A1581" s="87">
        <v>45566</v>
      </c>
      <c r="B1581" s="87" t="str">
        <f t="shared" si="96"/>
        <v>Tuesday</v>
      </c>
      <c r="C1581" s="88" t="s">
        <v>1381</v>
      </c>
      <c r="D1581" s="88" t="s">
        <v>710</v>
      </c>
      <c r="E1581" s="89">
        <v>30.86</v>
      </c>
      <c r="F1581" s="88" t="s">
        <v>12</v>
      </c>
      <c r="G1581" s="87">
        <f>Table1[[#This Row],[date]]</f>
        <v>45566</v>
      </c>
      <c r="H1581" s="94">
        <f>SUMIF($A$2:A5216,G1581,$E$2:E5216)</f>
        <v>420.77999999999992</v>
      </c>
      <c r="I1581" s="93" t="str">
        <f t="shared" si="97"/>
        <v>Tuesday</v>
      </c>
      <c r="J1581" s="93" t="str">
        <f t="shared" si="98"/>
        <v>October</v>
      </c>
      <c r="K1581" s="93" t="str">
        <f t="shared" si="99"/>
        <v>2024</v>
      </c>
      <c r="L1581" s="6"/>
      <c r="M1581" s="6"/>
      <c r="N1581" s="6"/>
    </row>
    <row r="1582" spans="1:14" x14ac:dyDescent="0.3">
      <c r="A1582" s="87">
        <v>45566</v>
      </c>
      <c r="B1582" s="87" t="str">
        <f t="shared" si="96"/>
        <v>Tuesday</v>
      </c>
      <c r="C1582" s="88" t="s">
        <v>1381</v>
      </c>
      <c r="D1582" s="88" t="s">
        <v>711</v>
      </c>
      <c r="E1582" s="89">
        <v>25.96</v>
      </c>
      <c r="F1582" s="88" t="s">
        <v>9</v>
      </c>
      <c r="G1582" s="87">
        <f>Table1[[#This Row],[date]]</f>
        <v>45566</v>
      </c>
      <c r="H1582" s="94">
        <f>SUMIF($A$2:A5217,G1582,$E$2:E5217)</f>
        <v>420.77999999999992</v>
      </c>
      <c r="I1582" s="93" t="str">
        <f t="shared" si="97"/>
        <v>Tuesday</v>
      </c>
      <c r="J1582" s="93" t="str">
        <f t="shared" si="98"/>
        <v>October</v>
      </c>
      <c r="K1582" s="93" t="str">
        <f t="shared" si="99"/>
        <v>2024</v>
      </c>
      <c r="L1582" s="6"/>
      <c r="M1582" s="6"/>
      <c r="N1582" s="6"/>
    </row>
    <row r="1583" spans="1:14" x14ac:dyDescent="0.3">
      <c r="A1583" s="92">
        <v>45566</v>
      </c>
      <c r="B1583" s="92" t="str">
        <f t="shared" si="96"/>
        <v>Tuesday</v>
      </c>
      <c r="C1583" s="93" t="s">
        <v>1381</v>
      </c>
      <c r="D1583" s="93" t="s">
        <v>711</v>
      </c>
      <c r="E1583" s="94">
        <v>30.86</v>
      </c>
      <c r="F1583" s="93" t="s">
        <v>12</v>
      </c>
      <c r="G1583" s="87">
        <f>Table1[[#This Row],[date]]</f>
        <v>45566</v>
      </c>
      <c r="H1583" s="94">
        <f>SUMIF($A$2:A5218,G1583,$E$2:E5218)</f>
        <v>420.77999999999992</v>
      </c>
      <c r="I1583" s="93" t="str">
        <f t="shared" si="97"/>
        <v>Tuesday</v>
      </c>
      <c r="J1583" s="93" t="str">
        <f t="shared" si="98"/>
        <v>October</v>
      </c>
      <c r="K1583" s="93" t="str">
        <f t="shared" si="99"/>
        <v>2024</v>
      </c>
      <c r="L1583" s="6"/>
      <c r="M1583" s="6"/>
      <c r="N1583" s="6"/>
    </row>
    <row r="1584" spans="1:14" x14ac:dyDescent="0.3">
      <c r="A1584" s="87">
        <v>45566</v>
      </c>
      <c r="B1584" s="87" t="str">
        <f t="shared" si="96"/>
        <v>Tuesday</v>
      </c>
      <c r="C1584" s="88" t="s">
        <v>1381</v>
      </c>
      <c r="D1584" s="88" t="s">
        <v>649</v>
      </c>
      <c r="E1584" s="89">
        <v>35.76</v>
      </c>
      <c r="F1584" s="88" t="s">
        <v>7</v>
      </c>
      <c r="G1584" s="87">
        <f>Table1[[#This Row],[date]]</f>
        <v>45566</v>
      </c>
      <c r="H1584" s="94">
        <f>SUMIF($A$2:A5219,G1584,$E$2:E5219)</f>
        <v>420.77999999999992</v>
      </c>
      <c r="I1584" s="93" t="str">
        <f t="shared" si="97"/>
        <v>Tuesday</v>
      </c>
      <c r="J1584" s="93" t="str">
        <f t="shared" si="98"/>
        <v>October</v>
      </c>
      <c r="K1584" s="93" t="str">
        <f t="shared" si="99"/>
        <v>2024</v>
      </c>
      <c r="L1584" s="6"/>
      <c r="M1584" s="6"/>
      <c r="N1584" s="6"/>
    </row>
    <row r="1585" spans="1:14" x14ac:dyDescent="0.3">
      <c r="A1585" s="92">
        <v>45566</v>
      </c>
      <c r="B1585" s="92" t="str">
        <f t="shared" si="96"/>
        <v>Tuesday</v>
      </c>
      <c r="C1585" s="93" t="s">
        <v>1381</v>
      </c>
      <c r="D1585" s="93" t="s">
        <v>712</v>
      </c>
      <c r="E1585" s="94">
        <v>25.96</v>
      </c>
      <c r="F1585" s="93" t="s">
        <v>9</v>
      </c>
      <c r="G1585" s="87">
        <f>Table1[[#This Row],[date]]</f>
        <v>45566</v>
      </c>
      <c r="H1585" s="94">
        <f>SUMIF($A$2:A5220,G1585,$E$2:E5220)</f>
        <v>420.77999999999992</v>
      </c>
      <c r="I1585" s="93" t="str">
        <f t="shared" si="97"/>
        <v>Tuesday</v>
      </c>
      <c r="J1585" s="93" t="str">
        <f t="shared" si="98"/>
        <v>October</v>
      </c>
      <c r="K1585" s="93" t="str">
        <f t="shared" si="99"/>
        <v>2024</v>
      </c>
      <c r="L1585" s="6"/>
      <c r="M1585" s="6"/>
      <c r="N1585" s="6"/>
    </row>
    <row r="1586" spans="1:14" x14ac:dyDescent="0.3">
      <c r="A1586" s="87">
        <v>45566</v>
      </c>
      <c r="B1586" s="87" t="str">
        <f t="shared" si="96"/>
        <v>Tuesday</v>
      </c>
      <c r="C1586" s="88" t="s">
        <v>1381</v>
      </c>
      <c r="D1586" s="88" t="s">
        <v>713</v>
      </c>
      <c r="E1586" s="89">
        <v>35.76</v>
      </c>
      <c r="F1586" s="88" t="s">
        <v>5</v>
      </c>
      <c r="G1586" s="87">
        <f>Table1[[#This Row],[date]]</f>
        <v>45566</v>
      </c>
      <c r="H1586" s="94">
        <f>SUMIF($A$2:A5221,G1586,$E$2:E5221)</f>
        <v>420.77999999999992</v>
      </c>
      <c r="I1586" s="93" t="str">
        <f t="shared" si="97"/>
        <v>Tuesday</v>
      </c>
      <c r="J1586" s="93" t="str">
        <f t="shared" si="98"/>
        <v>October</v>
      </c>
      <c r="K1586" s="93" t="str">
        <f t="shared" si="99"/>
        <v>2024</v>
      </c>
      <c r="L1586" s="6"/>
      <c r="M1586" s="6"/>
      <c r="N1586" s="6"/>
    </row>
    <row r="1587" spans="1:14" x14ac:dyDescent="0.3">
      <c r="A1587" s="92">
        <v>45566</v>
      </c>
      <c r="B1587" s="92" t="str">
        <f t="shared" si="96"/>
        <v>Tuesday</v>
      </c>
      <c r="C1587" s="93" t="s">
        <v>1381</v>
      </c>
      <c r="D1587" s="93" t="s">
        <v>714</v>
      </c>
      <c r="E1587" s="94">
        <v>35.76</v>
      </c>
      <c r="F1587" s="93" t="s">
        <v>5</v>
      </c>
      <c r="G1587" s="87">
        <f>Table1[[#This Row],[date]]</f>
        <v>45566</v>
      </c>
      <c r="H1587" s="94">
        <f>SUMIF($A$2:A5222,G1587,$E$2:E5222)</f>
        <v>420.77999999999992</v>
      </c>
      <c r="I1587" s="93" t="str">
        <f t="shared" si="97"/>
        <v>Tuesday</v>
      </c>
      <c r="J1587" s="93" t="str">
        <f t="shared" si="98"/>
        <v>October</v>
      </c>
      <c r="K1587" s="93" t="str">
        <f t="shared" si="99"/>
        <v>2024</v>
      </c>
      <c r="L1587" s="6"/>
      <c r="M1587" s="6"/>
      <c r="N1587" s="6"/>
    </row>
    <row r="1588" spans="1:14" x14ac:dyDescent="0.3">
      <c r="A1588" s="87">
        <v>45566</v>
      </c>
      <c r="B1588" s="87" t="str">
        <f t="shared" si="96"/>
        <v>Tuesday</v>
      </c>
      <c r="C1588" s="88" t="s">
        <v>1381</v>
      </c>
      <c r="D1588" s="88" t="s">
        <v>714</v>
      </c>
      <c r="E1588" s="89">
        <v>35.76</v>
      </c>
      <c r="F1588" s="88" t="s">
        <v>7</v>
      </c>
      <c r="G1588" s="87">
        <f>Table1[[#This Row],[date]]</f>
        <v>45566</v>
      </c>
      <c r="H1588" s="94">
        <f>SUMIF($A$2:A5223,G1588,$E$2:E5223)</f>
        <v>420.77999999999992</v>
      </c>
      <c r="I1588" s="93" t="str">
        <f t="shared" si="97"/>
        <v>Tuesday</v>
      </c>
      <c r="J1588" s="93" t="str">
        <f t="shared" si="98"/>
        <v>October</v>
      </c>
      <c r="K1588" s="93" t="str">
        <f t="shared" si="99"/>
        <v>2024</v>
      </c>
      <c r="L1588" s="6"/>
      <c r="M1588" s="6"/>
      <c r="N1588" s="6"/>
    </row>
    <row r="1589" spans="1:14" x14ac:dyDescent="0.3">
      <c r="A1589" s="92">
        <v>45566</v>
      </c>
      <c r="B1589" s="92" t="str">
        <f t="shared" si="96"/>
        <v>Tuesday</v>
      </c>
      <c r="C1589" s="93" t="s">
        <v>1381</v>
      </c>
      <c r="D1589" s="93" t="s">
        <v>597</v>
      </c>
      <c r="E1589" s="94">
        <v>35.76</v>
      </c>
      <c r="F1589" s="93" t="s">
        <v>7</v>
      </c>
      <c r="G1589" s="87">
        <f>Table1[[#This Row],[date]]</f>
        <v>45566</v>
      </c>
      <c r="H1589" s="94">
        <f>SUMIF($A$2:A5224,G1589,$E$2:E5224)</f>
        <v>420.77999999999992</v>
      </c>
      <c r="I1589" s="93" t="str">
        <f t="shared" si="97"/>
        <v>Tuesday</v>
      </c>
      <c r="J1589" s="93" t="str">
        <f t="shared" si="98"/>
        <v>October</v>
      </c>
      <c r="K1589" s="93" t="str">
        <f t="shared" si="99"/>
        <v>2024</v>
      </c>
      <c r="L1589" s="6"/>
      <c r="M1589" s="6"/>
      <c r="N1589" s="6"/>
    </row>
    <row r="1590" spans="1:14" x14ac:dyDescent="0.3">
      <c r="A1590" s="87">
        <v>45567</v>
      </c>
      <c r="B1590" s="87" t="str">
        <f t="shared" si="96"/>
        <v>Wednesday</v>
      </c>
      <c r="C1590" s="88" t="s">
        <v>1381</v>
      </c>
      <c r="D1590" s="88" t="s">
        <v>715</v>
      </c>
      <c r="E1590" s="89">
        <v>35.76</v>
      </c>
      <c r="F1590" s="88" t="s">
        <v>5</v>
      </c>
      <c r="G1590" s="87">
        <f>Table1[[#This Row],[date]]</f>
        <v>45567</v>
      </c>
      <c r="H1590" s="94">
        <f>SUMIF($A$2:A5225,G1590,$E$2:E5225)</f>
        <v>337.99999999999994</v>
      </c>
      <c r="I1590" s="93" t="str">
        <f t="shared" si="97"/>
        <v>Wednesday</v>
      </c>
      <c r="J1590" s="93" t="str">
        <f t="shared" si="98"/>
        <v>October</v>
      </c>
      <c r="K1590" s="93" t="str">
        <f t="shared" si="99"/>
        <v>2024</v>
      </c>
      <c r="L1590" s="6"/>
      <c r="M1590" s="6"/>
      <c r="N1590" s="6"/>
    </row>
    <row r="1591" spans="1:14" x14ac:dyDescent="0.3">
      <c r="A1591" s="92">
        <v>45567</v>
      </c>
      <c r="B1591" s="92" t="str">
        <f t="shared" si="96"/>
        <v>Wednesday</v>
      </c>
      <c r="C1591" s="93" t="s">
        <v>1381</v>
      </c>
      <c r="D1591" s="93" t="s">
        <v>153</v>
      </c>
      <c r="E1591" s="94">
        <v>25.96</v>
      </c>
      <c r="F1591" s="93" t="s">
        <v>26</v>
      </c>
      <c r="G1591" s="87">
        <f>Table1[[#This Row],[date]]</f>
        <v>45567</v>
      </c>
      <c r="H1591" s="94">
        <f>SUMIF($A$2:A5226,G1591,$E$2:E5226)</f>
        <v>337.99999999999994</v>
      </c>
      <c r="I1591" s="93" t="str">
        <f t="shared" si="97"/>
        <v>Wednesday</v>
      </c>
      <c r="J1591" s="93" t="str">
        <f t="shared" si="98"/>
        <v>October</v>
      </c>
      <c r="K1591" s="93" t="str">
        <f t="shared" si="99"/>
        <v>2024</v>
      </c>
      <c r="L1591" s="6"/>
      <c r="M1591" s="6"/>
      <c r="N1591" s="6"/>
    </row>
    <row r="1592" spans="1:14" x14ac:dyDescent="0.3">
      <c r="A1592" s="87">
        <v>45567</v>
      </c>
      <c r="B1592" s="87" t="str">
        <f t="shared" si="96"/>
        <v>Wednesday</v>
      </c>
      <c r="C1592" s="88" t="s">
        <v>1381</v>
      </c>
      <c r="D1592" s="88" t="s">
        <v>288</v>
      </c>
      <c r="E1592" s="89">
        <v>30.86</v>
      </c>
      <c r="F1592" s="88" t="s">
        <v>12</v>
      </c>
      <c r="G1592" s="87">
        <f>Table1[[#This Row],[date]]</f>
        <v>45567</v>
      </c>
      <c r="H1592" s="94">
        <f>SUMIF($A$2:A5227,G1592,$E$2:E5227)</f>
        <v>337.99999999999994</v>
      </c>
      <c r="I1592" s="93" t="str">
        <f t="shared" si="97"/>
        <v>Wednesday</v>
      </c>
      <c r="J1592" s="93" t="str">
        <f t="shared" si="98"/>
        <v>October</v>
      </c>
      <c r="K1592" s="93" t="str">
        <f t="shared" si="99"/>
        <v>2024</v>
      </c>
      <c r="L1592" s="6"/>
      <c r="M1592" s="6"/>
      <c r="N1592" s="6"/>
    </row>
    <row r="1593" spans="1:14" x14ac:dyDescent="0.3">
      <c r="A1593" s="92">
        <v>45567</v>
      </c>
      <c r="B1593" s="92" t="str">
        <f t="shared" si="96"/>
        <v>Wednesday</v>
      </c>
      <c r="C1593" s="93" t="s">
        <v>1381</v>
      </c>
      <c r="D1593" s="93" t="s">
        <v>387</v>
      </c>
      <c r="E1593" s="94">
        <v>35.76</v>
      </c>
      <c r="F1593" s="93" t="s">
        <v>5</v>
      </c>
      <c r="G1593" s="87">
        <f>Table1[[#This Row],[date]]</f>
        <v>45567</v>
      </c>
      <c r="H1593" s="94">
        <f>SUMIF($A$2:A5228,G1593,$E$2:E5228)</f>
        <v>337.99999999999994</v>
      </c>
      <c r="I1593" s="93" t="str">
        <f t="shared" si="97"/>
        <v>Wednesday</v>
      </c>
      <c r="J1593" s="93" t="str">
        <f t="shared" si="98"/>
        <v>October</v>
      </c>
      <c r="K1593" s="93" t="str">
        <f t="shared" si="99"/>
        <v>2024</v>
      </c>
      <c r="L1593" s="6"/>
      <c r="M1593" s="6"/>
      <c r="N1593" s="6"/>
    </row>
    <row r="1594" spans="1:14" x14ac:dyDescent="0.3">
      <c r="A1594" s="87">
        <v>45567</v>
      </c>
      <c r="B1594" s="87" t="str">
        <f t="shared" si="96"/>
        <v>Wednesday</v>
      </c>
      <c r="C1594" s="88" t="s">
        <v>1381</v>
      </c>
      <c r="D1594" s="88" t="s">
        <v>716</v>
      </c>
      <c r="E1594" s="89">
        <v>30.86</v>
      </c>
      <c r="F1594" s="88" t="s">
        <v>12</v>
      </c>
      <c r="G1594" s="87">
        <f>Table1[[#This Row],[date]]</f>
        <v>45567</v>
      </c>
      <c r="H1594" s="94">
        <f>SUMIF($A$2:A5229,G1594,$E$2:E5229)</f>
        <v>337.99999999999994</v>
      </c>
      <c r="I1594" s="93" t="str">
        <f t="shared" si="97"/>
        <v>Wednesday</v>
      </c>
      <c r="J1594" s="93" t="str">
        <f t="shared" si="98"/>
        <v>October</v>
      </c>
      <c r="K1594" s="93" t="str">
        <f t="shared" si="99"/>
        <v>2024</v>
      </c>
      <c r="L1594" s="6"/>
      <c r="M1594" s="6"/>
      <c r="N1594" s="6"/>
    </row>
    <row r="1595" spans="1:14" x14ac:dyDescent="0.3">
      <c r="A1595" s="92">
        <v>45567</v>
      </c>
      <c r="B1595" s="92" t="str">
        <f t="shared" si="96"/>
        <v>Wednesday</v>
      </c>
      <c r="C1595" s="93" t="s">
        <v>1381</v>
      </c>
      <c r="D1595" s="93" t="s">
        <v>717</v>
      </c>
      <c r="E1595" s="94">
        <v>35.76</v>
      </c>
      <c r="F1595" s="93" t="s">
        <v>41</v>
      </c>
      <c r="G1595" s="87">
        <f>Table1[[#This Row],[date]]</f>
        <v>45567</v>
      </c>
      <c r="H1595" s="94">
        <f>SUMIF($A$2:A5230,G1595,$E$2:E5230)</f>
        <v>337.99999999999994</v>
      </c>
      <c r="I1595" s="93" t="str">
        <f t="shared" si="97"/>
        <v>Wednesday</v>
      </c>
      <c r="J1595" s="93" t="str">
        <f t="shared" si="98"/>
        <v>October</v>
      </c>
      <c r="K1595" s="93" t="str">
        <f t="shared" si="99"/>
        <v>2024</v>
      </c>
      <c r="L1595" s="6"/>
      <c r="M1595" s="6"/>
      <c r="N1595" s="6"/>
    </row>
    <row r="1596" spans="1:14" x14ac:dyDescent="0.3">
      <c r="A1596" s="87">
        <v>45567</v>
      </c>
      <c r="B1596" s="87" t="str">
        <f t="shared" si="96"/>
        <v>Wednesday</v>
      </c>
      <c r="C1596" s="88" t="s">
        <v>1381</v>
      </c>
      <c r="D1596" s="88" t="s">
        <v>718</v>
      </c>
      <c r="E1596" s="89">
        <v>35.76</v>
      </c>
      <c r="F1596" s="88" t="s">
        <v>41</v>
      </c>
      <c r="G1596" s="87">
        <f>Table1[[#This Row],[date]]</f>
        <v>45567</v>
      </c>
      <c r="H1596" s="94">
        <f>SUMIF($A$2:A5231,G1596,$E$2:E5231)</f>
        <v>337.99999999999994</v>
      </c>
      <c r="I1596" s="93" t="str">
        <f t="shared" si="97"/>
        <v>Wednesday</v>
      </c>
      <c r="J1596" s="93" t="str">
        <f t="shared" si="98"/>
        <v>October</v>
      </c>
      <c r="K1596" s="93" t="str">
        <f t="shared" si="99"/>
        <v>2024</v>
      </c>
      <c r="L1596" s="6"/>
      <c r="M1596" s="6"/>
      <c r="N1596" s="6"/>
    </row>
    <row r="1597" spans="1:14" x14ac:dyDescent="0.3">
      <c r="A1597" s="92">
        <v>45567</v>
      </c>
      <c r="B1597" s="92" t="str">
        <f t="shared" si="96"/>
        <v>Wednesday</v>
      </c>
      <c r="C1597" s="93" t="s">
        <v>1381</v>
      </c>
      <c r="D1597" s="93" t="s">
        <v>267</v>
      </c>
      <c r="E1597" s="94">
        <v>35.76</v>
      </c>
      <c r="F1597" s="93" t="s">
        <v>7</v>
      </c>
      <c r="G1597" s="87">
        <f>Table1[[#This Row],[date]]</f>
        <v>45567</v>
      </c>
      <c r="H1597" s="94">
        <f>SUMIF($A$2:A5232,G1597,$E$2:E5232)</f>
        <v>337.99999999999994</v>
      </c>
      <c r="I1597" s="93" t="str">
        <f t="shared" si="97"/>
        <v>Wednesday</v>
      </c>
      <c r="J1597" s="93" t="str">
        <f t="shared" si="98"/>
        <v>October</v>
      </c>
      <c r="K1597" s="93" t="str">
        <f t="shared" si="99"/>
        <v>2024</v>
      </c>
      <c r="L1597" s="6"/>
      <c r="M1597" s="6"/>
      <c r="N1597" s="6"/>
    </row>
    <row r="1598" spans="1:14" x14ac:dyDescent="0.3">
      <c r="A1598" s="87">
        <v>45567</v>
      </c>
      <c r="B1598" s="87" t="str">
        <f t="shared" si="96"/>
        <v>Wednesday</v>
      </c>
      <c r="C1598" s="88" t="s">
        <v>1381</v>
      </c>
      <c r="D1598" s="88" t="s">
        <v>649</v>
      </c>
      <c r="E1598" s="89">
        <v>35.76</v>
      </c>
      <c r="F1598" s="88" t="s">
        <v>7</v>
      </c>
      <c r="G1598" s="87">
        <f>Table1[[#This Row],[date]]</f>
        <v>45567</v>
      </c>
      <c r="H1598" s="94">
        <f>SUMIF($A$2:A5233,G1598,$E$2:E5233)</f>
        <v>337.99999999999994</v>
      </c>
      <c r="I1598" s="93" t="str">
        <f t="shared" si="97"/>
        <v>Wednesday</v>
      </c>
      <c r="J1598" s="93" t="str">
        <f t="shared" si="98"/>
        <v>October</v>
      </c>
      <c r="K1598" s="93" t="str">
        <f t="shared" si="99"/>
        <v>2024</v>
      </c>
      <c r="L1598" s="6"/>
      <c r="M1598" s="6"/>
      <c r="N1598" s="6"/>
    </row>
    <row r="1599" spans="1:14" x14ac:dyDescent="0.3">
      <c r="A1599" s="87">
        <v>45567</v>
      </c>
      <c r="B1599" s="87" t="str">
        <f t="shared" si="96"/>
        <v>Wednesday</v>
      </c>
      <c r="C1599" s="88" t="s">
        <v>1381</v>
      </c>
      <c r="D1599" s="88" t="s">
        <v>719</v>
      </c>
      <c r="E1599" s="89">
        <v>35.76</v>
      </c>
      <c r="F1599" s="88" t="s">
        <v>7</v>
      </c>
      <c r="G1599" s="87">
        <f>Table1[[#This Row],[date]]</f>
        <v>45567</v>
      </c>
      <c r="H1599" s="94">
        <f>SUMIF($A$2:A5234,G1599,$E$2:E5234)</f>
        <v>337.99999999999994</v>
      </c>
      <c r="I1599" s="93" t="str">
        <f t="shared" si="97"/>
        <v>Wednesday</v>
      </c>
      <c r="J1599" s="93" t="str">
        <f t="shared" si="98"/>
        <v>October</v>
      </c>
      <c r="K1599" s="93" t="str">
        <f t="shared" si="99"/>
        <v>2024</v>
      </c>
      <c r="L1599" s="6"/>
      <c r="M1599" s="6"/>
      <c r="N1599" s="6"/>
    </row>
    <row r="1600" spans="1:14" x14ac:dyDescent="0.3">
      <c r="A1600" s="92">
        <v>45568</v>
      </c>
      <c r="B1600" s="92" t="str">
        <f t="shared" si="96"/>
        <v>Thursday</v>
      </c>
      <c r="C1600" s="93" t="s">
        <v>1381</v>
      </c>
      <c r="D1600" s="93" t="s">
        <v>720</v>
      </c>
      <c r="E1600" s="94">
        <v>35.76</v>
      </c>
      <c r="F1600" s="93" t="s">
        <v>16</v>
      </c>
      <c r="G1600" s="87">
        <f>Table1[[#This Row],[date]]</f>
        <v>45568</v>
      </c>
      <c r="H1600" s="94">
        <f>SUMIF($A$2:A5235,G1600,$E$2:E5235)</f>
        <v>235.61999999999998</v>
      </c>
      <c r="I1600" s="93" t="str">
        <f t="shared" si="97"/>
        <v>Thursday</v>
      </c>
      <c r="J1600" s="93" t="str">
        <f t="shared" si="98"/>
        <v>October</v>
      </c>
      <c r="K1600" s="93" t="str">
        <f t="shared" si="99"/>
        <v>2024</v>
      </c>
      <c r="L1600" s="6"/>
      <c r="M1600" s="6"/>
      <c r="N1600" s="6"/>
    </row>
    <row r="1601" spans="1:14" x14ac:dyDescent="0.3">
      <c r="A1601" s="87">
        <v>45568</v>
      </c>
      <c r="B1601" s="87" t="str">
        <f t="shared" si="96"/>
        <v>Thursday</v>
      </c>
      <c r="C1601" s="88" t="s">
        <v>1381</v>
      </c>
      <c r="D1601" s="88" t="s">
        <v>721</v>
      </c>
      <c r="E1601" s="89">
        <v>30.86</v>
      </c>
      <c r="F1601" s="88" t="s">
        <v>12</v>
      </c>
      <c r="G1601" s="87">
        <f>Table1[[#This Row],[date]]</f>
        <v>45568</v>
      </c>
      <c r="H1601" s="94">
        <f>SUMIF($A$2:A5236,G1601,$E$2:E5236)</f>
        <v>235.61999999999998</v>
      </c>
      <c r="I1601" s="93" t="str">
        <f t="shared" si="97"/>
        <v>Thursday</v>
      </c>
      <c r="J1601" s="93" t="str">
        <f t="shared" si="98"/>
        <v>October</v>
      </c>
      <c r="K1601" s="93" t="str">
        <f t="shared" si="99"/>
        <v>2024</v>
      </c>
      <c r="L1601" s="6"/>
      <c r="M1601" s="6"/>
      <c r="N1601" s="6"/>
    </row>
    <row r="1602" spans="1:14" x14ac:dyDescent="0.3">
      <c r="A1602" s="92">
        <v>45568</v>
      </c>
      <c r="B1602" s="92" t="str">
        <f t="shared" ref="B1602:B1665" si="100">TEXT(A1602,"dddd")</f>
        <v>Thursday</v>
      </c>
      <c r="C1602" s="93" t="s">
        <v>1381</v>
      </c>
      <c r="D1602" s="93" t="s">
        <v>722</v>
      </c>
      <c r="E1602" s="94">
        <v>25.96</v>
      </c>
      <c r="F1602" s="93" t="s">
        <v>26</v>
      </c>
      <c r="G1602" s="87">
        <f>Table1[[#This Row],[date]]</f>
        <v>45568</v>
      </c>
      <c r="H1602" s="94">
        <f>SUMIF($A$2:A5237,G1602,$E$2:E5237)</f>
        <v>235.61999999999998</v>
      </c>
      <c r="I1602" s="93" t="str">
        <f t="shared" si="97"/>
        <v>Thursday</v>
      </c>
      <c r="J1602" s="93" t="str">
        <f t="shared" si="98"/>
        <v>October</v>
      </c>
      <c r="K1602" s="93" t="str">
        <f t="shared" si="99"/>
        <v>2024</v>
      </c>
      <c r="L1602" s="6"/>
      <c r="M1602" s="6"/>
      <c r="N1602" s="6"/>
    </row>
    <row r="1603" spans="1:14" x14ac:dyDescent="0.3">
      <c r="A1603" s="87">
        <v>45568</v>
      </c>
      <c r="B1603" s="87" t="str">
        <f t="shared" si="100"/>
        <v>Thursday</v>
      </c>
      <c r="C1603" s="88" t="s">
        <v>1381</v>
      </c>
      <c r="D1603" s="88" t="s">
        <v>722</v>
      </c>
      <c r="E1603" s="89">
        <v>35.76</v>
      </c>
      <c r="F1603" s="88" t="s">
        <v>7</v>
      </c>
      <c r="G1603" s="87">
        <f>Table1[[#This Row],[date]]</f>
        <v>45568</v>
      </c>
      <c r="H1603" s="94">
        <f>SUMIF($A$2:A5238,G1603,$E$2:E5238)</f>
        <v>235.61999999999998</v>
      </c>
      <c r="I1603" s="93" t="str">
        <f t="shared" si="97"/>
        <v>Thursday</v>
      </c>
      <c r="J1603" s="93" t="str">
        <f t="shared" si="98"/>
        <v>October</v>
      </c>
      <c r="K1603" s="93" t="str">
        <f t="shared" si="99"/>
        <v>2024</v>
      </c>
      <c r="L1603" s="6"/>
      <c r="M1603" s="6"/>
      <c r="N1603" s="6"/>
    </row>
    <row r="1604" spans="1:14" x14ac:dyDescent="0.3">
      <c r="A1604" s="92">
        <v>45568</v>
      </c>
      <c r="B1604" s="92" t="str">
        <f t="shared" si="100"/>
        <v>Thursday</v>
      </c>
      <c r="C1604" s="93" t="s">
        <v>1381</v>
      </c>
      <c r="D1604" s="93" t="s">
        <v>649</v>
      </c>
      <c r="E1604" s="94">
        <v>35.76</v>
      </c>
      <c r="F1604" s="93" t="s">
        <v>7</v>
      </c>
      <c r="G1604" s="87">
        <f>Table1[[#This Row],[date]]</f>
        <v>45568</v>
      </c>
      <c r="H1604" s="94">
        <f>SUMIF($A$2:A5239,G1604,$E$2:E5239)</f>
        <v>235.61999999999998</v>
      </c>
      <c r="I1604" s="93" t="str">
        <f t="shared" si="97"/>
        <v>Thursday</v>
      </c>
      <c r="J1604" s="93" t="str">
        <f t="shared" si="98"/>
        <v>October</v>
      </c>
      <c r="K1604" s="93" t="str">
        <f t="shared" si="99"/>
        <v>2024</v>
      </c>
      <c r="L1604" s="6"/>
      <c r="M1604" s="6"/>
      <c r="N1604" s="6"/>
    </row>
    <row r="1605" spans="1:14" x14ac:dyDescent="0.3">
      <c r="A1605" s="92">
        <v>45568</v>
      </c>
      <c r="B1605" s="92" t="str">
        <f t="shared" si="100"/>
        <v>Thursday</v>
      </c>
      <c r="C1605" s="93" t="s">
        <v>1381</v>
      </c>
      <c r="D1605" s="93" t="s">
        <v>723</v>
      </c>
      <c r="E1605" s="94">
        <v>35.76</v>
      </c>
      <c r="F1605" s="93" t="s">
        <v>41</v>
      </c>
      <c r="G1605" s="87">
        <f>Table1[[#This Row],[date]]</f>
        <v>45568</v>
      </c>
      <c r="H1605" s="94">
        <f>SUMIF($A$2:A5240,G1605,$E$2:E5240)</f>
        <v>235.61999999999998</v>
      </c>
      <c r="I1605" s="93" t="str">
        <f t="shared" si="97"/>
        <v>Thursday</v>
      </c>
      <c r="J1605" s="93" t="str">
        <f t="shared" si="98"/>
        <v>October</v>
      </c>
      <c r="K1605" s="93" t="str">
        <f t="shared" si="99"/>
        <v>2024</v>
      </c>
      <c r="L1605" s="6"/>
      <c r="M1605" s="6"/>
      <c r="N1605" s="6"/>
    </row>
    <row r="1606" spans="1:14" x14ac:dyDescent="0.3">
      <c r="A1606" s="87">
        <v>45568</v>
      </c>
      <c r="B1606" s="87" t="str">
        <f t="shared" si="100"/>
        <v>Thursday</v>
      </c>
      <c r="C1606" s="88" t="s">
        <v>1381</v>
      </c>
      <c r="D1606" s="88" t="s">
        <v>724</v>
      </c>
      <c r="E1606" s="89">
        <v>35.76</v>
      </c>
      <c r="F1606" s="88" t="s">
        <v>7</v>
      </c>
      <c r="G1606" s="87">
        <f>Table1[[#This Row],[date]]</f>
        <v>45568</v>
      </c>
      <c r="H1606" s="94">
        <f>SUMIF($A$2:A5241,G1606,$E$2:E5241)</f>
        <v>235.61999999999998</v>
      </c>
      <c r="I1606" s="93" t="str">
        <f t="shared" ref="I1606:I1669" si="101">TEXT(G1606,"dddd")</f>
        <v>Thursday</v>
      </c>
      <c r="J1606" s="93" t="str">
        <f t="shared" si="98"/>
        <v>October</v>
      </c>
      <c r="K1606" s="93" t="str">
        <f t="shared" si="99"/>
        <v>2024</v>
      </c>
      <c r="L1606" s="6"/>
      <c r="M1606" s="6"/>
      <c r="N1606" s="6"/>
    </row>
    <row r="1607" spans="1:14" x14ac:dyDescent="0.3">
      <c r="A1607" s="92">
        <v>45569</v>
      </c>
      <c r="B1607" s="92" t="str">
        <f t="shared" si="100"/>
        <v>Friday</v>
      </c>
      <c r="C1607" s="93" t="s">
        <v>1381</v>
      </c>
      <c r="D1607" s="93" t="s">
        <v>452</v>
      </c>
      <c r="E1607" s="94">
        <v>25.96</v>
      </c>
      <c r="F1607" s="93" t="s">
        <v>9</v>
      </c>
      <c r="G1607" s="87">
        <f>Table1[[#This Row],[date]]</f>
        <v>45569</v>
      </c>
      <c r="H1607" s="94">
        <f>SUMIF($A$2:A5242,G1607,$E$2:E5242)</f>
        <v>216.01999999999998</v>
      </c>
      <c r="I1607" s="93" t="str">
        <f t="shared" si="101"/>
        <v>Friday</v>
      </c>
      <c r="J1607" s="93" t="str">
        <f t="shared" ref="J1607:J1670" si="102">TEXT(G1607,"mmmm")</f>
        <v>October</v>
      </c>
      <c r="K1607" s="93" t="str">
        <f t="shared" ref="K1607:K1670" si="103">TEXT(G1607,"yyyy")</f>
        <v>2024</v>
      </c>
      <c r="L1607" s="6"/>
      <c r="M1607" s="6"/>
      <c r="N1607" s="6"/>
    </row>
    <row r="1608" spans="1:14" x14ac:dyDescent="0.3">
      <c r="A1608" s="92">
        <v>45569</v>
      </c>
      <c r="B1608" s="92" t="str">
        <f t="shared" si="100"/>
        <v>Friday</v>
      </c>
      <c r="C1608" s="93" t="s">
        <v>1381</v>
      </c>
      <c r="D1608" s="93" t="s">
        <v>10</v>
      </c>
      <c r="E1608" s="94">
        <v>30.86</v>
      </c>
      <c r="F1608" s="93" t="s">
        <v>12</v>
      </c>
      <c r="G1608" s="87">
        <f>Table1[[#This Row],[date]]</f>
        <v>45569</v>
      </c>
      <c r="H1608" s="94">
        <f>SUMIF($A$2:A5243,G1608,$E$2:E5243)</f>
        <v>216.01999999999998</v>
      </c>
      <c r="I1608" s="93" t="str">
        <f t="shared" si="101"/>
        <v>Friday</v>
      </c>
      <c r="J1608" s="93" t="str">
        <f t="shared" si="102"/>
        <v>October</v>
      </c>
      <c r="K1608" s="93" t="str">
        <f t="shared" si="103"/>
        <v>2024</v>
      </c>
      <c r="L1608" s="6"/>
      <c r="M1608" s="6"/>
      <c r="N1608" s="6"/>
    </row>
    <row r="1609" spans="1:14" x14ac:dyDescent="0.3">
      <c r="A1609" s="87">
        <v>45569</v>
      </c>
      <c r="B1609" s="87" t="str">
        <f t="shared" si="100"/>
        <v>Friday</v>
      </c>
      <c r="C1609" s="88" t="s">
        <v>1381</v>
      </c>
      <c r="D1609" s="88" t="s">
        <v>8</v>
      </c>
      <c r="E1609" s="89">
        <v>25.96</v>
      </c>
      <c r="F1609" s="88" t="s">
        <v>9</v>
      </c>
      <c r="G1609" s="87">
        <f>Table1[[#This Row],[date]]</f>
        <v>45569</v>
      </c>
      <c r="H1609" s="94">
        <f>SUMIF($A$2:A5244,G1609,$E$2:E5244)</f>
        <v>216.01999999999998</v>
      </c>
      <c r="I1609" s="93" t="str">
        <f t="shared" si="101"/>
        <v>Friday</v>
      </c>
      <c r="J1609" s="93" t="str">
        <f t="shared" si="102"/>
        <v>October</v>
      </c>
      <c r="K1609" s="93" t="str">
        <f t="shared" si="103"/>
        <v>2024</v>
      </c>
      <c r="L1609" s="6"/>
      <c r="M1609" s="6"/>
      <c r="N1609" s="6"/>
    </row>
    <row r="1610" spans="1:14" x14ac:dyDescent="0.3">
      <c r="A1610" s="92">
        <v>45569</v>
      </c>
      <c r="B1610" s="92" t="str">
        <f t="shared" si="100"/>
        <v>Friday</v>
      </c>
      <c r="C1610" s="93" t="s">
        <v>1381</v>
      </c>
      <c r="D1610" s="93" t="s">
        <v>662</v>
      </c>
      <c r="E1610" s="94">
        <v>25.96</v>
      </c>
      <c r="F1610" s="93" t="s">
        <v>26</v>
      </c>
      <c r="G1610" s="87">
        <f>Table1[[#This Row],[date]]</f>
        <v>45569</v>
      </c>
      <c r="H1610" s="94">
        <f>SUMIF($A$2:A5245,G1610,$E$2:E5245)</f>
        <v>216.01999999999998</v>
      </c>
      <c r="I1610" s="93" t="str">
        <f t="shared" si="101"/>
        <v>Friday</v>
      </c>
      <c r="J1610" s="93" t="str">
        <f t="shared" si="102"/>
        <v>October</v>
      </c>
      <c r="K1610" s="93" t="str">
        <f t="shared" si="103"/>
        <v>2024</v>
      </c>
      <c r="L1610" s="6"/>
      <c r="M1610" s="6"/>
      <c r="N1610" s="6"/>
    </row>
    <row r="1611" spans="1:14" x14ac:dyDescent="0.3">
      <c r="A1611" s="92">
        <v>45569</v>
      </c>
      <c r="B1611" s="92" t="str">
        <f t="shared" si="100"/>
        <v>Friday</v>
      </c>
      <c r="C1611" s="93" t="s">
        <v>1381</v>
      </c>
      <c r="D1611" s="93" t="s">
        <v>725</v>
      </c>
      <c r="E1611" s="94">
        <v>35.76</v>
      </c>
      <c r="F1611" s="93" t="s">
        <v>5</v>
      </c>
      <c r="G1611" s="87">
        <f>Table1[[#This Row],[date]]</f>
        <v>45569</v>
      </c>
      <c r="H1611" s="94">
        <f>SUMIF($A$2:A5246,G1611,$E$2:E5246)</f>
        <v>216.01999999999998</v>
      </c>
      <c r="I1611" s="93" t="str">
        <f t="shared" si="101"/>
        <v>Friday</v>
      </c>
      <c r="J1611" s="93" t="str">
        <f t="shared" si="102"/>
        <v>October</v>
      </c>
      <c r="K1611" s="93" t="str">
        <f t="shared" si="103"/>
        <v>2024</v>
      </c>
      <c r="L1611" s="6"/>
      <c r="M1611" s="6"/>
      <c r="N1611" s="6"/>
    </row>
    <row r="1612" spans="1:14" x14ac:dyDescent="0.3">
      <c r="A1612" s="87">
        <v>45569</v>
      </c>
      <c r="B1612" s="87" t="str">
        <f t="shared" si="100"/>
        <v>Friday</v>
      </c>
      <c r="C1612" s="88" t="s">
        <v>1381</v>
      </c>
      <c r="D1612" s="88" t="s">
        <v>726</v>
      </c>
      <c r="E1612" s="89">
        <v>35.76</v>
      </c>
      <c r="F1612" s="88" t="s">
        <v>7</v>
      </c>
      <c r="G1612" s="87">
        <f>Table1[[#This Row],[date]]</f>
        <v>45569</v>
      </c>
      <c r="H1612" s="94">
        <f>SUMIF($A$2:A5247,G1612,$E$2:E5247)</f>
        <v>216.01999999999998</v>
      </c>
      <c r="I1612" s="93" t="str">
        <f t="shared" si="101"/>
        <v>Friday</v>
      </c>
      <c r="J1612" s="93" t="str">
        <f t="shared" si="102"/>
        <v>October</v>
      </c>
      <c r="K1612" s="93" t="str">
        <f t="shared" si="103"/>
        <v>2024</v>
      </c>
      <c r="L1612" s="6"/>
      <c r="M1612" s="6"/>
      <c r="N1612" s="6"/>
    </row>
    <row r="1613" spans="1:14" x14ac:dyDescent="0.3">
      <c r="A1613" s="92">
        <v>45569</v>
      </c>
      <c r="B1613" s="92" t="str">
        <f t="shared" si="100"/>
        <v>Friday</v>
      </c>
      <c r="C1613" s="93" t="s">
        <v>1381</v>
      </c>
      <c r="D1613" s="93" t="s">
        <v>726</v>
      </c>
      <c r="E1613" s="94">
        <v>35.76</v>
      </c>
      <c r="F1613" s="93" t="s">
        <v>16</v>
      </c>
      <c r="G1613" s="87">
        <f>Table1[[#This Row],[date]]</f>
        <v>45569</v>
      </c>
      <c r="H1613" s="94">
        <f>SUMIF($A$2:A5248,G1613,$E$2:E5248)</f>
        <v>216.01999999999998</v>
      </c>
      <c r="I1613" s="93" t="str">
        <f t="shared" si="101"/>
        <v>Friday</v>
      </c>
      <c r="J1613" s="93" t="str">
        <f t="shared" si="102"/>
        <v>October</v>
      </c>
      <c r="K1613" s="93" t="str">
        <f t="shared" si="103"/>
        <v>2024</v>
      </c>
      <c r="L1613" s="6"/>
      <c r="M1613" s="6"/>
      <c r="N1613" s="6"/>
    </row>
    <row r="1614" spans="1:14" x14ac:dyDescent="0.3">
      <c r="A1614" s="87">
        <v>45570</v>
      </c>
      <c r="B1614" s="87" t="str">
        <f t="shared" si="100"/>
        <v>Saturday</v>
      </c>
      <c r="C1614" s="88" t="s">
        <v>1381</v>
      </c>
      <c r="D1614" s="88" t="s">
        <v>153</v>
      </c>
      <c r="E1614" s="89">
        <v>25.96</v>
      </c>
      <c r="F1614" s="88" t="s">
        <v>26</v>
      </c>
      <c r="G1614" s="87">
        <f>Table1[[#This Row],[date]]</f>
        <v>45570</v>
      </c>
      <c r="H1614" s="94">
        <f>SUMIF($A$2:A5249,G1614,$E$2:E5249)</f>
        <v>123.44</v>
      </c>
      <c r="I1614" s="93" t="str">
        <f t="shared" si="101"/>
        <v>Saturday</v>
      </c>
      <c r="J1614" s="93" t="str">
        <f t="shared" si="102"/>
        <v>October</v>
      </c>
      <c r="K1614" s="93" t="str">
        <f t="shared" si="103"/>
        <v>2024</v>
      </c>
      <c r="L1614" s="6"/>
      <c r="M1614" s="6"/>
      <c r="N1614" s="6"/>
    </row>
    <row r="1615" spans="1:14" x14ac:dyDescent="0.3">
      <c r="A1615" s="87">
        <v>45570</v>
      </c>
      <c r="B1615" s="87" t="str">
        <f t="shared" si="100"/>
        <v>Saturday</v>
      </c>
      <c r="C1615" s="88" t="s">
        <v>1381</v>
      </c>
      <c r="D1615" s="88" t="s">
        <v>727</v>
      </c>
      <c r="E1615" s="89">
        <v>35.76</v>
      </c>
      <c r="F1615" s="88" t="s">
        <v>16</v>
      </c>
      <c r="G1615" s="87">
        <f>Table1[[#This Row],[date]]</f>
        <v>45570</v>
      </c>
      <c r="H1615" s="94">
        <f>SUMIF($A$2:A5250,G1615,$E$2:E5250)</f>
        <v>123.44</v>
      </c>
      <c r="I1615" s="93" t="str">
        <f t="shared" si="101"/>
        <v>Saturday</v>
      </c>
      <c r="J1615" s="93" t="str">
        <f t="shared" si="102"/>
        <v>October</v>
      </c>
      <c r="K1615" s="93" t="str">
        <f t="shared" si="103"/>
        <v>2024</v>
      </c>
      <c r="L1615" s="6"/>
      <c r="M1615" s="6"/>
      <c r="N1615" s="6"/>
    </row>
    <row r="1616" spans="1:14" x14ac:dyDescent="0.3">
      <c r="A1616" s="92">
        <v>45570</v>
      </c>
      <c r="B1616" s="92" t="str">
        <f t="shared" si="100"/>
        <v>Saturday</v>
      </c>
      <c r="C1616" s="93" t="s">
        <v>1381</v>
      </c>
      <c r="D1616" s="93" t="s">
        <v>218</v>
      </c>
      <c r="E1616" s="94">
        <v>35.76</v>
      </c>
      <c r="F1616" s="93" t="s">
        <v>41</v>
      </c>
      <c r="G1616" s="87">
        <f>Table1[[#This Row],[date]]</f>
        <v>45570</v>
      </c>
      <c r="H1616" s="94">
        <f>SUMIF($A$2:A5251,G1616,$E$2:E5251)</f>
        <v>123.44</v>
      </c>
      <c r="I1616" s="93" t="str">
        <f t="shared" si="101"/>
        <v>Saturday</v>
      </c>
      <c r="J1616" s="93" t="str">
        <f t="shared" si="102"/>
        <v>October</v>
      </c>
      <c r="K1616" s="93" t="str">
        <f t="shared" si="103"/>
        <v>2024</v>
      </c>
      <c r="L1616" s="6"/>
      <c r="M1616" s="6"/>
      <c r="N1616" s="6"/>
    </row>
    <row r="1617" spans="1:14" x14ac:dyDescent="0.3">
      <c r="A1617" s="87">
        <v>45570</v>
      </c>
      <c r="B1617" s="87" t="str">
        <f t="shared" si="100"/>
        <v>Saturday</v>
      </c>
      <c r="C1617" s="88" t="s">
        <v>1381</v>
      </c>
      <c r="D1617" s="88" t="s">
        <v>21</v>
      </c>
      <c r="E1617" s="89">
        <v>25.96</v>
      </c>
      <c r="F1617" s="88" t="s">
        <v>9</v>
      </c>
      <c r="G1617" s="87">
        <f>Table1[[#This Row],[date]]</f>
        <v>45570</v>
      </c>
      <c r="H1617" s="94">
        <f>SUMIF($A$2:A5252,G1617,$E$2:E5252)</f>
        <v>123.44</v>
      </c>
      <c r="I1617" s="93" t="str">
        <f t="shared" si="101"/>
        <v>Saturday</v>
      </c>
      <c r="J1617" s="93" t="str">
        <f t="shared" si="102"/>
        <v>October</v>
      </c>
      <c r="K1617" s="93" t="str">
        <f t="shared" si="103"/>
        <v>2024</v>
      </c>
      <c r="L1617" s="6"/>
      <c r="M1617" s="6"/>
      <c r="N1617" s="6"/>
    </row>
    <row r="1618" spans="1:14" x14ac:dyDescent="0.3">
      <c r="A1618" s="87">
        <v>45571</v>
      </c>
      <c r="B1618" s="87" t="str">
        <f t="shared" si="100"/>
        <v>Sunday</v>
      </c>
      <c r="C1618" s="88" t="s">
        <v>1381</v>
      </c>
      <c r="D1618" s="88" t="s">
        <v>153</v>
      </c>
      <c r="E1618" s="89">
        <v>25.96</v>
      </c>
      <c r="F1618" s="88" t="s">
        <v>26</v>
      </c>
      <c r="G1618" s="87">
        <f>Table1[[#This Row],[date]]</f>
        <v>45571</v>
      </c>
      <c r="H1618" s="94">
        <f>SUMIF($A$2:A5253,G1618,$E$2:E5253)</f>
        <v>620.64</v>
      </c>
      <c r="I1618" s="93" t="str">
        <f t="shared" si="101"/>
        <v>Sunday</v>
      </c>
      <c r="J1618" s="93" t="str">
        <f t="shared" si="102"/>
        <v>October</v>
      </c>
      <c r="K1618" s="93" t="str">
        <f t="shared" si="103"/>
        <v>2024</v>
      </c>
      <c r="L1618" s="6"/>
      <c r="M1618" s="6"/>
      <c r="N1618" s="6"/>
    </row>
    <row r="1619" spans="1:14" x14ac:dyDescent="0.3">
      <c r="A1619" s="92">
        <v>45571</v>
      </c>
      <c r="B1619" s="92" t="str">
        <f t="shared" si="100"/>
        <v>Sunday</v>
      </c>
      <c r="C1619" s="93" t="s">
        <v>1381</v>
      </c>
      <c r="D1619" s="93" t="s">
        <v>207</v>
      </c>
      <c r="E1619" s="94">
        <v>35.76</v>
      </c>
      <c r="F1619" s="93" t="s">
        <v>41</v>
      </c>
      <c r="G1619" s="87">
        <f>Table1[[#This Row],[date]]</f>
        <v>45571</v>
      </c>
      <c r="H1619" s="94">
        <f>SUMIF($A$2:A5254,G1619,$E$2:E5254)</f>
        <v>620.64</v>
      </c>
      <c r="I1619" s="93" t="str">
        <f t="shared" si="101"/>
        <v>Sunday</v>
      </c>
      <c r="J1619" s="93" t="str">
        <f t="shared" si="102"/>
        <v>October</v>
      </c>
      <c r="K1619" s="93" t="str">
        <f t="shared" si="103"/>
        <v>2024</v>
      </c>
      <c r="L1619" s="6"/>
      <c r="M1619" s="6"/>
      <c r="N1619" s="6"/>
    </row>
    <row r="1620" spans="1:14" x14ac:dyDescent="0.3">
      <c r="A1620" s="87">
        <v>45571</v>
      </c>
      <c r="B1620" s="87" t="str">
        <f t="shared" si="100"/>
        <v>Sunday</v>
      </c>
      <c r="C1620" s="88" t="s">
        <v>1381</v>
      </c>
      <c r="D1620" s="88" t="s">
        <v>207</v>
      </c>
      <c r="E1620" s="89">
        <v>25.96</v>
      </c>
      <c r="F1620" s="88" t="s">
        <v>26</v>
      </c>
      <c r="G1620" s="87">
        <f>Table1[[#This Row],[date]]</f>
        <v>45571</v>
      </c>
      <c r="H1620" s="94">
        <f>SUMIF($A$2:A5255,G1620,$E$2:E5255)</f>
        <v>620.64</v>
      </c>
      <c r="I1620" s="93" t="str">
        <f t="shared" si="101"/>
        <v>Sunday</v>
      </c>
      <c r="J1620" s="93" t="str">
        <f t="shared" si="102"/>
        <v>October</v>
      </c>
      <c r="K1620" s="93" t="str">
        <f t="shared" si="103"/>
        <v>2024</v>
      </c>
      <c r="L1620" s="6"/>
      <c r="M1620" s="6"/>
      <c r="N1620" s="6"/>
    </row>
    <row r="1621" spans="1:14" x14ac:dyDescent="0.3">
      <c r="A1621" s="92">
        <v>45571</v>
      </c>
      <c r="B1621" s="92" t="str">
        <f t="shared" si="100"/>
        <v>Sunday</v>
      </c>
      <c r="C1621" s="93" t="s">
        <v>1381</v>
      </c>
      <c r="D1621" s="93" t="s">
        <v>728</v>
      </c>
      <c r="E1621" s="94">
        <v>35.76</v>
      </c>
      <c r="F1621" s="93" t="s">
        <v>5</v>
      </c>
      <c r="G1621" s="87">
        <f>Table1[[#This Row],[date]]</f>
        <v>45571</v>
      </c>
      <c r="H1621" s="94">
        <f>SUMIF($A$2:A5256,G1621,$E$2:E5256)</f>
        <v>620.64</v>
      </c>
      <c r="I1621" s="93" t="str">
        <f t="shared" si="101"/>
        <v>Sunday</v>
      </c>
      <c r="J1621" s="93" t="str">
        <f t="shared" si="102"/>
        <v>October</v>
      </c>
      <c r="K1621" s="93" t="str">
        <f t="shared" si="103"/>
        <v>2024</v>
      </c>
      <c r="L1621" s="6"/>
      <c r="M1621" s="6"/>
      <c r="N1621" s="6"/>
    </row>
    <row r="1622" spans="1:14" x14ac:dyDescent="0.3">
      <c r="A1622" s="87">
        <v>45571</v>
      </c>
      <c r="B1622" s="87" t="str">
        <f t="shared" si="100"/>
        <v>Sunday</v>
      </c>
      <c r="C1622" s="88" t="s">
        <v>1381</v>
      </c>
      <c r="D1622" s="88" t="s">
        <v>677</v>
      </c>
      <c r="E1622" s="89">
        <v>35.76</v>
      </c>
      <c r="F1622" s="88" t="s">
        <v>5</v>
      </c>
      <c r="G1622" s="87">
        <f>Table1[[#This Row],[date]]</f>
        <v>45571</v>
      </c>
      <c r="H1622" s="94">
        <f>SUMIF($A$2:A5257,G1622,$E$2:E5257)</f>
        <v>620.64</v>
      </c>
      <c r="I1622" s="93" t="str">
        <f t="shared" si="101"/>
        <v>Sunday</v>
      </c>
      <c r="J1622" s="93" t="str">
        <f t="shared" si="102"/>
        <v>October</v>
      </c>
      <c r="K1622" s="93" t="str">
        <f t="shared" si="103"/>
        <v>2024</v>
      </c>
      <c r="L1622" s="6"/>
      <c r="M1622" s="6"/>
      <c r="N1622" s="6"/>
    </row>
    <row r="1623" spans="1:14" x14ac:dyDescent="0.3">
      <c r="A1623" s="92">
        <v>45571</v>
      </c>
      <c r="B1623" s="92" t="str">
        <f t="shared" si="100"/>
        <v>Sunday</v>
      </c>
      <c r="C1623" s="93" t="s">
        <v>1381</v>
      </c>
      <c r="D1623" s="93" t="s">
        <v>677</v>
      </c>
      <c r="E1623" s="94">
        <v>35.76</v>
      </c>
      <c r="F1623" s="93" t="s">
        <v>41</v>
      </c>
      <c r="G1623" s="87">
        <f>Table1[[#This Row],[date]]</f>
        <v>45571</v>
      </c>
      <c r="H1623" s="94">
        <f>SUMIF($A$2:A5258,G1623,$E$2:E5258)</f>
        <v>620.64</v>
      </c>
      <c r="I1623" s="93" t="str">
        <f t="shared" si="101"/>
        <v>Sunday</v>
      </c>
      <c r="J1623" s="93" t="str">
        <f t="shared" si="102"/>
        <v>October</v>
      </c>
      <c r="K1623" s="93" t="str">
        <f t="shared" si="103"/>
        <v>2024</v>
      </c>
      <c r="L1623" s="6"/>
      <c r="M1623" s="6"/>
      <c r="N1623" s="6"/>
    </row>
    <row r="1624" spans="1:14" x14ac:dyDescent="0.3">
      <c r="A1624" s="87">
        <v>45571</v>
      </c>
      <c r="B1624" s="87" t="str">
        <f t="shared" si="100"/>
        <v>Sunday</v>
      </c>
      <c r="C1624" s="88" t="s">
        <v>1381</v>
      </c>
      <c r="D1624" s="88" t="s">
        <v>677</v>
      </c>
      <c r="E1624" s="89">
        <v>30.86</v>
      </c>
      <c r="F1624" s="88" t="s">
        <v>12</v>
      </c>
      <c r="G1624" s="87">
        <f>Table1[[#This Row],[date]]</f>
        <v>45571</v>
      </c>
      <c r="H1624" s="94">
        <f>SUMIF($A$2:A5259,G1624,$E$2:E5259)</f>
        <v>620.64</v>
      </c>
      <c r="I1624" s="93" t="str">
        <f t="shared" si="101"/>
        <v>Sunday</v>
      </c>
      <c r="J1624" s="93" t="str">
        <f t="shared" si="102"/>
        <v>October</v>
      </c>
      <c r="K1624" s="93" t="str">
        <f t="shared" si="103"/>
        <v>2024</v>
      </c>
      <c r="L1624" s="6"/>
      <c r="M1624" s="6"/>
      <c r="N1624" s="6"/>
    </row>
    <row r="1625" spans="1:14" x14ac:dyDescent="0.3">
      <c r="A1625" s="92">
        <v>45571</v>
      </c>
      <c r="B1625" s="92" t="str">
        <f t="shared" si="100"/>
        <v>Sunday</v>
      </c>
      <c r="C1625" s="93" t="s">
        <v>1381</v>
      </c>
      <c r="D1625" s="93" t="s">
        <v>729</v>
      </c>
      <c r="E1625" s="94">
        <v>25.96</v>
      </c>
      <c r="F1625" s="93" t="s">
        <v>9</v>
      </c>
      <c r="G1625" s="87">
        <f>Table1[[#This Row],[date]]</f>
        <v>45571</v>
      </c>
      <c r="H1625" s="94">
        <f>SUMIF($A$2:A5260,G1625,$E$2:E5260)</f>
        <v>620.64</v>
      </c>
      <c r="I1625" s="93" t="str">
        <f t="shared" si="101"/>
        <v>Sunday</v>
      </c>
      <c r="J1625" s="93" t="str">
        <f t="shared" si="102"/>
        <v>October</v>
      </c>
      <c r="K1625" s="93" t="str">
        <f t="shared" si="103"/>
        <v>2024</v>
      </c>
      <c r="L1625" s="6"/>
      <c r="M1625" s="6"/>
      <c r="N1625" s="6"/>
    </row>
    <row r="1626" spans="1:14" x14ac:dyDescent="0.3">
      <c r="A1626" s="87">
        <v>45571</v>
      </c>
      <c r="B1626" s="87" t="str">
        <f t="shared" si="100"/>
        <v>Sunday</v>
      </c>
      <c r="C1626" s="88" t="s">
        <v>1381</v>
      </c>
      <c r="D1626" s="88" t="s">
        <v>729</v>
      </c>
      <c r="E1626" s="89">
        <v>35.76</v>
      </c>
      <c r="F1626" s="88" t="s">
        <v>41</v>
      </c>
      <c r="G1626" s="87">
        <f>Table1[[#This Row],[date]]</f>
        <v>45571</v>
      </c>
      <c r="H1626" s="94">
        <f>SUMIF($A$2:A5261,G1626,$E$2:E5261)</f>
        <v>620.64</v>
      </c>
      <c r="I1626" s="93" t="str">
        <f t="shared" si="101"/>
        <v>Sunday</v>
      </c>
      <c r="J1626" s="93" t="str">
        <f t="shared" si="102"/>
        <v>October</v>
      </c>
      <c r="K1626" s="93" t="str">
        <f t="shared" si="103"/>
        <v>2024</v>
      </c>
      <c r="L1626" s="6"/>
      <c r="M1626" s="6"/>
      <c r="N1626" s="6"/>
    </row>
    <row r="1627" spans="1:14" x14ac:dyDescent="0.3">
      <c r="A1627" s="92">
        <v>45571</v>
      </c>
      <c r="B1627" s="92" t="str">
        <f t="shared" si="100"/>
        <v>Sunday</v>
      </c>
      <c r="C1627" s="93" t="s">
        <v>1381</v>
      </c>
      <c r="D1627" s="93" t="s">
        <v>730</v>
      </c>
      <c r="E1627" s="94">
        <v>30.86</v>
      </c>
      <c r="F1627" s="93" t="s">
        <v>12</v>
      </c>
      <c r="G1627" s="87">
        <f>Table1[[#This Row],[date]]</f>
        <v>45571</v>
      </c>
      <c r="H1627" s="94">
        <f>SUMIF($A$2:A5262,G1627,$E$2:E5262)</f>
        <v>620.64</v>
      </c>
      <c r="I1627" s="93" t="str">
        <f t="shared" si="101"/>
        <v>Sunday</v>
      </c>
      <c r="J1627" s="93" t="str">
        <f t="shared" si="102"/>
        <v>October</v>
      </c>
      <c r="K1627" s="93" t="str">
        <f t="shared" si="103"/>
        <v>2024</v>
      </c>
      <c r="L1627" s="6"/>
      <c r="M1627" s="6"/>
      <c r="N1627" s="6"/>
    </row>
    <row r="1628" spans="1:14" x14ac:dyDescent="0.3">
      <c r="A1628" s="87">
        <v>45571</v>
      </c>
      <c r="B1628" s="87" t="str">
        <f t="shared" si="100"/>
        <v>Sunday</v>
      </c>
      <c r="C1628" s="88" t="s">
        <v>1381</v>
      </c>
      <c r="D1628" s="88" t="s">
        <v>730</v>
      </c>
      <c r="E1628" s="89">
        <v>35.76</v>
      </c>
      <c r="F1628" s="88" t="s">
        <v>5</v>
      </c>
      <c r="G1628" s="87">
        <f>Table1[[#This Row],[date]]</f>
        <v>45571</v>
      </c>
      <c r="H1628" s="94">
        <f>SUMIF($A$2:A5263,G1628,$E$2:E5263)</f>
        <v>620.64</v>
      </c>
      <c r="I1628" s="93" t="str">
        <f t="shared" si="101"/>
        <v>Sunday</v>
      </c>
      <c r="J1628" s="93" t="str">
        <f t="shared" si="102"/>
        <v>October</v>
      </c>
      <c r="K1628" s="93" t="str">
        <f t="shared" si="103"/>
        <v>2024</v>
      </c>
      <c r="L1628" s="6"/>
      <c r="M1628" s="6"/>
      <c r="N1628" s="6"/>
    </row>
    <row r="1629" spans="1:14" x14ac:dyDescent="0.3">
      <c r="A1629" s="92">
        <v>45571</v>
      </c>
      <c r="B1629" s="92" t="str">
        <f t="shared" si="100"/>
        <v>Sunday</v>
      </c>
      <c r="C1629" s="93" t="s">
        <v>1381</v>
      </c>
      <c r="D1629" s="93" t="s">
        <v>730</v>
      </c>
      <c r="E1629" s="94">
        <v>35.76</v>
      </c>
      <c r="F1629" s="93" t="s">
        <v>41</v>
      </c>
      <c r="G1629" s="87">
        <f>Table1[[#This Row],[date]]</f>
        <v>45571</v>
      </c>
      <c r="H1629" s="94">
        <f>SUMIF($A$2:A5264,G1629,$E$2:E5264)</f>
        <v>620.64</v>
      </c>
      <c r="I1629" s="93" t="str">
        <f t="shared" si="101"/>
        <v>Sunday</v>
      </c>
      <c r="J1629" s="93" t="str">
        <f t="shared" si="102"/>
        <v>October</v>
      </c>
      <c r="K1629" s="93" t="str">
        <f t="shared" si="103"/>
        <v>2024</v>
      </c>
      <c r="L1629" s="6"/>
      <c r="M1629" s="6"/>
      <c r="N1629" s="6"/>
    </row>
    <row r="1630" spans="1:14" x14ac:dyDescent="0.3">
      <c r="A1630" s="87">
        <v>45571</v>
      </c>
      <c r="B1630" s="87" t="str">
        <f t="shared" si="100"/>
        <v>Sunday</v>
      </c>
      <c r="C1630" s="88" t="s">
        <v>1381</v>
      </c>
      <c r="D1630" s="88" t="s">
        <v>731</v>
      </c>
      <c r="E1630" s="89">
        <v>35.76</v>
      </c>
      <c r="F1630" s="88" t="s">
        <v>41</v>
      </c>
      <c r="G1630" s="87">
        <f>Table1[[#This Row],[date]]</f>
        <v>45571</v>
      </c>
      <c r="H1630" s="94">
        <f>SUMIF($A$2:A5265,G1630,$E$2:E5265)</f>
        <v>620.64</v>
      </c>
      <c r="I1630" s="93" t="str">
        <f t="shared" si="101"/>
        <v>Sunday</v>
      </c>
      <c r="J1630" s="93" t="str">
        <f t="shared" si="102"/>
        <v>October</v>
      </c>
      <c r="K1630" s="93" t="str">
        <f t="shared" si="103"/>
        <v>2024</v>
      </c>
      <c r="L1630" s="6"/>
      <c r="M1630" s="6"/>
      <c r="N1630" s="6"/>
    </row>
    <row r="1631" spans="1:14" x14ac:dyDescent="0.3">
      <c r="A1631" s="92">
        <v>45571</v>
      </c>
      <c r="B1631" s="92" t="str">
        <f t="shared" si="100"/>
        <v>Sunday</v>
      </c>
      <c r="C1631" s="93" t="s">
        <v>1381</v>
      </c>
      <c r="D1631" s="93" t="s">
        <v>732</v>
      </c>
      <c r="E1631" s="94">
        <v>21.06</v>
      </c>
      <c r="F1631" s="93" t="s">
        <v>33</v>
      </c>
      <c r="G1631" s="87">
        <f>Table1[[#This Row],[date]]</f>
        <v>45571</v>
      </c>
      <c r="H1631" s="94">
        <f>SUMIF($A$2:A5266,G1631,$E$2:E5266)</f>
        <v>620.64</v>
      </c>
      <c r="I1631" s="93" t="str">
        <f t="shared" si="101"/>
        <v>Sunday</v>
      </c>
      <c r="J1631" s="93" t="str">
        <f t="shared" si="102"/>
        <v>October</v>
      </c>
      <c r="K1631" s="93" t="str">
        <f t="shared" si="103"/>
        <v>2024</v>
      </c>
      <c r="L1631" s="6"/>
      <c r="M1631" s="6"/>
      <c r="N1631" s="6"/>
    </row>
    <row r="1632" spans="1:14" x14ac:dyDescent="0.3">
      <c r="A1632" s="87">
        <v>45571</v>
      </c>
      <c r="B1632" s="87" t="str">
        <f t="shared" si="100"/>
        <v>Sunday</v>
      </c>
      <c r="C1632" s="88" t="s">
        <v>1381</v>
      </c>
      <c r="D1632" s="88" t="s">
        <v>733</v>
      </c>
      <c r="E1632" s="89">
        <v>30.86</v>
      </c>
      <c r="F1632" s="88" t="s">
        <v>12</v>
      </c>
      <c r="G1632" s="87">
        <f>Table1[[#This Row],[date]]</f>
        <v>45571</v>
      </c>
      <c r="H1632" s="94">
        <f>SUMIF($A$2:A5267,G1632,$E$2:E5267)</f>
        <v>620.64</v>
      </c>
      <c r="I1632" s="93" t="str">
        <f t="shared" si="101"/>
        <v>Sunday</v>
      </c>
      <c r="J1632" s="93" t="str">
        <f t="shared" si="102"/>
        <v>October</v>
      </c>
      <c r="K1632" s="93" t="str">
        <f t="shared" si="103"/>
        <v>2024</v>
      </c>
      <c r="L1632" s="6"/>
      <c r="M1632" s="6"/>
      <c r="N1632" s="6"/>
    </row>
    <row r="1633" spans="1:14" x14ac:dyDescent="0.3">
      <c r="A1633" s="92">
        <v>45571</v>
      </c>
      <c r="B1633" s="92" t="str">
        <f t="shared" si="100"/>
        <v>Sunday</v>
      </c>
      <c r="C1633" s="93" t="s">
        <v>1381</v>
      </c>
      <c r="D1633" s="93" t="s">
        <v>734</v>
      </c>
      <c r="E1633" s="94">
        <v>35.76</v>
      </c>
      <c r="F1633" s="93" t="s">
        <v>7</v>
      </c>
      <c r="G1633" s="87">
        <f>Table1[[#This Row],[date]]</f>
        <v>45571</v>
      </c>
      <c r="H1633" s="94">
        <f>SUMIF($A$2:A5268,G1633,$E$2:E5268)</f>
        <v>620.64</v>
      </c>
      <c r="I1633" s="93" t="str">
        <f t="shared" si="101"/>
        <v>Sunday</v>
      </c>
      <c r="J1633" s="93" t="str">
        <f t="shared" si="102"/>
        <v>October</v>
      </c>
      <c r="K1633" s="93" t="str">
        <f t="shared" si="103"/>
        <v>2024</v>
      </c>
      <c r="L1633" s="6"/>
      <c r="M1633" s="6"/>
      <c r="N1633" s="6"/>
    </row>
    <row r="1634" spans="1:14" x14ac:dyDescent="0.3">
      <c r="A1634" s="87">
        <v>45571</v>
      </c>
      <c r="B1634" s="87" t="str">
        <f t="shared" si="100"/>
        <v>Sunday</v>
      </c>
      <c r="C1634" s="88" t="s">
        <v>1381</v>
      </c>
      <c r="D1634" s="88" t="s">
        <v>735</v>
      </c>
      <c r="E1634" s="89">
        <v>35.76</v>
      </c>
      <c r="F1634" s="88" t="s">
        <v>7</v>
      </c>
      <c r="G1634" s="87">
        <f>Table1[[#This Row],[date]]</f>
        <v>45571</v>
      </c>
      <c r="H1634" s="94">
        <f>SUMIF($A$2:A5269,G1634,$E$2:E5269)</f>
        <v>620.64</v>
      </c>
      <c r="I1634" s="93" t="str">
        <f t="shared" si="101"/>
        <v>Sunday</v>
      </c>
      <c r="J1634" s="93" t="str">
        <f t="shared" si="102"/>
        <v>October</v>
      </c>
      <c r="K1634" s="93" t="str">
        <f t="shared" si="103"/>
        <v>2024</v>
      </c>
      <c r="L1634" s="6"/>
      <c r="M1634" s="6"/>
      <c r="N1634" s="6"/>
    </row>
    <row r="1635" spans="1:14" x14ac:dyDescent="0.3">
      <c r="A1635" s="87">
        <v>45571</v>
      </c>
      <c r="B1635" s="87" t="str">
        <f t="shared" si="100"/>
        <v>Sunday</v>
      </c>
      <c r="C1635" s="88" t="s">
        <v>1381</v>
      </c>
      <c r="D1635" s="88" t="s">
        <v>648</v>
      </c>
      <c r="E1635" s="89">
        <v>35.76</v>
      </c>
      <c r="F1635" s="88" t="s">
        <v>7</v>
      </c>
      <c r="G1635" s="87">
        <f>Table1[[#This Row],[date]]</f>
        <v>45571</v>
      </c>
      <c r="H1635" s="94">
        <f>SUMIF($A$2:A5270,G1635,$E$2:E5270)</f>
        <v>620.64</v>
      </c>
      <c r="I1635" s="93" t="str">
        <f t="shared" si="101"/>
        <v>Sunday</v>
      </c>
      <c r="J1635" s="93" t="str">
        <f t="shared" si="102"/>
        <v>October</v>
      </c>
      <c r="K1635" s="93" t="str">
        <f t="shared" si="103"/>
        <v>2024</v>
      </c>
      <c r="L1635" s="6"/>
      <c r="M1635" s="6"/>
      <c r="N1635" s="6"/>
    </row>
    <row r="1636" spans="1:14" x14ac:dyDescent="0.3">
      <c r="A1636" s="92">
        <v>45571</v>
      </c>
      <c r="B1636" s="92" t="str">
        <f t="shared" si="100"/>
        <v>Sunday</v>
      </c>
      <c r="C1636" s="93" t="s">
        <v>1381</v>
      </c>
      <c r="D1636" s="93" t="s">
        <v>649</v>
      </c>
      <c r="E1636" s="94">
        <v>35.76</v>
      </c>
      <c r="F1636" s="93" t="s">
        <v>5</v>
      </c>
      <c r="G1636" s="87">
        <f>Table1[[#This Row],[date]]</f>
        <v>45571</v>
      </c>
      <c r="H1636" s="94">
        <f>SUMIF($A$2:A5271,G1636,$E$2:E5271)</f>
        <v>620.64</v>
      </c>
      <c r="I1636" s="93" t="str">
        <f t="shared" si="101"/>
        <v>Sunday</v>
      </c>
      <c r="J1636" s="93" t="str">
        <f t="shared" si="102"/>
        <v>October</v>
      </c>
      <c r="K1636" s="93" t="str">
        <f t="shared" si="103"/>
        <v>2024</v>
      </c>
      <c r="L1636" s="6"/>
      <c r="M1636" s="6"/>
      <c r="N1636" s="6"/>
    </row>
    <row r="1637" spans="1:14" x14ac:dyDescent="0.3">
      <c r="A1637" s="87">
        <v>45572</v>
      </c>
      <c r="B1637" s="87" t="str">
        <f t="shared" si="100"/>
        <v>Monday</v>
      </c>
      <c r="C1637" s="88" t="s">
        <v>1381</v>
      </c>
      <c r="D1637" s="88" t="s">
        <v>736</v>
      </c>
      <c r="E1637" s="89">
        <v>35.76</v>
      </c>
      <c r="F1637" s="88" t="s">
        <v>5</v>
      </c>
      <c r="G1637" s="87">
        <f>Table1[[#This Row],[date]]</f>
        <v>45572</v>
      </c>
      <c r="H1637" s="94">
        <f>SUMIF($A$2:A5272,G1637,$E$2:E5272)</f>
        <v>338</v>
      </c>
      <c r="I1637" s="93" t="str">
        <f t="shared" si="101"/>
        <v>Monday</v>
      </c>
      <c r="J1637" s="93" t="str">
        <f t="shared" si="102"/>
        <v>October</v>
      </c>
      <c r="K1637" s="93" t="str">
        <f t="shared" si="103"/>
        <v>2024</v>
      </c>
      <c r="L1637" s="6"/>
      <c r="M1637" s="6"/>
      <c r="N1637" s="6"/>
    </row>
    <row r="1638" spans="1:14" x14ac:dyDescent="0.3">
      <c r="A1638" s="92">
        <v>45572</v>
      </c>
      <c r="B1638" s="92" t="str">
        <f t="shared" si="100"/>
        <v>Monday</v>
      </c>
      <c r="C1638" s="93" t="s">
        <v>1381</v>
      </c>
      <c r="D1638" s="93" t="s">
        <v>397</v>
      </c>
      <c r="E1638" s="94">
        <v>35.76</v>
      </c>
      <c r="F1638" s="93" t="s">
        <v>5</v>
      </c>
      <c r="G1638" s="87">
        <f>Table1[[#This Row],[date]]</f>
        <v>45572</v>
      </c>
      <c r="H1638" s="94">
        <f>SUMIF($A$2:A5273,G1638,$E$2:E5273)</f>
        <v>338</v>
      </c>
      <c r="I1638" s="93" t="str">
        <f t="shared" si="101"/>
        <v>Monday</v>
      </c>
      <c r="J1638" s="93" t="str">
        <f t="shared" si="102"/>
        <v>October</v>
      </c>
      <c r="K1638" s="93" t="str">
        <f t="shared" si="103"/>
        <v>2024</v>
      </c>
      <c r="L1638" s="6"/>
      <c r="M1638" s="6"/>
      <c r="N1638" s="6"/>
    </row>
    <row r="1639" spans="1:14" x14ac:dyDescent="0.3">
      <c r="A1639" s="87">
        <v>45572</v>
      </c>
      <c r="B1639" s="87" t="str">
        <f t="shared" si="100"/>
        <v>Monday</v>
      </c>
      <c r="C1639" s="88" t="s">
        <v>1381</v>
      </c>
      <c r="D1639" s="88" t="s">
        <v>397</v>
      </c>
      <c r="E1639" s="89">
        <v>30.86</v>
      </c>
      <c r="F1639" s="88" t="s">
        <v>12</v>
      </c>
      <c r="G1639" s="87">
        <f>Table1[[#This Row],[date]]</f>
        <v>45572</v>
      </c>
      <c r="H1639" s="94">
        <f>SUMIF($A$2:A5274,G1639,$E$2:E5274)</f>
        <v>338</v>
      </c>
      <c r="I1639" s="93" t="str">
        <f t="shared" si="101"/>
        <v>Monday</v>
      </c>
      <c r="J1639" s="93" t="str">
        <f t="shared" si="102"/>
        <v>October</v>
      </c>
      <c r="K1639" s="93" t="str">
        <f t="shared" si="103"/>
        <v>2024</v>
      </c>
      <c r="L1639" s="6"/>
      <c r="M1639" s="6"/>
      <c r="N1639" s="6"/>
    </row>
    <row r="1640" spans="1:14" x14ac:dyDescent="0.3">
      <c r="A1640" s="92">
        <v>45572</v>
      </c>
      <c r="B1640" s="92" t="str">
        <f t="shared" si="100"/>
        <v>Monday</v>
      </c>
      <c r="C1640" s="93" t="s">
        <v>1381</v>
      </c>
      <c r="D1640" s="93" t="s">
        <v>737</v>
      </c>
      <c r="E1640" s="94">
        <v>35.76</v>
      </c>
      <c r="F1640" s="93" t="s">
        <v>16</v>
      </c>
      <c r="G1640" s="87">
        <f>Table1[[#This Row],[date]]</f>
        <v>45572</v>
      </c>
      <c r="H1640" s="94">
        <f>SUMIF($A$2:A5275,G1640,$E$2:E5275)</f>
        <v>338</v>
      </c>
      <c r="I1640" s="93" t="str">
        <f t="shared" si="101"/>
        <v>Monday</v>
      </c>
      <c r="J1640" s="93" t="str">
        <f t="shared" si="102"/>
        <v>October</v>
      </c>
      <c r="K1640" s="93" t="str">
        <f t="shared" si="103"/>
        <v>2024</v>
      </c>
      <c r="L1640" s="6"/>
      <c r="M1640" s="6"/>
      <c r="N1640" s="6"/>
    </row>
    <row r="1641" spans="1:14" x14ac:dyDescent="0.3">
      <c r="A1641" s="87">
        <v>45572</v>
      </c>
      <c r="B1641" s="87" t="str">
        <f t="shared" si="100"/>
        <v>Monday</v>
      </c>
      <c r="C1641" s="88" t="s">
        <v>1381</v>
      </c>
      <c r="D1641" s="88" t="s">
        <v>738</v>
      </c>
      <c r="E1641" s="89">
        <v>35.76</v>
      </c>
      <c r="F1641" s="88" t="s">
        <v>5</v>
      </c>
      <c r="G1641" s="87">
        <f>Table1[[#This Row],[date]]</f>
        <v>45572</v>
      </c>
      <c r="H1641" s="94">
        <f>SUMIF($A$2:A5276,G1641,$E$2:E5276)</f>
        <v>338</v>
      </c>
      <c r="I1641" s="93" t="str">
        <f t="shared" si="101"/>
        <v>Monday</v>
      </c>
      <c r="J1641" s="93" t="str">
        <f t="shared" si="102"/>
        <v>October</v>
      </c>
      <c r="K1641" s="93" t="str">
        <f t="shared" si="103"/>
        <v>2024</v>
      </c>
      <c r="L1641" s="6"/>
      <c r="M1641" s="6"/>
      <c r="N1641" s="6"/>
    </row>
    <row r="1642" spans="1:14" x14ac:dyDescent="0.3">
      <c r="A1642" s="92">
        <v>45572</v>
      </c>
      <c r="B1642" s="92" t="str">
        <f t="shared" si="100"/>
        <v>Monday</v>
      </c>
      <c r="C1642" s="93" t="s">
        <v>1381</v>
      </c>
      <c r="D1642" s="93" t="s">
        <v>739</v>
      </c>
      <c r="E1642" s="94">
        <v>30.86</v>
      </c>
      <c r="F1642" s="93" t="s">
        <v>12</v>
      </c>
      <c r="G1642" s="87">
        <f>Table1[[#This Row],[date]]</f>
        <v>45572</v>
      </c>
      <c r="H1642" s="94">
        <f>SUMIF($A$2:A5277,G1642,$E$2:E5277)</f>
        <v>338</v>
      </c>
      <c r="I1642" s="93" t="str">
        <f t="shared" si="101"/>
        <v>Monday</v>
      </c>
      <c r="J1642" s="93" t="str">
        <f t="shared" si="102"/>
        <v>October</v>
      </c>
      <c r="K1642" s="93" t="str">
        <f t="shared" si="103"/>
        <v>2024</v>
      </c>
      <c r="L1642" s="6"/>
      <c r="M1642" s="6"/>
      <c r="N1642" s="6"/>
    </row>
    <row r="1643" spans="1:14" x14ac:dyDescent="0.3">
      <c r="A1643" s="87">
        <v>45572</v>
      </c>
      <c r="B1643" s="87" t="str">
        <f t="shared" si="100"/>
        <v>Monday</v>
      </c>
      <c r="C1643" s="88" t="s">
        <v>1381</v>
      </c>
      <c r="D1643" s="88" t="s">
        <v>740</v>
      </c>
      <c r="E1643" s="89">
        <v>25.96</v>
      </c>
      <c r="F1643" s="88" t="s">
        <v>9</v>
      </c>
      <c r="G1643" s="87">
        <f>Table1[[#This Row],[date]]</f>
        <v>45572</v>
      </c>
      <c r="H1643" s="94">
        <f>SUMIF($A$2:A5278,G1643,$E$2:E5278)</f>
        <v>338</v>
      </c>
      <c r="I1643" s="93" t="str">
        <f t="shared" si="101"/>
        <v>Monday</v>
      </c>
      <c r="J1643" s="93" t="str">
        <f t="shared" si="102"/>
        <v>October</v>
      </c>
      <c r="K1643" s="93" t="str">
        <f t="shared" si="103"/>
        <v>2024</v>
      </c>
      <c r="L1643" s="6"/>
      <c r="M1643" s="6"/>
      <c r="N1643" s="6"/>
    </row>
    <row r="1644" spans="1:14" x14ac:dyDescent="0.3">
      <c r="A1644" s="87">
        <v>45572</v>
      </c>
      <c r="B1644" s="87" t="str">
        <f t="shared" si="100"/>
        <v>Monday</v>
      </c>
      <c r="C1644" s="88" t="s">
        <v>1381</v>
      </c>
      <c r="D1644" s="88" t="s">
        <v>506</v>
      </c>
      <c r="E1644" s="89">
        <v>35.76</v>
      </c>
      <c r="F1644" s="88" t="s">
        <v>5</v>
      </c>
      <c r="G1644" s="87">
        <f>Table1[[#This Row],[date]]</f>
        <v>45572</v>
      </c>
      <c r="H1644" s="94">
        <f>SUMIF($A$2:A5279,G1644,$E$2:E5279)</f>
        <v>338</v>
      </c>
      <c r="I1644" s="93" t="str">
        <f t="shared" si="101"/>
        <v>Monday</v>
      </c>
      <c r="J1644" s="93" t="str">
        <f t="shared" si="102"/>
        <v>October</v>
      </c>
      <c r="K1644" s="93" t="str">
        <f t="shared" si="103"/>
        <v>2024</v>
      </c>
      <c r="L1644" s="6"/>
      <c r="M1644" s="6"/>
      <c r="N1644" s="6"/>
    </row>
    <row r="1645" spans="1:14" x14ac:dyDescent="0.3">
      <c r="A1645" s="92">
        <v>45572</v>
      </c>
      <c r="B1645" s="92" t="str">
        <f t="shared" si="100"/>
        <v>Monday</v>
      </c>
      <c r="C1645" s="93" t="s">
        <v>1381</v>
      </c>
      <c r="D1645" s="93" t="s">
        <v>648</v>
      </c>
      <c r="E1645" s="94">
        <v>35.76</v>
      </c>
      <c r="F1645" s="93" t="s">
        <v>7</v>
      </c>
      <c r="G1645" s="87">
        <f>Table1[[#This Row],[date]]</f>
        <v>45572</v>
      </c>
      <c r="H1645" s="94">
        <f>SUMIF($A$2:A5280,G1645,$E$2:E5280)</f>
        <v>338</v>
      </c>
      <c r="I1645" s="93" t="str">
        <f t="shared" si="101"/>
        <v>Monday</v>
      </c>
      <c r="J1645" s="93" t="str">
        <f t="shared" si="102"/>
        <v>October</v>
      </c>
      <c r="K1645" s="93" t="str">
        <f t="shared" si="103"/>
        <v>2024</v>
      </c>
      <c r="L1645" s="6"/>
      <c r="M1645" s="6"/>
      <c r="N1645" s="6"/>
    </row>
    <row r="1646" spans="1:14" x14ac:dyDescent="0.3">
      <c r="A1646" s="92">
        <v>45572</v>
      </c>
      <c r="B1646" s="92" t="str">
        <f t="shared" si="100"/>
        <v>Monday</v>
      </c>
      <c r="C1646" s="93" t="s">
        <v>1381</v>
      </c>
      <c r="D1646" s="93" t="s">
        <v>610</v>
      </c>
      <c r="E1646" s="94">
        <v>35.76</v>
      </c>
      <c r="F1646" s="93" t="s">
        <v>5</v>
      </c>
      <c r="G1646" s="87">
        <f>Table1[[#This Row],[date]]</f>
        <v>45572</v>
      </c>
      <c r="H1646" s="94">
        <f>SUMIF($A$2:A5281,G1646,$E$2:E5281)</f>
        <v>338</v>
      </c>
      <c r="I1646" s="93" t="str">
        <f t="shared" si="101"/>
        <v>Monday</v>
      </c>
      <c r="J1646" s="93" t="str">
        <f t="shared" si="102"/>
        <v>October</v>
      </c>
      <c r="K1646" s="93" t="str">
        <f t="shared" si="103"/>
        <v>2024</v>
      </c>
      <c r="L1646" s="6"/>
      <c r="M1646" s="6"/>
      <c r="N1646" s="6"/>
    </row>
    <row r="1647" spans="1:14" x14ac:dyDescent="0.3">
      <c r="A1647" s="87">
        <v>45573</v>
      </c>
      <c r="B1647" s="87" t="str">
        <f t="shared" si="100"/>
        <v>Tuesday</v>
      </c>
      <c r="C1647" s="88" t="s">
        <v>1381</v>
      </c>
      <c r="D1647" s="88" t="s">
        <v>715</v>
      </c>
      <c r="E1647" s="89">
        <v>35.76</v>
      </c>
      <c r="F1647" s="88" t="s">
        <v>5</v>
      </c>
      <c r="G1647" s="87">
        <f>Table1[[#This Row],[date]]</f>
        <v>45573</v>
      </c>
      <c r="H1647" s="94">
        <f>SUMIF($A$2:A5282,G1647,$E$2:E5282)</f>
        <v>492.29999999999995</v>
      </c>
      <c r="I1647" s="93" t="str">
        <f t="shared" si="101"/>
        <v>Tuesday</v>
      </c>
      <c r="J1647" s="93" t="str">
        <f t="shared" si="102"/>
        <v>October</v>
      </c>
      <c r="K1647" s="93" t="str">
        <f t="shared" si="103"/>
        <v>2024</v>
      </c>
      <c r="L1647" s="6"/>
      <c r="M1647" s="6"/>
      <c r="N1647" s="6"/>
    </row>
    <row r="1648" spans="1:14" x14ac:dyDescent="0.3">
      <c r="A1648" s="92">
        <v>45573</v>
      </c>
      <c r="B1648" s="92" t="str">
        <f t="shared" si="100"/>
        <v>Tuesday</v>
      </c>
      <c r="C1648" s="93" t="s">
        <v>1381</v>
      </c>
      <c r="D1648" s="93" t="s">
        <v>288</v>
      </c>
      <c r="E1648" s="94">
        <v>30.86</v>
      </c>
      <c r="F1648" s="93" t="s">
        <v>12</v>
      </c>
      <c r="G1648" s="87">
        <f>Table1[[#This Row],[date]]</f>
        <v>45573</v>
      </c>
      <c r="H1648" s="94">
        <f>SUMIF($A$2:A5283,G1648,$E$2:E5283)</f>
        <v>492.29999999999995</v>
      </c>
      <c r="I1648" s="93" t="str">
        <f t="shared" si="101"/>
        <v>Tuesday</v>
      </c>
      <c r="J1648" s="93" t="str">
        <f t="shared" si="102"/>
        <v>October</v>
      </c>
      <c r="K1648" s="93" t="str">
        <f t="shared" si="103"/>
        <v>2024</v>
      </c>
      <c r="L1648" s="6"/>
      <c r="M1648" s="6"/>
      <c r="N1648" s="6"/>
    </row>
    <row r="1649" spans="1:14" x14ac:dyDescent="0.3">
      <c r="A1649" s="87">
        <v>45573</v>
      </c>
      <c r="B1649" s="87" t="str">
        <f t="shared" si="100"/>
        <v>Tuesday</v>
      </c>
      <c r="C1649" s="88" t="s">
        <v>1381</v>
      </c>
      <c r="D1649" s="88" t="s">
        <v>712</v>
      </c>
      <c r="E1649" s="89">
        <v>25.96</v>
      </c>
      <c r="F1649" s="88" t="s">
        <v>9</v>
      </c>
      <c r="G1649" s="87">
        <f>Table1[[#This Row],[date]]</f>
        <v>45573</v>
      </c>
      <c r="H1649" s="94">
        <f>SUMIF($A$2:A5284,G1649,$E$2:E5284)</f>
        <v>492.29999999999995</v>
      </c>
      <c r="I1649" s="93" t="str">
        <f t="shared" si="101"/>
        <v>Tuesday</v>
      </c>
      <c r="J1649" s="93" t="str">
        <f t="shared" si="102"/>
        <v>October</v>
      </c>
      <c r="K1649" s="93" t="str">
        <f t="shared" si="103"/>
        <v>2024</v>
      </c>
      <c r="L1649" s="6"/>
      <c r="M1649" s="6"/>
      <c r="N1649" s="6"/>
    </row>
    <row r="1650" spans="1:14" x14ac:dyDescent="0.3">
      <c r="A1650" s="92">
        <v>45573</v>
      </c>
      <c r="B1650" s="92" t="str">
        <f t="shared" si="100"/>
        <v>Tuesday</v>
      </c>
      <c r="C1650" s="93" t="s">
        <v>1381</v>
      </c>
      <c r="D1650" s="93" t="s">
        <v>695</v>
      </c>
      <c r="E1650" s="94">
        <v>35.76</v>
      </c>
      <c r="F1650" s="93" t="s">
        <v>5</v>
      </c>
      <c r="G1650" s="87">
        <f>Table1[[#This Row],[date]]</f>
        <v>45573</v>
      </c>
      <c r="H1650" s="94">
        <f>SUMIF($A$2:A5285,G1650,$E$2:E5285)</f>
        <v>492.29999999999995</v>
      </c>
      <c r="I1650" s="93" t="str">
        <f t="shared" si="101"/>
        <v>Tuesday</v>
      </c>
      <c r="J1650" s="93" t="str">
        <f t="shared" si="102"/>
        <v>October</v>
      </c>
      <c r="K1650" s="93" t="str">
        <f t="shared" si="103"/>
        <v>2024</v>
      </c>
      <c r="L1650" s="6"/>
      <c r="M1650" s="6"/>
      <c r="N1650" s="6"/>
    </row>
    <row r="1651" spans="1:14" x14ac:dyDescent="0.3">
      <c r="A1651" s="87">
        <v>45573</v>
      </c>
      <c r="B1651" s="87" t="str">
        <f t="shared" si="100"/>
        <v>Tuesday</v>
      </c>
      <c r="C1651" s="88" t="s">
        <v>1381</v>
      </c>
      <c r="D1651" s="88" t="s">
        <v>738</v>
      </c>
      <c r="E1651" s="89">
        <v>35.76</v>
      </c>
      <c r="F1651" s="88" t="s">
        <v>5</v>
      </c>
      <c r="G1651" s="87">
        <f>Table1[[#This Row],[date]]</f>
        <v>45573</v>
      </c>
      <c r="H1651" s="94">
        <f>SUMIF($A$2:A5286,G1651,$E$2:E5286)</f>
        <v>492.29999999999995</v>
      </c>
      <c r="I1651" s="93" t="str">
        <f t="shared" si="101"/>
        <v>Tuesday</v>
      </c>
      <c r="J1651" s="93" t="str">
        <f t="shared" si="102"/>
        <v>October</v>
      </c>
      <c r="K1651" s="93" t="str">
        <f t="shared" si="103"/>
        <v>2024</v>
      </c>
      <c r="L1651" s="6"/>
      <c r="M1651" s="6"/>
      <c r="N1651" s="6"/>
    </row>
    <row r="1652" spans="1:14" x14ac:dyDescent="0.3">
      <c r="A1652" s="92">
        <v>45573</v>
      </c>
      <c r="B1652" s="92" t="str">
        <f t="shared" si="100"/>
        <v>Tuesday</v>
      </c>
      <c r="C1652" s="93" t="s">
        <v>1381</v>
      </c>
      <c r="D1652" s="93" t="s">
        <v>237</v>
      </c>
      <c r="E1652" s="94">
        <v>25.96</v>
      </c>
      <c r="F1652" s="93" t="s">
        <v>9</v>
      </c>
      <c r="G1652" s="87">
        <f>Table1[[#This Row],[date]]</f>
        <v>45573</v>
      </c>
      <c r="H1652" s="94">
        <f>SUMIF($A$2:A5287,G1652,$E$2:E5287)</f>
        <v>492.29999999999995</v>
      </c>
      <c r="I1652" s="93" t="str">
        <f t="shared" si="101"/>
        <v>Tuesday</v>
      </c>
      <c r="J1652" s="93" t="str">
        <f t="shared" si="102"/>
        <v>October</v>
      </c>
      <c r="K1652" s="93" t="str">
        <f t="shared" si="103"/>
        <v>2024</v>
      </c>
      <c r="L1652" s="6"/>
      <c r="M1652" s="6"/>
      <c r="N1652" s="6"/>
    </row>
    <row r="1653" spans="1:14" x14ac:dyDescent="0.3">
      <c r="A1653" s="92">
        <v>45573</v>
      </c>
      <c r="B1653" s="92" t="str">
        <f t="shared" si="100"/>
        <v>Tuesday</v>
      </c>
      <c r="C1653" s="93" t="s">
        <v>1381</v>
      </c>
      <c r="D1653" s="93" t="s">
        <v>741</v>
      </c>
      <c r="E1653" s="94">
        <v>35.76</v>
      </c>
      <c r="F1653" s="93" t="s">
        <v>5</v>
      </c>
      <c r="G1653" s="87">
        <f>Table1[[#This Row],[date]]</f>
        <v>45573</v>
      </c>
      <c r="H1653" s="94">
        <f>SUMIF($A$2:A5288,G1653,$E$2:E5288)</f>
        <v>492.29999999999995</v>
      </c>
      <c r="I1653" s="93" t="str">
        <f t="shared" si="101"/>
        <v>Tuesday</v>
      </c>
      <c r="J1653" s="93" t="str">
        <f t="shared" si="102"/>
        <v>October</v>
      </c>
      <c r="K1653" s="93" t="str">
        <f t="shared" si="103"/>
        <v>2024</v>
      </c>
      <c r="L1653" s="6"/>
      <c r="M1653" s="6"/>
      <c r="N1653" s="6"/>
    </row>
    <row r="1654" spans="1:14" x14ac:dyDescent="0.3">
      <c r="A1654" s="92">
        <v>45573</v>
      </c>
      <c r="B1654" s="92" t="str">
        <f t="shared" si="100"/>
        <v>Tuesday</v>
      </c>
      <c r="C1654" s="93" t="s">
        <v>1381</v>
      </c>
      <c r="D1654" s="93" t="s">
        <v>519</v>
      </c>
      <c r="E1654" s="94">
        <v>35.76</v>
      </c>
      <c r="F1654" s="93" t="s">
        <v>5</v>
      </c>
      <c r="G1654" s="87">
        <f>Table1[[#This Row],[date]]</f>
        <v>45573</v>
      </c>
      <c r="H1654" s="94">
        <f>SUMIF($A$2:A5289,G1654,$E$2:E5289)</f>
        <v>492.29999999999995</v>
      </c>
      <c r="I1654" s="93" t="str">
        <f t="shared" si="101"/>
        <v>Tuesday</v>
      </c>
      <c r="J1654" s="93" t="str">
        <f t="shared" si="102"/>
        <v>October</v>
      </c>
      <c r="K1654" s="93" t="str">
        <f t="shared" si="103"/>
        <v>2024</v>
      </c>
      <c r="L1654" s="6"/>
      <c r="M1654" s="6"/>
      <c r="N1654" s="6"/>
    </row>
    <row r="1655" spans="1:14" x14ac:dyDescent="0.3">
      <c r="A1655" s="87">
        <v>45573</v>
      </c>
      <c r="B1655" s="87" t="str">
        <f t="shared" si="100"/>
        <v>Tuesday</v>
      </c>
      <c r="C1655" s="88" t="s">
        <v>1381</v>
      </c>
      <c r="D1655" s="88" t="s">
        <v>487</v>
      </c>
      <c r="E1655" s="89">
        <v>35.76</v>
      </c>
      <c r="F1655" s="88" t="s">
        <v>5</v>
      </c>
      <c r="G1655" s="87">
        <f>Table1[[#This Row],[date]]</f>
        <v>45573</v>
      </c>
      <c r="H1655" s="94">
        <f>SUMIF($A$2:A5290,G1655,$E$2:E5290)</f>
        <v>492.29999999999995</v>
      </c>
      <c r="I1655" s="93" t="str">
        <f t="shared" si="101"/>
        <v>Tuesday</v>
      </c>
      <c r="J1655" s="93" t="str">
        <f t="shared" si="102"/>
        <v>October</v>
      </c>
      <c r="K1655" s="93" t="str">
        <f t="shared" si="103"/>
        <v>2024</v>
      </c>
      <c r="L1655" s="6"/>
      <c r="M1655" s="6"/>
      <c r="N1655" s="6"/>
    </row>
    <row r="1656" spans="1:14" x14ac:dyDescent="0.3">
      <c r="A1656" s="92">
        <v>45573</v>
      </c>
      <c r="B1656" s="92" t="str">
        <f t="shared" si="100"/>
        <v>Tuesday</v>
      </c>
      <c r="C1656" s="93" t="s">
        <v>1381</v>
      </c>
      <c r="D1656" s="93" t="s">
        <v>62</v>
      </c>
      <c r="E1656" s="94">
        <v>25.96</v>
      </c>
      <c r="F1656" s="93" t="s">
        <v>9</v>
      </c>
      <c r="G1656" s="87">
        <f>Table1[[#This Row],[date]]</f>
        <v>45573</v>
      </c>
      <c r="H1656" s="94">
        <f>SUMIF($A$2:A5291,G1656,$E$2:E5291)</f>
        <v>492.29999999999995</v>
      </c>
      <c r="I1656" s="93" t="str">
        <f t="shared" si="101"/>
        <v>Tuesday</v>
      </c>
      <c r="J1656" s="93" t="str">
        <f t="shared" si="102"/>
        <v>October</v>
      </c>
      <c r="K1656" s="93" t="str">
        <f t="shared" si="103"/>
        <v>2024</v>
      </c>
      <c r="L1656" s="6"/>
      <c r="M1656" s="6"/>
      <c r="N1656" s="6"/>
    </row>
    <row r="1657" spans="1:14" x14ac:dyDescent="0.3">
      <c r="A1657" s="87">
        <v>45573</v>
      </c>
      <c r="B1657" s="87" t="str">
        <f t="shared" si="100"/>
        <v>Tuesday</v>
      </c>
      <c r="C1657" s="88" t="s">
        <v>1381</v>
      </c>
      <c r="D1657" s="88" t="s">
        <v>742</v>
      </c>
      <c r="E1657" s="89">
        <v>30.86</v>
      </c>
      <c r="F1657" s="88" t="s">
        <v>12</v>
      </c>
      <c r="G1657" s="87">
        <f>Table1[[#This Row],[date]]</f>
        <v>45573</v>
      </c>
      <c r="H1657" s="94">
        <f>SUMIF($A$2:A5292,G1657,$E$2:E5292)</f>
        <v>492.29999999999995</v>
      </c>
      <c r="I1657" s="93" t="str">
        <f t="shared" si="101"/>
        <v>Tuesday</v>
      </c>
      <c r="J1657" s="93" t="str">
        <f t="shared" si="102"/>
        <v>October</v>
      </c>
      <c r="K1657" s="93" t="str">
        <f t="shared" si="103"/>
        <v>2024</v>
      </c>
      <c r="L1657" s="6"/>
      <c r="M1657" s="6"/>
      <c r="N1657" s="6"/>
    </row>
    <row r="1658" spans="1:14" x14ac:dyDescent="0.3">
      <c r="A1658" s="92">
        <v>45573</v>
      </c>
      <c r="B1658" s="92" t="str">
        <f t="shared" si="100"/>
        <v>Tuesday</v>
      </c>
      <c r="C1658" s="93" t="s">
        <v>1381</v>
      </c>
      <c r="D1658" s="93" t="s">
        <v>743</v>
      </c>
      <c r="E1658" s="94">
        <v>35.76</v>
      </c>
      <c r="F1658" s="93" t="s">
        <v>7</v>
      </c>
      <c r="G1658" s="87">
        <f>Table1[[#This Row],[date]]</f>
        <v>45573</v>
      </c>
      <c r="H1658" s="94">
        <f>SUMIF($A$2:A5293,G1658,$E$2:E5293)</f>
        <v>492.29999999999995</v>
      </c>
      <c r="I1658" s="93" t="str">
        <f t="shared" si="101"/>
        <v>Tuesday</v>
      </c>
      <c r="J1658" s="93" t="str">
        <f t="shared" si="102"/>
        <v>October</v>
      </c>
      <c r="K1658" s="93" t="str">
        <f t="shared" si="103"/>
        <v>2024</v>
      </c>
      <c r="L1658" s="6"/>
      <c r="M1658" s="6"/>
      <c r="N1658" s="6"/>
    </row>
    <row r="1659" spans="1:14" x14ac:dyDescent="0.3">
      <c r="A1659" s="87">
        <v>45573</v>
      </c>
      <c r="B1659" s="87" t="str">
        <f t="shared" si="100"/>
        <v>Tuesday</v>
      </c>
      <c r="C1659" s="88" t="s">
        <v>1381</v>
      </c>
      <c r="D1659" s="88" t="s">
        <v>743</v>
      </c>
      <c r="E1659" s="89">
        <v>35.76</v>
      </c>
      <c r="F1659" s="88" t="s">
        <v>41</v>
      </c>
      <c r="G1659" s="87">
        <f>Table1[[#This Row],[date]]</f>
        <v>45573</v>
      </c>
      <c r="H1659" s="94">
        <f>SUMIF($A$2:A5294,G1659,$E$2:E5294)</f>
        <v>492.29999999999995</v>
      </c>
      <c r="I1659" s="93" t="str">
        <f t="shared" si="101"/>
        <v>Tuesday</v>
      </c>
      <c r="J1659" s="93" t="str">
        <f t="shared" si="102"/>
        <v>October</v>
      </c>
      <c r="K1659" s="93" t="str">
        <f t="shared" si="103"/>
        <v>2024</v>
      </c>
      <c r="L1659" s="6"/>
      <c r="M1659" s="6"/>
      <c r="N1659" s="6"/>
    </row>
    <row r="1660" spans="1:14" x14ac:dyDescent="0.3">
      <c r="A1660" s="92">
        <v>45573</v>
      </c>
      <c r="B1660" s="92" t="str">
        <f t="shared" si="100"/>
        <v>Tuesday</v>
      </c>
      <c r="C1660" s="93" t="s">
        <v>1381</v>
      </c>
      <c r="D1660" s="93" t="s">
        <v>744</v>
      </c>
      <c r="E1660" s="94">
        <v>35.76</v>
      </c>
      <c r="F1660" s="93" t="s">
        <v>5</v>
      </c>
      <c r="G1660" s="87">
        <f>Table1[[#This Row],[date]]</f>
        <v>45573</v>
      </c>
      <c r="H1660" s="94">
        <f>SUMIF($A$2:A5295,G1660,$E$2:E5295)</f>
        <v>492.29999999999995</v>
      </c>
      <c r="I1660" s="93" t="str">
        <f t="shared" si="101"/>
        <v>Tuesday</v>
      </c>
      <c r="J1660" s="93" t="str">
        <f t="shared" si="102"/>
        <v>October</v>
      </c>
      <c r="K1660" s="93" t="str">
        <f t="shared" si="103"/>
        <v>2024</v>
      </c>
      <c r="L1660" s="6"/>
      <c r="M1660" s="6"/>
      <c r="N1660" s="6"/>
    </row>
    <row r="1661" spans="1:14" x14ac:dyDescent="0.3">
      <c r="A1661" s="87">
        <v>45573</v>
      </c>
      <c r="B1661" s="87" t="str">
        <f t="shared" si="100"/>
        <v>Tuesday</v>
      </c>
      <c r="C1661" s="88" t="s">
        <v>1381</v>
      </c>
      <c r="D1661" s="88" t="s">
        <v>52</v>
      </c>
      <c r="E1661" s="89">
        <v>30.86</v>
      </c>
      <c r="F1661" s="88" t="s">
        <v>12</v>
      </c>
      <c r="G1661" s="87">
        <f>Table1[[#This Row],[date]]</f>
        <v>45573</v>
      </c>
      <c r="H1661" s="94">
        <f>SUMIF($A$2:A5296,G1661,$E$2:E5296)</f>
        <v>492.29999999999995</v>
      </c>
      <c r="I1661" s="93" t="str">
        <f t="shared" si="101"/>
        <v>Tuesday</v>
      </c>
      <c r="J1661" s="93" t="str">
        <f t="shared" si="102"/>
        <v>October</v>
      </c>
      <c r="K1661" s="93" t="str">
        <f t="shared" si="103"/>
        <v>2024</v>
      </c>
      <c r="L1661" s="6"/>
      <c r="M1661" s="6"/>
      <c r="N1661" s="6"/>
    </row>
    <row r="1662" spans="1:14" x14ac:dyDescent="0.3">
      <c r="A1662" s="87">
        <v>45574</v>
      </c>
      <c r="B1662" s="87" t="str">
        <f t="shared" si="100"/>
        <v>Wednesday</v>
      </c>
      <c r="C1662" s="88" t="s">
        <v>1381</v>
      </c>
      <c r="D1662" s="88" t="s">
        <v>582</v>
      </c>
      <c r="E1662" s="89">
        <v>35.76</v>
      </c>
      <c r="F1662" s="88" t="s">
        <v>5</v>
      </c>
      <c r="G1662" s="87">
        <f>Table1[[#This Row],[date]]</f>
        <v>45574</v>
      </c>
      <c r="H1662" s="94">
        <f>SUMIF($A$2:A5297,G1662,$E$2:E5297)</f>
        <v>365.41999999999996</v>
      </c>
      <c r="I1662" s="93" t="str">
        <f t="shared" si="101"/>
        <v>Wednesday</v>
      </c>
      <c r="J1662" s="93" t="str">
        <f t="shared" si="102"/>
        <v>October</v>
      </c>
      <c r="K1662" s="93" t="str">
        <f t="shared" si="103"/>
        <v>2024</v>
      </c>
      <c r="L1662" s="6"/>
      <c r="M1662" s="6"/>
      <c r="N1662" s="6"/>
    </row>
    <row r="1663" spans="1:14" x14ac:dyDescent="0.3">
      <c r="A1663" s="92">
        <v>45574</v>
      </c>
      <c r="B1663" s="92" t="str">
        <f t="shared" si="100"/>
        <v>Wednesday</v>
      </c>
      <c r="C1663" s="93" t="s">
        <v>1381</v>
      </c>
      <c r="D1663" s="93" t="s">
        <v>288</v>
      </c>
      <c r="E1663" s="94">
        <v>30.86</v>
      </c>
      <c r="F1663" s="93" t="s">
        <v>12</v>
      </c>
      <c r="G1663" s="87">
        <f>Table1[[#This Row],[date]]</f>
        <v>45574</v>
      </c>
      <c r="H1663" s="94">
        <f>SUMIF($A$2:A5298,G1663,$E$2:E5298)</f>
        <v>365.41999999999996</v>
      </c>
      <c r="I1663" s="93" t="str">
        <f t="shared" si="101"/>
        <v>Wednesday</v>
      </c>
      <c r="J1663" s="93" t="str">
        <f t="shared" si="102"/>
        <v>October</v>
      </c>
      <c r="K1663" s="93" t="str">
        <f t="shared" si="103"/>
        <v>2024</v>
      </c>
      <c r="L1663" s="6"/>
      <c r="M1663" s="6"/>
      <c r="N1663" s="6"/>
    </row>
    <row r="1664" spans="1:14" x14ac:dyDescent="0.3">
      <c r="A1664" s="87">
        <v>45574</v>
      </c>
      <c r="B1664" s="87" t="str">
        <f t="shared" si="100"/>
        <v>Wednesday</v>
      </c>
      <c r="C1664" s="88" t="s">
        <v>1381</v>
      </c>
      <c r="D1664" s="88" t="s">
        <v>436</v>
      </c>
      <c r="E1664" s="89">
        <v>30.86</v>
      </c>
      <c r="F1664" s="88" t="s">
        <v>12</v>
      </c>
      <c r="G1664" s="87">
        <f>Table1[[#This Row],[date]]</f>
        <v>45574</v>
      </c>
      <c r="H1664" s="94">
        <f>SUMIF($A$2:A5299,G1664,$E$2:E5299)</f>
        <v>365.41999999999996</v>
      </c>
      <c r="I1664" s="93" t="str">
        <f t="shared" si="101"/>
        <v>Wednesday</v>
      </c>
      <c r="J1664" s="93" t="str">
        <f t="shared" si="102"/>
        <v>October</v>
      </c>
      <c r="K1664" s="93" t="str">
        <f t="shared" si="103"/>
        <v>2024</v>
      </c>
      <c r="L1664" s="6"/>
      <c r="M1664" s="6"/>
      <c r="N1664" s="6"/>
    </row>
    <row r="1665" spans="1:14" x14ac:dyDescent="0.3">
      <c r="A1665" s="92">
        <v>45574</v>
      </c>
      <c r="B1665" s="92" t="str">
        <f t="shared" si="100"/>
        <v>Wednesday</v>
      </c>
      <c r="C1665" s="93" t="s">
        <v>1381</v>
      </c>
      <c r="D1665" s="93" t="s">
        <v>506</v>
      </c>
      <c r="E1665" s="94">
        <v>35.76</v>
      </c>
      <c r="F1665" s="93" t="s">
        <v>5</v>
      </c>
      <c r="G1665" s="87">
        <f>Table1[[#This Row],[date]]</f>
        <v>45574</v>
      </c>
      <c r="H1665" s="94">
        <f>SUMIF($A$2:A5300,G1665,$E$2:E5300)</f>
        <v>365.41999999999996</v>
      </c>
      <c r="I1665" s="93" t="str">
        <f t="shared" si="101"/>
        <v>Wednesday</v>
      </c>
      <c r="J1665" s="93" t="str">
        <f t="shared" si="102"/>
        <v>October</v>
      </c>
      <c r="K1665" s="93" t="str">
        <f t="shared" si="103"/>
        <v>2024</v>
      </c>
      <c r="L1665" s="6"/>
      <c r="M1665" s="6"/>
      <c r="N1665" s="6"/>
    </row>
    <row r="1666" spans="1:14" x14ac:dyDescent="0.3">
      <c r="A1666" s="87">
        <v>45574</v>
      </c>
      <c r="B1666" s="87" t="str">
        <f t="shared" ref="B1666:B1729" si="104">TEXT(A1666,"dddd")</f>
        <v>Wednesday</v>
      </c>
      <c r="C1666" s="88" t="s">
        <v>1381</v>
      </c>
      <c r="D1666" s="88" t="s">
        <v>745</v>
      </c>
      <c r="E1666" s="89">
        <v>21.06</v>
      </c>
      <c r="F1666" s="88" t="s">
        <v>33</v>
      </c>
      <c r="G1666" s="87">
        <f>Table1[[#This Row],[date]]</f>
        <v>45574</v>
      </c>
      <c r="H1666" s="94">
        <f>SUMIF($A$2:A5301,G1666,$E$2:E5301)</f>
        <v>365.41999999999996</v>
      </c>
      <c r="I1666" s="93" t="str">
        <f t="shared" si="101"/>
        <v>Wednesday</v>
      </c>
      <c r="J1666" s="93" t="str">
        <f t="shared" si="102"/>
        <v>October</v>
      </c>
      <c r="K1666" s="93" t="str">
        <f t="shared" si="103"/>
        <v>2024</v>
      </c>
      <c r="L1666" s="6"/>
      <c r="M1666" s="6"/>
      <c r="N1666" s="6"/>
    </row>
    <row r="1667" spans="1:14" x14ac:dyDescent="0.3">
      <c r="A1667" s="92">
        <v>45574</v>
      </c>
      <c r="B1667" s="92" t="str">
        <f t="shared" si="104"/>
        <v>Wednesday</v>
      </c>
      <c r="C1667" s="93" t="s">
        <v>1381</v>
      </c>
      <c r="D1667" s="93" t="s">
        <v>746</v>
      </c>
      <c r="E1667" s="94">
        <v>25.96</v>
      </c>
      <c r="F1667" s="93" t="s">
        <v>9</v>
      </c>
      <c r="G1667" s="87">
        <f>Table1[[#This Row],[date]]</f>
        <v>45574</v>
      </c>
      <c r="H1667" s="94">
        <f>SUMIF($A$2:A5302,G1667,$E$2:E5302)</f>
        <v>365.41999999999996</v>
      </c>
      <c r="I1667" s="93" t="str">
        <f t="shared" si="101"/>
        <v>Wednesday</v>
      </c>
      <c r="J1667" s="93" t="str">
        <f t="shared" si="102"/>
        <v>October</v>
      </c>
      <c r="K1667" s="93" t="str">
        <f t="shared" si="103"/>
        <v>2024</v>
      </c>
      <c r="L1667" s="6"/>
      <c r="M1667" s="6"/>
      <c r="N1667" s="6"/>
    </row>
    <row r="1668" spans="1:14" x14ac:dyDescent="0.3">
      <c r="A1668" s="87">
        <v>45574</v>
      </c>
      <c r="B1668" s="87" t="str">
        <f t="shared" si="104"/>
        <v>Wednesday</v>
      </c>
      <c r="C1668" s="88" t="s">
        <v>1381</v>
      </c>
      <c r="D1668" s="88" t="s">
        <v>738</v>
      </c>
      <c r="E1668" s="89">
        <v>35.76</v>
      </c>
      <c r="F1668" s="88" t="s">
        <v>5</v>
      </c>
      <c r="G1668" s="87">
        <f>Table1[[#This Row],[date]]</f>
        <v>45574</v>
      </c>
      <c r="H1668" s="94">
        <f>SUMIF($A$2:A5303,G1668,$E$2:E5303)</f>
        <v>365.41999999999996</v>
      </c>
      <c r="I1668" s="93" t="str">
        <f t="shared" si="101"/>
        <v>Wednesday</v>
      </c>
      <c r="J1668" s="93" t="str">
        <f t="shared" si="102"/>
        <v>October</v>
      </c>
      <c r="K1668" s="93" t="str">
        <f t="shared" si="103"/>
        <v>2024</v>
      </c>
      <c r="L1668" s="6"/>
      <c r="M1668" s="6"/>
      <c r="N1668" s="6"/>
    </row>
    <row r="1669" spans="1:14" x14ac:dyDescent="0.3">
      <c r="A1669" s="92">
        <v>45574</v>
      </c>
      <c r="B1669" s="92" t="str">
        <f t="shared" si="104"/>
        <v>Wednesday</v>
      </c>
      <c r="C1669" s="93" t="s">
        <v>1381</v>
      </c>
      <c r="D1669" s="93" t="s">
        <v>747</v>
      </c>
      <c r="E1669" s="94">
        <v>30.86</v>
      </c>
      <c r="F1669" s="93" t="s">
        <v>12</v>
      </c>
      <c r="G1669" s="87">
        <f>Table1[[#This Row],[date]]</f>
        <v>45574</v>
      </c>
      <c r="H1669" s="94">
        <f>SUMIF($A$2:A5304,G1669,$E$2:E5304)</f>
        <v>365.41999999999996</v>
      </c>
      <c r="I1669" s="93" t="str">
        <f t="shared" si="101"/>
        <v>Wednesday</v>
      </c>
      <c r="J1669" s="93" t="str">
        <f t="shared" si="102"/>
        <v>October</v>
      </c>
      <c r="K1669" s="93" t="str">
        <f t="shared" si="103"/>
        <v>2024</v>
      </c>
      <c r="L1669" s="6"/>
      <c r="M1669" s="6"/>
      <c r="N1669" s="6"/>
    </row>
    <row r="1670" spans="1:14" x14ac:dyDescent="0.3">
      <c r="A1670" s="87">
        <v>45574</v>
      </c>
      <c r="B1670" s="87" t="str">
        <f t="shared" si="104"/>
        <v>Wednesday</v>
      </c>
      <c r="C1670" s="88" t="s">
        <v>1381</v>
      </c>
      <c r="D1670" s="88" t="s">
        <v>670</v>
      </c>
      <c r="E1670" s="89">
        <v>35.76</v>
      </c>
      <c r="F1670" s="88" t="s">
        <v>41</v>
      </c>
      <c r="G1670" s="87">
        <f>Table1[[#This Row],[date]]</f>
        <v>45574</v>
      </c>
      <c r="H1670" s="94">
        <f>SUMIF($A$2:A5305,G1670,$E$2:E5305)</f>
        <v>365.41999999999996</v>
      </c>
      <c r="I1670" s="93" t="str">
        <f t="shared" ref="I1670:I1733" si="105">TEXT(G1670,"dddd")</f>
        <v>Wednesday</v>
      </c>
      <c r="J1670" s="93" t="str">
        <f t="shared" si="102"/>
        <v>October</v>
      </c>
      <c r="K1670" s="93" t="str">
        <f t="shared" si="103"/>
        <v>2024</v>
      </c>
      <c r="L1670" s="6"/>
      <c r="M1670" s="6"/>
      <c r="N1670" s="6"/>
    </row>
    <row r="1671" spans="1:14" x14ac:dyDescent="0.3">
      <c r="A1671" s="92">
        <v>45574</v>
      </c>
      <c r="B1671" s="92" t="str">
        <f t="shared" si="104"/>
        <v>Wednesday</v>
      </c>
      <c r="C1671" s="93" t="s">
        <v>1381</v>
      </c>
      <c r="D1671" s="93" t="s">
        <v>670</v>
      </c>
      <c r="E1671" s="94">
        <v>25.96</v>
      </c>
      <c r="F1671" s="93" t="s">
        <v>9</v>
      </c>
      <c r="G1671" s="87">
        <f>Table1[[#This Row],[date]]</f>
        <v>45574</v>
      </c>
      <c r="H1671" s="94">
        <f>SUMIF($A$2:A5306,G1671,$E$2:E5306)</f>
        <v>365.41999999999996</v>
      </c>
      <c r="I1671" s="93" t="str">
        <f t="shared" si="105"/>
        <v>Wednesday</v>
      </c>
      <c r="J1671" s="93" t="str">
        <f t="shared" ref="J1671:J1734" si="106">TEXT(G1671,"mmmm")</f>
        <v>October</v>
      </c>
      <c r="K1671" s="93" t="str">
        <f t="shared" ref="K1671:K1734" si="107">TEXT(G1671,"yyyy")</f>
        <v>2024</v>
      </c>
      <c r="L1671" s="6"/>
      <c r="M1671" s="6"/>
      <c r="N1671" s="6"/>
    </row>
    <row r="1672" spans="1:14" x14ac:dyDescent="0.3">
      <c r="A1672" s="87">
        <v>45574</v>
      </c>
      <c r="B1672" s="87" t="str">
        <f t="shared" si="104"/>
        <v>Wednesday</v>
      </c>
      <c r="C1672" s="88" t="s">
        <v>1381</v>
      </c>
      <c r="D1672" s="88" t="s">
        <v>748</v>
      </c>
      <c r="E1672" s="89">
        <v>21.06</v>
      </c>
      <c r="F1672" s="88" t="s">
        <v>33</v>
      </c>
      <c r="G1672" s="87">
        <f>Table1[[#This Row],[date]]</f>
        <v>45574</v>
      </c>
      <c r="H1672" s="94">
        <f>SUMIF($A$2:A5307,G1672,$E$2:E5307)</f>
        <v>365.41999999999996</v>
      </c>
      <c r="I1672" s="93" t="str">
        <f t="shared" si="105"/>
        <v>Wednesday</v>
      </c>
      <c r="J1672" s="93" t="str">
        <f t="shared" si="106"/>
        <v>October</v>
      </c>
      <c r="K1672" s="93" t="str">
        <f t="shared" si="107"/>
        <v>2024</v>
      </c>
      <c r="L1672" s="6"/>
      <c r="M1672" s="6"/>
      <c r="N1672" s="6"/>
    </row>
    <row r="1673" spans="1:14" x14ac:dyDescent="0.3">
      <c r="A1673" s="92">
        <v>45574</v>
      </c>
      <c r="B1673" s="92" t="str">
        <f t="shared" si="104"/>
        <v>Wednesday</v>
      </c>
      <c r="C1673" s="93" t="s">
        <v>1381</v>
      </c>
      <c r="D1673" s="93" t="s">
        <v>749</v>
      </c>
      <c r="E1673" s="94">
        <v>35.76</v>
      </c>
      <c r="F1673" s="93" t="s">
        <v>41</v>
      </c>
      <c r="G1673" s="87">
        <f>Table1[[#This Row],[date]]</f>
        <v>45574</v>
      </c>
      <c r="H1673" s="94">
        <f>SUMIF($A$2:A5308,G1673,$E$2:E5308)</f>
        <v>365.41999999999996</v>
      </c>
      <c r="I1673" s="93" t="str">
        <f t="shared" si="105"/>
        <v>Wednesday</v>
      </c>
      <c r="J1673" s="93" t="str">
        <f t="shared" si="106"/>
        <v>October</v>
      </c>
      <c r="K1673" s="93" t="str">
        <f t="shared" si="107"/>
        <v>2024</v>
      </c>
      <c r="L1673" s="6"/>
      <c r="M1673" s="6"/>
      <c r="N1673" s="6"/>
    </row>
    <row r="1674" spans="1:14" x14ac:dyDescent="0.3">
      <c r="A1674" s="87">
        <v>45575</v>
      </c>
      <c r="B1674" s="87" t="str">
        <f t="shared" si="104"/>
        <v>Thursday</v>
      </c>
      <c r="C1674" s="88" t="s">
        <v>1381</v>
      </c>
      <c r="D1674" s="88" t="s">
        <v>8</v>
      </c>
      <c r="E1674" s="89">
        <v>25.96</v>
      </c>
      <c r="F1674" s="88" t="s">
        <v>9</v>
      </c>
      <c r="G1674" s="87">
        <f>Table1[[#This Row],[date]]</f>
        <v>45575</v>
      </c>
      <c r="H1674" s="94">
        <f>SUMIF($A$2:A5309,G1674,$E$2:E5309)</f>
        <v>425.67999999999995</v>
      </c>
      <c r="I1674" s="93" t="str">
        <f t="shared" si="105"/>
        <v>Thursday</v>
      </c>
      <c r="J1674" s="93" t="str">
        <f t="shared" si="106"/>
        <v>October</v>
      </c>
      <c r="K1674" s="93" t="str">
        <f t="shared" si="107"/>
        <v>2024</v>
      </c>
      <c r="L1674" s="6"/>
      <c r="M1674" s="6"/>
      <c r="N1674" s="6"/>
    </row>
    <row r="1675" spans="1:14" x14ac:dyDescent="0.3">
      <c r="A1675" s="92">
        <v>45575</v>
      </c>
      <c r="B1675" s="92" t="str">
        <f t="shared" si="104"/>
        <v>Thursday</v>
      </c>
      <c r="C1675" s="93" t="s">
        <v>1381</v>
      </c>
      <c r="D1675" s="93" t="s">
        <v>288</v>
      </c>
      <c r="E1675" s="94">
        <v>30.86</v>
      </c>
      <c r="F1675" s="93" t="s">
        <v>12</v>
      </c>
      <c r="G1675" s="87">
        <f>Table1[[#This Row],[date]]</f>
        <v>45575</v>
      </c>
      <c r="H1675" s="94">
        <f>SUMIF($A$2:A5310,G1675,$E$2:E5310)</f>
        <v>425.67999999999995</v>
      </c>
      <c r="I1675" s="93" t="str">
        <f t="shared" si="105"/>
        <v>Thursday</v>
      </c>
      <c r="J1675" s="93" t="str">
        <f t="shared" si="106"/>
        <v>October</v>
      </c>
      <c r="K1675" s="93" t="str">
        <f t="shared" si="107"/>
        <v>2024</v>
      </c>
      <c r="L1675" s="6"/>
      <c r="M1675" s="6"/>
      <c r="N1675" s="6"/>
    </row>
    <row r="1676" spans="1:14" x14ac:dyDescent="0.3">
      <c r="A1676" s="87">
        <v>45575</v>
      </c>
      <c r="B1676" s="87" t="str">
        <f t="shared" si="104"/>
        <v>Thursday</v>
      </c>
      <c r="C1676" s="88" t="s">
        <v>1381</v>
      </c>
      <c r="D1676" s="88" t="s">
        <v>750</v>
      </c>
      <c r="E1676" s="89">
        <v>35.76</v>
      </c>
      <c r="F1676" s="88" t="s">
        <v>7</v>
      </c>
      <c r="G1676" s="87">
        <f>Table1[[#This Row],[date]]</f>
        <v>45575</v>
      </c>
      <c r="H1676" s="94">
        <f>SUMIF($A$2:A5311,G1676,$E$2:E5311)</f>
        <v>425.67999999999995</v>
      </c>
      <c r="I1676" s="93" t="str">
        <f t="shared" si="105"/>
        <v>Thursday</v>
      </c>
      <c r="J1676" s="93" t="str">
        <f t="shared" si="106"/>
        <v>October</v>
      </c>
      <c r="K1676" s="93" t="str">
        <f t="shared" si="107"/>
        <v>2024</v>
      </c>
      <c r="L1676" s="6"/>
      <c r="M1676" s="6"/>
      <c r="N1676" s="6"/>
    </row>
    <row r="1677" spans="1:14" x14ac:dyDescent="0.3">
      <c r="A1677" s="92">
        <v>45575</v>
      </c>
      <c r="B1677" s="92" t="str">
        <f t="shared" si="104"/>
        <v>Thursday</v>
      </c>
      <c r="C1677" s="93" t="s">
        <v>1381</v>
      </c>
      <c r="D1677" s="93" t="s">
        <v>387</v>
      </c>
      <c r="E1677" s="94">
        <v>35.76</v>
      </c>
      <c r="F1677" s="93" t="s">
        <v>5</v>
      </c>
      <c r="G1677" s="87">
        <f>Table1[[#This Row],[date]]</f>
        <v>45575</v>
      </c>
      <c r="H1677" s="94">
        <f>SUMIF($A$2:A5312,G1677,$E$2:E5312)</f>
        <v>425.67999999999995</v>
      </c>
      <c r="I1677" s="93" t="str">
        <f t="shared" si="105"/>
        <v>Thursday</v>
      </c>
      <c r="J1677" s="93" t="str">
        <f t="shared" si="106"/>
        <v>October</v>
      </c>
      <c r="K1677" s="93" t="str">
        <f t="shared" si="107"/>
        <v>2024</v>
      </c>
      <c r="L1677" s="6"/>
      <c r="M1677" s="6"/>
      <c r="N1677" s="6"/>
    </row>
    <row r="1678" spans="1:14" x14ac:dyDescent="0.3">
      <c r="A1678" s="87">
        <v>45575</v>
      </c>
      <c r="B1678" s="87" t="str">
        <f t="shared" si="104"/>
        <v>Thursday</v>
      </c>
      <c r="C1678" s="88" t="s">
        <v>1381</v>
      </c>
      <c r="D1678" s="88" t="s">
        <v>153</v>
      </c>
      <c r="E1678" s="89">
        <v>25.96</v>
      </c>
      <c r="F1678" s="88" t="s">
        <v>26</v>
      </c>
      <c r="G1678" s="87">
        <f>Table1[[#This Row],[date]]</f>
        <v>45575</v>
      </c>
      <c r="H1678" s="94">
        <f>SUMIF($A$2:A5313,G1678,$E$2:E5313)</f>
        <v>425.67999999999995</v>
      </c>
      <c r="I1678" s="93" t="str">
        <f t="shared" si="105"/>
        <v>Thursday</v>
      </c>
      <c r="J1678" s="93" t="str">
        <f t="shared" si="106"/>
        <v>October</v>
      </c>
      <c r="K1678" s="93" t="str">
        <f t="shared" si="107"/>
        <v>2024</v>
      </c>
      <c r="L1678" s="6"/>
      <c r="M1678" s="6"/>
      <c r="N1678" s="6"/>
    </row>
    <row r="1679" spans="1:14" x14ac:dyDescent="0.3">
      <c r="A1679" s="87">
        <v>45575</v>
      </c>
      <c r="B1679" s="87" t="str">
        <f t="shared" si="104"/>
        <v>Thursday</v>
      </c>
      <c r="C1679" s="88" t="s">
        <v>1381</v>
      </c>
      <c r="D1679" s="88" t="s">
        <v>751</v>
      </c>
      <c r="E1679" s="89">
        <v>35.76</v>
      </c>
      <c r="F1679" s="88" t="s">
        <v>5</v>
      </c>
      <c r="G1679" s="87">
        <f>Table1[[#This Row],[date]]</f>
        <v>45575</v>
      </c>
      <c r="H1679" s="94">
        <f>SUMIF($A$2:A5314,G1679,$E$2:E5314)</f>
        <v>425.67999999999995</v>
      </c>
      <c r="I1679" s="93" t="str">
        <f t="shared" si="105"/>
        <v>Thursday</v>
      </c>
      <c r="J1679" s="93" t="str">
        <f t="shared" si="106"/>
        <v>October</v>
      </c>
      <c r="K1679" s="93" t="str">
        <f t="shared" si="107"/>
        <v>2024</v>
      </c>
      <c r="L1679" s="6"/>
      <c r="M1679" s="6"/>
      <c r="N1679" s="6"/>
    </row>
    <row r="1680" spans="1:14" x14ac:dyDescent="0.3">
      <c r="A1680" s="92">
        <v>45575</v>
      </c>
      <c r="B1680" s="92" t="str">
        <f t="shared" si="104"/>
        <v>Thursday</v>
      </c>
      <c r="C1680" s="93" t="s">
        <v>1381</v>
      </c>
      <c r="D1680" s="93" t="s">
        <v>752</v>
      </c>
      <c r="E1680" s="94">
        <v>35.76</v>
      </c>
      <c r="F1680" s="93" t="s">
        <v>5</v>
      </c>
      <c r="G1680" s="87">
        <f>Table1[[#This Row],[date]]</f>
        <v>45575</v>
      </c>
      <c r="H1680" s="94">
        <f>SUMIF($A$2:A5315,G1680,$E$2:E5315)</f>
        <v>425.67999999999995</v>
      </c>
      <c r="I1680" s="93" t="str">
        <f t="shared" si="105"/>
        <v>Thursday</v>
      </c>
      <c r="J1680" s="93" t="str">
        <f t="shared" si="106"/>
        <v>October</v>
      </c>
      <c r="K1680" s="93" t="str">
        <f t="shared" si="107"/>
        <v>2024</v>
      </c>
      <c r="L1680" s="6"/>
      <c r="M1680" s="6"/>
      <c r="N1680" s="6"/>
    </row>
    <row r="1681" spans="1:14" x14ac:dyDescent="0.3">
      <c r="A1681" s="87">
        <v>45575</v>
      </c>
      <c r="B1681" s="87" t="str">
        <f t="shared" si="104"/>
        <v>Thursday</v>
      </c>
      <c r="C1681" s="88" t="s">
        <v>1381</v>
      </c>
      <c r="D1681" s="88" t="s">
        <v>522</v>
      </c>
      <c r="E1681" s="89">
        <v>35.76</v>
      </c>
      <c r="F1681" s="88" t="s">
        <v>41</v>
      </c>
      <c r="G1681" s="87">
        <f>Table1[[#This Row],[date]]</f>
        <v>45575</v>
      </c>
      <c r="H1681" s="94">
        <f>SUMIF($A$2:A5316,G1681,$E$2:E5316)</f>
        <v>425.67999999999995</v>
      </c>
      <c r="I1681" s="93" t="str">
        <f t="shared" si="105"/>
        <v>Thursday</v>
      </c>
      <c r="J1681" s="93" t="str">
        <f t="shared" si="106"/>
        <v>October</v>
      </c>
      <c r="K1681" s="93" t="str">
        <f t="shared" si="107"/>
        <v>2024</v>
      </c>
      <c r="L1681" s="6"/>
      <c r="M1681" s="6"/>
      <c r="N1681" s="6"/>
    </row>
    <row r="1682" spans="1:14" x14ac:dyDescent="0.3">
      <c r="A1682" s="92">
        <v>45575</v>
      </c>
      <c r="B1682" s="92" t="str">
        <f t="shared" si="104"/>
        <v>Thursday</v>
      </c>
      <c r="C1682" s="93" t="s">
        <v>1381</v>
      </c>
      <c r="D1682" s="93" t="s">
        <v>753</v>
      </c>
      <c r="E1682" s="94">
        <v>35.76</v>
      </c>
      <c r="F1682" s="93" t="s">
        <v>5</v>
      </c>
      <c r="G1682" s="87">
        <f>Table1[[#This Row],[date]]</f>
        <v>45575</v>
      </c>
      <c r="H1682" s="94">
        <f>SUMIF($A$2:A5317,G1682,$E$2:E5317)</f>
        <v>425.67999999999995</v>
      </c>
      <c r="I1682" s="93" t="str">
        <f t="shared" si="105"/>
        <v>Thursday</v>
      </c>
      <c r="J1682" s="93" t="str">
        <f t="shared" si="106"/>
        <v>October</v>
      </c>
      <c r="K1682" s="93" t="str">
        <f t="shared" si="107"/>
        <v>2024</v>
      </c>
      <c r="L1682" s="6"/>
      <c r="M1682" s="6"/>
      <c r="N1682" s="6"/>
    </row>
    <row r="1683" spans="1:14" x14ac:dyDescent="0.3">
      <c r="A1683" s="87">
        <v>45575</v>
      </c>
      <c r="B1683" s="87" t="str">
        <f t="shared" si="104"/>
        <v>Thursday</v>
      </c>
      <c r="C1683" s="88" t="s">
        <v>1381</v>
      </c>
      <c r="D1683" s="88" t="s">
        <v>754</v>
      </c>
      <c r="E1683" s="89">
        <v>25.96</v>
      </c>
      <c r="F1683" s="88" t="s">
        <v>9</v>
      </c>
      <c r="G1683" s="87">
        <f>Table1[[#This Row],[date]]</f>
        <v>45575</v>
      </c>
      <c r="H1683" s="94">
        <f>SUMIF($A$2:A5318,G1683,$E$2:E5318)</f>
        <v>425.67999999999995</v>
      </c>
      <c r="I1683" s="93" t="str">
        <f t="shared" si="105"/>
        <v>Thursday</v>
      </c>
      <c r="J1683" s="93" t="str">
        <f t="shared" si="106"/>
        <v>October</v>
      </c>
      <c r="K1683" s="93" t="str">
        <f t="shared" si="107"/>
        <v>2024</v>
      </c>
      <c r="L1683" s="6"/>
      <c r="M1683" s="6"/>
      <c r="N1683" s="6"/>
    </row>
    <row r="1684" spans="1:14" x14ac:dyDescent="0.3">
      <c r="A1684" s="92">
        <v>45575</v>
      </c>
      <c r="B1684" s="92" t="str">
        <f t="shared" si="104"/>
        <v>Thursday</v>
      </c>
      <c r="C1684" s="93" t="s">
        <v>1381</v>
      </c>
      <c r="D1684" s="93" t="s">
        <v>725</v>
      </c>
      <c r="E1684" s="94">
        <v>30.86</v>
      </c>
      <c r="F1684" s="93" t="s">
        <v>12</v>
      </c>
      <c r="G1684" s="87">
        <f>Table1[[#This Row],[date]]</f>
        <v>45575</v>
      </c>
      <c r="H1684" s="94">
        <f>SUMIF($A$2:A5319,G1684,$E$2:E5319)</f>
        <v>425.67999999999995</v>
      </c>
      <c r="I1684" s="93" t="str">
        <f t="shared" si="105"/>
        <v>Thursday</v>
      </c>
      <c r="J1684" s="93" t="str">
        <f t="shared" si="106"/>
        <v>October</v>
      </c>
      <c r="K1684" s="93" t="str">
        <f t="shared" si="107"/>
        <v>2024</v>
      </c>
      <c r="L1684" s="6"/>
      <c r="M1684" s="6"/>
      <c r="N1684" s="6"/>
    </row>
    <row r="1685" spans="1:14" x14ac:dyDescent="0.3">
      <c r="A1685" s="87">
        <v>45575</v>
      </c>
      <c r="B1685" s="87" t="str">
        <f t="shared" si="104"/>
        <v>Thursday</v>
      </c>
      <c r="C1685" s="88" t="s">
        <v>1381</v>
      </c>
      <c r="D1685" s="88" t="s">
        <v>725</v>
      </c>
      <c r="E1685" s="89">
        <v>35.76</v>
      </c>
      <c r="F1685" s="88" t="s">
        <v>5</v>
      </c>
      <c r="G1685" s="87">
        <f>Table1[[#This Row],[date]]</f>
        <v>45575</v>
      </c>
      <c r="H1685" s="94">
        <f>SUMIF($A$2:A5320,G1685,$E$2:E5320)</f>
        <v>425.67999999999995</v>
      </c>
      <c r="I1685" s="93" t="str">
        <f t="shared" si="105"/>
        <v>Thursday</v>
      </c>
      <c r="J1685" s="93" t="str">
        <f t="shared" si="106"/>
        <v>October</v>
      </c>
      <c r="K1685" s="93" t="str">
        <f t="shared" si="107"/>
        <v>2024</v>
      </c>
      <c r="L1685" s="6"/>
      <c r="M1685" s="6"/>
      <c r="N1685" s="6"/>
    </row>
    <row r="1686" spans="1:14" x14ac:dyDescent="0.3">
      <c r="A1686" s="92">
        <v>45575</v>
      </c>
      <c r="B1686" s="92" t="str">
        <f t="shared" si="104"/>
        <v>Thursday</v>
      </c>
      <c r="C1686" s="93" t="s">
        <v>1381</v>
      </c>
      <c r="D1686" s="93" t="s">
        <v>649</v>
      </c>
      <c r="E1686" s="94">
        <v>35.76</v>
      </c>
      <c r="F1686" s="93" t="s">
        <v>7</v>
      </c>
      <c r="G1686" s="87">
        <f>Table1[[#This Row],[date]]</f>
        <v>45575</v>
      </c>
      <c r="H1686" s="94">
        <f>SUMIF($A$2:A5321,G1686,$E$2:E5321)</f>
        <v>425.67999999999995</v>
      </c>
      <c r="I1686" s="93" t="str">
        <f t="shared" si="105"/>
        <v>Thursday</v>
      </c>
      <c r="J1686" s="93" t="str">
        <f t="shared" si="106"/>
        <v>October</v>
      </c>
      <c r="K1686" s="93" t="str">
        <f t="shared" si="107"/>
        <v>2024</v>
      </c>
      <c r="L1686" s="6"/>
      <c r="M1686" s="6"/>
      <c r="N1686" s="6"/>
    </row>
    <row r="1687" spans="1:14" x14ac:dyDescent="0.3">
      <c r="A1687" s="92">
        <v>45576</v>
      </c>
      <c r="B1687" s="92" t="str">
        <f t="shared" si="104"/>
        <v>Friday</v>
      </c>
      <c r="C1687" s="93" t="s">
        <v>1381</v>
      </c>
      <c r="D1687" s="93" t="s">
        <v>288</v>
      </c>
      <c r="E1687" s="94">
        <v>30.86</v>
      </c>
      <c r="F1687" s="93" t="s">
        <v>12</v>
      </c>
      <c r="G1687" s="87">
        <f>Table1[[#This Row],[date]]</f>
        <v>45576</v>
      </c>
      <c r="H1687" s="94">
        <f>SUMIF($A$2:A5322,G1687,$E$2:E5322)</f>
        <v>748.9799999999999</v>
      </c>
      <c r="I1687" s="93" t="str">
        <f t="shared" si="105"/>
        <v>Friday</v>
      </c>
      <c r="J1687" s="93" t="str">
        <f t="shared" si="106"/>
        <v>October</v>
      </c>
      <c r="K1687" s="93" t="str">
        <f t="shared" si="107"/>
        <v>2024</v>
      </c>
      <c r="L1687" s="6"/>
      <c r="M1687" s="6"/>
      <c r="N1687" s="6"/>
    </row>
    <row r="1688" spans="1:14" x14ac:dyDescent="0.3">
      <c r="A1688" s="87">
        <v>45576</v>
      </c>
      <c r="B1688" s="87" t="str">
        <f t="shared" si="104"/>
        <v>Friday</v>
      </c>
      <c r="C1688" s="88" t="s">
        <v>1381</v>
      </c>
      <c r="D1688" s="88" t="s">
        <v>715</v>
      </c>
      <c r="E1688" s="89">
        <v>35.76</v>
      </c>
      <c r="F1688" s="88" t="s">
        <v>5</v>
      </c>
      <c r="G1688" s="87">
        <f>Table1[[#This Row],[date]]</f>
        <v>45576</v>
      </c>
      <c r="H1688" s="94">
        <f>SUMIF($A$2:A5323,G1688,$E$2:E5323)</f>
        <v>748.9799999999999</v>
      </c>
      <c r="I1688" s="93" t="str">
        <f t="shared" si="105"/>
        <v>Friday</v>
      </c>
      <c r="J1688" s="93" t="str">
        <f t="shared" si="106"/>
        <v>October</v>
      </c>
      <c r="K1688" s="93" t="str">
        <f t="shared" si="107"/>
        <v>2024</v>
      </c>
      <c r="L1688" s="6"/>
      <c r="M1688" s="6"/>
      <c r="N1688" s="6"/>
    </row>
    <row r="1689" spans="1:14" x14ac:dyDescent="0.3">
      <c r="A1689" s="92">
        <v>45576</v>
      </c>
      <c r="B1689" s="92" t="str">
        <f t="shared" si="104"/>
        <v>Friday</v>
      </c>
      <c r="C1689" s="93" t="s">
        <v>1381</v>
      </c>
      <c r="D1689" s="93" t="s">
        <v>153</v>
      </c>
      <c r="E1689" s="94">
        <v>25.96</v>
      </c>
      <c r="F1689" s="93" t="s">
        <v>26</v>
      </c>
      <c r="G1689" s="87">
        <f>Table1[[#This Row],[date]]</f>
        <v>45576</v>
      </c>
      <c r="H1689" s="94">
        <f>SUMIF($A$2:A5324,G1689,$E$2:E5324)</f>
        <v>748.9799999999999</v>
      </c>
      <c r="I1689" s="93" t="str">
        <f t="shared" si="105"/>
        <v>Friday</v>
      </c>
      <c r="J1689" s="93" t="str">
        <f t="shared" si="106"/>
        <v>October</v>
      </c>
      <c r="K1689" s="93" t="str">
        <f t="shared" si="107"/>
        <v>2024</v>
      </c>
      <c r="L1689" s="6"/>
      <c r="M1689" s="6"/>
      <c r="N1689" s="6"/>
    </row>
    <row r="1690" spans="1:14" x14ac:dyDescent="0.3">
      <c r="A1690" s="87">
        <v>45576</v>
      </c>
      <c r="B1690" s="87" t="str">
        <f t="shared" si="104"/>
        <v>Friday</v>
      </c>
      <c r="C1690" s="88" t="s">
        <v>1381</v>
      </c>
      <c r="D1690" s="88" t="s">
        <v>582</v>
      </c>
      <c r="E1690" s="89">
        <v>35.76</v>
      </c>
      <c r="F1690" s="88" t="s">
        <v>5</v>
      </c>
      <c r="G1690" s="87">
        <f>Table1[[#This Row],[date]]</f>
        <v>45576</v>
      </c>
      <c r="H1690" s="94">
        <f>SUMIF($A$2:A5325,G1690,$E$2:E5325)</f>
        <v>748.9799999999999</v>
      </c>
      <c r="I1690" s="93" t="str">
        <f t="shared" si="105"/>
        <v>Friday</v>
      </c>
      <c r="J1690" s="93" t="str">
        <f t="shared" si="106"/>
        <v>October</v>
      </c>
      <c r="K1690" s="93" t="str">
        <f t="shared" si="107"/>
        <v>2024</v>
      </c>
      <c r="L1690" s="6"/>
      <c r="M1690" s="6"/>
      <c r="N1690" s="6"/>
    </row>
    <row r="1691" spans="1:14" x14ac:dyDescent="0.3">
      <c r="A1691" s="92">
        <v>45576</v>
      </c>
      <c r="B1691" s="92" t="str">
        <f t="shared" si="104"/>
        <v>Friday</v>
      </c>
      <c r="C1691" s="93" t="s">
        <v>1381</v>
      </c>
      <c r="D1691" s="93" t="s">
        <v>582</v>
      </c>
      <c r="E1691" s="94">
        <v>35.76</v>
      </c>
      <c r="F1691" s="93" t="s">
        <v>16</v>
      </c>
      <c r="G1691" s="87">
        <f>Table1[[#This Row],[date]]</f>
        <v>45576</v>
      </c>
      <c r="H1691" s="94">
        <f>SUMIF($A$2:A5326,G1691,$E$2:E5326)</f>
        <v>748.9799999999999</v>
      </c>
      <c r="I1691" s="93" t="str">
        <f t="shared" si="105"/>
        <v>Friday</v>
      </c>
      <c r="J1691" s="93" t="str">
        <f t="shared" si="106"/>
        <v>October</v>
      </c>
      <c r="K1691" s="93" t="str">
        <f t="shared" si="107"/>
        <v>2024</v>
      </c>
      <c r="L1691" s="6"/>
      <c r="M1691" s="6"/>
      <c r="N1691" s="6"/>
    </row>
    <row r="1692" spans="1:14" x14ac:dyDescent="0.3">
      <c r="A1692" s="87">
        <v>45576</v>
      </c>
      <c r="B1692" s="87" t="str">
        <f t="shared" si="104"/>
        <v>Friday</v>
      </c>
      <c r="C1692" s="88" t="s">
        <v>1381</v>
      </c>
      <c r="D1692" s="88" t="s">
        <v>737</v>
      </c>
      <c r="E1692" s="89">
        <v>35.76</v>
      </c>
      <c r="F1692" s="88" t="s">
        <v>16</v>
      </c>
      <c r="G1692" s="87">
        <f>Table1[[#This Row],[date]]</f>
        <v>45576</v>
      </c>
      <c r="H1692" s="94">
        <f>SUMIF($A$2:A5327,G1692,$E$2:E5327)</f>
        <v>748.9799999999999</v>
      </c>
      <c r="I1692" s="93" t="str">
        <f t="shared" si="105"/>
        <v>Friday</v>
      </c>
      <c r="J1692" s="93" t="str">
        <f t="shared" si="106"/>
        <v>October</v>
      </c>
      <c r="K1692" s="93" t="str">
        <f t="shared" si="107"/>
        <v>2024</v>
      </c>
      <c r="L1692" s="6"/>
      <c r="M1692" s="6"/>
      <c r="N1692" s="6"/>
    </row>
    <row r="1693" spans="1:14" x14ac:dyDescent="0.3">
      <c r="A1693" s="92">
        <v>45576</v>
      </c>
      <c r="B1693" s="92" t="str">
        <f t="shared" si="104"/>
        <v>Friday</v>
      </c>
      <c r="C1693" s="93" t="s">
        <v>1381</v>
      </c>
      <c r="D1693" s="93" t="s">
        <v>738</v>
      </c>
      <c r="E1693" s="94">
        <v>30.86</v>
      </c>
      <c r="F1693" s="93" t="s">
        <v>12</v>
      </c>
      <c r="G1693" s="87">
        <f>Table1[[#This Row],[date]]</f>
        <v>45576</v>
      </c>
      <c r="H1693" s="94">
        <f>SUMIF($A$2:A5328,G1693,$E$2:E5328)</f>
        <v>748.9799999999999</v>
      </c>
      <c r="I1693" s="93" t="str">
        <f t="shared" si="105"/>
        <v>Friday</v>
      </c>
      <c r="J1693" s="93" t="str">
        <f t="shared" si="106"/>
        <v>October</v>
      </c>
      <c r="K1693" s="93" t="str">
        <f t="shared" si="107"/>
        <v>2024</v>
      </c>
      <c r="L1693" s="6"/>
      <c r="M1693" s="6"/>
      <c r="N1693" s="6"/>
    </row>
    <row r="1694" spans="1:14" x14ac:dyDescent="0.3">
      <c r="A1694" s="87">
        <v>45576</v>
      </c>
      <c r="B1694" s="87" t="str">
        <f t="shared" si="104"/>
        <v>Friday</v>
      </c>
      <c r="C1694" s="88" t="s">
        <v>1381</v>
      </c>
      <c r="D1694" s="88" t="s">
        <v>755</v>
      </c>
      <c r="E1694" s="89">
        <v>35.76</v>
      </c>
      <c r="F1694" s="88" t="s">
        <v>7</v>
      </c>
      <c r="G1694" s="87">
        <f>Table1[[#This Row],[date]]</f>
        <v>45576</v>
      </c>
      <c r="H1694" s="94">
        <f>SUMIF($A$2:A5329,G1694,$E$2:E5329)</f>
        <v>748.9799999999999</v>
      </c>
      <c r="I1694" s="93" t="str">
        <f t="shared" si="105"/>
        <v>Friday</v>
      </c>
      <c r="J1694" s="93" t="str">
        <f t="shared" si="106"/>
        <v>October</v>
      </c>
      <c r="K1694" s="93" t="str">
        <f t="shared" si="107"/>
        <v>2024</v>
      </c>
      <c r="L1694" s="6"/>
      <c r="M1694" s="6"/>
      <c r="N1694" s="6"/>
    </row>
    <row r="1695" spans="1:14" x14ac:dyDescent="0.3">
      <c r="A1695" s="92">
        <v>45576</v>
      </c>
      <c r="B1695" s="92" t="str">
        <f t="shared" si="104"/>
        <v>Friday</v>
      </c>
      <c r="C1695" s="93" t="s">
        <v>1381</v>
      </c>
      <c r="D1695" s="93" t="s">
        <v>756</v>
      </c>
      <c r="E1695" s="94">
        <v>30.86</v>
      </c>
      <c r="F1695" s="93" t="s">
        <v>12</v>
      </c>
      <c r="G1695" s="87">
        <f>Table1[[#This Row],[date]]</f>
        <v>45576</v>
      </c>
      <c r="H1695" s="94">
        <f>SUMIF($A$2:A5330,G1695,$E$2:E5330)</f>
        <v>748.9799999999999</v>
      </c>
      <c r="I1695" s="93" t="str">
        <f t="shared" si="105"/>
        <v>Friday</v>
      </c>
      <c r="J1695" s="93" t="str">
        <f t="shared" si="106"/>
        <v>October</v>
      </c>
      <c r="K1695" s="93" t="str">
        <f t="shared" si="107"/>
        <v>2024</v>
      </c>
      <c r="L1695" s="6"/>
      <c r="M1695" s="6"/>
      <c r="N1695" s="6"/>
    </row>
    <row r="1696" spans="1:14" x14ac:dyDescent="0.3">
      <c r="A1696" s="87">
        <v>45576</v>
      </c>
      <c r="B1696" s="87" t="str">
        <f t="shared" si="104"/>
        <v>Friday</v>
      </c>
      <c r="C1696" s="88" t="s">
        <v>1381</v>
      </c>
      <c r="D1696" s="88" t="s">
        <v>414</v>
      </c>
      <c r="E1696" s="89">
        <v>25.96</v>
      </c>
      <c r="F1696" s="88" t="s">
        <v>26</v>
      </c>
      <c r="G1696" s="87">
        <f>Table1[[#This Row],[date]]</f>
        <v>45576</v>
      </c>
      <c r="H1696" s="94">
        <f>SUMIF($A$2:A5331,G1696,$E$2:E5331)</f>
        <v>748.9799999999999</v>
      </c>
      <c r="I1696" s="93" t="str">
        <f t="shared" si="105"/>
        <v>Friday</v>
      </c>
      <c r="J1696" s="93" t="str">
        <f t="shared" si="106"/>
        <v>October</v>
      </c>
      <c r="K1696" s="93" t="str">
        <f t="shared" si="107"/>
        <v>2024</v>
      </c>
      <c r="L1696" s="6"/>
      <c r="M1696" s="6"/>
      <c r="N1696" s="6"/>
    </row>
    <row r="1697" spans="1:14" x14ac:dyDescent="0.3">
      <c r="A1697" s="92">
        <v>45576</v>
      </c>
      <c r="B1697" s="92" t="str">
        <f t="shared" si="104"/>
        <v>Friday</v>
      </c>
      <c r="C1697" s="93" t="s">
        <v>1381</v>
      </c>
      <c r="D1697" s="93" t="s">
        <v>387</v>
      </c>
      <c r="E1697" s="94">
        <v>25.96</v>
      </c>
      <c r="F1697" s="93" t="s">
        <v>9</v>
      </c>
      <c r="G1697" s="87">
        <f>Table1[[#This Row],[date]]</f>
        <v>45576</v>
      </c>
      <c r="H1697" s="94">
        <f>SUMIF($A$2:A5332,G1697,$E$2:E5332)</f>
        <v>748.9799999999999</v>
      </c>
      <c r="I1697" s="93" t="str">
        <f t="shared" si="105"/>
        <v>Friday</v>
      </c>
      <c r="J1697" s="93" t="str">
        <f t="shared" si="106"/>
        <v>October</v>
      </c>
      <c r="K1697" s="93" t="str">
        <f t="shared" si="107"/>
        <v>2024</v>
      </c>
      <c r="L1697" s="6"/>
      <c r="M1697" s="6"/>
      <c r="N1697" s="6"/>
    </row>
    <row r="1698" spans="1:14" x14ac:dyDescent="0.3">
      <c r="A1698" s="92">
        <v>45576</v>
      </c>
      <c r="B1698" s="92" t="str">
        <f t="shared" si="104"/>
        <v>Friday</v>
      </c>
      <c r="C1698" s="93" t="s">
        <v>1381</v>
      </c>
      <c r="D1698" s="93" t="s">
        <v>254</v>
      </c>
      <c r="E1698" s="94">
        <v>30.86</v>
      </c>
      <c r="F1698" s="93" t="s">
        <v>12</v>
      </c>
      <c r="G1698" s="87">
        <f>Table1[[#This Row],[date]]</f>
        <v>45576</v>
      </c>
      <c r="H1698" s="94">
        <f>SUMIF($A$2:A5333,G1698,$E$2:E5333)</f>
        <v>748.9799999999999</v>
      </c>
      <c r="I1698" s="93" t="str">
        <f t="shared" si="105"/>
        <v>Friday</v>
      </c>
      <c r="J1698" s="93" t="str">
        <f t="shared" si="106"/>
        <v>October</v>
      </c>
      <c r="K1698" s="93" t="str">
        <f t="shared" si="107"/>
        <v>2024</v>
      </c>
      <c r="L1698" s="6"/>
      <c r="M1698" s="6"/>
      <c r="N1698" s="6"/>
    </row>
    <row r="1699" spans="1:14" x14ac:dyDescent="0.3">
      <c r="A1699" s="87">
        <v>45576</v>
      </c>
      <c r="B1699" s="87" t="str">
        <f t="shared" si="104"/>
        <v>Friday</v>
      </c>
      <c r="C1699" s="88" t="s">
        <v>1381</v>
      </c>
      <c r="D1699" s="88" t="s">
        <v>752</v>
      </c>
      <c r="E1699" s="89">
        <v>35.76</v>
      </c>
      <c r="F1699" s="88" t="s">
        <v>5</v>
      </c>
      <c r="G1699" s="87">
        <f>Table1[[#This Row],[date]]</f>
        <v>45576</v>
      </c>
      <c r="H1699" s="94">
        <f>SUMIF($A$2:A5334,G1699,$E$2:E5334)</f>
        <v>748.9799999999999</v>
      </c>
      <c r="I1699" s="93" t="str">
        <f t="shared" si="105"/>
        <v>Friday</v>
      </c>
      <c r="J1699" s="93" t="str">
        <f t="shared" si="106"/>
        <v>October</v>
      </c>
      <c r="K1699" s="93" t="str">
        <f t="shared" si="107"/>
        <v>2024</v>
      </c>
      <c r="L1699" s="6"/>
      <c r="M1699" s="6"/>
      <c r="N1699" s="6"/>
    </row>
    <row r="1700" spans="1:14" x14ac:dyDescent="0.3">
      <c r="A1700" s="92">
        <v>45576</v>
      </c>
      <c r="B1700" s="92" t="str">
        <f t="shared" si="104"/>
        <v>Friday</v>
      </c>
      <c r="C1700" s="93" t="s">
        <v>1381</v>
      </c>
      <c r="D1700" s="93" t="s">
        <v>21</v>
      </c>
      <c r="E1700" s="94">
        <v>25.96</v>
      </c>
      <c r="F1700" s="93" t="s">
        <v>9</v>
      </c>
      <c r="G1700" s="87">
        <f>Table1[[#This Row],[date]]</f>
        <v>45576</v>
      </c>
      <c r="H1700" s="94">
        <f>SUMIF($A$2:A5335,G1700,$E$2:E5335)</f>
        <v>748.9799999999999</v>
      </c>
      <c r="I1700" s="93" t="str">
        <f t="shared" si="105"/>
        <v>Friday</v>
      </c>
      <c r="J1700" s="93" t="str">
        <f t="shared" si="106"/>
        <v>October</v>
      </c>
      <c r="K1700" s="93" t="str">
        <f t="shared" si="107"/>
        <v>2024</v>
      </c>
      <c r="L1700" s="6"/>
      <c r="M1700" s="6"/>
      <c r="N1700" s="6"/>
    </row>
    <row r="1701" spans="1:14" x14ac:dyDescent="0.3">
      <c r="A1701" s="92">
        <v>45576</v>
      </c>
      <c r="B1701" s="92" t="str">
        <f t="shared" si="104"/>
        <v>Friday</v>
      </c>
      <c r="C1701" s="93" t="s">
        <v>1381</v>
      </c>
      <c r="D1701" s="93" t="s">
        <v>757</v>
      </c>
      <c r="E1701" s="94">
        <v>35.76</v>
      </c>
      <c r="F1701" s="93" t="s">
        <v>16</v>
      </c>
      <c r="G1701" s="87">
        <f>Table1[[#This Row],[date]]</f>
        <v>45576</v>
      </c>
      <c r="H1701" s="94">
        <f>SUMIF($A$2:A5336,G1701,$E$2:E5336)</f>
        <v>748.9799999999999</v>
      </c>
      <c r="I1701" s="93" t="str">
        <f t="shared" si="105"/>
        <v>Friday</v>
      </c>
      <c r="J1701" s="93" t="str">
        <f t="shared" si="106"/>
        <v>October</v>
      </c>
      <c r="K1701" s="93" t="str">
        <f t="shared" si="107"/>
        <v>2024</v>
      </c>
      <c r="L1701" s="6"/>
      <c r="M1701" s="6"/>
      <c r="N1701" s="6"/>
    </row>
    <row r="1702" spans="1:14" x14ac:dyDescent="0.3">
      <c r="A1702" s="87">
        <v>45576</v>
      </c>
      <c r="B1702" s="87" t="str">
        <f t="shared" si="104"/>
        <v>Friday</v>
      </c>
      <c r="C1702" s="88" t="s">
        <v>1381</v>
      </c>
      <c r="D1702" s="88" t="s">
        <v>757</v>
      </c>
      <c r="E1702" s="89">
        <v>25.96</v>
      </c>
      <c r="F1702" s="88" t="s">
        <v>9</v>
      </c>
      <c r="G1702" s="87">
        <f>Table1[[#This Row],[date]]</f>
        <v>45576</v>
      </c>
      <c r="H1702" s="94">
        <f>SUMIF($A$2:A5337,G1702,$E$2:E5337)</f>
        <v>748.9799999999999</v>
      </c>
      <c r="I1702" s="93" t="str">
        <f t="shared" si="105"/>
        <v>Friday</v>
      </c>
      <c r="J1702" s="93" t="str">
        <f t="shared" si="106"/>
        <v>October</v>
      </c>
      <c r="K1702" s="93" t="str">
        <f t="shared" si="107"/>
        <v>2024</v>
      </c>
      <c r="L1702" s="6"/>
      <c r="M1702" s="6"/>
      <c r="N1702" s="6"/>
    </row>
    <row r="1703" spans="1:14" x14ac:dyDescent="0.3">
      <c r="A1703" s="92">
        <v>45576</v>
      </c>
      <c r="B1703" s="92" t="str">
        <f t="shared" si="104"/>
        <v>Friday</v>
      </c>
      <c r="C1703" s="93" t="s">
        <v>1381</v>
      </c>
      <c r="D1703" s="93" t="s">
        <v>726</v>
      </c>
      <c r="E1703" s="94">
        <v>35.76</v>
      </c>
      <c r="F1703" s="93" t="s">
        <v>41</v>
      </c>
      <c r="G1703" s="87">
        <f>Table1[[#This Row],[date]]</f>
        <v>45576</v>
      </c>
      <c r="H1703" s="94">
        <f>SUMIF($A$2:A5338,G1703,$E$2:E5338)</f>
        <v>748.9799999999999</v>
      </c>
      <c r="I1703" s="93" t="str">
        <f t="shared" si="105"/>
        <v>Friday</v>
      </c>
      <c r="J1703" s="93" t="str">
        <f t="shared" si="106"/>
        <v>October</v>
      </c>
      <c r="K1703" s="93" t="str">
        <f t="shared" si="107"/>
        <v>2024</v>
      </c>
      <c r="L1703" s="6"/>
      <c r="M1703" s="6"/>
      <c r="N1703" s="6"/>
    </row>
    <row r="1704" spans="1:14" x14ac:dyDescent="0.3">
      <c r="A1704" s="87">
        <v>45576</v>
      </c>
      <c r="B1704" s="87" t="str">
        <f t="shared" si="104"/>
        <v>Friday</v>
      </c>
      <c r="C1704" s="88" t="s">
        <v>1381</v>
      </c>
      <c r="D1704" s="88" t="s">
        <v>758</v>
      </c>
      <c r="E1704" s="89">
        <v>35.76</v>
      </c>
      <c r="F1704" s="88" t="s">
        <v>5</v>
      </c>
      <c r="G1704" s="87">
        <f>Table1[[#This Row],[date]]</f>
        <v>45576</v>
      </c>
      <c r="H1704" s="94">
        <f>SUMIF($A$2:A5339,G1704,$E$2:E5339)</f>
        <v>748.9799999999999</v>
      </c>
      <c r="I1704" s="93" t="str">
        <f t="shared" si="105"/>
        <v>Friday</v>
      </c>
      <c r="J1704" s="93" t="str">
        <f t="shared" si="106"/>
        <v>October</v>
      </c>
      <c r="K1704" s="93" t="str">
        <f t="shared" si="107"/>
        <v>2024</v>
      </c>
      <c r="L1704" s="6"/>
      <c r="M1704" s="6"/>
      <c r="N1704" s="6"/>
    </row>
    <row r="1705" spans="1:14" x14ac:dyDescent="0.3">
      <c r="A1705" s="92">
        <v>45576</v>
      </c>
      <c r="B1705" s="92" t="str">
        <f t="shared" si="104"/>
        <v>Friday</v>
      </c>
      <c r="C1705" s="93" t="s">
        <v>1381</v>
      </c>
      <c r="D1705" s="93" t="s">
        <v>758</v>
      </c>
      <c r="E1705" s="94">
        <v>35.76</v>
      </c>
      <c r="F1705" s="93" t="s">
        <v>7</v>
      </c>
      <c r="G1705" s="87">
        <f>Table1[[#This Row],[date]]</f>
        <v>45576</v>
      </c>
      <c r="H1705" s="94">
        <f>SUMIF($A$2:A5340,G1705,$E$2:E5340)</f>
        <v>748.9799999999999</v>
      </c>
      <c r="I1705" s="93" t="str">
        <f t="shared" si="105"/>
        <v>Friday</v>
      </c>
      <c r="J1705" s="93" t="str">
        <f t="shared" si="106"/>
        <v>October</v>
      </c>
      <c r="K1705" s="93" t="str">
        <f t="shared" si="107"/>
        <v>2024</v>
      </c>
      <c r="L1705" s="6"/>
      <c r="M1705" s="6"/>
      <c r="N1705" s="6"/>
    </row>
    <row r="1706" spans="1:14" x14ac:dyDescent="0.3">
      <c r="A1706" s="87">
        <v>45576</v>
      </c>
      <c r="B1706" s="87" t="str">
        <f t="shared" si="104"/>
        <v>Friday</v>
      </c>
      <c r="C1706" s="88" t="s">
        <v>1381</v>
      </c>
      <c r="D1706" s="88" t="s">
        <v>759</v>
      </c>
      <c r="E1706" s="89">
        <v>35.76</v>
      </c>
      <c r="F1706" s="88" t="s">
        <v>7</v>
      </c>
      <c r="G1706" s="87">
        <f>Table1[[#This Row],[date]]</f>
        <v>45576</v>
      </c>
      <c r="H1706" s="94">
        <f>SUMIF($A$2:A5341,G1706,$E$2:E5341)</f>
        <v>748.9799999999999</v>
      </c>
      <c r="I1706" s="93" t="str">
        <f t="shared" si="105"/>
        <v>Friday</v>
      </c>
      <c r="J1706" s="93" t="str">
        <f t="shared" si="106"/>
        <v>October</v>
      </c>
      <c r="K1706" s="93" t="str">
        <f t="shared" si="107"/>
        <v>2024</v>
      </c>
      <c r="L1706" s="6"/>
      <c r="M1706" s="6"/>
      <c r="N1706" s="6"/>
    </row>
    <row r="1707" spans="1:14" x14ac:dyDescent="0.3">
      <c r="A1707" s="92">
        <v>45576</v>
      </c>
      <c r="B1707" s="92" t="str">
        <f t="shared" si="104"/>
        <v>Friday</v>
      </c>
      <c r="C1707" s="93" t="s">
        <v>1381</v>
      </c>
      <c r="D1707" s="93" t="s">
        <v>702</v>
      </c>
      <c r="E1707" s="94">
        <v>35.76</v>
      </c>
      <c r="F1707" s="93" t="s">
        <v>5</v>
      </c>
      <c r="G1707" s="87">
        <f>Table1[[#This Row],[date]]</f>
        <v>45576</v>
      </c>
      <c r="H1707" s="94">
        <f>SUMIF($A$2:A5342,G1707,$E$2:E5342)</f>
        <v>748.9799999999999</v>
      </c>
      <c r="I1707" s="93" t="str">
        <f t="shared" si="105"/>
        <v>Friday</v>
      </c>
      <c r="J1707" s="93" t="str">
        <f t="shared" si="106"/>
        <v>October</v>
      </c>
      <c r="K1707" s="93" t="str">
        <f t="shared" si="107"/>
        <v>2024</v>
      </c>
      <c r="L1707" s="6"/>
      <c r="M1707" s="6"/>
      <c r="N1707" s="6"/>
    </row>
    <row r="1708" spans="1:14" x14ac:dyDescent="0.3">
      <c r="A1708" s="87">
        <v>45576</v>
      </c>
      <c r="B1708" s="87" t="str">
        <f t="shared" si="104"/>
        <v>Friday</v>
      </c>
      <c r="C1708" s="88" t="s">
        <v>1381</v>
      </c>
      <c r="D1708" s="88" t="s">
        <v>760</v>
      </c>
      <c r="E1708" s="89">
        <v>30.86</v>
      </c>
      <c r="F1708" s="88" t="s">
        <v>12</v>
      </c>
      <c r="G1708" s="87">
        <f>Table1[[#This Row],[date]]</f>
        <v>45576</v>
      </c>
      <c r="H1708" s="94">
        <f>SUMIF($A$2:A5343,G1708,$E$2:E5343)</f>
        <v>748.9799999999999</v>
      </c>
      <c r="I1708" s="93" t="str">
        <f t="shared" si="105"/>
        <v>Friday</v>
      </c>
      <c r="J1708" s="93" t="str">
        <f t="shared" si="106"/>
        <v>October</v>
      </c>
      <c r="K1708" s="93" t="str">
        <f t="shared" si="107"/>
        <v>2024</v>
      </c>
      <c r="L1708" s="6"/>
      <c r="M1708" s="6"/>
      <c r="N1708" s="6"/>
    </row>
    <row r="1709" spans="1:14" x14ac:dyDescent="0.3">
      <c r="A1709" s="92">
        <v>45576</v>
      </c>
      <c r="B1709" s="92" t="str">
        <f t="shared" si="104"/>
        <v>Friday</v>
      </c>
      <c r="C1709" s="93" t="s">
        <v>1381</v>
      </c>
      <c r="D1709" s="93" t="s">
        <v>761</v>
      </c>
      <c r="E1709" s="94">
        <v>35.76</v>
      </c>
      <c r="F1709" s="93" t="s">
        <v>7</v>
      </c>
      <c r="G1709" s="87">
        <f>Table1[[#This Row],[date]]</f>
        <v>45576</v>
      </c>
      <c r="H1709" s="94">
        <f>SUMIF($A$2:A5344,G1709,$E$2:E5344)</f>
        <v>748.9799999999999</v>
      </c>
      <c r="I1709" s="93" t="str">
        <f t="shared" si="105"/>
        <v>Friday</v>
      </c>
      <c r="J1709" s="93" t="str">
        <f t="shared" si="106"/>
        <v>October</v>
      </c>
      <c r="K1709" s="93" t="str">
        <f t="shared" si="107"/>
        <v>2024</v>
      </c>
      <c r="L1709" s="6"/>
      <c r="M1709" s="6"/>
      <c r="N1709" s="6"/>
    </row>
    <row r="1710" spans="1:14" x14ac:dyDescent="0.3">
      <c r="A1710" s="92">
        <v>45577</v>
      </c>
      <c r="B1710" s="92" t="str">
        <f t="shared" si="104"/>
        <v>Saturday</v>
      </c>
      <c r="C1710" s="93" t="s">
        <v>1381</v>
      </c>
      <c r="D1710" s="93" t="s">
        <v>153</v>
      </c>
      <c r="E1710" s="94">
        <v>25.96</v>
      </c>
      <c r="F1710" s="93" t="s">
        <v>26</v>
      </c>
      <c r="G1710" s="87">
        <f>Table1[[#This Row],[date]]</f>
        <v>45577</v>
      </c>
      <c r="H1710" s="94">
        <f>SUMIF($A$2:A5345,G1710,$E$2:E5345)</f>
        <v>154.30000000000001</v>
      </c>
      <c r="I1710" s="93" t="str">
        <f t="shared" si="105"/>
        <v>Saturday</v>
      </c>
      <c r="J1710" s="93" t="str">
        <f t="shared" si="106"/>
        <v>October</v>
      </c>
      <c r="K1710" s="93" t="str">
        <f t="shared" si="107"/>
        <v>2024</v>
      </c>
      <c r="L1710" s="6"/>
      <c r="M1710" s="6"/>
      <c r="N1710" s="6"/>
    </row>
    <row r="1711" spans="1:14" x14ac:dyDescent="0.3">
      <c r="A1711" s="87">
        <v>45577</v>
      </c>
      <c r="B1711" s="87" t="str">
        <f t="shared" si="104"/>
        <v>Saturday</v>
      </c>
      <c r="C1711" s="88" t="s">
        <v>1381</v>
      </c>
      <c r="D1711" s="88" t="s">
        <v>662</v>
      </c>
      <c r="E1711" s="89">
        <v>25.96</v>
      </c>
      <c r="F1711" s="88" t="s">
        <v>26</v>
      </c>
      <c r="G1711" s="87">
        <f>Table1[[#This Row],[date]]</f>
        <v>45577</v>
      </c>
      <c r="H1711" s="94">
        <f>SUMIF($A$2:A5346,G1711,$E$2:E5346)</f>
        <v>154.30000000000001</v>
      </c>
      <c r="I1711" s="93" t="str">
        <f t="shared" si="105"/>
        <v>Saturday</v>
      </c>
      <c r="J1711" s="93" t="str">
        <f t="shared" si="106"/>
        <v>October</v>
      </c>
      <c r="K1711" s="93" t="str">
        <f t="shared" si="107"/>
        <v>2024</v>
      </c>
      <c r="L1711" s="6"/>
      <c r="M1711" s="6"/>
      <c r="N1711" s="6"/>
    </row>
    <row r="1712" spans="1:14" x14ac:dyDescent="0.3">
      <c r="A1712" s="87">
        <v>45577</v>
      </c>
      <c r="B1712" s="87" t="str">
        <f t="shared" si="104"/>
        <v>Saturday</v>
      </c>
      <c r="C1712" s="88" t="s">
        <v>1381</v>
      </c>
      <c r="D1712" s="88" t="s">
        <v>519</v>
      </c>
      <c r="E1712" s="89">
        <v>35.76</v>
      </c>
      <c r="F1712" s="88" t="s">
        <v>5</v>
      </c>
      <c r="G1712" s="87">
        <f>Table1[[#This Row],[date]]</f>
        <v>45577</v>
      </c>
      <c r="H1712" s="94">
        <f>SUMIF($A$2:A5347,G1712,$E$2:E5347)</f>
        <v>154.30000000000001</v>
      </c>
      <c r="I1712" s="93" t="str">
        <f t="shared" si="105"/>
        <v>Saturday</v>
      </c>
      <c r="J1712" s="93" t="str">
        <f t="shared" si="106"/>
        <v>October</v>
      </c>
      <c r="K1712" s="93" t="str">
        <f t="shared" si="107"/>
        <v>2024</v>
      </c>
      <c r="L1712" s="6"/>
      <c r="M1712" s="6"/>
      <c r="N1712" s="6"/>
    </row>
    <row r="1713" spans="1:14" x14ac:dyDescent="0.3">
      <c r="A1713" s="92">
        <v>45577</v>
      </c>
      <c r="B1713" s="92" t="str">
        <f t="shared" si="104"/>
        <v>Saturday</v>
      </c>
      <c r="C1713" s="93" t="s">
        <v>1381</v>
      </c>
      <c r="D1713" s="93" t="s">
        <v>762</v>
      </c>
      <c r="E1713" s="94">
        <v>30.86</v>
      </c>
      <c r="F1713" s="93" t="s">
        <v>12</v>
      </c>
      <c r="G1713" s="87">
        <f>Table1[[#This Row],[date]]</f>
        <v>45577</v>
      </c>
      <c r="H1713" s="94">
        <f>SUMIF($A$2:A5348,G1713,$E$2:E5348)</f>
        <v>154.30000000000001</v>
      </c>
      <c r="I1713" s="93" t="str">
        <f t="shared" si="105"/>
        <v>Saturday</v>
      </c>
      <c r="J1713" s="93" t="str">
        <f t="shared" si="106"/>
        <v>October</v>
      </c>
      <c r="K1713" s="93" t="str">
        <f t="shared" si="107"/>
        <v>2024</v>
      </c>
      <c r="L1713" s="6"/>
      <c r="M1713" s="6"/>
      <c r="N1713" s="6"/>
    </row>
    <row r="1714" spans="1:14" x14ac:dyDescent="0.3">
      <c r="A1714" s="87">
        <v>45577</v>
      </c>
      <c r="B1714" s="87" t="str">
        <f t="shared" si="104"/>
        <v>Saturday</v>
      </c>
      <c r="C1714" s="88" t="s">
        <v>1381</v>
      </c>
      <c r="D1714" s="88" t="s">
        <v>763</v>
      </c>
      <c r="E1714" s="89">
        <v>35.76</v>
      </c>
      <c r="F1714" s="88" t="s">
        <v>41</v>
      </c>
      <c r="G1714" s="87">
        <f>Table1[[#This Row],[date]]</f>
        <v>45577</v>
      </c>
      <c r="H1714" s="94">
        <f>SUMIF($A$2:A5349,G1714,$E$2:E5349)</f>
        <v>154.30000000000001</v>
      </c>
      <c r="I1714" s="93" t="str">
        <f t="shared" si="105"/>
        <v>Saturday</v>
      </c>
      <c r="J1714" s="93" t="str">
        <f t="shared" si="106"/>
        <v>October</v>
      </c>
      <c r="K1714" s="93" t="str">
        <f t="shared" si="107"/>
        <v>2024</v>
      </c>
      <c r="L1714" s="6"/>
      <c r="M1714" s="6"/>
      <c r="N1714" s="6"/>
    </row>
    <row r="1715" spans="1:14" x14ac:dyDescent="0.3">
      <c r="A1715" s="87">
        <v>45578</v>
      </c>
      <c r="B1715" s="87" t="str">
        <f t="shared" si="104"/>
        <v>Sunday</v>
      </c>
      <c r="C1715" s="88" t="s">
        <v>1381</v>
      </c>
      <c r="D1715" s="88" t="s">
        <v>153</v>
      </c>
      <c r="E1715" s="89">
        <v>25.96</v>
      </c>
      <c r="F1715" s="88" t="s">
        <v>26</v>
      </c>
      <c r="G1715" s="87">
        <f>Table1[[#This Row],[date]]</f>
        <v>45578</v>
      </c>
      <c r="H1715" s="94">
        <f>SUMIF($A$2:A5350,G1715,$E$2:E5350)</f>
        <v>211.11999999999998</v>
      </c>
      <c r="I1715" s="93" t="str">
        <f t="shared" si="105"/>
        <v>Sunday</v>
      </c>
      <c r="J1715" s="93" t="str">
        <f t="shared" si="106"/>
        <v>October</v>
      </c>
      <c r="K1715" s="93" t="str">
        <f t="shared" si="107"/>
        <v>2024</v>
      </c>
      <c r="L1715" s="6"/>
      <c r="M1715" s="6"/>
      <c r="N1715" s="6"/>
    </row>
    <row r="1716" spans="1:14" x14ac:dyDescent="0.3">
      <c r="A1716" s="92">
        <v>45578</v>
      </c>
      <c r="B1716" s="92" t="str">
        <f t="shared" si="104"/>
        <v>Sunday</v>
      </c>
      <c r="C1716" s="93" t="s">
        <v>1381</v>
      </c>
      <c r="D1716" s="93" t="s">
        <v>764</v>
      </c>
      <c r="E1716" s="94">
        <v>30.86</v>
      </c>
      <c r="F1716" s="93" t="s">
        <v>12</v>
      </c>
      <c r="G1716" s="87">
        <f>Table1[[#This Row],[date]]</f>
        <v>45578</v>
      </c>
      <c r="H1716" s="94">
        <f>SUMIF($A$2:A5351,G1716,$E$2:E5351)</f>
        <v>211.11999999999998</v>
      </c>
      <c r="I1716" s="93" t="str">
        <f t="shared" si="105"/>
        <v>Sunday</v>
      </c>
      <c r="J1716" s="93" t="str">
        <f t="shared" si="106"/>
        <v>October</v>
      </c>
      <c r="K1716" s="93" t="str">
        <f t="shared" si="107"/>
        <v>2024</v>
      </c>
      <c r="L1716" s="6"/>
      <c r="M1716" s="6"/>
      <c r="N1716" s="6"/>
    </row>
    <row r="1717" spans="1:14" x14ac:dyDescent="0.3">
      <c r="A1717" s="87">
        <v>45578</v>
      </c>
      <c r="B1717" s="87" t="str">
        <f t="shared" si="104"/>
        <v>Sunday</v>
      </c>
      <c r="C1717" s="88" t="s">
        <v>1381</v>
      </c>
      <c r="D1717" s="88" t="s">
        <v>662</v>
      </c>
      <c r="E1717" s="89">
        <v>25.96</v>
      </c>
      <c r="F1717" s="88" t="s">
        <v>26</v>
      </c>
      <c r="G1717" s="87">
        <f>Table1[[#This Row],[date]]</f>
        <v>45578</v>
      </c>
      <c r="H1717" s="94">
        <f>SUMIF($A$2:A5352,G1717,$E$2:E5352)</f>
        <v>211.11999999999998</v>
      </c>
      <c r="I1717" s="93" t="str">
        <f t="shared" si="105"/>
        <v>Sunday</v>
      </c>
      <c r="J1717" s="93" t="str">
        <f t="shared" si="106"/>
        <v>October</v>
      </c>
      <c r="K1717" s="93" t="str">
        <f t="shared" si="107"/>
        <v>2024</v>
      </c>
      <c r="L1717" s="6"/>
      <c r="M1717" s="6"/>
      <c r="N1717" s="6"/>
    </row>
    <row r="1718" spans="1:14" x14ac:dyDescent="0.3">
      <c r="A1718" s="92">
        <v>45578</v>
      </c>
      <c r="B1718" s="92" t="str">
        <f t="shared" si="104"/>
        <v>Sunday</v>
      </c>
      <c r="C1718" s="93" t="s">
        <v>1381</v>
      </c>
      <c r="D1718" s="93" t="s">
        <v>662</v>
      </c>
      <c r="E1718" s="94">
        <v>21.06</v>
      </c>
      <c r="F1718" s="93" t="s">
        <v>33</v>
      </c>
      <c r="G1718" s="87">
        <f>Table1[[#This Row],[date]]</f>
        <v>45578</v>
      </c>
      <c r="H1718" s="94">
        <f>SUMIF($A$2:A5353,G1718,$E$2:E5353)</f>
        <v>211.11999999999998</v>
      </c>
      <c r="I1718" s="93" t="str">
        <f t="shared" si="105"/>
        <v>Sunday</v>
      </c>
      <c r="J1718" s="93" t="str">
        <f t="shared" si="106"/>
        <v>October</v>
      </c>
      <c r="K1718" s="93" t="str">
        <f t="shared" si="107"/>
        <v>2024</v>
      </c>
      <c r="L1718" s="6"/>
      <c r="M1718" s="6"/>
      <c r="N1718" s="6"/>
    </row>
    <row r="1719" spans="1:14" x14ac:dyDescent="0.3">
      <c r="A1719" s="92">
        <v>45578</v>
      </c>
      <c r="B1719" s="92" t="str">
        <f t="shared" si="104"/>
        <v>Sunday</v>
      </c>
      <c r="C1719" s="93" t="s">
        <v>1381</v>
      </c>
      <c r="D1719" s="93" t="s">
        <v>519</v>
      </c>
      <c r="E1719" s="94">
        <v>35.76</v>
      </c>
      <c r="F1719" s="93" t="s">
        <v>5</v>
      </c>
      <c r="G1719" s="87">
        <f>Table1[[#This Row],[date]]</f>
        <v>45578</v>
      </c>
      <c r="H1719" s="94">
        <f>SUMIF($A$2:A5354,G1719,$E$2:E5354)</f>
        <v>211.11999999999998</v>
      </c>
      <c r="I1719" s="93" t="str">
        <f t="shared" si="105"/>
        <v>Sunday</v>
      </c>
      <c r="J1719" s="93" t="str">
        <f t="shared" si="106"/>
        <v>October</v>
      </c>
      <c r="K1719" s="93" t="str">
        <f t="shared" si="107"/>
        <v>2024</v>
      </c>
      <c r="L1719" s="6"/>
      <c r="M1719" s="6"/>
      <c r="N1719" s="6"/>
    </row>
    <row r="1720" spans="1:14" x14ac:dyDescent="0.3">
      <c r="A1720" s="92">
        <v>45578</v>
      </c>
      <c r="B1720" s="92" t="str">
        <f t="shared" si="104"/>
        <v>Sunday</v>
      </c>
      <c r="C1720" s="93" t="s">
        <v>1381</v>
      </c>
      <c r="D1720" s="93" t="s">
        <v>765</v>
      </c>
      <c r="E1720" s="94">
        <v>35.76</v>
      </c>
      <c r="F1720" s="93" t="s">
        <v>41</v>
      </c>
      <c r="G1720" s="87">
        <f>Table1[[#This Row],[date]]</f>
        <v>45578</v>
      </c>
      <c r="H1720" s="94">
        <f>SUMIF($A$2:A5355,G1720,$E$2:E5355)</f>
        <v>211.11999999999998</v>
      </c>
      <c r="I1720" s="93" t="str">
        <f t="shared" si="105"/>
        <v>Sunday</v>
      </c>
      <c r="J1720" s="93" t="str">
        <f t="shared" si="106"/>
        <v>October</v>
      </c>
      <c r="K1720" s="93" t="str">
        <f t="shared" si="107"/>
        <v>2024</v>
      </c>
      <c r="L1720" s="6"/>
      <c r="M1720" s="6"/>
      <c r="N1720" s="6"/>
    </row>
    <row r="1721" spans="1:14" x14ac:dyDescent="0.3">
      <c r="A1721" s="87">
        <v>45578</v>
      </c>
      <c r="B1721" s="87" t="str">
        <f t="shared" si="104"/>
        <v>Sunday</v>
      </c>
      <c r="C1721" s="88" t="s">
        <v>1381</v>
      </c>
      <c r="D1721" s="88" t="s">
        <v>269</v>
      </c>
      <c r="E1721" s="89">
        <v>35.76</v>
      </c>
      <c r="F1721" s="88" t="s">
        <v>41</v>
      </c>
      <c r="G1721" s="87">
        <f>Table1[[#This Row],[date]]</f>
        <v>45578</v>
      </c>
      <c r="H1721" s="94">
        <f>SUMIF($A$2:A5356,G1721,$E$2:E5356)</f>
        <v>211.11999999999998</v>
      </c>
      <c r="I1721" s="93" t="str">
        <f t="shared" si="105"/>
        <v>Sunday</v>
      </c>
      <c r="J1721" s="93" t="str">
        <f t="shared" si="106"/>
        <v>October</v>
      </c>
      <c r="K1721" s="93" t="str">
        <f t="shared" si="107"/>
        <v>2024</v>
      </c>
      <c r="L1721" s="6"/>
      <c r="M1721" s="6"/>
      <c r="N1721" s="6"/>
    </row>
    <row r="1722" spans="1:14" x14ac:dyDescent="0.3">
      <c r="A1722" s="92">
        <v>45579</v>
      </c>
      <c r="B1722" s="92" t="str">
        <f t="shared" si="104"/>
        <v>Monday</v>
      </c>
      <c r="C1722" s="93" t="s">
        <v>1381</v>
      </c>
      <c r="D1722" s="93" t="s">
        <v>288</v>
      </c>
      <c r="E1722" s="94">
        <v>30.86</v>
      </c>
      <c r="F1722" s="93" t="s">
        <v>12</v>
      </c>
      <c r="G1722" s="87">
        <f>Table1[[#This Row],[date]]</f>
        <v>45579</v>
      </c>
      <c r="H1722" s="94">
        <f>SUMIF($A$2:A5357,G1722,$E$2:E5357)</f>
        <v>466.33999999999992</v>
      </c>
      <c r="I1722" s="93" t="str">
        <f t="shared" si="105"/>
        <v>Monday</v>
      </c>
      <c r="J1722" s="93" t="str">
        <f t="shared" si="106"/>
        <v>October</v>
      </c>
      <c r="K1722" s="93" t="str">
        <f t="shared" si="107"/>
        <v>2024</v>
      </c>
      <c r="L1722" s="6"/>
      <c r="M1722" s="6"/>
      <c r="N1722" s="6"/>
    </row>
    <row r="1723" spans="1:14" x14ac:dyDescent="0.3">
      <c r="A1723" s="87">
        <v>45579</v>
      </c>
      <c r="B1723" s="87" t="str">
        <f t="shared" si="104"/>
        <v>Monday</v>
      </c>
      <c r="C1723" s="88" t="s">
        <v>1381</v>
      </c>
      <c r="D1723" s="88" t="s">
        <v>766</v>
      </c>
      <c r="E1723" s="89">
        <v>35.76</v>
      </c>
      <c r="F1723" s="88" t="s">
        <v>16</v>
      </c>
      <c r="G1723" s="87">
        <f>Table1[[#This Row],[date]]</f>
        <v>45579</v>
      </c>
      <c r="H1723" s="94">
        <f>SUMIF($A$2:A5358,G1723,$E$2:E5358)</f>
        <v>466.33999999999992</v>
      </c>
      <c r="I1723" s="93" t="str">
        <f t="shared" si="105"/>
        <v>Monday</v>
      </c>
      <c r="J1723" s="93" t="str">
        <f t="shared" si="106"/>
        <v>October</v>
      </c>
      <c r="K1723" s="93" t="str">
        <f t="shared" si="107"/>
        <v>2024</v>
      </c>
      <c r="L1723" s="6"/>
      <c r="M1723" s="6"/>
      <c r="N1723" s="6"/>
    </row>
    <row r="1724" spans="1:14" x14ac:dyDescent="0.3">
      <c r="A1724" s="92">
        <v>45579</v>
      </c>
      <c r="B1724" s="92" t="str">
        <f t="shared" si="104"/>
        <v>Monday</v>
      </c>
      <c r="C1724" s="93" t="s">
        <v>1381</v>
      </c>
      <c r="D1724" s="93" t="s">
        <v>153</v>
      </c>
      <c r="E1724" s="94">
        <v>25.96</v>
      </c>
      <c r="F1724" s="93" t="s">
        <v>26</v>
      </c>
      <c r="G1724" s="87">
        <f>Table1[[#This Row],[date]]</f>
        <v>45579</v>
      </c>
      <c r="H1724" s="94">
        <f>SUMIF($A$2:A5359,G1724,$E$2:E5359)</f>
        <v>466.33999999999992</v>
      </c>
      <c r="I1724" s="93" t="str">
        <f t="shared" si="105"/>
        <v>Monday</v>
      </c>
      <c r="J1724" s="93" t="str">
        <f t="shared" si="106"/>
        <v>October</v>
      </c>
      <c r="K1724" s="93" t="str">
        <f t="shared" si="107"/>
        <v>2024</v>
      </c>
      <c r="L1724" s="6"/>
      <c r="M1724" s="6"/>
      <c r="N1724" s="6"/>
    </row>
    <row r="1725" spans="1:14" x14ac:dyDescent="0.3">
      <c r="A1725" s="87">
        <v>45579</v>
      </c>
      <c r="B1725" s="87" t="str">
        <f t="shared" si="104"/>
        <v>Monday</v>
      </c>
      <c r="C1725" s="88" t="s">
        <v>1381</v>
      </c>
      <c r="D1725" s="88" t="s">
        <v>452</v>
      </c>
      <c r="E1725" s="89">
        <v>35.76</v>
      </c>
      <c r="F1725" s="88" t="s">
        <v>5</v>
      </c>
      <c r="G1725" s="87">
        <f>Table1[[#This Row],[date]]</f>
        <v>45579</v>
      </c>
      <c r="H1725" s="94">
        <f>SUMIF($A$2:A5360,G1725,$E$2:E5360)</f>
        <v>466.33999999999992</v>
      </c>
      <c r="I1725" s="93" t="str">
        <f t="shared" si="105"/>
        <v>Monday</v>
      </c>
      <c r="J1725" s="93" t="str">
        <f t="shared" si="106"/>
        <v>October</v>
      </c>
      <c r="K1725" s="93" t="str">
        <f t="shared" si="107"/>
        <v>2024</v>
      </c>
      <c r="L1725" s="6"/>
      <c r="M1725" s="6"/>
      <c r="N1725" s="6"/>
    </row>
    <row r="1726" spans="1:14" x14ac:dyDescent="0.3">
      <c r="A1726" s="87">
        <v>45579</v>
      </c>
      <c r="B1726" s="87" t="str">
        <f t="shared" si="104"/>
        <v>Monday</v>
      </c>
      <c r="C1726" s="88" t="s">
        <v>1381</v>
      </c>
      <c r="D1726" s="88" t="s">
        <v>767</v>
      </c>
      <c r="E1726" s="89">
        <v>35.76</v>
      </c>
      <c r="F1726" s="88" t="s">
        <v>41</v>
      </c>
      <c r="G1726" s="87">
        <f>Table1[[#This Row],[date]]</f>
        <v>45579</v>
      </c>
      <c r="H1726" s="94">
        <f>SUMIF($A$2:A5361,G1726,$E$2:E5361)</f>
        <v>466.33999999999992</v>
      </c>
      <c r="I1726" s="93" t="str">
        <f t="shared" si="105"/>
        <v>Monday</v>
      </c>
      <c r="J1726" s="93" t="str">
        <f t="shared" si="106"/>
        <v>October</v>
      </c>
      <c r="K1726" s="93" t="str">
        <f t="shared" si="107"/>
        <v>2024</v>
      </c>
      <c r="L1726" s="6"/>
      <c r="M1726" s="6"/>
      <c r="N1726" s="6"/>
    </row>
    <row r="1727" spans="1:14" x14ac:dyDescent="0.3">
      <c r="A1727" s="92">
        <v>45579</v>
      </c>
      <c r="B1727" s="92" t="str">
        <f t="shared" si="104"/>
        <v>Monday</v>
      </c>
      <c r="C1727" s="93" t="s">
        <v>1381</v>
      </c>
      <c r="D1727" s="93" t="s">
        <v>237</v>
      </c>
      <c r="E1727" s="94">
        <v>25.96</v>
      </c>
      <c r="F1727" s="93" t="s">
        <v>9</v>
      </c>
      <c r="G1727" s="87">
        <f>Table1[[#This Row],[date]]</f>
        <v>45579</v>
      </c>
      <c r="H1727" s="94">
        <f>SUMIF($A$2:A5362,G1727,$E$2:E5362)</f>
        <v>466.33999999999992</v>
      </c>
      <c r="I1727" s="93" t="str">
        <f t="shared" si="105"/>
        <v>Monday</v>
      </c>
      <c r="J1727" s="93" t="str">
        <f t="shared" si="106"/>
        <v>October</v>
      </c>
      <c r="K1727" s="93" t="str">
        <f t="shared" si="107"/>
        <v>2024</v>
      </c>
      <c r="L1727" s="6"/>
      <c r="M1727" s="6"/>
      <c r="N1727" s="6"/>
    </row>
    <row r="1728" spans="1:14" x14ac:dyDescent="0.3">
      <c r="A1728" s="92">
        <v>45579</v>
      </c>
      <c r="B1728" s="92" t="str">
        <f t="shared" si="104"/>
        <v>Monday</v>
      </c>
      <c r="C1728" s="93" t="s">
        <v>1381</v>
      </c>
      <c r="D1728" s="93" t="s">
        <v>768</v>
      </c>
      <c r="E1728" s="94">
        <v>35.76</v>
      </c>
      <c r="F1728" s="93" t="s">
        <v>5</v>
      </c>
      <c r="G1728" s="87">
        <f>Table1[[#This Row],[date]]</f>
        <v>45579</v>
      </c>
      <c r="H1728" s="94">
        <f>SUMIF($A$2:A5363,G1728,$E$2:E5363)</f>
        <v>466.33999999999992</v>
      </c>
      <c r="I1728" s="93" t="str">
        <f t="shared" si="105"/>
        <v>Monday</v>
      </c>
      <c r="J1728" s="93" t="str">
        <f t="shared" si="106"/>
        <v>October</v>
      </c>
      <c r="K1728" s="93" t="str">
        <f t="shared" si="107"/>
        <v>2024</v>
      </c>
      <c r="L1728" s="6"/>
      <c r="M1728" s="6"/>
      <c r="N1728" s="6"/>
    </row>
    <row r="1729" spans="1:14" x14ac:dyDescent="0.3">
      <c r="A1729" s="87">
        <v>45579</v>
      </c>
      <c r="B1729" s="87" t="str">
        <f t="shared" si="104"/>
        <v>Monday</v>
      </c>
      <c r="C1729" s="88" t="s">
        <v>1381</v>
      </c>
      <c r="D1729" s="88" t="s">
        <v>519</v>
      </c>
      <c r="E1729" s="89">
        <v>35.76</v>
      </c>
      <c r="F1729" s="88" t="s">
        <v>5</v>
      </c>
      <c r="G1729" s="87">
        <f>Table1[[#This Row],[date]]</f>
        <v>45579</v>
      </c>
      <c r="H1729" s="94">
        <f>SUMIF($A$2:A5364,G1729,$E$2:E5364)</f>
        <v>466.33999999999992</v>
      </c>
      <c r="I1729" s="93" t="str">
        <f t="shared" si="105"/>
        <v>Monday</v>
      </c>
      <c r="J1729" s="93" t="str">
        <f t="shared" si="106"/>
        <v>October</v>
      </c>
      <c r="K1729" s="93" t="str">
        <f t="shared" si="107"/>
        <v>2024</v>
      </c>
      <c r="L1729" s="6"/>
      <c r="M1729" s="6"/>
      <c r="N1729" s="6"/>
    </row>
    <row r="1730" spans="1:14" x14ac:dyDescent="0.3">
      <c r="A1730" s="92">
        <v>45579</v>
      </c>
      <c r="B1730" s="92" t="str">
        <f t="shared" ref="B1730:B1793" si="108">TEXT(A1730,"dddd")</f>
        <v>Monday</v>
      </c>
      <c r="C1730" s="93" t="s">
        <v>1381</v>
      </c>
      <c r="D1730" s="93" t="s">
        <v>769</v>
      </c>
      <c r="E1730" s="94">
        <v>25.96</v>
      </c>
      <c r="F1730" s="93" t="s">
        <v>9</v>
      </c>
      <c r="G1730" s="87">
        <f>Table1[[#This Row],[date]]</f>
        <v>45579</v>
      </c>
      <c r="H1730" s="94">
        <f>SUMIF($A$2:A5365,G1730,$E$2:E5365)</f>
        <v>466.33999999999992</v>
      </c>
      <c r="I1730" s="93" t="str">
        <f t="shared" si="105"/>
        <v>Monday</v>
      </c>
      <c r="J1730" s="93" t="str">
        <f t="shared" si="106"/>
        <v>October</v>
      </c>
      <c r="K1730" s="93" t="str">
        <f t="shared" si="107"/>
        <v>2024</v>
      </c>
      <c r="L1730" s="6"/>
      <c r="M1730" s="6"/>
      <c r="N1730" s="6"/>
    </row>
    <row r="1731" spans="1:14" x14ac:dyDescent="0.3">
      <c r="A1731" s="87">
        <v>45579</v>
      </c>
      <c r="B1731" s="87" t="str">
        <f t="shared" si="108"/>
        <v>Monday</v>
      </c>
      <c r="C1731" s="88" t="s">
        <v>1381</v>
      </c>
      <c r="D1731" s="88" t="s">
        <v>770</v>
      </c>
      <c r="E1731" s="89">
        <v>35.76</v>
      </c>
      <c r="F1731" s="88" t="s">
        <v>5</v>
      </c>
      <c r="G1731" s="87">
        <f>Table1[[#This Row],[date]]</f>
        <v>45579</v>
      </c>
      <c r="H1731" s="94">
        <f>SUMIF($A$2:A5366,G1731,$E$2:E5366)</f>
        <v>466.33999999999992</v>
      </c>
      <c r="I1731" s="93" t="str">
        <f t="shared" si="105"/>
        <v>Monday</v>
      </c>
      <c r="J1731" s="93" t="str">
        <f t="shared" si="106"/>
        <v>October</v>
      </c>
      <c r="K1731" s="93" t="str">
        <f t="shared" si="107"/>
        <v>2024</v>
      </c>
      <c r="L1731" s="6"/>
      <c r="M1731" s="6"/>
      <c r="N1731" s="6"/>
    </row>
    <row r="1732" spans="1:14" x14ac:dyDescent="0.3">
      <c r="A1732" s="92">
        <v>45579</v>
      </c>
      <c r="B1732" s="92" t="str">
        <f t="shared" si="108"/>
        <v>Monday</v>
      </c>
      <c r="C1732" s="93" t="s">
        <v>1381</v>
      </c>
      <c r="D1732" s="93" t="s">
        <v>770</v>
      </c>
      <c r="E1732" s="94">
        <v>35.76</v>
      </c>
      <c r="F1732" s="93" t="s">
        <v>41</v>
      </c>
      <c r="G1732" s="87">
        <f>Table1[[#This Row],[date]]</f>
        <v>45579</v>
      </c>
      <c r="H1732" s="94">
        <f>SUMIF($A$2:A5367,G1732,$E$2:E5367)</f>
        <v>466.33999999999992</v>
      </c>
      <c r="I1732" s="93" t="str">
        <f t="shared" si="105"/>
        <v>Monday</v>
      </c>
      <c r="J1732" s="93" t="str">
        <f t="shared" si="106"/>
        <v>October</v>
      </c>
      <c r="K1732" s="93" t="str">
        <f t="shared" si="107"/>
        <v>2024</v>
      </c>
      <c r="L1732" s="6"/>
      <c r="M1732" s="6"/>
      <c r="N1732" s="6"/>
    </row>
    <row r="1733" spans="1:14" x14ac:dyDescent="0.3">
      <c r="A1733" s="87">
        <v>45579</v>
      </c>
      <c r="B1733" s="87" t="str">
        <f t="shared" si="108"/>
        <v>Monday</v>
      </c>
      <c r="C1733" s="88" t="s">
        <v>1381</v>
      </c>
      <c r="D1733" s="88" t="s">
        <v>771</v>
      </c>
      <c r="E1733" s="89">
        <v>35.76</v>
      </c>
      <c r="F1733" s="88" t="s">
        <v>5</v>
      </c>
      <c r="G1733" s="87">
        <f>Table1[[#This Row],[date]]</f>
        <v>45579</v>
      </c>
      <c r="H1733" s="94">
        <f>SUMIF($A$2:A5368,G1733,$E$2:E5368)</f>
        <v>466.33999999999992</v>
      </c>
      <c r="I1733" s="93" t="str">
        <f t="shared" si="105"/>
        <v>Monday</v>
      </c>
      <c r="J1733" s="93" t="str">
        <f t="shared" si="106"/>
        <v>October</v>
      </c>
      <c r="K1733" s="93" t="str">
        <f t="shared" si="107"/>
        <v>2024</v>
      </c>
      <c r="L1733" s="6"/>
      <c r="M1733" s="6"/>
      <c r="N1733" s="6"/>
    </row>
    <row r="1734" spans="1:14" x14ac:dyDescent="0.3">
      <c r="A1734" s="92">
        <v>45579</v>
      </c>
      <c r="B1734" s="92" t="str">
        <f t="shared" si="108"/>
        <v>Monday</v>
      </c>
      <c r="C1734" s="93" t="s">
        <v>1381</v>
      </c>
      <c r="D1734" s="93" t="s">
        <v>772</v>
      </c>
      <c r="E1734" s="94">
        <v>35.76</v>
      </c>
      <c r="F1734" s="93" t="s">
        <v>5</v>
      </c>
      <c r="G1734" s="87">
        <f>Table1[[#This Row],[date]]</f>
        <v>45579</v>
      </c>
      <c r="H1734" s="94">
        <f>SUMIF($A$2:A5369,G1734,$E$2:E5369)</f>
        <v>466.33999999999992</v>
      </c>
      <c r="I1734" s="93" t="str">
        <f t="shared" ref="I1734:I1797" si="109">TEXT(G1734,"dddd")</f>
        <v>Monday</v>
      </c>
      <c r="J1734" s="93" t="str">
        <f t="shared" si="106"/>
        <v>October</v>
      </c>
      <c r="K1734" s="93" t="str">
        <f t="shared" si="107"/>
        <v>2024</v>
      </c>
      <c r="L1734" s="6"/>
      <c r="M1734" s="6"/>
      <c r="N1734" s="6"/>
    </row>
    <row r="1735" spans="1:14" x14ac:dyDescent="0.3">
      <c r="A1735" s="87">
        <v>45579</v>
      </c>
      <c r="B1735" s="87" t="str">
        <f t="shared" si="108"/>
        <v>Monday</v>
      </c>
      <c r="C1735" s="88" t="s">
        <v>1381</v>
      </c>
      <c r="D1735" s="88" t="s">
        <v>522</v>
      </c>
      <c r="E1735" s="89">
        <v>35.76</v>
      </c>
      <c r="F1735" s="88" t="s">
        <v>5</v>
      </c>
      <c r="G1735" s="87">
        <f>Table1[[#This Row],[date]]</f>
        <v>45579</v>
      </c>
      <c r="H1735" s="94">
        <f>SUMIF($A$2:A5370,G1735,$E$2:E5370)</f>
        <v>466.33999999999992</v>
      </c>
      <c r="I1735" s="93" t="str">
        <f t="shared" si="109"/>
        <v>Monday</v>
      </c>
      <c r="J1735" s="93" t="str">
        <f t="shared" ref="J1735:J1798" si="110">TEXT(G1735,"mmmm")</f>
        <v>October</v>
      </c>
      <c r="K1735" s="93" t="str">
        <f t="shared" ref="K1735:K1798" si="111">TEXT(G1735,"yyyy")</f>
        <v>2024</v>
      </c>
      <c r="L1735" s="6"/>
      <c r="M1735" s="6"/>
      <c r="N1735" s="6"/>
    </row>
    <row r="1736" spans="1:14" x14ac:dyDescent="0.3">
      <c r="A1736" s="92">
        <v>45580</v>
      </c>
      <c r="B1736" s="92" t="str">
        <f t="shared" si="108"/>
        <v>Tuesday</v>
      </c>
      <c r="C1736" s="93" t="s">
        <v>1381</v>
      </c>
      <c r="D1736" s="93" t="s">
        <v>153</v>
      </c>
      <c r="E1736" s="94">
        <v>25.96</v>
      </c>
      <c r="F1736" s="93" t="s">
        <v>26</v>
      </c>
      <c r="G1736" s="87">
        <f>Table1[[#This Row],[date]]</f>
        <v>45580</v>
      </c>
      <c r="H1736" s="94">
        <f>SUMIF($A$2:A5371,G1736,$E$2:E5371)</f>
        <v>508.45999999999987</v>
      </c>
      <c r="I1736" s="93" t="str">
        <f t="shared" si="109"/>
        <v>Tuesday</v>
      </c>
      <c r="J1736" s="93" t="str">
        <f t="shared" si="110"/>
        <v>October</v>
      </c>
      <c r="K1736" s="93" t="str">
        <f t="shared" si="111"/>
        <v>2024</v>
      </c>
      <c r="L1736" s="6"/>
      <c r="M1736" s="6"/>
      <c r="N1736" s="6"/>
    </row>
    <row r="1737" spans="1:14" x14ac:dyDescent="0.3">
      <c r="A1737" s="87">
        <v>45580</v>
      </c>
      <c r="B1737" s="87" t="str">
        <f t="shared" si="108"/>
        <v>Tuesday</v>
      </c>
      <c r="C1737" s="88" t="s">
        <v>1381</v>
      </c>
      <c r="D1737" s="88" t="s">
        <v>773</v>
      </c>
      <c r="E1737" s="89">
        <v>21.06</v>
      </c>
      <c r="F1737" s="88" t="s">
        <v>33</v>
      </c>
      <c r="G1737" s="87">
        <f>Table1[[#This Row],[date]]</f>
        <v>45580</v>
      </c>
      <c r="H1737" s="94">
        <f>SUMIF($A$2:A5372,G1737,$E$2:E5372)</f>
        <v>508.45999999999987</v>
      </c>
      <c r="I1737" s="93" t="str">
        <f t="shared" si="109"/>
        <v>Tuesday</v>
      </c>
      <c r="J1737" s="93" t="str">
        <f t="shared" si="110"/>
        <v>October</v>
      </c>
      <c r="K1737" s="93" t="str">
        <f t="shared" si="111"/>
        <v>2024</v>
      </c>
      <c r="L1737" s="6"/>
      <c r="M1737" s="6"/>
      <c r="N1737" s="6"/>
    </row>
    <row r="1738" spans="1:14" x14ac:dyDescent="0.3">
      <c r="A1738" s="92">
        <v>45580</v>
      </c>
      <c r="B1738" s="92" t="str">
        <f t="shared" si="108"/>
        <v>Tuesday</v>
      </c>
      <c r="C1738" s="93" t="s">
        <v>1381</v>
      </c>
      <c r="D1738" s="93" t="s">
        <v>774</v>
      </c>
      <c r="E1738" s="94">
        <v>35.76</v>
      </c>
      <c r="F1738" s="93" t="s">
        <v>7</v>
      </c>
      <c r="G1738" s="87">
        <f>Table1[[#This Row],[date]]</f>
        <v>45580</v>
      </c>
      <c r="H1738" s="94">
        <f>SUMIF($A$2:A5373,G1738,$E$2:E5373)</f>
        <v>508.45999999999987</v>
      </c>
      <c r="I1738" s="93" t="str">
        <f t="shared" si="109"/>
        <v>Tuesday</v>
      </c>
      <c r="J1738" s="93" t="str">
        <f t="shared" si="110"/>
        <v>October</v>
      </c>
      <c r="K1738" s="93" t="str">
        <f t="shared" si="111"/>
        <v>2024</v>
      </c>
      <c r="L1738" s="6"/>
      <c r="M1738" s="6"/>
      <c r="N1738" s="6"/>
    </row>
    <row r="1739" spans="1:14" x14ac:dyDescent="0.3">
      <c r="A1739" s="87">
        <v>45580</v>
      </c>
      <c r="B1739" s="87" t="str">
        <f t="shared" si="108"/>
        <v>Tuesday</v>
      </c>
      <c r="C1739" s="88" t="s">
        <v>1381</v>
      </c>
      <c r="D1739" s="88" t="s">
        <v>748</v>
      </c>
      <c r="E1739" s="89">
        <v>35.76</v>
      </c>
      <c r="F1739" s="88" t="s">
        <v>5</v>
      </c>
      <c r="G1739" s="87">
        <f>Table1[[#This Row],[date]]</f>
        <v>45580</v>
      </c>
      <c r="H1739" s="94">
        <f>SUMIF($A$2:A5374,G1739,$E$2:E5374)</f>
        <v>508.45999999999987</v>
      </c>
      <c r="I1739" s="93" t="str">
        <f t="shared" si="109"/>
        <v>Tuesday</v>
      </c>
      <c r="J1739" s="93" t="str">
        <f t="shared" si="110"/>
        <v>October</v>
      </c>
      <c r="K1739" s="93" t="str">
        <f t="shared" si="111"/>
        <v>2024</v>
      </c>
      <c r="L1739" s="6"/>
      <c r="M1739" s="6"/>
      <c r="N1739" s="6"/>
    </row>
    <row r="1740" spans="1:14" x14ac:dyDescent="0.3">
      <c r="A1740" s="92">
        <v>45580</v>
      </c>
      <c r="B1740" s="92" t="str">
        <f t="shared" si="108"/>
        <v>Tuesday</v>
      </c>
      <c r="C1740" s="93" t="s">
        <v>1381</v>
      </c>
      <c r="D1740" s="93" t="s">
        <v>748</v>
      </c>
      <c r="E1740" s="94">
        <v>35.76</v>
      </c>
      <c r="F1740" s="93" t="s">
        <v>7</v>
      </c>
      <c r="G1740" s="87">
        <f>Table1[[#This Row],[date]]</f>
        <v>45580</v>
      </c>
      <c r="H1740" s="94">
        <f>SUMIF($A$2:A5375,G1740,$E$2:E5375)</f>
        <v>508.45999999999987</v>
      </c>
      <c r="I1740" s="93" t="str">
        <f t="shared" si="109"/>
        <v>Tuesday</v>
      </c>
      <c r="J1740" s="93" t="str">
        <f t="shared" si="110"/>
        <v>October</v>
      </c>
      <c r="K1740" s="93" t="str">
        <f t="shared" si="111"/>
        <v>2024</v>
      </c>
      <c r="L1740" s="6"/>
      <c r="M1740" s="6"/>
      <c r="N1740" s="6"/>
    </row>
    <row r="1741" spans="1:14" x14ac:dyDescent="0.3">
      <c r="A1741" s="87">
        <v>45580</v>
      </c>
      <c r="B1741" s="87" t="str">
        <f t="shared" si="108"/>
        <v>Tuesday</v>
      </c>
      <c r="C1741" s="88" t="s">
        <v>1381</v>
      </c>
      <c r="D1741" s="88" t="s">
        <v>775</v>
      </c>
      <c r="E1741" s="89">
        <v>35.76</v>
      </c>
      <c r="F1741" s="88" t="s">
        <v>5</v>
      </c>
      <c r="G1741" s="87">
        <f>Table1[[#This Row],[date]]</f>
        <v>45580</v>
      </c>
      <c r="H1741" s="94">
        <f>SUMIF($A$2:A5376,G1741,$E$2:E5376)</f>
        <v>508.45999999999987</v>
      </c>
      <c r="I1741" s="93" t="str">
        <f t="shared" si="109"/>
        <v>Tuesday</v>
      </c>
      <c r="J1741" s="93" t="str">
        <f t="shared" si="110"/>
        <v>October</v>
      </c>
      <c r="K1741" s="93" t="str">
        <f t="shared" si="111"/>
        <v>2024</v>
      </c>
      <c r="L1741" s="6"/>
      <c r="M1741" s="6"/>
      <c r="N1741" s="6"/>
    </row>
    <row r="1742" spans="1:14" x14ac:dyDescent="0.3">
      <c r="A1742" s="92">
        <v>45580</v>
      </c>
      <c r="B1742" s="92" t="str">
        <f t="shared" si="108"/>
        <v>Tuesday</v>
      </c>
      <c r="C1742" s="93" t="s">
        <v>1381</v>
      </c>
      <c r="D1742" s="93" t="s">
        <v>776</v>
      </c>
      <c r="E1742" s="94">
        <v>30.86</v>
      </c>
      <c r="F1742" s="93" t="s">
        <v>12</v>
      </c>
      <c r="G1742" s="87">
        <f>Table1[[#This Row],[date]]</f>
        <v>45580</v>
      </c>
      <c r="H1742" s="94">
        <f>SUMIF($A$2:A5377,G1742,$E$2:E5377)</f>
        <v>508.45999999999987</v>
      </c>
      <c r="I1742" s="93" t="str">
        <f t="shared" si="109"/>
        <v>Tuesday</v>
      </c>
      <c r="J1742" s="93" t="str">
        <f t="shared" si="110"/>
        <v>October</v>
      </c>
      <c r="K1742" s="93" t="str">
        <f t="shared" si="111"/>
        <v>2024</v>
      </c>
      <c r="L1742" s="6"/>
      <c r="M1742" s="6"/>
      <c r="N1742" s="6"/>
    </row>
    <row r="1743" spans="1:14" x14ac:dyDescent="0.3">
      <c r="A1743" s="87">
        <v>45580</v>
      </c>
      <c r="B1743" s="87" t="str">
        <f t="shared" si="108"/>
        <v>Tuesday</v>
      </c>
      <c r="C1743" s="88" t="s">
        <v>1381</v>
      </c>
      <c r="D1743" s="88" t="s">
        <v>695</v>
      </c>
      <c r="E1743" s="89">
        <v>35.76</v>
      </c>
      <c r="F1743" s="88" t="s">
        <v>5</v>
      </c>
      <c r="G1743" s="87">
        <f>Table1[[#This Row],[date]]</f>
        <v>45580</v>
      </c>
      <c r="H1743" s="94">
        <f>SUMIF($A$2:A5378,G1743,$E$2:E5378)</f>
        <v>508.45999999999987</v>
      </c>
      <c r="I1743" s="93" t="str">
        <f t="shared" si="109"/>
        <v>Tuesday</v>
      </c>
      <c r="J1743" s="93" t="str">
        <f t="shared" si="110"/>
        <v>October</v>
      </c>
      <c r="K1743" s="93" t="str">
        <f t="shared" si="111"/>
        <v>2024</v>
      </c>
      <c r="L1743" s="6"/>
      <c r="M1743" s="6"/>
      <c r="N1743" s="6"/>
    </row>
    <row r="1744" spans="1:14" x14ac:dyDescent="0.3">
      <c r="A1744" s="92">
        <v>45580</v>
      </c>
      <c r="B1744" s="92" t="str">
        <f t="shared" si="108"/>
        <v>Tuesday</v>
      </c>
      <c r="C1744" s="93" t="s">
        <v>1381</v>
      </c>
      <c r="D1744" s="93" t="s">
        <v>777</v>
      </c>
      <c r="E1744" s="94">
        <v>25.96</v>
      </c>
      <c r="F1744" s="93" t="s">
        <v>9</v>
      </c>
      <c r="G1744" s="87">
        <f>Table1[[#This Row],[date]]</f>
        <v>45580</v>
      </c>
      <c r="H1744" s="94">
        <f>SUMIF($A$2:A5379,G1744,$E$2:E5379)</f>
        <v>508.45999999999987</v>
      </c>
      <c r="I1744" s="93" t="str">
        <f t="shared" si="109"/>
        <v>Tuesday</v>
      </c>
      <c r="J1744" s="93" t="str">
        <f t="shared" si="110"/>
        <v>October</v>
      </c>
      <c r="K1744" s="93" t="str">
        <f t="shared" si="111"/>
        <v>2024</v>
      </c>
      <c r="L1744" s="6"/>
      <c r="M1744" s="6"/>
      <c r="N1744" s="6"/>
    </row>
    <row r="1745" spans="1:14" x14ac:dyDescent="0.3">
      <c r="A1745" s="87">
        <v>45580</v>
      </c>
      <c r="B1745" s="87" t="str">
        <f t="shared" si="108"/>
        <v>Tuesday</v>
      </c>
      <c r="C1745" s="88" t="s">
        <v>1381</v>
      </c>
      <c r="D1745" s="88" t="s">
        <v>777</v>
      </c>
      <c r="E1745" s="89">
        <v>21.06</v>
      </c>
      <c r="F1745" s="88" t="s">
        <v>33</v>
      </c>
      <c r="G1745" s="87">
        <f>Table1[[#This Row],[date]]</f>
        <v>45580</v>
      </c>
      <c r="H1745" s="94">
        <f>SUMIF($A$2:A5380,G1745,$E$2:E5380)</f>
        <v>508.45999999999987</v>
      </c>
      <c r="I1745" s="93" t="str">
        <f t="shared" si="109"/>
        <v>Tuesday</v>
      </c>
      <c r="J1745" s="93" t="str">
        <f t="shared" si="110"/>
        <v>October</v>
      </c>
      <c r="K1745" s="93" t="str">
        <f t="shared" si="111"/>
        <v>2024</v>
      </c>
      <c r="L1745" s="6"/>
      <c r="M1745" s="6"/>
      <c r="N1745" s="6"/>
    </row>
    <row r="1746" spans="1:14" x14ac:dyDescent="0.3">
      <c r="A1746" s="92">
        <v>45580</v>
      </c>
      <c r="B1746" s="92" t="str">
        <f t="shared" si="108"/>
        <v>Tuesday</v>
      </c>
      <c r="C1746" s="93" t="s">
        <v>1381</v>
      </c>
      <c r="D1746" s="93" t="s">
        <v>778</v>
      </c>
      <c r="E1746" s="94">
        <v>35.76</v>
      </c>
      <c r="F1746" s="93" t="s">
        <v>7</v>
      </c>
      <c r="G1746" s="87">
        <f>Table1[[#This Row],[date]]</f>
        <v>45580</v>
      </c>
      <c r="H1746" s="94">
        <f>SUMIF($A$2:A5381,G1746,$E$2:E5381)</f>
        <v>508.45999999999987</v>
      </c>
      <c r="I1746" s="93" t="str">
        <f t="shared" si="109"/>
        <v>Tuesday</v>
      </c>
      <c r="J1746" s="93" t="str">
        <f t="shared" si="110"/>
        <v>October</v>
      </c>
      <c r="K1746" s="93" t="str">
        <f t="shared" si="111"/>
        <v>2024</v>
      </c>
      <c r="L1746" s="6"/>
      <c r="M1746" s="6"/>
      <c r="N1746" s="6"/>
    </row>
    <row r="1747" spans="1:14" x14ac:dyDescent="0.3">
      <c r="A1747" s="87">
        <v>45580</v>
      </c>
      <c r="B1747" s="87" t="str">
        <f t="shared" si="108"/>
        <v>Tuesday</v>
      </c>
      <c r="C1747" s="88" t="s">
        <v>1381</v>
      </c>
      <c r="D1747" s="88" t="s">
        <v>779</v>
      </c>
      <c r="E1747" s="89">
        <v>25.96</v>
      </c>
      <c r="F1747" s="88" t="s">
        <v>9</v>
      </c>
      <c r="G1747" s="87">
        <f>Table1[[#This Row],[date]]</f>
        <v>45580</v>
      </c>
      <c r="H1747" s="94">
        <f>SUMIF($A$2:A5382,G1747,$E$2:E5382)</f>
        <v>508.45999999999987</v>
      </c>
      <c r="I1747" s="93" t="str">
        <f t="shared" si="109"/>
        <v>Tuesday</v>
      </c>
      <c r="J1747" s="93" t="str">
        <f t="shared" si="110"/>
        <v>October</v>
      </c>
      <c r="K1747" s="93" t="str">
        <f t="shared" si="111"/>
        <v>2024</v>
      </c>
      <c r="L1747" s="6"/>
      <c r="M1747" s="6"/>
      <c r="N1747" s="6"/>
    </row>
    <row r="1748" spans="1:14" x14ac:dyDescent="0.3">
      <c r="A1748" s="92">
        <v>45580</v>
      </c>
      <c r="B1748" s="92" t="str">
        <f t="shared" si="108"/>
        <v>Tuesday</v>
      </c>
      <c r="C1748" s="93" t="s">
        <v>1381</v>
      </c>
      <c r="D1748" s="93" t="s">
        <v>779</v>
      </c>
      <c r="E1748" s="94">
        <v>35.76</v>
      </c>
      <c r="F1748" s="93" t="s">
        <v>16</v>
      </c>
      <c r="G1748" s="87">
        <f>Table1[[#This Row],[date]]</f>
        <v>45580</v>
      </c>
      <c r="H1748" s="94">
        <f>SUMIF($A$2:A5383,G1748,$E$2:E5383)</f>
        <v>508.45999999999987</v>
      </c>
      <c r="I1748" s="93" t="str">
        <f t="shared" si="109"/>
        <v>Tuesday</v>
      </c>
      <c r="J1748" s="93" t="str">
        <f t="shared" si="110"/>
        <v>October</v>
      </c>
      <c r="K1748" s="93" t="str">
        <f t="shared" si="111"/>
        <v>2024</v>
      </c>
      <c r="L1748" s="6"/>
      <c r="M1748" s="6"/>
      <c r="N1748" s="6"/>
    </row>
    <row r="1749" spans="1:14" x14ac:dyDescent="0.3">
      <c r="A1749" s="87">
        <v>45580</v>
      </c>
      <c r="B1749" s="87" t="str">
        <f t="shared" si="108"/>
        <v>Tuesday</v>
      </c>
      <c r="C1749" s="88" t="s">
        <v>1381</v>
      </c>
      <c r="D1749" s="88" t="s">
        <v>519</v>
      </c>
      <c r="E1749" s="89">
        <v>35.76</v>
      </c>
      <c r="F1749" s="88" t="s">
        <v>5</v>
      </c>
      <c r="G1749" s="87">
        <f>Table1[[#This Row],[date]]</f>
        <v>45580</v>
      </c>
      <c r="H1749" s="94">
        <f>SUMIF($A$2:A5384,G1749,$E$2:E5384)</f>
        <v>508.45999999999987</v>
      </c>
      <c r="I1749" s="93" t="str">
        <f t="shared" si="109"/>
        <v>Tuesday</v>
      </c>
      <c r="J1749" s="93" t="str">
        <f t="shared" si="110"/>
        <v>October</v>
      </c>
      <c r="K1749" s="93" t="str">
        <f t="shared" si="111"/>
        <v>2024</v>
      </c>
      <c r="L1749" s="6"/>
      <c r="M1749" s="6"/>
      <c r="N1749" s="6"/>
    </row>
    <row r="1750" spans="1:14" x14ac:dyDescent="0.3">
      <c r="A1750" s="87">
        <v>45580</v>
      </c>
      <c r="B1750" s="87" t="str">
        <f t="shared" si="108"/>
        <v>Tuesday</v>
      </c>
      <c r="C1750" s="88" t="s">
        <v>1381</v>
      </c>
      <c r="D1750" s="88" t="s">
        <v>52</v>
      </c>
      <c r="E1750" s="89">
        <v>35.76</v>
      </c>
      <c r="F1750" s="88" t="s">
        <v>7</v>
      </c>
      <c r="G1750" s="87">
        <f>Table1[[#This Row],[date]]</f>
        <v>45580</v>
      </c>
      <c r="H1750" s="94">
        <f>SUMIF($A$2:A5385,G1750,$E$2:E5385)</f>
        <v>508.45999999999987</v>
      </c>
      <c r="I1750" s="93" t="str">
        <f t="shared" si="109"/>
        <v>Tuesday</v>
      </c>
      <c r="J1750" s="93" t="str">
        <f t="shared" si="110"/>
        <v>October</v>
      </c>
      <c r="K1750" s="93" t="str">
        <f t="shared" si="111"/>
        <v>2024</v>
      </c>
      <c r="L1750" s="6"/>
      <c r="M1750" s="6"/>
      <c r="N1750" s="6"/>
    </row>
    <row r="1751" spans="1:14" x14ac:dyDescent="0.3">
      <c r="A1751" s="87">
        <v>45580</v>
      </c>
      <c r="B1751" s="87" t="str">
        <f t="shared" si="108"/>
        <v>Tuesday</v>
      </c>
      <c r="C1751" s="88" t="s">
        <v>1381</v>
      </c>
      <c r="D1751" s="88" t="s">
        <v>702</v>
      </c>
      <c r="E1751" s="89">
        <v>35.76</v>
      </c>
      <c r="F1751" s="88" t="s">
        <v>5</v>
      </c>
      <c r="G1751" s="87">
        <f>Table1[[#This Row],[date]]</f>
        <v>45580</v>
      </c>
      <c r="H1751" s="94">
        <f>SUMIF($A$2:A5386,G1751,$E$2:E5386)</f>
        <v>508.45999999999987</v>
      </c>
      <c r="I1751" s="93" t="str">
        <f t="shared" si="109"/>
        <v>Tuesday</v>
      </c>
      <c r="J1751" s="93" t="str">
        <f t="shared" si="110"/>
        <v>October</v>
      </c>
      <c r="K1751" s="93" t="str">
        <f t="shared" si="111"/>
        <v>2024</v>
      </c>
      <c r="L1751" s="6"/>
      <c r="M1751" s="6"/>
      <c r="N1751" s="6"/>
    </row>
    <row r="1752" spans="1:14" x14ac:dyDescent="0.3">
      <c r="A1752" s="92">
        <v>45581</v>
      </c>
      <c r="B1752" s="92" t="str">
        <f t="shared" si="108"/>
        <v>Wednesday</v>
      </c>
      <c r="C1752" s="93" t="s">
        <v>1381</v>
      </c>
      <c r="D1752" s="93" t="s">
        <v>288</v>
      </c>
      <c r="E1752" s="94">
        <v>30.86</v>
      </c>
      <c r="F1752" s="93" t="s">
        <v>12</v>
      </c>
      <c r="G1752" s="87">
        <f>Table1[[#This Row],[date]]</f>
        <v>45581</v>
      </c>
      <c r="H1752" s="94">
        <f>SUMIF($A$2:A5387,G1752,$E$2:E5387)</f>
        <v>380.12000000000006</v>
      </c>
      <c r="I1752" s="93" t="str">
        <f t="shared" si="109"/>
        <v>Wednesday</v>
      </c>
      <c r="J1752" s="93" t="str">
        <f t="shared" si="110"/>
        <v>October</v>
      </c>
      <c r="K1752" s="93" t="str">
        <f t="shared" si="111"/>
        <v>2024</v>
      </c>
      <c r="L1752" s="6"/>
      <c r="M1752" s="6"/>
      <c r="N1752" s="6"/>
    </row>
    <row r="1753" spans="1:14" x14ac:dyDescent="0.3">
      <c r="A1753" s="87">
        <v>45581</v>
      </c>
      <c r="B1753" s="87" t="str">
        <f t="shared" si="108"/>
        <v>Wednesday</v>
      </c>
      <c r="C1753" s="88" t="s">
        <v>1381</v>
      </c>
      <c r="D1753" s="88" t="s">
        <v>708</v>
      </c>
      <c r="E1753" s="89">
        <v>35.76</v>
      </c>
      <c r="F1753" s="88" t="s">
        <v>7</v>
      </c>
      <c r="G1753" s="87">
        <f>Table1[[#This Row],[date]]</f>
        <v>45581</v>
      </c>
      <c r="H1753" s="94">
        <f>SUMIF($A$2:A5388,G1753,$E$2:E5388)</f>
        <v>380.12000000000006</v>
      </c>
      <c r="I1753" s="93" t="str">
        <f t="shared" si="109"/>
        <v>Wednesday</v>
      </c>
      <c r="J1753" s="93" t="str">
        <f t="shared" si="110"/>
        <v>October</v>
      </c>
      <c r="K1753" s="93" t="str">
        <f t="shared" si="111"/>
        <v>2024</v>
      </c>
      <c r="L1753" s="6"/>
      <c r="M1753" s="6"/>
      <c r="N1753" s="6"/>
    </row>
    <row r="1754" spans="1:14" x14ac:dyDescent="0.3">
      <c r="A1754" s="92">
        <v>45581</v>
      </c>
      <c r="B1754" s="92" t="str">
        <f t="shared" si="108"/>
        <v>Wednesday</v>
      </c>
      <c r="C1754" s="93" t="s">
        <v>1381</v>
      </c>
      <c r="D1754" s="93" t="s">
        <v>582</v>
      </c>
      <c r="E1754" s="94">
        <v>35.76</v>
      </c>
      <c r="F1754" s="93" t="s">
        <v>5</v>
      </c>
      <c r="G1754" s="87">
        <f>Table1[[#This Row],[date]]</f>
        <v>45581</v>
      </c>
      <c r="H1754" s="94">
        <f>SUMIF($A$2:A5389,G1754,$E$2:E5389)</f>
        <v>380.12000000000006</v>
      </c>
      <c r="I1754" s="93" t="str">
        <f t="shared" si="109"/>
        <v>Wednesday</v>
      </c>
      <c r="J1754" s="93" t="str">
        <f t="shared" si="110"/>
        <v>October</v>
      </c>
      <c r="K1754" s="93" t="str">
        <f t="shared" si="111"/>
        <v>2024</v>
      </c>
      <c r="L1754" s="6"/>
      <c r="M1754" s="6"/>
      <c r="N1754" s="6"/>
    </row>
    <row r="1755" spans="1:14" x14ac:dyDescent="0.3">
      <c r="A1755" s="87">
        <v>45581</v>
      </c>
      <c r="B1755" s="87" t="str">
        <f t="shared" si="108"/>
        <v>Wednesday</v>
      </c>
      <c r="C1755" s="88" t="s">
        <v>1381</v>
      </c>
      <c r="D1755" s="88" t="s">
        <v>583</v>
      </c>
      <c r="E1755" s="89">
        <v>30.86</v>
      </c>
      <c r="F1755" s="88" t="s">
        <v>12</v>
      </c>
      <c r="G1755" s="87">
        <f>Table1[[#This Row],[date]]</f>
        <v>45581</v>
      </c>
      <c r="H1755" s="94">
        <f>SUMIF($A$2:A5390,G1755,$E$2:E5390)</f>
        <v>380.12000000000006</v>
      </c>
      <c r="I1755" s="93" t="str">
        <f t="shared" si="109"/>
        <v>Wednesday</v>
      </c>
      <c r="J1755" s="93" t="str">
        <f t="shared" si="110"/>
        <v>October</v>
      </c>
      <c r="K1755" s="93" t="str">
        <f t="shared" si="111"/>
        <v>2024</v>
      </c>
      <c r="L1755" s="6"/>
      <c r="M1755" s="6"/>
      <c r="N1755" s="6"/>
    </row>
    <row r="1756" spans="1:14" x14ac:dyDescent="0.3">
      <c r="A1756" s="87">
        <v>45581</v>
      </c>
      <c r="B1756" s="87" t="str">
        <f t="shared" si="108"/>
        <v>Wednesday</v>
      </c>
      <c r="C1756" s="88" t="s">
        <v>1381</v>
      </c>
      <c r="D1756" s="88" t="s">
        <v>345</v>
      </c>
      <c r="E1756" s="89">
        <v>30.86</v>
      </c>
      <c r="F1756" s="88" t="s">
        <v>12</v>
      </c>
      <c r="G1756" s="87">
        <f>Table1[[#This Row],[date]]</f>
        <v>45581</v>
      </c>
      <c r="H1756" s="94">
        <f>SUMIF($A$2:A5391,G1756,$E$2:E5391)</f>
        <v>380.12000000000006</v>
      </c>
      <c r="I1756" s="93" t="str">
        <f t="shared" si="109"/>
        <v>Wednesday</v>
      </c>
      <c r="J1756" s="93" t="str">
        <f t="shared" si="110"/>
        <v>October</v>
      </c>
      <c r="K1756" s="93" t="str">
        <f t="shared" si="111"/>
        <v>2024</v>
      </c>
      <c r="L1756" s="6"/>
      <c r="M1756" s="6"/>
      <c r="N1756" s="6"/>
    </row>
    <row r="1757" spans="1:14" x14ac:dyDescent="0.3">
      <c r="A1757" s="92">
        <v>45581</v>
      </c>
      <c r="B1757" s="92" t="str">
        <f t="shared" si="108"/>
        <v>Wednesday</v>
      </c>
      <c r="C1757" s="93" t="s">
        <v>1381</v>
      </c>
      <c r="D1757" s="93" t="s">
        <v>780</v>
      </c>
      <c r="E1757" s="94">
        <v>25.96</v>
      </c>
      <c r="F1757" s="93" t="s">
        <v>9</v>
      </c>
      <c r="G1757" s="87">
        <f>Table1[[#This Row],[date]]</f>
        <v>45581</v>
      </c>
      <c r="H1757" s="94">
        <f>SUMIF($A$2:A5392,G1757,$E$2:E5392)</f>
        <v>380.12000000000006</v>
      </c>
      <c r="I1757" s="93" t="str">
        <f t="shared" si="109"/>
        <v>Wednesday</v>
      </c>
      <c r="J1757" s="93" t="str">
        <f t="shared" si="110"/>
        <v>October</v>
      </c>
      <c r="K1757" s="93" t="str">
        <f t="shared" si="111"/>
        <v>2024</v>
      </c>
      <c r="L1757" s="6"/>
      <c r="M1757" s="6"/>
      <c r="N1757" s="6"/>
    </row>
    <row r="1758" spans="1:14" x14ac:dyDescent="0.3">
      <c r="A1758" s="87">
        <v>45581</v>
      </c>
      <c r="B1758" s="87" t="str">
        <f t="shared" si="108"/>
        <v>Wednesday</v>
      </c>
      <c r="C1758" s="88" t="s">
        <v>1381</v>
      </c>
      <c r="D1758" s="88" t="s">
        <v>781</v>
      </c>
      <c r="E1758" s="89">
        <v>30.86</v>
      </c>
      <c r="F1758" s="88" t="s">
        <v>12</v>
      </c>
      <c r="G1758" s="87">
        <f>Table1[[#This Row],[date]]</f>
        <v>45581</v>
      </c>
      <c r="H1758" s="94">
        <f>SUMIF($A$2:A5393,G1758,$E$2:E5393)</f>
        <v>380.12000000000006</v>
      </c>
      <c r="I1758" s="93" t="str">
        <f t="shared" si="109"/>
        <v>Wednesday</v>
      </c>
      <c r="J1758" s="93" t="str">
        <f t="shared" si="110"/>
        <v>October</v>
      </c>
      <c r="K1758" s="93" t="str">
        <f t="shared" si="111"/>
        <v>2024</v>
      </c>
      <c r="L1758" s="6"/>
      <c r="M1758" s="6"/>
      <c r="N1758" s="6"/>
    </row>
    <row r="1759" spans="1:14" x14ac:dyDescent="0.3">
      <c r="A1759" s="92">
        <v>45581</v>
      </c>
      <c r="B1759" s="92" t="str">
        <f t="shared" si="108"/>
        <v>Wednesday</v>
      </c>
      <c r="C1759" s="93" t="s">
        <v>1381</v>
      </c>
      <c r="D1759" s="93" t="s">
        <v>776</v>
      </c>
      <c r="E1759" s="94">
        <v>25.96</v>
      </c>
      <c r="F1759" s="93" t="s">
        <v>9</v>
      </c>
      <c r="G1759" s="87">
        <f>Table1[[#This Row],[date]]</f>
        <v>45581</v>
      </c>
      <c r="H1759" s="94">
        <f>SUMIF($A$2:A5394,G1759,$E$2:E5394)</f>
        <v>380.12000000000006</v>
      </c>
      <c r="I1759" s="93" t="str">
        <f t="shared" si="109"/>
        <v>Wednesday</v>
      </c>
      <c r="J1759" s="93" t="str">
        <f t="shared" si="110"/>
        <v>October</v>
      </c>
      <c r="K1759" s="93" t="str">
        <f t="shared" si="111"/>
        <v>2024</v>
      </c>
      <c r="L1759" s="6"/>
      <c r="M1759" s="6"/>
      <c r="N1759" s="6"/>
    </row>
    <row r="1760" spans="1:14" x14ac:dyDescent="0.3">
      <c r="A1760" s="87">
        <v>45581</v>
      </c>
      <c r="B1760" s="87" t="str">
        <f t="shared" si="108"/>
        <v>Wednesday</v>
      </c>
      <c r="C1760" s="88" t="s">
        <v>1381</v>
      </c>
      <c r="D1760" s="88" t="s">
        <v>782</v>
      </c>
      <c r="E1760" s="89">
        <v>35.76</v>
      </c>
      <c r="F1760" s="88" t="s">
        <v>5</v>
      </c>
      <c r="G1760" s="87">
        <f>Table1[[#This Row],[date]]</f>
        <v>45581</v>
      </c>
      <c r="H1760" s="94">
        <f>SUMIF($A$2:A5395,G1760,$E$2:E5395)</f>
        <v>380.12000000000006</v>
      </c>
      <c r="I1760" s="93" t="str">
        <f t="shared" si="109"/>
        <v>Wednesday</v>
      </c>
      <c r="J1760" s="93" t="str">
        <f t="shared" si="110"/>
        <v>October</v>
      </c>
      <c r="K1760" s="93" t="str">
        <f t="shared" si="111"/>
        <v>2024</v>
      </c>
      <c r="L1760" s="6"/>
      <c r="M1760" s="6"/>
      <c r="N1760" s="6"/>
    </row>
    <row r="1761" spans="1:14" x14ac:dyDescent="0.3">
      <c r="A1761" s="92">
        <v>45581</v>
      </c>
      <c r="B1761" s="92" t="str">
        <f t="shared" si="108"/>
        <v>Wednesday</v>
      </c>
      <c r="C1761" s="93" t="s">
        <v>1381</v>
      </c>
      <c r="D1761" s="93" t="s">
        <v>522</v>
      </c>
      <c r="E1761" s="94">
        <v>30.86</v>
      </c>
      <c r="F1761" s="93" t="s">
        <v>12</v>
      </c>
      <c r="G1761" s="87">
        <f>Table1[[#This Row],[date]]</f>
        <v>45581</v>
      </c>
      <c r="H1761" s="94">
        <f>SUMIF($A$2:A5396,G1761,$E$2:E5396)</f>
        <v>380.12000000000006</v>
      </c>
      <c r="I1761" s="93" t="str">
        <f t="shared" si="109"/>
        <v>Wednesday</v>
      </c>
      <c r="J1761" s="93" t="str">
        <f t="shared" si="110"/>
        <v>October</v>
      </c>
      <c r="K1761" s="93" t="str">
        <f t="shared" si="111"/>
        <v>2024</v>
      </c>
      <c r="L1761" s="6"/>
      <c r="M1761" s="6"/>
      <c r="N1761" s="6"/>
    </row>
    <row r="1762" spans="1:14" x14ac:dyDescent="0.3">
      <c r="A1762" s="87">
        <v>45581</v>
      </c>
      <c r="B1762" s="87" t="str">
        <f t="shared" si="108"/>
        <v>Wednesday</v>
      </c>
      <c r="C1762" s="88" t="s">
        <v>1381</v>
      </c>
      <c r="D1762" s="88" t="s">
        <v>783</v>
      </c>
      <c r="E1762" s="89">
        <v>30.86</v>
      </c>
      <c r="F1762" s="88" t="s">
        <v>12</v>
      </c>
      <c r="G1762" s="87">
        <f>Table1[[#This Row],[date]]</f>
        <v>45581</v>
      </c>
      <c r="H1762" s="94">
        <f>SUMIF($A$2:A5397,G1762,$E$2:E5397)</f>
        <v>380.12000000000006</v>
      </c>
      <c r="I1762" s="93" t="str">
        <f t="shared" si="109"/>
        <v>Wednesday</v>
      </c>
      <c r="J1762" s="93" t="str">
        <f t="shared" si="110"/>
        <v>October</v>
      </c>
      <c r="K1762" s="93" t="str">
        <f t="shared" si="111"/>
        <v>2024</v>
      </c>
      <c r="L1762" s="6"/>
      <c r="M1762" s="6"/>
      <c r="N1762" s="6"/>
    </row>
    <row r="1763" spans="1:14" x14ac:dyDescent="0.3">
      <c r="A1763" s="87">
        <v>45581</v>
      </c>
      <c r="B1763" s="87" t="str">
        <f t="shared" si="108"/>
        <v>Wednesday</v>
      </c>
      <c r="C1763" s="88" t="s">
        <v>1381</v>
      </c>
      <c r="D1763" s="88" t="s">
        <v>784</v>
      </c>
      <c r="E1763" s="89">
        <v>35.76</v>
      </c>
      <c r="F1763" s="88" t="s">
        <v>7</v>
      </c>
      <c r="G1763" s="87">
        <f>Table1[[#This Row],[date]]</f>
        <v>45581</v>
      </c>
      <c r="H1763" s="94">
        <f>SUMIF($A$2:A5398,G1763,$E$2:E5398)</f>
        <v>380.12000000000006</v>
      </c>
      <c r="I1763" s="93" t="str">
        <f t="shared" si="109"/>
        <v>Wednesday</v>
      </c>
      <c r="J1763" s="93" t="str">
        <f t="shared" si="110"/>
        <v>October</v>
      </c>
      <c r="K1763" s="93" t="str">
        <f t="shared" si="111"/>
        <v>2024</v>
      </c>
      <c r="L1763" s="6"/>
      <c r="M1763" s="6"/>
      <c r="N1763" s="6"/>
    </row>
    <row r="1764" spans="1:14" x14ac:dyDescent="0.3">
      <c r="A1764" s="92">
        <v>45582</v>
      </c>
      <c r="B1764" s="92" t="str">
        <f t="shared" si="108"/>
        <v>Thursday</v>
      </c>
      <c r="C1764" s="93" t="s">
        <v>1381</v>
      </c>
      <c r="D1764" s="93" t="s">
        <v>708</v>
      </c>
      <c r="E1764" s="94">
        <v>35.76</v>
      </c>
      <c r="F1764" s="93" t="s">
        <v>5</v>
      </c>
      <c r="G1764" s="87">
        <f>Table1[[#This Row],[date]]</f>
        <v>45582</v>
      </c>
      <c r="H1764" s="94">
        <f>SUMIF($A$2:A5399,G1764,$E$2:E5399)</f>
        <v>583.41999999999996</v>
      </c>
      <c r="I1764" s="93" t="str">
        <f t="shared" si="109"/>
        <v>Thursday</v>
      </c>
      <c r="J1764" s="93" t="str">
        <f t="shared" si="110"/>
        <v>October</v>
      </c>
      <c r="K1764" s="93" t="str">
        <f t="shared" si="111"/>
        <v>2024</v>
      </c>
      <c r="L1764" s="6"/>
      <c r="M1764" s="6"/>
      <c r="N1764" s="6"/>
    </row>
    <row r="1765" spans="1:14" x14ac:dyDescent="0.3">
      <c r="A1765" s="87">
        <v>45582</v>
      </c>
      <c r="B1765" s="87" t="str">
        <f t="shared" si="108"/>
        <v>Thursday</v>
      </c>
      <c r="C1765" s="88" t="s">
        <v>1381</v>
      </c>
      <c r="D1765" s="88" t="s">
        <v>582</v>
      </c>
      <c r="E1765" s="89">
        <v>35.76</v>
      </c>
      <c r="F1765" s="88" t="s">
        <v>5</v>
      </c>
      <c r="G1765" s="87">
        <f>Table1[[#This Row],[date]]</f>
        <v>45582</v>
      </c>
      <c r="H1765" s="94">
        <f>SUMIF($A$2:A5400,G1765,$E$2:E5400)</f>
        <v>583.41999999999996</v>
      </c>
      <c r="I1765" s="93" t="str">
        <f t="shared" si="109"/>
        <v>Thursday</v>
      </c>
      <c r="J1765" s="93" t="str">
        <f t="shared" si="110"/>
        <v>October</v>
      </c>
      <c r="K1765" s="93" t="str">
        <f t="shared" si="111"/>
        <v>2024</v>
      </c>
      <c r="L1765" s="6"/>
      <c r="M1765" s="6"/>
      <c r="N1765" s="6"/>
    </row>
    <row r="1766" spans="1:14" x14ac:dyDescent="0.3">
      <c r="A1766" s="92">
        <v>45582</v>
      </c>
      <c r="B1766" s="92" t="str">
        <f t="shared" si="108"/>
        <v>Thursday</v>
      </c>
      <c r="C1766" s="93" t="s">
        <v>1381</v>
      </c>
      <c r="D1766" s="93" t="s">
        <v>785</v>
      </c>
      <c r="E1766" s="94">
        <v>30.86</v>
      </c>
      <c r="F1766" s="93" t="s">
        <v>12</v>
      </c>
      <c r="G1766" s="87">
        <f>Table1[[#This Row],[date]]</f>
        <v>45582</v>
      </c>
      <c r="H1766" s="94">
        <f>SUMIF($A$2:A5401,G1766,$E$2:E5401)</f>
        <v>583.41999999999996</v>
      </c>
      <c r="I1766" s="93" t="str">
        <f t="shared" si="109"/>
        <v>Thursday</v>
      </c>
      <c r="J1766" s="93" t="str">
        <f t="shared" si="110"/>
        <v>October</v>
      </c>
      <c r="K1766" s="93" t="str">
        <f t="shared" si="111"/>
        <v>2024</v>
      </c>
      <c r="L1766" s="6"/>
      <c r="M1766" s="6"/>
      <c r="N1766" s="6"/>
    </row>
    <row r="1767" spans="1:14" x14ac:dyDescent="0.3">
      <c r="A1767" s="87">
        <v>45582</v>
      </c>
      <c r="B1767" s="87" t="str">
        <f t="shared" si="108"/>
        <v>Thursday</v>
      </c>
      <c r="C1767" s="88" t="s">
        <v>1381</v>
      </c>
      <c r="D1767" s="88" t="s">
        <v>522</v>
      </c>
      <c r="E1767" s="89">
        <v>35.76</v>
      </c>
      <c r="F1767" s="88" t="s">
        <v>5</v>
      </c>
      <c r="G1767" s="87">
        <f>Table1[[#This Row],[date]]</f>
        <v>45582</v>
      </c>
      <c r="H1767" s="94">
        <f>SUMIF($A$2:A5402,G1767,$E$2:E5402)</f>
        <v>583.41999999999996</v>
      </c>
      <c r="I1767" s="93" t="str">
        <f t="shared" si="109"/>
        <v>Thursday</v>
      </c>
      <c r="J1767" s="93" t="str">
        <f t="shared" si="110"/>
        <v>October</v>
      </c>
      <c r="K1767" s="93" t="str">
        <f t="shared" si="111"/>
        <v>2024</v>
      </c>
      <c r="L1767" s="6"/>
      <c r="M1767" s="6"/>
      <c r="N1767" s="6"/>
    </row>
    <row r="1768" spans="1:14" x14ac:dyDescent="0.3">
      <c r="A1768" s="92">
        <v>45582</v>
      </c>
      <c r="B1768" s="92" t="str">
        <f t="shared" si="108"/>
        <v>Thursday</v>
      </c>
      <c r="C1768" s="93" t="s">
        <v>1381</v>
      </c>
      <c r="D1768" s="93" t="s">
        <v>325</v>
      </c>
      <c r="E1768" s="94">
        <v>35.76</v>
      </c>
      <c r="F1768" s="93" t="s">
        <v>7</v>
      </c>
      <c r="G1768" s="87">
        <f>Table1[[#This Row],[date]]</f>
        <v>45582</v>
      </c>
      <c r="H1768" s="94">
        <f>SUMIF($A$2:A5403,G1768,$E$2:E5403)</f>
        <v>583.41999999999996</v>
      </c>
      <c r="I1768" s="93" t="str">
        <f t="shared" si="109"/>
        <v>Thursday</v>
      </c>
      <c r="J1768" s="93" t="str">
        <f t="shared" si="110"/>
        <v>October</v>
      </c>
      <c r="K1768" s="93" t="str">
        <f t="shared" si="111"/>
        <v>2024</v>
      </c>
      <c r="L1768" s="6"/>
      <c r="M1768" s="6"/>
      <c r="N1768" s="6"/>
    </row>
    <row r="1769" spans="1:14" x14ac:dyDescent="0.3">
      <c r="A1769" s="87">
        <v>45582</v>
      </c>
      <c r="B1769" s="87" t="str">
        <f t="shared" si="108"/>
        <v>Thursday</v>
      </c>
      <c r="C1769" s="88" t="s">
        <v>1381</v>
      </c>
      <c r="D1769" s="88" t="s">
        <v>786</v>
      </c>
      <c r="E1769" s="89">
        <v>30.86</v>
      </c>
      <c r="F1769" s="88" t="s">
        <v>12</v>
      </c>
      <c r="G1769" s="87">
        <f>Table1[[#This Row],[date]]</f>
        <v>45582</v>
      </c>
      <c r="H1769" s="94">
        <f>SUMIF($A$2:A5404,G1769,$E$2:E5404)</f>
        <v>583.41999999999996</v>
      </c>
      <c r="I1769" s="93" t="str">
        <f t="shared" si="109"/>
        <v>Thursday</v>
      </c>
      <c r="J1769" s="93" t="str">
        <f t="shared" si="110"/>
        <v>October</v>
      </c>
      <c r="K1769" s="93" t="str">
        <f t="shared" si="111"/>
        <v>2024</v>
      </c>
      <c r="L1769" s="6"/>
      <c r="M1769" s="6"/>
      <c r="N1769" s="6"/>
    </row>
    <row r="1770" spans="1:14" x14ac:dyDescent="0.3">
      <c r="A1770" s="92">
        <v>45582</v>
      </c>
      <c r="B1770" s="92" t="str">
        <f t="shared" si="108"/>
        <v>Thursday</v>
      </c>
      <c r="C1770" s="93" t="s">
        <v>1381</v>
      </c>
      <c r="D1770" s="93" t="s">
        <v>787</v>
      </c>
      <c r="E1770" s="94">
        <v>35.76</v>
      </c>
      <c r="F1770" s="93" t="s">
        <v>5</v>
      </c>
      <c r="G1770" s="87">
        <f>Table1[[#This Row],[date]]</f>
        <v>45582</v>
      </c>
      <c r="H1770" s="94">
        <f>SUMIF($A$2:A5405,G1770,$E$2:E5405)</f>
        <v>583.41999999999996</v>
      </c>
      <c r="I1770" s="93" t="str">
        <f t="shared" si="109"/>
        <v>Thursday</v>
      </c>
      <c r="J1770" s="93" t="str">
        <f t="shared" si="110"/>
        <v>October</v>
      </c>
      <c r="K1770" s="93" t="str">
        <f t="shared" si="111"/>
        <v>2024</v>
      </c>
      <c r="L1770" s="6"/>
      <c r="M1770" s="6"/>
      <c r="N1770" s="6"/>
    </row>
    <row r="1771" spans="1:14" x14ac:dyDescent="0.3">
      <c r="A1771" s="87">
        <v>45582</v>
      </c>
      <c r="B1771" s="87" t="str">
        <f t="shared" si="108"/>
        <v>Thursday</v>
      </c>
      <c r="C1771" s="88" t="s">
        <v>1381</v>
      </c>
      <c r="D1771" s="88" t="s">
        <v>788</v>
      </c>
      <c r="E1771" s="89">
        <v>25.96</v>
      </c>
      <c r="F1771" s="88" t="s">
        <v>9</v>
      </c>
      <c r="G1771" s="87">
        <f>Table1[[#This Row],[date]]</f>
        <v>45582</v>
      </c>
      <c r="H1771" s="94">
        <f>SUMIF($A$2:A5406,G1771,$E$2:E5406)</f>
        <v>583.41999999999996</v>
      </c>
      <c r="I1771" s="93" t="str">
        <f t="shared" si="109"/>
        <v>Thursday</v>
      </c>
      <c r="J1771" s="93" t="str">
        <f t="shared" si="110"/>
        <v>October</v>
      </c>
      <c r="K1771" s="93" t="str">
        <f t="shared" si="111"/>
        <v>2024</v>
      </c>
      <c r="L1771" s="6"/>
      <c r="M1771" s="6"/>
      <c r="N1771" s="6"/>
    </row>
    <row r="1772" spans="1:14" x14ac:dyDescent="0.3">
      <c r="A1772" s="92">
        <v>45582</v>
      </c>
      <c r="B1772" s="92" t="str">
        <f t="shared" si="108"/>
        <v>Thursday</v>
      </c>
      <c r="C1772" s="93" t="s">
        <v>1381</v>
      </c>
      <c r="D1772" s="93" t="s">
        <v>714</v>
      </c>
      <c r="E1772" s="94">
        <v>35.76</v>
      </c>
      <c r="F1772" s="93" t="s">
        <v>7</v>
      </c>
      <c r="G1772" s="87">
        <f>Table1[[#This Row],[date]]</f>
        <v>45582</v>
      </c>
      <c r="H1772" s="94">
        <f>SUMIF($A$2:A5407,G1772,$E$2:E5407)</f>
        <v>583.41999999999996</v>
      </c>
      <c r="I1772" s="93" t="str">
        <f t="shared" si="109"/>
        <v>Thursday</v>
      </c>
      <c r="J1772" s="93" t="str">
        <f t="shared" si="110"/>
        <v>October</v>
      </c>
      <c r="K1772" s="93" t="str">
        <f t="shared" si="111"/>
        <v>2024</v>
      </c>
      <c r="L1772" s="6"/>
      <c r="M1772" s="6"/>
      <c r="N1772" s="6"/>
    </row>
    <row r="1773" spans="1:14" x14ac:dyDescent="0.3">
      <c r="A1773" s="92">
        <v>45582</v>
      </c>
      <c r="B1773" s="92" t="str">
        <f t="shared" si="108"/>
        <v>Thursday</v>
      </c>
      <c r="C1773" s="93" t="s">
        <v>1381</v>
      </c>
      <c r="D1773" s="93" t="s">
        <v>714</v>
      </c>
      <c r="E1773" s="94">
        <v>35.76</v>
      </c>
      <c r="F1773" s="93" t="s">
        <v>5</v>
      </c>
      <c r="G1773" s="87">
        <f>Table1[[#This Row],[date]]</f>
        <v>45582</v>
      </c>
      <c r="H1773" s="94">
        <f>SUMIF($A$2:A5408,G1773,$E$2:E5408)</f>
        <v>583.41999999999996</v>
      </c>
      <c r="I1773" s="93" t="str">
        <f t="shared" si="109"/>
        <v>Thursday</v>
      </c>
      <c r="J1773" s="93" t="str">
        <f t="shared" si="110"/>
        <v>October</v>
      </c>
      <c r="K1773" s="93" t="str">
        <f t="shared" si="111"/>
        <v>2024</v>
      </c>
      <c r="L1773" s="6"/>
      <c r="M1773" s="6"/>
      <c r="N1773" s="6"/>
    </row>
    <row r="1774" spans="1:14" x14ac:dyDescent="0.3">
      <c r="A1774" s="87">
        <v>45582</v>
      </c>
      <c r="B1774" s="87" t="str">
        <f t="shared" si="108"/>
        <v>Thursday</v>
      </c>
      <c r="C1774" s="88" t="s">
        <v>1381</v>
      </c>
      <c r="D1774" s="88" t="s">
        <v>789</v>
      </c>
      <c r="E1774" s="89">
        <v>35.76</v>
      </c>
      <c r="F1774" s="88" t="s">
        <v>7</v>
      </c>
      <c r="G1774" s="87">
        <f>Table1[[#This Row],[date]]</f>
        <v>45582</v>
      </c>
      <c r="H1774" s="94">
        <f>SUMIF($A$2:A5409,G1774,$E$2:E5409)</f>
        <v>583.41999999999996</v>
      </c>
      <c r="I1774" s="93" t="str">
        <f t="shared" si="109"/>
        <v>Thursday</v>
      </c>
      <c r="J1774" s="93" t="str">
        <f t="shared" si="110"/>
        <v>October</v>
      </c>
      <c r="K1774" s="93" t="str">
        <f t="shared" si="111"/>
        <v>2024</v>
      </c>
      <c r="L1774" s="6"/>
      <c r="M1774" s="6"/>
      <c r="N1774" s="6"/>
    </row>
    <row r="1775" spans="1:14" x14ac:dyDescent="0.3">
      <c r="A1775" s="87">
        <v>45582</v>
      </c>
      <c r="B1775" s="87" t="str">
        <f t="shared" si="108"/>
        <v>Thursday</v>
      </c>
      <c r="C1775" s="88" t="s">
        <v>1381</v>
      </c>
      <c r="D1775" s="88" t="s">
        <v>270</v>
      </c>
      <c r="E1775" s="89">
        <v>35.76</v>
      </c>
      <c r="F1775" s="88" t="s">
        <v>41</v>
      </c>
      <c r="G1775" s="87">
        <f>Table1[[#This Row],[date]]</f>
        <v>45582</v>
      </c>
      <c r="H1775" s="94">
        <f>SUMIF($A$2:A5410,G1775,$E$2:E5410)</f>
        <v>583.41999999999996</v>
      </c>
      <c r="I1775" s="93" t="str">
        <f t="shared" si="109"/>
        <v>Thursday</v>
      </c>
      <c r="J1775" s="93" t="str">
        <f t="shared" si="110"/>
        <v>October</v>
      </c>
      <c r="K1775" s="93" t="str">
        <f t="shared" si="111"/>
        <v>2024</v>
      </c>
      <c r="L1775" s="6"/>
      <c r="M1775" s="6"/>
      <c r="N1775" s="6"/>
    </row>
    <row r="1776" spans="1:14" x14ac:dyDescent="0.3">
      <c r="A1776" s="92">
        <v>45582</v>
      </c>
      <c r="B1776" s="92" t="str">
        <f t="shared" si="108"/>
        <v>Thursday</v>
      </c>
      <c r="C1776" s="93" t="s">
        <v>1381</v>
      </c>
      <c r="D1776" s="93" t="s">
        <v>270</v>
      </c>
      <c r="E1776" s="94">
        <v>35.76</v>
      </c>
      <c r="F1776" s="93" t="s">
        <v>7</v>
      </c>
      <c r="G1776" s="87">
        <f>Table1[[#This Row],[date]]</f>
        <v>45582</v>
      </c>
      <c r="H1776" s="94">
        <f>SUMIF($A$2:A5411,G1776,$E$2:E5411)</f>
        <v>583.41999999999996</v>
      </c>
      <c r="I1776" s="93" t="str">
        <f t="shared" si="109"/>
        <v>Thursday</v>
      </c>
      <c r="J1776" s="93" t="str">
        <f t="shared" si="110"/>
        <v>October</v>
      </c>
      <c r="K1776" s="93" t="str">
        <f t="shared" si="111"/>
        <v>2024</v>
      </c>
      <c r="L1776" s="6"/>
      <c r="M1776" s="6"/>
      <c r="N1776" s="6"/>
    </row>
    <row r="1777" spans="1:14" x14ac:dyDescent="0.3">
      <c r="A1777" s="87">
        <v>45582</v>
      </c>
      <c r="B1777" s="87" t="str">
        <f t="shared" si="108"/>
        <v>Thursday</v>
      </c>
      <c r="C1777" s="88" t="s">
        <v>1381</v>
      </c>
      <c r="D1777" s="88" t="s">
        <v>519</v>
      </c>
      <c r="E1777" s="89">
        <v>35.76</v>
      </c>
      <c r="F1777" s="88" t="s">
        <v>5</v>
      </c>
      <c r="G1777" s="87">
        <f>Table1[[#This Row],[date]]</f>
        <v>45582</v>
      </c>
      <c r="H1777" s="94">
        <f>SUMIF($A$2:A5412,G1777,$E$2:E5412)</f>
        <v>583.41999999999996</v>
      </c>
      <c r="I1777" s="93" t="str">
        <f t="shared" si="109"/>
        <v>Thursday</v>
      </c>
      <c r="J1777" s="93" t="str">
        <f t="shared" si="110"/>
        <v>October</v>
      </c>
      <c r="K1777" s="93" t="str">
        <f t="shared" si="111"/>
        <v>2024</v>
      </c>
      <c r="L1777" s="6"/>
      <c r="M1777" s="6"/>
      <c r="N1777" s="6"/>
    </row>
    <row r="1778" spans="1:14" x14ac:dyDescent="0.3">
      <c r="A1778" s="92">
        <v>45582</v>
      </c>
      <c r="B1778" s="92" t="str">
        <f t="shared" si="108"/>
        <v>Thursday</v>
      </c>
      <c r="C1778" s="93" t="s">
        <v>1381</v>
      </c>
      <c r="D1778" s="93" t="s">
        <v>790</v>
      </c>
      <c r="E1778" s="94">
        <v>30.86</v>
      </c>
      <c r="F1778" s="93" t="s">
        <v>12</v>
      </c>
      <c r="G1778" s="87">
        <f>Table1[[#This Row],[date]]</f>
        <v>45582</v>
      </c>
      <c r="H1778" s="94">
        <f>SUMIF($A$2:A5413,G1778,$E$2:E5413)</f>
        <v>583.41999999999996</v>
      </c>
      <c r="I1778" s="93" t="str">
        <f t="shared" si="109"/>
        <v>Thursday</v>
      </c>
      <c r="J1778" s="93" t="str">
        <f t="shared" si="110"/>
        <v>October</v>
      </c>
      <c r="K1778" s="93" t="str">
        <f t="shared" si="111"/>
        <v>2024</v>
      </c>
      <c r="L1778" s="6"/>
      <c r="M1778" s="6"/>
      <c r="N1778" s="6"/>
    </row>
    <row r="1779" spans="1:14" x14ac:dyDescent="0.3">
      <c r="A1779" s="87">
        <v>45582</v>
      </c>
      <c r="B1779" s="87" t="str">
        <f t="shared" si="108"/>
        <v>Thursday</v>
      </c>
      <c r="C1779" s="88" t="s">
        <v>1381</v>
      </c>
      <c r="D1779" s="88" t="s">
        <v>791</v>
      </c>
      <c r="E1779" s="89">
        <v>35.76</v>
      </c>
      <c r="F1779" s="88" t="s">
        <v>5</v>
      </c>
      <c r="G1779" s="87">
        <f>Table1[[#This Row],[date]]</f>
        <v>45582</v>
      </c>
      <c r="H1779" s="94">
        <f>SUMIF($A$2:A5414,G1779,$E$2:E5414)</f>
        <v>583.41999999999996</v>
      </c>
      <c r="I1779" s="93" t="str">
        <f t="shared" si="109"/>
        <v>Thursday</v>
      </c>
      <c r="J1779" s="93" t="str">
        <f t="shared" si="110"/>
        <v>October</v>
      </c>
      <c r="K1779" s="93" t="str">
        <f t="shared" si="111"/>
        <v>2024</v>
      </c>
      <c r="L1779" s="6"/>
      <c r="M1779" s="6"/>
      <c r="N1779" s="6"/>
    </row>
    <row r="1780" spans="1:14" x14ac:dyDescent="0.3">
      <c r="A1780" s="92">
        <v>45582</v>
      </c>
      <c r="B1780" s="92" t="str">
        <f t="shared" si="108"/>
        <v>Thursday</v>
      </c>
      <c r="C1780" s="93" t="s">
        <v>1381</v>
      </c>
      <c r="D1780" s="93" t="s">
        <v>791</v>
      </c>
      <c r="E1780" s="94">
        <v>35.76</v>
      </c>
      <c r="F1780" s="93" t="s">
        <v>7</v>
      </c>
      <c r="G1780" s="87">
        <f>Table1[[#This Row],[date]]</f>
        <v>45582</v>
      </c>
      <c r="H1780" s="94">
        <f>SUMIF($A$2:A5415,G1780,$E$2:E5415)</f>
        <v>583.41999999999996</v>
      </c>
      <c r="I1780" s="93" t="str">
        <f t="shared" si="109"/>
        <v>Thursday</v>
      </c>
      <c r="J1780" s="93" t="str">
        <f t="shared" si="110"/>
        <v>October</v>
      </c>
      <c r="K1780" s="93" t="str">
        <f t="shared" si="111"/>
        <v>2024</v>
      </c>
      <c r="L1780" s="6"/>
      <c r="M1780" s="6"/>
      <c r="N1780" s="6"/>
    </row>
    <row r="1781" spans="1:14" x14ac:dyDescent="0.3">
      <c r="A1781" s="87">
        <v>45583</v>
      </c>
      <c r="B1781" s="87" t="str">
        <f t="shared" si="108"/>
        <v>Friday</v>
      </c>
      <c r="C1781" s="88" t="s">
        <v>1381</v>
      </c>
      <c r="D1781" s="88" t="s">
        <v>21</v>
      </c>
      <c r="E1781" s="89">
        <v>35.76</v>
      </c>
      <c r="F1781" s="88" t="s">
        <v>16</v>
      </c>
      <c r="G1781" s="87">
        <f>Table1[[#This Row],[date]]</f>
        <v>45583</v>
      </c>
      <c r="H1781" s="94">
        <f>SUMIF($A$2:A5416,G1781,$E$2:E5416)</f>
        <v>378.65999999999997</v>
      </c>
      <c r="I1781" s="93" t="str">
        <f t="shared" si="109"/>
        <v>Friday</v>
      </c>
      <c r="J1781" s="93" t="str">
        <f t="shared" si="110"/>
        <v>October</v>
      </c>
      <c r="K1781" s="93" t="str">
        <f t="shared" si="111"/>
        <v>2024</v>
      </c>
      <c r="L1781" s="6"/>
      <c r="M1781" s="6"/>
      <c r="N1781" s="6"/>
    </row>
    <row r="1782" spans="1:14" x14ac:dyDescent="0.3">
      <c r="A1782" s="92">
        <v>45583</v>
      </c>
      <c r="B1782" s="92" t="str">
        <f t="shared" si="108"/>
        <v>Friday</v>
      </c>
      <c r="C1782" s="93" t="s">
        <v>1381</v>
      </c>
      <c r="D1782" s="93" t="s">
        <v>66</v>
      </c>
      <c r="E1782" s="94">
        <v>35.76</v>
      </c>
      <c r="F1782" s="93" t="s">
        <v>16</v>
      </c>
      <c r="G1782" s="87">
        <f>Table1[[#This Row],[date]]</f>
        <v>45583</v>
      </c>
      <c r="H1782" s="94">
        <f>SUMIF($A$2:A5417,G1782,$E$2:E5417)</f>
        <v>378.65999999999997</v>
      </c>
      <c r="I1782" s="93" t="str">
        <f t="shared" si="109"/>
        <v>Friday</v>
      </c>
      <c r="J1782" s="93" t="str">
        <f t="shared" si="110"/>
        <v>October</v>
      </c>
      <c r="K1782" s="93" t="str">
        <f t="shared" si="111"/>
        <v>2024</v>
      </c>
      <c r="L1782" s="6"/>
      <c r="M1782" s="6"/>
      <c r="N1782" s="6"/>
    </row>
    <row r="1783" spans="1:14" x14ac:dyDescent="0.3">
      <c r="A1783" s="87">
        <v>45583</v>
      </c>
      <c r="B1783" s="87" t="str">
        <f t="shared" si="108"/>
        <v>Friday</v>
      </c>
      <c r="C1783" s="88" t="s">
        <v>1381</v>
      </c>
      <c r="D1783" s="88" t="s">
        <v>8</v>
      </c>
      <c r="E1783" s="89">
        <v>35.76</v>
      </c>
      <c r="F1783" s="88" t="s">
        <v>16</v>
      </c>
      <c r="G1783" s="87">
        <f>Table1[[#This Row],[date]]</f>
        <v>45583</v>
      </c>
      <c r="H1783" s="94">
        <f>SUMIF($A$2:A5418,G1783,$E$2:E5418)</f>
        <v>378.65999999999997</v>
      </c>
      <c r="I1783" s="93" t="str">
        <f t="shared" si="109"/>
        <v>Friday</v>
      </c>
      <c r="J1783" s="93" t="str">
        <f t="shared" si="110"/>
        <v>October</v>
      </c>
      <c r="K1783" s="93" t="str">
        <f t="shared" si="111"/>
        <v>2024</v>
      </c>
      <c r="L1783" s="6"/>
      <c r="M1783" s="6"/>
      <c r="N1783" s="6"/>
    </row>
    <row r="1784" spans="1:14" x14ac:dyDescent="0.3">
      <c r="A1784" s="87">
        <v>45583</v>
      </c>
      <c r="B1784" s="87" t="str">
        <f t="shared" si="108"/>
        <v>Friday</v>
      </c>
      <c r="C1784" s="88" t="s">
        <v>1381</v>
      </c>
      <c r="D1784" s="88" t="s">
        <v>792</v>
      </c>
      <c r="E1784" s="89">
        <v>35.76</v>
      </c>
      <c r="F1784" s="88" t="s">
        <v>41</v>
      </c>
      <c r="G1784" s="87">
        <f>Table1[[#This Row],[date]]</f>
        <v>45583</v>
      </c>
      <c r="H1784" s="94">
        <f>SUMIF($A$2:A5419,G1784,$E$2:E5419)</f>
        <v>378.65999999999997</v>
      </c>
      <c r="I1784" s="93" t="str">
        <f t="shared" si="109"/>
        <v>Friday</v>
      </c>
      <c r="J1784" s="93" t="str">
        <f t="shared" si="110"/>
        <v>October</v>
      </c>
      <c r="K1784" s="93" t="str">
        <f t="shared" si="111"/>
        <v>2024</v>
      </c>
      <c r="L1784" s="6"/>
      <c r="M1784" s="6"/>
      <c r="N1784" s="6"/>
    </row>
    <row r="1785" spans="1:14" x14ac:dyDescent="0.3">
      <c r="A1785" s="87">
        <v>45583</v>
      </c>
      <c r="B1785" s="87" t="str">
        <f t="shared" si="108"/>
        <v>Friday</v>
      </c>
      <c r="C1785" s="88" t="s">
        <v>1381</v>
      </c>
      <c r="D1785" s="88" t="s">
        <v>793</v>
      </c>
      <c r="E1785" s="89">
        <v>35.76</v>
      </c>
      <c r="F1785" s="88" t="s">
        <v>5</v>
      </c>
      <c r="G1785" s="87">
        <f>Table1[[#This Row],[date]]</f>
        <v>45583</v>
      </c>
      <c r="H1785" s="94">
        <f>SUMIF($A$2:A5420,G1785,$E$2:E5420)</f>
        <v>378.65999999999997</v>
      </c>
      <c r="I1785" s="93" t="str">
        <f t="shared" si="109"/>
        <v>Friday</v>
      </c>
      <c r="J1785" s="93" t="str">
        <f t="shared" si="110"/>
        <v>October</v>
      </c>
      <c r="K1785" s="93" t="str">
        <f t="shared" si="111"/>
        <v>2024</v>
      </c>
      <c r="L1785" s="6"/>
      <c r="M1785" s="6"/>
      <c r="N1785" s="6"/>
    </row>
    <row r="1786" spans="1:14" x14ac:dyDescent="0.3">
      <c r="A1786" s="92">
        <v>45583</v>
      </c>
      <c r="B1786" s="92" t="str">
        <f t="shared" si="108"/>
        <v>Friday</v>
      </c>
      <c r="C1786" s="93" t="s">
        <v>1381</v>
      </c>
      <c r="D1786" s="93" t="s">
        <v>793</v>
      </c>
      <c r="E1786" s="94">
        <v>35.76</v>
      </c>
      <c r="F1786" s="93" t="s">
        <v>41</v>
      </c>
      <c r="G1786" s="87">
        <f>Table1[[#This Row],[date]]</f>
        <v>45583</v>
      </c>
      <c r="H1786" s="94">
        <f>SUMIF($A$2:A5421,G1786,$E$2:E5421)</f>
        <v>378.65999999999997</v>
      </c>
      <c r="I1786" s="93" t="str">
        <f t="shared" si="109"/>
        <v>Friday</v>
      </c>
      <c r="J1786" s="93" t="str">
        <f t="shared" si="110"/>
        <v>October</v>
      </c>
      <c r="K1786" s="93" t="str">
        <f t="shared" si="111"/>
        <v>2024</v>
      </c>
      <c r="L1786" s="6"/>
      <c r="M1786" s="6"/>
      <c r="N1786" s="6"/>
    </row>
    <row r="1787" spans="1:14" x14ac:dyDescent="0.3">
      <c r="A1787" s="87">
        <v>45583</v>
      </c>
      <c r="B1787" s="87" t="str">
        <f t="shared" si="108"/>
        <v>Friday</v>
      </c>
      <c r="C1787" s="88" t="s">
        <v>1381</v>
      </c>
      <c r="D1787" s="88" t="s">
        <v>695</v>
      </c>
      <c r="E1787" s="89">
        <v>25.96</v>
      </c>
      <c r="F1787" s="88" t="s">
        <v>9</v>
      </c>
      <c r="G1787" s="87">
        <f>Table1[[#This Row],[date]]</f>
        <v>45583</v>
      </c>
      <c r="H1787" s="94">
        <f>SUMIF($A$2:A5422,G1787,$E$2:E5422)</f>
        <v>378.65999999999997</v>
      </c>
      <c r="I1787" s="93" t="str">
        <f t="shared" si="109"/>
        <v>Friday</v>
      </c>
      <c r="J1787" s="93" t="str">
        <f t="shared" si="110"/>
        <v>October</v>
      </c>
      <c r="K1787" s="93" t="str">
        <f t="shared" si="111"/>
        <v>2024</v>
      </c>
      <c r="L1787" s="6"/>
      <c r="M1787" s="6"/>
      <c r="N1787" s="6"/>
    </row>
    <row r="1788" spans="1:14" x14ac:dyDescent="0.3">
      <c r="A1788" s="92">
        <v>45583</v>
      </c>
      <c r="B1788" s="92" t="str">
        <f t="shared" si="108"/>
        <v>Friday</v>
      </c>
      <c r="C1788" s="93" t="s">
        <v>1381</v>
      </c>
      <c r="D1788" s="93" t="s">
        <v>794</v>
      </c>
      <c r="E1788" s="94">
        <v>35.76</v>
      </c>
      <c r="F1788" s="93" t="s">
        <v>5</v>
      </c>
      <c r="G1788" s="87">
        <f>Table1[[#This Row],[date]]</f>
        <v>45583</v>
      </c>
      <c r="H1788" s="94">
        <f>SUMIF($A$2:A5423,G1788,$E$2:E5423)</f>
        <v>378.65999999999997</v>
      </c>
      <c r="I1788" s="93" t="str">
        <f t="shared" si="109"/>
        <v>Friday</v>
      </c>
      <c r="J1788" s="93" t="str">
        <f t="shared" si="110"/>
        <v>October</v>
      </c>
      <c r="K1788" s="93" t="str">
        <f t="shared" si="111"/>
        <v>2024</v>
      </c>
      <c r="L1788" s="6"/>
      <c r="M1788" s="6"/>
      <c r="N1788" s="6"/>
    </row>
    <row r="1789" spans="1:14" x14ac:dyDescent="0.3">
      <c r="A1789" s="87">
        <v>45583</v>
      </c>
      <c r="B1789" s="87" t="str">
        <f t="shared" si="108"/>
        <v>Friday</v>
      </c>
      <c r="C1789" s="88" t="s">
        <v>1381</v>
      </c>
      <c r="D1789" s="88" t="s">
        <v>795</v>
      </c>
      <c r="E1789" s="89">
        <v>35.76</v>
      </c>
      <c r="F1789" s="88" t="s">
        <v>7</v>
      </c>
      <c r="G1789" s="87">
        <f>Table1[[#This Row],[date]]</f>
        <v>45583</v>
      </c>
      <c r="H1789" s="94">
        <f>SUMIF($A$2:A5424,G1789,$E$2:E5424)</f>
        <v>378.65999999999997</v>
      </c>
      <c r="I1789" s="93" t="str">
        <f t="shared" si="109"/>
        <v>Friday</v>
      </c>
      <c r="J1789" s="93" t="str">
        <f t="shared" si="110"/>
        <v>October</v>
      </c>
      <c r="K1789" s="93" t="str">
        <f t="shared" si="111"/>
        <v>2024</v>
      </c>
      <c r="L1789" s="6"/>
      <c r="M1789" s="6"/>
      <c r="N1789" s="6"/>
    </row>
    <row r="1790" spans="1:14" x14ac:dyDescent="0.3">
      <c r="A1790" s="92">
        <v>45583</v>
      </c>
      <c r="B1790" s="92" t="str">
        <f t="shared" si="108"/>
        <v>Friday</v>
      </c>
      <c r="C1790" s="93" t="s">
        <v>1381</v>
      </c>
      <c r="D1790" s="93" t="s">
        <v>796</v>
      </c>
      <c r="E1790" s="94">
        <v>30.86</v>
      </c>
      <c r="F1790" s="93" t="s">
        <v>12</v>
      </c>
      <c r="G1790" s="87">
        <f>Table1[[#This Row],[date]]</f>
        <v>45583</v>
      </c>
      <c r="H1790" s="94">
        <f>SUMIF($A$2:A5425,G1790,$E$2:E5425)</f>
        <v>378.65999999999997</v>
      </c>
      <c r="I1790" s="93" t="str">
        <f t="shared" si="109"/>
        <v>Friday</v>
      </c>
      <c r="J1790" s="93" t="str">
        <f t="shared" si="110"/>
        <v>October</v>
      </c>
      <c r="K1790" s="93" t="str">
        <f t="shared" si="111"/>
        <v>2024</v>
      </c>
      <c r="L1790" s="6"/>
      <c r="M1790" s="6"/>
      <c r="N1790" s="6"/>
    </row>
    <row r="1791" spans="1:14" x14ac:dyDescent="0.3">
      <c r="A1791" s="87">
        <v>45583</v>
      </c>
      <c r="B1791" s="87" t="str">
        <f t="shared" si="108"/>
        <v>Friday</v>
      </c>
      <c r="C1791" s="88" t="s">
        <v>1381</v>
      </c>
      <c r="D1791" s="88" t="s">
        <v>702</v>
      </c>
      <c r="E1791" s="89">
        <v>35.76</v>
      </c>
      <c r="F1791" s="88" t="s">
        <v>5</v>
      </c>
      <c r="G1791" s="87">
        <f>Table1[[#This Row],[date]]</f>
        <v>45583</v>
      </c>
      <c r="H1791" s="94">
        <f>SUMIF($A$2:A5426,G1791,$E$2:E5426)</f>
        <v>378.65999999999997</v>
      </c>
      <c r="I1791" s="93" t="str">
        <f t="shared" si="109"/>
        <v>Friday</v>
      </c>
      <c r="J1791" s="93" t="str">
        <f t="shared" si="110"/>
        <v>October</v>
      </c>
      <c r="K1791" s="93" t="str">
        <f t="shared" si="111"/>
        <v>2024</v>
      </c>
      <c r="L1791" s="6"/>
      <c r="M1791" s="6"/>
      <c r="N1791" s="6"/>
    </row>
    <row r="1792" spans="1:14" x14ac:dyDescent="0.3">
      <c r="A1792" s="92">
        <v>45584</v>
      </c>
      <c r="B1792" s="92" t="str">
        <f t="shared" si="108"/>
        <v>Saturday</v>
      </c>
      <c r="C1792" s="93" t="s">
        <v>1381</v>
      </c>
      <c r="D1792" s="93" t="s">
        <v>797</v>
      </c>
      <c r="E1792" s="94">
        <v>30.86</v>
      </c>
      <c r="F1792" s="93" t="s">
        <v>12</v>
      </c>
      <c r="G1792" s="87">
        <f>Table1[[#This Row],[date]]</f>
        <v>45584</v>
      </c>
      <c r="H1792" s="94">
        <f>SUMIF($A$2:A5427,G1792,$E$2:E5427)</f>
        <v>316.93999999999994</v>
      </c>
      <c r="I1792" s="93" t="str">
        <f t="shared" si="109"/>
        <v>Saturday</v>
      </c>
      <c r="J1792" s="93" t="str">
        <f t="shared" si="110"/>
        <v>October</v>
      </c>
      <c r="K1792" s="93" t="str">
        <f t="shared" si="111"/>
        <v>2024</v>
      </c>
      <c r="L1792" s="6"/>
      <c r="M1792" s="6"/>
      <c r="N1792" s="6"/>
    </row>
    <row r="1793" spans="1:14" x14ac:dyDescent="0.3">
      <c r="A1793" s="87">
        <v>45584</v>
      </c>
      <c r="B1793" s="87" t="str">
        <f t="shared" si="108"/>
        <v>Saturday</v>
      </c>
      <c r="C1793" s="88" t="s">
        <v>1381</v>
      </c>
      <c r="D1793" s="88" t="s">
        <v>29</v>
      </c>
      <c r="E1793" s="89">
        <v>35.76</v>
      </c>
      <c r="F1793" s="88" t="s">
        <v>5</v>
      </c>
      <c r="G1793" s="87">
        <f>Table1[[#This Row],[date]]</f>
        <v>45584</v>
      </c>
      <c r="H1793" s="94">
        <f>SUMIF($A$2:A5428,G1793,$E$2:E5428)</f>
        <v>316.93999999999994</v>
      </c>
      <c r="I1793" s="93" t="str">
        <f t="shared" si="109"/>
        <v>Saturday</v>
      </c>
      <c r="J1793" s="93" t="str">
        <f t="shared" si="110"/>
        <v>October</v>
      </c>
      <c r="K1793" s="93" t="str">
        <f t="shared" si="111"/>
        <v>2024</v>
      </c>
      <c r="L1793" s="6"/>
      <c r="M1793" s="6"/>
      <c r="N1793" s="6"/>
    </row>
    <row r="1794" spans="1:14" x14ac:dyDescent="0.3">
      <c r="A1794" s="92">
        <v>45584</v>
      </c>
      <c r="B1794" s="92" t="str">
        <f t="shared" ref="B1794:B1857" si="112">TEXT(A1794,"dddd")</f>
        <v>Saturday</v>
      </c>
      <c r="C1794" s="93" t="s">
        <v>1381</v>
      </c>
      <c r="D1794" s="93" t="s">
        <v>367</v>
      </c>
      <c r="E1794" s="94">
        <v>35.76</v>
      </c>
      <c r="F1794" s="93" t="s">
        <v>41</v>
      </c>
      <c r="G1794" s="87">
        <f>Table1[[#This Row],[date]]</f>
        <v>45584</v>
      </c>
      <c r="H1794" s="94">
        <f>SUMIF($A$2:A5429,G1794,$E$2:E5429)</f>
        <v>316.93999999999994</v>
      </c>
      <c r="I1794" s="93" t="str">
        <f t="shared" si="109"/>
        <v>Saturday</v>
      </c>
      <c r="J1794" s="93" t="str">
        <f t="shared" si="110"/>
        <v>October</v>
      </c>
      <c r="K1794" s="93" t="str">
        <f t="shared" si="111"/>
        <v>2024</v>
      </c>
      <c r="L1794" s="6"/>
      <c r="M1794" s="6"/>
      <c r="N1794" s="6"/>
    </row>
    <row r="1795" spans="1:14" x14ac:dyDescent="0.3">
      <c r="A1795" s="87">
        <v>45584</v>
      </c>
      <c r="B1795" s="87" t="str">
        <f t="shared" si="112"/>
        <v>Saturday</v>
      </c>
      <c r="C1795" s="88" t="s">
        <v>1381</v>
      </c>
      <c r="D1795" s="88" t="s">
        <v>519</v>
      </c>
      <c r="E1795" s="89">
        <v>35.76</v>
      </c>
      <c r="F1795" s="88" t="s">
        <v>7</v>
      </c>
      <c r="G1795" s="87">
        <f>Table1[[#This Row],[date]]</f>
        <v>45584</v>
      </c>
      <c r="H1795" s="94">
        <f>SUMIF($A$2:A5430,G1795,$E$2:E5430)</f>
        <v>316.93999999999994</v>
      </c>
      <c r="I1795" s="93" t="str">
        <f t="shared" si="109"/>
        <v>Saturday</v>
      </c>
      <c r="J1795" s="93" t="str">
        <f t="shared" si="110"/>
        <v>October</v>
      </c>
      <c r="K1795" s="93" t="str">
        <f t="shared" si="111"/>
        <v>2024</v>
      </c>
      <c r="L1795" s="6"/>
      <c r="M1795" s="6"/>
      <c r="N1795" s="6"/>
    </row>
    <row r="1796" spans="1:14" x14ac:dyDescent="0.3">
      <c r="A1796" s="92">
        <v>45584</v>
      </c>
      <c r="B1796" s="92" t="str">
        <f t="shared" si="112"/>
        <v>Saturday</v>
      </c>
      <c r="C1796" s="93" t="s">
        <v>1381</v>
      </c>
      <c r="D1796" s="93" t="s">
        <v>519</v>
      </c>
      <c r="E1796" s="94">
        <v>35.76</v>
      </c>
      <c r="F1796" s="93" t="s">
        <v>5</v>
      </c>
      <c r="G1796" s="87">
        <f>Table1[[#This Row],[date]]</f>
        <v>45584</v>
      </c>
      <c r="H1796" s="94">
        <f>SUMIF($A$2:A5431,G1796,$E$2:E5431)</f>
        <v>316.93999999999994</v>
      </c>
      <c r="I1796" s="93" t="str">
        <f t="shared" si="109"/>
        <v>Saturday</v>
      </c>
      <c r="J1796" s="93" t="str">
        <f t="shared" si="110"/>
        <v>October</v>
      </c>
      <c r="K1796" s="93" t="str">
        <f t="shared" si="111"/>
        <v>2024</v>
      </c>
      <c r="L1796" s="6"/>
      <c r="M1796" s="6"/>
      <c r="N1796" s="6"/>
    </row>
    <row r="1797" spans="1:14" x14ac:dyDescent="0.3">
      <c r="A1797" s="87">
        <v>45584</v>
      </c>
      <c r="B1797" s="87" t="str">
        <f t="shared" si="112"/>
        <v>Saturday</v>
      </c>
      <c r="C1797" s="88" t="s">
        <v>1381</v>
      </c>
      <c r="D1797" s="88" t="s">
        <v>506</v>
      </c>
      <c r="E1797" s="89">
        <v>35.76</v>
      </c>
      <c r="F1797" s="88" t="s">
        <v>5</v>
      </c>
      <c r="G1797" s="87">
        <f>Table1[[#This Row],[date]]</f>
        <v>45584</v>
      </c>
      <c r="H1797" s="94">
        <f>SUMIF($A$2:A5432,G1797,$E$2:E5432)</f>
        <v>316.93999999999994</v>
      </c>
      <c r="I1797" s="93" t="str">
        <f t="shared" si="109"/>
        <v>Saturday</v>
      </c>
      <c r="J1797" s="93" t="str">
        <f t="shared" si="110"/>
        <v>October</v>
      </c>
      <c r="K1797" s="93" t="str">
        <f t="shared" si="111"/>
        <v>2024</v>
      </c>
      <c r="L1797" s="6"/>
      <c r="M1797" s="6"/>
      <c r="N1797" s="6"/>
    </row>
    <row r="1798" spans="1:14" x14ac:dyDescent="0.3">
      <c r="A1798" s="92">
        <v>45584</v>
      </c>
      <c r="B1798" s="92" t="str">
        <f t="shared" si="112"/>
        <v>Saturday</v>
      </c>
      <c r="C1798" s="93" t="s">
        <v>1381</v>
      </c>
      <c r="D1798" s="93" t="s">
        <v>708</v>
      </c>
      <c r="E1798" s="94">
        <v>35.76</v>
      </c>
      <c r="F1798" s="93" t="s">
        <v>5</v>
      </c>
      <c r="G1798" s="87">
        <f>Table1[[#This Row],[date]]</f>
        <v>45584</v>
      </c>
      <c r="H1798" s="94">
        <f>SUMIF($A$2:A5433,G1798,$E$2:E5433)</f>
        <v>316.93999999999994</v>
      </c>
      <c r="I1798" s="93" t="str">
        <f t="shared" ref="I1798:I1861" si="113">TEXT(G1798,"dddd")</f>
        <v>Saturday</v>
      </c>
      <c r="J1798" s="93" t="str">
        <f t="shared" si="110"/>
        <v>October</v>
      </c>
      <c r="K1798" s="93" t="str">
        <f t="shared" si="111"/>
        <v>2024</v>
      </c>
      <c r="L1798" s="6"/>
      <c r="M1798" s="6"/>
      <c r="N1798" s="6"/>
    </row>
    <row r="1799" spans="1:14" x14ac:dyDescent="0.3">
      <c r="A1799" s="87">
        <v>45584</v>
      </c>
      <c r="B1799" s="87" t="str">
        <f t="shared" si="112"/>
        <v>Saturday</v>
      </c>
      <c r="C1799" s="88" t="s">
        <v>1381</v>
      </c>
      <c r="D1799" s="88" t="s">
        <v>702</v>
      </c>
      <c r="E1799" s="89">
        <v>35.76</v>
      </c>
      <c r="F1799" s="88" t="s">
        <v>16</v>
      </c>
      <c r="G1799" s="87">
        <f>Table1[[#This Row],[date]]</f>
        <v>45584</v>
      </c>
      <c r="H1799" s="94">
        <f>SUMIF($A$2:A5434,G1799,$E$2:E5434)</f>
        <v>316.93999999999994</v>
      </c>
      <c r="I1799" s="93" t="str">
        <f t="shared" si="113"/>
        <v>Saturday</v>
      </c>
      <c r="J1799" s="93" t="str">
        <f t="shared" ref="J1799:J1862" si="114">TEXT(G1799,"mmmm")</f>
        <v>October</v>
      </c>
      <c r="K1799" s="93" t="str">
        <f t="shared" ref="K1799:K1862" si="115">TEXT(G1799,"yyyy")</f>
        <v>2024</v>
      </c>
      <c r="L1799" s="6"/>
      <c r="M1799" s="6"/>
      <c r="N1799" s="6"/>
    </row>
    <row r="1800" spans="1:14" x14ac:dyDescent="0.3">
      <c r="A1800" s="92">
        <v>45584</v>
      </c>
      <c r="B1800" s="92" t="str">
        <f t="shared" si="112"/>
        <v>Saturday</v>
      </c>
      <c r="C1800" s="93" t="s">
        <v>1381</v>
      </c>
      <c r="D1800" s="93" t="s">
        <v>798</v>
      </c>
      <c r="E1800" s="94">
        <v>35.76</v>
      </c>
      <c r="F1800" s="93" t="s">
        <v>41</v>
      </c>
      <c r="G1800" s="87">
        <f>Table1[[#This Row],[date]]</f>
        <v>45584</v>
      </c>
      <c r="H1800" s="94">
        <f>SUMIF($A$2:A5435,G1800,$E$2:E5435)</f>
        <v>316.93999999999994</v>
      </c>
      <c r="I1800" s="93" t="str">
        <f t="shared" si="113"/>
        <v>Saturday</v>
      </c>
      <c r="J1800" s="93" t="str">
        <f t="shared" si="114"/>
        <v>October</v>
      </c>
      <c r="K1800" s="93" t="str">
        <f t="shared" si="115"/>
        <v>2024</v>
      </c>
      <c r="L1800" s="6"/>
      <c r="M1800" s="6"/>
      <c r="N1800" s="6"/>
    </row>
    <row r="1801" spans="1:14" x14ac:dyDescent="0.3">
      <c r="A1801" s="87">
        <v>45585</v>
      </c>
      <c r="B1801" s="87" t="str">
        <f t="shared" si="112"/>
        <v>Sunday</v>
      </c>
      <c r="C1801" s="88" t="s">
        <v>1381</v>
      </c>
      <c r="D1801" s="88" t="s">
        <v>582</v>
      </c>
      <c r="E1801" s="89">
        <v>35.76</v>
      </c>
      <c r="F1801" s="88" t="s">
        <v>5</v>
      </c>
      <c r="G1801" s="87">
        <f>Table1[[#This Row],[date]]</f>
        <v>45585</v>
      </c>
      <c r="H1801" s="94">
        <f>SUMIF($A$2:A5436,G1801,$E$2:E5436)</f>
        <v>476.13999999999993</v>
      </c>
      <c r="I1801" s="93" t="str">
        <f t="shared" si="113"/>
        <v>Sunday</v>
      </c>
      <c r="J1801" s="93" t="str">
        <f t="shared" si="114"/>
        <v>October</v>
      </c>
      <c r="K1801" s="93" t="str">
        <f t="shared" si="115"/>
        <v>2024</v>
      </c>
      <c r="L1801" s="6"/>
      <c r="M1801" s="6"/>
      <c r="N1801" s="6"/>
    </row>
    <row r="1802" spans="1:14" x14ac:dyDescent="0.3">
      <c r="A1802" s="92">
        <v>45585</v>
      </c>
      <c r="B1802" s="92" t="str">
        <f t="shared" si="112"/>
        <v>Sunday</v>
      </c>
      <c r="C1802" s="93" t="s">
        <v>1381</v>
      </c>
      <c r="D1802" s="93" t="s">
        <v>582</v>
      </c>
      <c r="E1802" s="94">
        <v>35.76</v>
      </c>
      <c r="F1802" s="93" t="s">
        <v>16</v>
      </c>
      <c r="G1802" s="87">
        <f>Table1[[#This Row],[date]]</f>
        <v>45585</v>
      </c>
      <c r="H1802" s="94">
        <f>SUMIF($A$2:A5437,G1802,$E$2:E5437)</f>
        <v>476.13999999999993</v>
      </c>
      <c r="I1802" s="93" t="str">
        <f t="shared" si="113"/>
        <v>Sunday</v>
      </c>
      <c r="J1802" s="93" t="str">
        <f t="shared" si="114"/>
        <v>October</v>
      </c>
      <c r="K1802" s="93" t="str">
        <f t="shared" si="115"/>
        <v>2024</v>
      </c>
      <c r="L1802" s="6"/>
      <c r="M1802" s="6"/>
      <c r="N1802" s="6"/>
    </row>
    <row r="1803" spans="1:14" x14ac:dyDescent="0.3">
      <c r="A1803" s="87">
        <v>45585</v>
      </c>
      <c r="B1803" s="87" t="str">
        <f t="shared" si="112"/>
        <v>Sunday</v>
      </c>
      <c r="C1803" s="88" t="s">
        <v>1381</v>
      </c>
      <c r="D1803" s="88" t="s">
        <v>799</v>
      </c>
      <c r="E1803" s="89">
        <v>35.76</v>
      </c>
      <c r="F1803" s="88" t="s">
        <v>5</v>
      </c>
      <c r="G1803" s="87">
        <f>Table1[[#This Row],[date]]</f>
        <v>45585</v>
      </c>
      <c r="H1803" s="94">
        <f>SUMIF($A$2:A5438,G1803,$E$2:E5438)</f>
        <v>476.13999999999993</v>
      </c>
      <c r="I1803" s="93" t="str">
        <f t="shared" si="113"/>
        <v>Sunday</v>
      </c>
      <c r="J1803" s="93" t="str">
        <f t="shared" si="114"/>
        <v>October</v>
      </c>
      <c r="K1803" s="93" t="str">
        <f t="shared" si="115"/>
        <v>2024</v>
      </c>
      <c r="L1803" s="6"/>
      <c r="M1803" s="6"/>
      <c r="N1803" s="6"/>
    </row>
    <row r="1804" spans="1:14" x14ac:dyDescent="0.3">
      <c r="A1804" s="92">
        <v>45585</v>
      </c>
      <c r="B1804" s="92" t="str">
        <f t="shared" si="112"/>
        <v>Sunday</v>
      </c>
      <c r="C1804" s="93" t="s">
        <v>1381</v>
      </c>
      <c r="D1804" s="93" t="s">
        <v>662</v>
      </c>
      <c r="E1804" s="94">
        <v>35.76</v>
      </c>
      <c r="F1804" s="93" t="s">
        <v>7</v>
      </c>
      <c r="G1804" s="87">
        <f>Table1[[#This Row],[date]]</f>
        <v>45585</v>
      </c>
      <c r="H1804" s="94">
        <f>SUMIF($A$2:A5439,G1804,$E$2:E5439)</f>
        <v>476.13999999999993</v>
      </c>
      <c r="I1804" s="93" t="str">
        <f t="shared" si="113"/>
        <v>Sunday</v>
      </c>
      <c r="J1804" s="93" t="str">
        <f t="shared" si="114"/>
        <v>October</v>
      </c>
      <c r="K1804" s="93" t="str">
        <f t="shared" si="115"/>
        <v>2024</v>
      </c>
      <c r="L1804" s="6"/>
      <c r="M1804" s="6"/>
      <c r="N1804" s="6"/>
    </row>
    <row r="1805" spans="1:14" x14ac:dyDescent="0.3">
      <c r="A1805" s="87">
        <v>45585</v>
      </c>
      <c r="B1805" s="87" t="str">
        <f t="shared" si="112"/>
        <v>Sunday</v>
      </c>
      <c r="C1805" s="88" t="s">
        <v>1381</v>
      </c>
      <c r="D1805" s="88" t="s">
        <v>662</v>
      </c>
      <c r="E1805" s="89">
        <v>25.96</v>
      </c>
      <c r="F1805" s="88" t="s">
        <v>26</v>
      </c>
      <c r="G1805" s="87">
        <f>Table1[[#This Row],[date]]</f>
        <v>45585</v>
      </c>
      <c r="H1805" s="94">
        <f>SUMIF($A$2:A5440,G1805,$E$2:E5440)</f>
        <v>476.13999999999993</v>
      </c>
      <c r="I1805" s="93" t="str">
        <f t="shared" si="113"/>
        <v>Sunday</v>
      </c>
      <c r="J1805" s="93" t="str">
        <f t="shared" si="114"/>
        <v>October</v>
      </c>
      <c r="K1805" s="93" t="str">
        <f t="shared" si="115"/>
        <v>2024</v>
      </c>
      <c r="L1805" s="6"/>
      <c r="M1805" s="6"/>
      <c r="N1805" s="6"/>
    </row>
    <row r="1806" spans="1:14" x14ac:dyDescent="0.3">
      <c r="A1806" s="92">
        <v>45585</v>
      </c>
      <c r="B1806" s="92" t="str">
        <f t="shared" si="112"/>
        <v>Sunday</v>
      </c>
      <c r="C1806" s="93" t="s">
        <v>1381</v>
      </c>
      <c r="D1806" s="93" t="s">
        <v>467</v>
      </c>
      <c r="E1806" s="94">
        <v>30.86</v>
      </c>
      <c r="F1806" s="93" t="s">
        <v>12</v>
      </c>
      <c r="G1806" s="87">
        <f>Table1[[#This Row],[date]]</f>
        <v>45585</v>
      </c>
      <c r="H1806" s="94">
        <f>SUMIF($A$2:A5441,G1806,$E$2:E5441)</f>
        <v>476.13999999999993</v>
      </c>
      <c r="I1806" s="93" t="str">
        <f t="shared" si="113"/>
        <v>Sunday</v>
      </c>
      <c r="J1806" s="93" t="str">
        <f t="shared" si="114"/>
        <v>October</v>
      </c>
      <c r="K1806" s="93" t="str">
        <f t="shared" si="115"/>
        <v>2024</v>
      </c>
      <c r="L1806" s="6"/>
      <c r="M1806" s="6"/>
      <c r="N1806" s="6"/>
    </row>
    <row r="1807" spans="1:14" x14ac:dyDescent="0.3">
      <c r="A1807" s="87">
        <v>45585</v>
      </c>
      <c r="B1807" s="87" t="str">
        <f t="shared" si="112"/>
        <v>Sunday</v>
      </c>
      <c r="C1807" s="88" t="s">
        <v>1381</v>
      </c>
      <c r="D1807" s="88" t="s">
        <v>800</v>
      </c>
      <c r="E1807" s="89">
        <v>35.76</v>
      </c>
      <c r="F1807" s="88" t="s">
        <v>5</v>
      </c>
      <c r="G1807" s="87">
        <f>Table1[[#This Row],[date]]</f>
        <v>45585</v>
      </c>
      <c r="H1807" s="94">
        <f>SUMIF($A$2:A5442,G1807,$E$2:E5442)</f>
        <v>476.13999999999993</v>
      </c>
      <c r="I1807" s="93" t="str">
        <f t="shared" si="113"/>
        <v>Sunday</v>
      </c>
      <c r="J1807" s="93" t="str">
        <f t="shared" si="114"/>
        <v>October</v>
      </c>
      <c r="K1807" s="93" t="str">
        <f t="shared" si="115"/>
        <v>2024</v>
      </c>
      <c r="L1807" s="6"/>
      <c r="M1807" s="6"/>
      <c r="N1807" s="6"/>
    </row>
    <row r="1808" spans="1:14" x14ac:dyDescent="0.3">
      <c r="A1808" s="87">
        <v>45585</v>
      </c>
      <c r="B1808" s="87" t="str">
        <f t="shared" si="112"/>
        <v>Sunday</v>
      </c>
      <c r="C1808" s="88" t="s">
        <v>1381</v>
      </c>
      <c r="D1808" s="88" t="s">
        <v>519</v>
      </c>
      <c r="E1808" s="89">
        <v>35.76</v>
      </c>
      <c r="F1808" s="88" t="s">
        <v>5</v>
      </c>
      <c r="G1808" s="87">
        <f>Table1[[#This Row],[date]]</f>
        <v>45585</v>
      </c>
      <c r="H1808" s="94">
        <f>SUMIF($A$2:A5443,G1808,$E$2:E5443)</f>
        <v>476.13999999999993</v>
      </c>
      <c r="I1808" s="93" t="str">
        <f t="shared" si="113"/>
        <v>Sunday</v>
      </c>
      <c r="J1808" s="93" t="str">
        <f t="shared" si="114"/>
        <v>October</v>
      </c>
      <c r="K1808" s="93" t="str">
        <f t="shared" si="115"/>
        <v>2024</v>
      </c>
      <c r="L1808" s="6"/>
      <c r="M1808" s="6"/>
      <c r="N1808" s="6"/>
    </row>
    <row r="1809" spans="1:14" x14ac:dyDescent="0.3">
      <c r="A1809" s="92">
        <v>45585</v>
      </c>
      <c r="B1809" s="92" t="str">
        <f t="shared" si="112"/>
        <v>Sunday</v>
      </c>
      <c r="C1809" s="93" t="s">
        <v>1381</v>
      </c>
      <c r="D1809" s="93" t="s">
        <v>21</v>
      </c>
      <c r="E1809" s="94">
        <v>35.76</v>
      </c>
      <c r="F1809" s="93" t="s">
        <v>16</v>
      </c>
      <c r="G1809" s="87">
        <f>Table1[[#This Row],[date]]</f>
        <v>45585</v>
      </c>
      <c r="H1809" s="94">
        <f>SUMIF($A$2:A5444,G1809,$E$2:E5444)</f>
        <v>476.13999999999993</v>
      </c>
      <c r="I1809" s="93" t="str">
        <f t="shared" si="113"/>
        <v>Sunday</v>
      </c>
      <c r="J1809" s="93" t="str">
        <f t="shared" si="114"/>
        <v>October</v>
      </c>
      <c r="K1809" s="93" t="str">
        <f t="shared" si="115"/>
        <v>2024</v>
      </c>
      <c r="L1809" s="6"/>
      <c r="M1809" s="6"/>
      <c r="N1809" s="6"/>
    </row>
    <row r="1810" spans="1:14" x14ac:dyDescent="0.3">
      <c r="A1810" s="92">
        <v>45585</v>
      </c>
      <c r="B1810" s="92" t="str">
        <f t="shared" si="112"/>
        <v>Sunday</v>
      </c>
      <c r="C1810" s="93" t="s">
        <v>1381</v>
      </c>
      <c r="D1810" s="93" t="s">
        <v>801</v>
      </c>
      <c r="E1810" s="94">
        <v>35.76</v>
      </c>
      <c r="F1810" s="93" t="s">
        <v>7</v>
      </c>
      <c r="G1810" s="87">
        <f>Table1[[#This Row],[date]]</f>
        <v>45585</v>
      </c>
      <c r="H1810" s="94">
        <f>SUMIF($A$2:A5445,G1810,$E$2:E5445)</f>
        <v>476.13999999999993</v>
      </c>
      <c r="I1810" s="93" t="str">
        <f t="shared" si="113"/>
        <v>Sunday</v>
      </c>
      <c r="J1810" s="93" t="str">
        <f t="shared" si="114"/>
        <v>October</v>
      </c>
      <c r="K1810" s="93" t="str">
        <f t="shared" si="115"/>
        <v>2024</v>
      </c>
      <c r="L1810" s="6"/>
      <c r="M1810" s="6"/>
      <c r="N1810" s="6"/>
    </row>
    <row r="1811" spans="1:14" x14ac:dyDescent="0.3">
      <c r="A1811" s="87">
        <v>45585</v>
      </c>
      <c r="B1811" s="87" t="str">
        <f t="shared" si="112"/>
        <v>Sunday</v>
      </c>
      <c r="C1811" s="88" t="s">
        <v>1381</v>
      </c>
      <c r="D1811" s="88" t="s">
        <v>802</v>
      </c>
      <c r="E1811" s="89">
        <v>25.96</v>
      </c>
      <c r="F1811" s="88" t="s">
        <v>26</v>
      </c>
      <c r="G1811" s="87">
        <f>Table1[[#This Row],[date]]</f>
        <v>45585</v>
      </c>
      <c r="H1811" s="94">
        <f>SUMIF($A$2:A5446,G1811,$E$2:E5446)</f>
        <v>476.13999999999993</v>
      </c>
      <c r="I1811" s="93" t="str">
        <f t="shared" si="113"/>
        <v>Sunday</v>
      </c>
      <c r="J1811" s="93" t="str">
        <f t="shared" si="114"/>
        <v>October</v>
      </c>
      <c r="K1811" s="93" t="str">
        <f t="shared" si="115"/>
        <v>2024</v>
      </c>
      <c r="L1811" s="6"/>
      <c r="M1811" s="6"/>
      <c r="N1811" s="6"/>
    </row>
    <row r="1812" spans="1:14" x14ac:dyDescent="0.3">
      <c r="A1812" s="92">
        <v>45585</v>
      </c>
      <c r="B1812" s="92" t="str">
        <f t="shared" si="112"/>
        <v>Sunday</v>
      </c>
      <c r="C1812" s="93" t="s">
        <v>1381</v>
      </c>
      <c r="D1812" s="93" t="s">
        <v>803</v>
      </c>
      <c r="E1812" s="94">
        <v>35.76</v>
      </c>
      <c r="F1812" s="93" t="s">
        <v>16</v>
      </c>
      <c r="G1812" s="87">
        <f>Table1[[#This Row],[date]]</f>
        <v>45585</v>
      </c>
      <c r="H1812" s="94">
        <f>SUMIF($A$2:A5447,G1812,$E$2:E5447)</f>
        <v>476.13999999999993</v>
      </c>
      <c r="I1812" s="93" t="str">
        <f t="shared" si="113"/>
        <v>Sunday</v>
      </c>
      <c r="J1812" s="93" t="str">
        <f t="shared" si="114"/>
        <v>October</v>
      </c>
      <c r="K1812" s="93" t="str">
        <f t="shared" si="115"/>
        <v>2024</v>
      </c>
      <c r="L1812" s="6"/>
      <c r="M1812" s="6"/>
      <c r="N1812" s="6"/>
    </row>
    <row r="1813" spans="1:14" x14ac:dyDescent="0.3">
      <c r="A1813" s="87">
        <v>45585</v>
      </c>
      <c r="B1813" s="87" t="str">
        <f t="shared" si="112"/>
        <v>Sunday</v>
      </c>
      <c r="C1813" s="88" t="s">
        <v>1381</v>
      </c>
      <c r="D1813" s="88" t="s">
        <v>804</v>
      </c>
      <c r="E1813" s="89">
        <v>35.76</v>
      </c>
      <c r="F1813" s="88" t="s">
        <v>5</v>
      </c>
      <c r="G1813" s="87">
        <f>Table1[[#This Row],[date]]</f>
        <v>45585</v>
      </c>
      <c r="H1813" s="94">
        <f>SUMIF($A$2:A5448,G1813,$E$2:E5448)</f>
        <v>476.13999999999993</v>
      </c>
      <c r="I1813" s="93" t="str">
        <f t="shared" si="113"/>
        <v>Sunday</v>
      </c>
      <c r="J1813" s="93" t="str">
        <f t="shared" si="114"/>
        <v>October</v>
      </c>
      <c r="K1813" s="93" t="str">
        <f t="shared" si="115"/>
        <v>2024</v>
      </c>
      <c r="L1813" s="6"/>
      <c r="M1813" s="6"/>
      <c r="N1813" s="6"/>
    </row>
    <row r="1814" spans="1:14" x14ac:dyDescent="0.3">
      <c r="A1814" s="92">
        <v>45585</v>
      </c>
      <c r="B1814" s="92" t="str">
        <f t="shared" si="112"/>
        <v>Sunday</v>
      </c>
      <c r="C1814" s="93" t="s">
        <v>1381</v>
      </c>
      <c r="D1814" s="93" t="s">
        <v>562</v>
      </c>
      <c r="E1814" s="94">
        <v>35.76</v>
      </c>
      <c r="F1814" s="93" t="s">
        <v>41</v>
      </c>
      <c r="G1814" s="87">
        <f>Table1[[#This Row],[date]]</f>
        <v>45585</v>
      </c>
      <c r="H1814" s="94">
        <f>SUMIF($A$2:A5449,G1814,$E$2:E5449)</f>
        <v>476.13999999999993</v>
      </c>
      <c r="I1814" s="93" t="str">
        <f t="shared" si="113"/>
        <v>Sunday</v>
      </c>
      <c r="J1814" s="93" t="str">
        <f t="shared" si="114"/>
        <v>October</v>
      </c>
      <c r="K1814" s="93" t="str">
        <f t="shared" si="115"/>
        <v>2024</v>
      </c>
      <c r="L1814" s="6"/>
      <c r="M1814" s="6"/>
      <c r="N1814" s="6"/>
    </row>
    <row r="1815" spans="1:14" x14ac:dyDescent="0.3">
      <c r="A1815" s="87">
        <v>45586</v>
      </c>
      <c r="B1815" s="87" t="str">
        <f t="shared" si="112"/>
        <v>Monday</v>
      </c>
      <c r="C1815" s="88" t="s">
        <v>1381</v>
      </c>
      <c r="D1815" s="88" t="s">
        <v>708</v>
      </c>
      <c r="E1815" s="89">
        <v>35.76</v>
      </c>
      <c r="F1815" s="88" t="s">
        <v>5</v>
      </c>
      <c r="G1815" s="87">
        <f>Table1[[#This Row],[date]]</f>
        <v>45586</v>
      </c>
      <c r="H1815" s="94">
        <f>SUMIF($A$2:A5450,G1815,$E$2:E5450)</f>
        <v>589.78</v>
      </c>
      <c r="I1815" s="93" t="str">
        <f t="shared" si="113"/>
        <v>Monday</v>
      </c>
      <c r="J1815" s="93" t="str">
        <f t="shared" si="114"/>
        <v>October</v>
      </c>
      <c r="K1815" s="93" t="str">
        <f t="shared" si="115"/>
        <v>2024</v>
      </c>
      <c r="L1815" s="6"/>
      <c r="M1815" s="6"/>
      <c r="N1815" s="6"/>
    </row>
    <row r="1816" spans="1:14" x14ac:dyDescent="0.3">
      <c r="A1816" s="92">
        <v>45586</v>
      </c>
      <c r="B1816" s="92" t="str">
        <f t="shared" si="112"/>
        <v>Monday</v>
      </c>
      <c r="C1816" s="93" t="s">
        <v>1381</v>
      </c>
      <c r="D1816" s="93" t="s">
        <v>109</v>
      </c>
      <c r="E1816" s="94">
        <v>35.76</v>
      </c>
      <c r="F1816" s="93" t="s">
        <v>5</v>
      </c>
      <c r="G1816" s="87">
        <f>Table1[[#This Row],[date]]</f>
        <v>45586</v>
      </c>
      <c r="H1816" s="94">
        <f>SUMIF($A$2:A5451,G1816,$E$2:E5451)</f>
        <v>589.78</v>
      </c>
      <c r="I1816" s="93" t="str">
        <f t="shared" si="113"/>
        <v>Monday</v>
      </c>
      <c r="J1816" s="93" t="str">
        <f t="shared" si="114"/>
        <v>October</v>
      </c>
      <c r="K1816" s="93" t="str">
        <f t="shared" si="115"/>
        <v>2024</v>
      </c>
      <c r="L1816" s="6"/>
      <c r="M1816" s="6"/>
      <c r="N1816" s="6"/>
    </row>
    <row r="1817" spans="1:14" x14ac:dyDescent="0.3">
      <c r="A1817" s="87">
        <v>45586</v>
      </c>
      <c r="B1817" s="87" t="str">
        <f t="shared" si="112"/>
        <v>Monday</v>
      </c>
      <c r="C1817" s="88" t="s">
        <v>1381</v>
      </c>
      <c r="D1817" s="88" t="s">
        <v>397</v>
      </c>
      <c r="E1817" s="89">
        <v>30.86</v>
      </c>
      <c r="F1817" s="88" t="s">
        <v>12</v>
      </c>
      <c r="G1817" s="87">
        <f>Table1[[#This Row],[date]]</f>
        <v>45586</v>
      </c>
      <c r="H1817" s="94">
        <f>SUMIF($A$2:A5452,G1817,$E$2:E5452)</f>
        <v>589.78</v>
      </c>
      <c r="I1817" s="93" t="str">
        <f t="shared" si="113"/>
        <v>Monday</v>
      </c>
      <c r="J1817" s="93" t="str">
        <f t="shared" si="114"/>
        <v>October</v>
      </c>
      <c r="K1817" s="93" t="str">
        <f t="shared" si="115"/>
        <v>2024</v>
      </c>
      <c r="L1817" s="6"/>
      <c r="M1817" s="6"/>
      <c r="N1817" s="6"/>
    </row>
    <row r="1818" spans="1:14" x14ac:dyDescent="0.3">
      <c r="A1818" s="92">
        <v>45586</v>
      </c>
      <c r="B1818" s="92" t="str">
        <f t="shared" si="112"/>
        <v>Monday</v>
      </c>
      <c r="C1818" s="93" t="s">
        <v>1381</v>
      </c>
      <c r="D1818" s="93" t="s">
        <v>805</v>
      </c>
      <c r="E1818" s="94">
        <v>35.76</v>
      </c>
      <c r="F1818" s="93" t="s">
        <v>5</v>
      </c>
      <c r="G1818" s="87">
        <f>Table1[[#This Row],[date]]</f>
        <v>45586</v>
      </c>
      <c r="H1818" s="94">
        <f>SUMIF($A$2:A5453,G1818,$E$2:E5453)</f>
        <v>589.78</v>
      </c>
      <c r="I1818" s="93" t="str">
        <f t="shared" si="113"/>
        <v>Monday</v>
      </c>
      <c r="J1818" s="93" t="str">
        <f t="shared" si="114"/>
        <v>October</v>
      </c>
      <c r="K1818" s="93" t="str">
        <f t="shared" si="115"/>
        <v>2024</v>
      </c>
      <c r="L1818" s="6"/>
      <c r="M1818" s="6"/>
      <c r="N1818" s="6"/>
    </row>
    <row r="1819" spans="1:14" x14ac:dyDescent="0.3">
      <c r="A1819" s="87">
        <v>45586</v>
      </c>
      <c r="B1819" s="87" t="str">
        <f t="shared" si="112"/>
        <v>Monday</v>
      </c>
      <c r="C1819" s="88" t="s">
        <v>1381</v>
      </c>
      <c r="D1819" s="88" t="s">
        <v>712</v>
      </c>
      <c r="E1819" s="89">
        <v>25.96</v>
      </c>
      <c r="F1819" s="88" t="s">
        <v>9</v>
      </c>
      <c r="G1819" s="87">
        <f>Table1[[#This Row],[date]]</f>
        <v>45586</v>
      </c>
      <c r="H1819" s="94">
        <f>SUMIF($A$2:A5454,G1819,$E$2:E5454)</f>
        <v>589.78</v>
      </c>
      <c r="I1819" s="93" t="str">
        <f t="shared" si="113"/>
        <v>Monday</v>
      </c>
      <c r="J1819" s="93" t="str">
        <f t="shared" si="114"/>
        <v>October</v>
      </c>
      <c r="K1819" s="93" t="str">
        <f t="shared" si="115"/>
        <v>2024</v>
      </c>
      <c r="L1819" s="6"/>
      <c r="M1819" s="6"/>
      <c r="N1819" s="6"/>
    </row>
    <row r="1820" spans="1:14" x14ac:dyDescent="0.3">
      <c r="A1820" s="92">
        <v>45586</v>
      </c>
      <c r="B1820" s="92" t="str">
        <f t="shared" si="112"/>
        <v>Monday</v>
      </c>
      <c r="C1820" s="93" t="s">
        <v>1381</v>
      </c>
      <c r="D1820" s="93" t="s">
        <v>153</v>
      </c>
      <c r="E1820" s="94">
        <v>25.96</v>
      </c>
      <c r="F1820" s="93" t="s">
        <v>26</v>
      </c>
      <c r="G1820" s="87">
        <f>Table1[[#This Row],[date]]</f>
        <v>45586</v>
      </c>
      <c r="H1820" s="94">
        <f>SUMIF($A$2:A5455,G1820,$E$2:E5455)</f>
        <v>589.78</v>
      </c>
      <c r="I1820" s="93" t="str">
        <f t="shared" si="113"/>
        <v>Monday</v>
      </c>
      <c r="J1820" s="93" t="str">
        <f t="shared" si="114"/>
        <v>October</v>
      </c>
      <c r="K1820" s="93" t="str">
        <f t="shared" si="115"/>
        <v>2024</v>
      </c>
      <c r="L1820" s="6"/>
      <c r="M1820" s="6"/>
      <c r="N1820" s="6"/>
    </row>
    <row r="1821" spans="1:14" x14ac:dyDescent="0.3">
      <c r="A1821" s="92">
        <v>45586</v>
      </c>
      <c r="B1821" s="92" t="str">
        <f t="shared" si="112"/>
        <v>Monday</v>
      </c>
      <c r="C1821" s="93" t="s">
        <v>1381</v>
      </c>
      <c r="D1821" s="93" t="s">
        <v>286</v>
      </c>
      <c r="E1821" s="94">
        <v>21.06</v>
      </c>
      <c r="F1821" s="93" t="s">
        <v>33</v>
      </c>
      <c r="G1821" s="87">
        <f>Table1[[#This Row],[date]]</f>
        <v>45586</v>
      </c>
      <c r="H1821" s="94">
        <f>SUMIF($A$2:A5456,G1821,$E$2:E5456)</f>
        <v>589.78</v>
      </c>
      <c r="I1821" s="93" t="str">
        <f t="shared" si="113"/>
        <v>Monday</v>
      </c>
      <c r="J1821" s="93" t="str">
        <f t="shared" si="114"/>
        <v>October</v>
      </c>
      <c r="K1821" s="93" t="str">
        <f t="shared" si="115"/>
        <v>2024</v>
      </c>
      <c r="L1821" s="6"/>
      <c r="M1821" s="6"/>
      <c r="N1821" s="6"/>
    </row>
    <row r="1822" spans="1:14" x14ac:dyDescent="0.3">
      <c r="A1822" s="87">
        <v>45586</v>
      </c>
      <c r="B1822" s="87" t="str">
        <f t="shared" si="112"/>
        <v>Monday</v>
      </c>
      <c r="C1822" s="88" t="s">
        <v>1381</v>
      </c>
      <c r="D1822" s="88" t="s">
        <v>763</v>
      </c>
      <c r="E1822" s="89">
        <v>35.76</v>
      </c>
      <c r="F1822" s="88" t="s">
        <v>41</v>
      </c>
      <c r="G1822" s="87">
        <f>Table1[[#This Row],[date]]</f>
        <v>45586</v>
      </c>
      <c r="H1822" s="94">
        <f>SUMIF($A$2:A5457,G1822,$E$2:E5457)</f>
        <v>589.78</v>
      </c>
      <c r="I1822" s="93" t="str">
        <f t="shared" si="113"/>
        <v>Monday</v>
      </c>
      <c r="J1822" s="93" t="str">
        <f t="shared" si="114"/>
        <v>October</v>
      </c>
      <c r="K1822" s="93" t="str">
        <f t="shared" si="115"/>
        <v>2024</v>
      </c>
      <c r="L1822" s="6"/>
      <c r="M1822" s="6"/>
      <c r="N1822" s="6"/>
    </row>
    <row r="1823" spans="1:14" x14ac:dyDescent="0.3">
      <c r="A1823" s="92">
        <v>45586</v>
      </c>
      <c r="B1823" s="92" t="str">
        <f t="shared" si="112"/>
        <v>Monday</v>
      </c>
      <c r="C1823" s="93" t="s">
        <v>1381</v>
      </c>
      <c r="D1823" s="93" t="s">
        <v>806</v>
      </c>
      <c r="E1823" s="94">
        <v>35.76</v>
      </c>
      <c r="F1823" s="93" t="s">
        <v>5</v>
      </c>
      <c r="G1823" s="87">
        <f>Table1[[#This Row],[date]]</f>
        <v>45586</v>
      </c>
      <c r="H1823" s="94">
        <f>SUMIF($A$2:A5458,G1823,$E$2:E5458)</f>
        <v>589.78</v>
      </c>
      <c r="I1823" s="93" t="str">
        <f t="shared" si="113"/>
        <v>Monday</v>
      </c>
      <c r="J1823" s="93" t="str">
        <f t="shared" si="114"/>
        <v>October</v>
      </c>
      <c r="K1823" s="93" t="str">
        <f t="shared" si="115"/>
        <v>2024</v>
      </c>
      <c r="L1823" s="6"/>
      <c r="M1823" s="6"/>
      <c r="N1823" s="6"/>
    </row>
    <row r="1824" spans="1:14" x14ac:dyDescent="0.3">
      <c r="A1824" s="87">
        <v>45586</v>
      </c>
      <c r="B1824" s="87" t="str">
        <f t="shared" si="112"/>
        <v>Monday</v>
      </c>
      <c r="C1824" s="88" t="s">
        <v>1381</v>
      </c>
      <c r="D1824" s="88" t="s">
        <v>738</v>
      </c>
      <c r="E1824" s="89">
        <v>35.76</v>
      </c>
      <c r="F1824" s="88" t="s">
        <v>5</v>
      </c>
      <c r="G1824" s="87">
        <f>Table1[[#This Row],[date]]</f>
        <v>45586</v>
      </c>
      <c r="H1824" s="94">
        <f>SUMIF($A$2:A5459,G1824,$E$2:E5459)</f>
        <v>589.78</v>
      </c>
      <c r="I1824" s="93" t="str">
        <f t="shared" si="113"/>
        <v>Monday</v>
      </c>
      <c r="J1824" s="93" t="str">
        <f t="shared" si="114"/>
        <v>October</v>
      </c>
      <c r="K1824" s="93" t="str">
        <f t="shared" si="115"/>
        <v>2024</v>
      </c>
      <c r="L1824" s="6"/>
      <c r="M1824" s="6"/>
      <c r="N1824" s="6"/>
    </row>
    <row r="1825" spans="1:14" x14ac:dyDescent="0.3">
      <c r="A1825" s="92">
        <v>45586</v>
      </c>
      <c r="B1825" s="92" t="str">
        <f t="shared" si="112"/>
        <v>Monday</v>
      </c>
      <c r="C1825" s="93" t="s">
        <v>1381</v>
      </c>
      <c r="D1825" s="93" t="s">
        <v>807</v>
      </c>
      <c r="E1825" s="94">
        <v>30.86</v>
      </c>
      <c r="F1825" s="93" t="s">
        <v>12</v>
      </c>
      <c r="G1825" s="87">
        <f>Table1[[#This Row],[date]]</f>
        <v>45586</v>
      </c>
      <c r="H1825" s="94">
        <f>SUMIF($A$2:A5460,G1825,$E$2:E5460)</f>
        <v>589.78</v>
      </c>
      <c r="I1825" s="93" t="str">
        <f t="shared" si="113"/>
        <v>Monday</v>
      </c>
      <c r="J1825" s="93" t="str">
        <f t="shared" si="114"/>
        <v>October</v>
      </c>
      <c r="K1825" s="93" t="str">
        <f t="shared" si="115"/>
        <v>2024</v>
      </c>
      <c r="L1825" s="6"/>
      <c r="M1825" s="6"/>
      <c r="N1825" s="6"/>
    </row>
    <row r="1826" spans="1:14" x14ac:dyDescent="0.3">
      <c r="A1826" s="87">
        <v>45586</v>
      </c>
      <c r="B1826" s="87" t="str">
        <f t="shared" si="112"/>
        <v>Monday</v>
      </c>
      <c r="C1826" s="88" t="s">
        <v>1381</v>
      </c>
      <c r="D1826" s="88" t="s">
        <v>808</v>
      </c>
      <c r="E1826" s="89">
        <v>25.96</v>
      </c>
      <c r="F1826" s="88" t="s">
        <v>26</v>
      </c>
      <c r="G1826" s="87">
        <f>Table1[[#This Row],[date]]</f>
        <v>45586</v>
      </c>
      <c r="H1826" s="94">
        <f>SUMIF($A$2:A5461,G1826,$E$2:E5461)</f>
        <v>589.78</v>
      </c>
      <c r="I1826" s="93" t="str">
        <f t="shared" si="113"/>
        <v>Monday</v>
      </c>
      <c r="J1826" s="93" t="str">
        <f t="shared" si="114"/>
        <v>October</v>
      </c>
      <c r="K1826" s="93" t="str">
        <f t="shared" si="115"/>
        <v>2024</v>
      </c>
      <c r="L1826" s="6"/>
      <c r="M1826" s="6"/>
      <c r="N1826" s="6"/>
    </row>
    <row r="1827" spans="1:14" x14ac:dyDescent="0.3">
      <c r="A1827" s="92">
        <v>45586</v>
      </c>
      <c r="B1827" s="92" t="str">
        <f t="shared" si="112"/>
        <v>Monday</v>
      </c>
      <c r="C1827" s="93" t="s">
        <v>1381</v>
      </c>
      <c r="D1827" s="93" t="s">
        <v>237</v>
      </c>
      <c r="E1827" s="94">
        <v>35.76</v>
      </c>
      <c r="F1827" s="93" t="s">
        <v>16</v>
      </c>
      <c r="G1827" s="87">
        <f>Table1[[#This Row],[date]]</f>
        <v>45586</v>
      </c>
      <c r="H1827" s="94">
        <f>SUMIF($A$2:A5462,G1827,$E$2:E5462)</f>
        <v>589.78</v>
      </c>
      <c r="I1827" s="93" t="str">
        <f t="shared" si="113"/>
        <v>Monday</v>
      </c>
      <c r="J1827" s="93" t="str">
        <f t="shared" si="114"/>
        <v>October</v>
      </c>
      <c r="K1827" s="93" t="str">
        <f t="shared" si="115"/>
        <v>2024</v>
      </c>
      <c r="L1827" s="6"/>
      <c r="M1827" s="6"/>
      <c r="N1827" s="6"/>
    </row>
    <row r="1828" spans="1:14" x14ac:dyDescent="0.3">
      <c r="A1828" s="87">
        <v>45586</v>
      </c>
      <c r="B1828" s="87" t="str">
        <f t="shared" si="112"/>
        <v>Monday</v>
      </c>
      <c r="C1828" s="88" t="s">
        <v>1381</v>
      </c>
      <c r="D1828" s="88" t="s">
        <v>809</v>
      </c>
      <c r="E1828" s="89">
        <v>35.76</v>
      </c>
      <c r="F1828" s="88" t="s">
        <v>5</v>
      </c>
      <c r="G1828" s="87">
        <f>Table1[[#This Row],[date]]</f>
        <v>45586</v>
      </c>
      <c r="H1828" s="94">
        <f>SUMIF($A$2:A5463,G1828,$E$2:E5463)</f>
        <v>589.78</v>
      </c>
      <c r="I1828" s="93" t="str">
        <f t="shared" si="113"/>
        <v>Monday</v>
      </c>
      <c r="J1828" s="93" t="str">
        <f t="shared" si="114"/>
        <v>October</v>
      </c>
      <c r="K1828" s="93" t="str">
        <f t="shared" si="115"/>
        <v>2024</v>
      </c>
      <c r="L1828" s="6"/>
      <c r="M1828" s="6"/>
      <c r="N1828" s="6"/>
    </row>
    <row r="1829" spans="1:14" x14ac:dyDescent="0.3">
      <c r="A1829" s="92">
        <v>45586</v>
      </c>
      <c r="B1829" s="92" t="str">
        <f t="shared" si="112"/>
        <v>Monday</v>
      </c>
      <c r="C1829" s="93" t="s">
        <v>1381</v>
      </c>
      <c r="D1829" s="93" t="s">
        <v>810</v>
      </c>
      <c r="E1829" s="94">
        <v>35.76</v>
      </c>
      <c r="F1829" s="93" t="s">
        <v>7</v>
      </c>
      <c r="G1829" s="87">
        <f>Table1[[#This Row],[date]]</f>
        <v>45586</v>
      </c>
      <c r="H1829" s="94">
        <f>SUMIF($A$2:A5464,G1829,$E$2:E5464)</f>
        <v>589.78</v>
      </c>
      <c r="I1829" s="93" t="str">
        <f t="shared" si="113"/>
        <v>Monday</v>
      </c>
      <c r="J1829" s="93" t="str">
        <f t="shared" si="114"/>
        <v>October</v>
      </c>
      <c r="K1829" s="93" t="str">
        <f t="shared" si="115"/>
        <v>2024</v>
      </c>
      <c r="L1829" s="6"/>
      <c r="M1829" s="6"/>
      <c r="N1829" s="6"/>
    </row>
    <row r="1830" spans="1:14" x14ac:dyDescent="0.3">
      <c r="A1830" s="87">
        <v>45586</v>
      </c>
      <c r="B1830" s="87" t="str">
        <f t="shared" si="112"/>
        <v>Monday</v>
      </c>
      <c r="C1830" s="88" t="s">
        <v>1381</v>
      </c>
      <c r="D1830" s="88" t="s">
        <v>811</v>
      </c>
      <c r="E1830" s="89">
        <v>35.76</v>
      </c>
      <c r="F1830" s="88" t="s">
        <v>5</v>
      </c>
      <c r="G1830" s="87">
        <f>Table1[[#This Row],[date]]</f>
        <v>45586</v>
      </c>
      <c r="H1830" s="94">
        <f>SUMIF($A$2:A5465,G1830,$E$2:E5465)</f>
        <v>589.78</v>
      </c>
      <c r="I1830" s="93" t="str">
        <f t="shared" si="113"/>
        <v>Monday</v>
      </c>
      <c r="J1830" s="93" t="str">
        <f t="shared" si="114"/>
        <v>October</v>
      </c>
      <c r="K1830" s="93" t="str">
        <f t="shared" si="115"/>
        <v>2024</v>
      </c>
      <c r="L1830" s="6"/>
      <c r="M1830" s="6"/>
      <c r="N1830" s="6"/>
    </row>
    <row r="1831" spans="1:14" x14ac:dyDescent="0.3">
      <c r="A1831" s="92">
        <v>45586</v>
      </c>
      <c r="B1831" s="92" t="str">
        <f t="shared" si="112"/>
        <v>Monday</v>
      </c>
      <c r="C1831" s="93" t="s">
        <v>1381</v>
      </c>
      <c r="D1831" s="93" t="s">
        <v>801</v>
      </c>
      <c r="E1831" s="94">
        <v>35.76</v>
      </c>
      <c r="F1831" s="93" t="s">
        <v>16</v>
      </c>
      <c r="G1831" s="87">
        <f>Table1[[#This Row],[date]]</f>
        <v>45586</v>
      </c>
      <c r="H1831" s="94">
        <f>SUMIF($A$2:A5466,G1831,$E$2:E5466)</f>
        <v>589.78</v>
      </c>
      <c r="I1831" s="93" t="str">
        <f t="shared" si="113"/>
        <v>Monday</v>
      </c>
      <c r="J1831" s="93" t="str">
        <f t="shared" si="114"/>
        <v>October</v>
      </c>
      <c r="K1831" s="93" t="str">
        <f t="shared" si="115"/>
        <v>2024</v>
      </c>
      <c r="L1831" s="6"/>
      <c r="M1831" s="6"/>
      <c r="N1831" s="6"/>
    </row>
    <row r="1832" spans="1:14" x14ac:dyDescent="0.3">
      <c r="A1832" s="87">
        <v>45586</v>
      </c>
      <c r="B1832" s="87" t="str">
        <f t="shared" si="112"/>
        <v>Monday</v>
      </c>
      <c r="C1832" s="88" t="s">
        <v>1381</v>
      </c>
      <c r="D1832" s="88" t="s">
        <v>803</v>
      </c>
      <c r="E1832" s="89">
        <v>35.76</v>
      </c>
      <c r="F1832" s="88" t="s">
        <v>7</v>
      </c>
      <c r="G1832" s="87">
        <f>Table1[[#This Row],[date]]</f>
        <v>45586</v>
      </c>
      <c r="H1832" s="94">
        <f>SUMIF($A$2:A5467,G1832,$E$2:E5467)</f>
        <v>589.78</v>
      </c>
      <c r="I1832" s="93" t="str">
        <f t="shared" si="113"/>
        <v>Monday</v>
      </c>
      <c r="J1832" s="93" t="str">
        <f t="shared" si="114"/>
        <v>October</v>
      </c>
      <c r="K1832" s="93" t="str">
        <f t="shared" si="115"/>
        <v>2024</v>
      </c>
      <c r="L1832" s="6"/>
      <c r="M1832" s="6"/>
      <c r="N1832" s="6"/>
    </row>
    <row r="1833" spans="1:14" x14ac:dyDescent="0.3">
      <c r="A1833" s="92">
        <v>45587</v>
      </c>
      <c r="B1833" s="92" t="str">
        <f t="shared" si="112"/>
        <v>Tuesday</v>
      </c>
      <c r="C1833" s="93" t="s">
        <v>1381</v>
      </c>
      <c r="D1833" s="93" t="s">
        <v>708</v>
      </c>
      <c r="E1833" s="94">
        <v>35.76</v>
      </c>
      <c r="F1833" s="93" t="s">
        <v>5</v>
      </c>
      <c r="G1833" s="87">
        <f>Table1[[#This Row],[date]]</f>
        <v>45587</v>
      </c>
      <c r="H1833" s="94">
        <f>SUMIF($A$2:A5468,G1833,$E$2:E5468)</f>
        <v>272.84000000000003</v>
      </c>
      <c r="I1833" s="93" t="str">
        <f t="shared" si="113"/>
        <v>Tuesday</v>
      </c>
      <c r="J1833" s="93" t="str">
        <f t="shared" si="114"/>
        <v>October</v>
      </c>
      <c r="K1833" s="93" t="str">
        <f t="shared" si="115"/>
        <v>2024</v>
      </c>
      <c r="L1833" s="6"/>
      <c r="M1833" s="6"/>
      <c r="N1833" s="6"/>
    </row>
    <row r="1834" spans="1:14" x14ac:dyDescent="0.3">
      <c r="A1834" s="87">
        <v>45587</v>
      </c>
      <c r="B1834" s="87" t="str">
        <f t="shared" si="112"/>
        <v>Tuesday</v>
      </c>
      <c r="C1834" s="88" t="s">
        <v>1381</v>
      </c>
      <c r="D1834" s="88" t="s">
        <v>708</v>
      </c>
      <c r="E1834" s="89">
        <v>35.76</v>
      </c>
      <c r="F1834" s="88" t="s">
        <v>41</v>
      </c>
      <c r="G1834" s="87">
        <f>Table1[[#This Row],[date]]</f>
        <v>45587</v>
      </c>
      <c r="H1834" s="94">
        <f>SUMIF($A$2:A5469,G1834,$E$2:E5469)</f>
        <v>272.84000000000003</v>
      </c>
      <c r="I1834" s="93" t="str">
        <f t="shared" si="113"/>
        <v>Tuesday</v>
      </c>
      <c r="J1834" s="93" t="str">
        <f t="shared" si="114"/>
        <v>October</v>
      </c>
      <c r="K1834" s="93" t="str">
        <f t="shared" si="115"/>
        <v>2024</v>
      </c>
      <c r="L1834" s="6"/>
      <c r="M1834" s="6"/>
      <c r="N1834" s="6"/>
    </row>
    <row r="1835" spans="1:14" x14ac:dyDescent="0.3">
      <c r="A1835" s="92">
        <v>45587</v>
      </c>
      <c r="B1835" s="92" t="str">
        <f t="shared" si="112"/>
        <v>Tuesday</v>
      </c>
      <c r="C1835" s="93" t="s">
        <v>1381</v>
      </c>
      <c r="D1835" s="93" t="s">
        <v>288</v>
      </c>
      <c r="E1835" s="94">
        <v>30.86</v>
      </c>
      <c r="F1835" s="93" t="s">
        <v>12</v>
      </c>
      <c r="G1835" s="87">
        <f>Table1[[#This Row],[date]]</f>
        <v>45587</v>
      </c>
      <c r="H1835" s="94">
        <f>SUMIF($A$2:A5470,G1835,$E$2:E5470)</f>
        <v>272.84000000000003</v>
      </c>
      <c r="I1835" s="93" t="str">
        <f t="shared" si="113"/>
        <v>Tuesday</v>
      </c>
      <c r="J1835" s="93" t="str">
        <f t="shared" si="114"/>
        <v>October</v>
      </c>
      <c r="K1835" s="93" t="str">
        <f t="shared" si="115"/>
        <v>2024</v>
      </c>
      <c r="L1835" s="6"/>
      <c r="M1835" s="6"/>
      <c r="N1835" s="6"/>
    </row>
    <row r="1836" spans="1:14" x14ac:dyDescent="0.3">
      <c r="A1836" s="87">
        <v>45587</v>
      </c>
      <c r="B1836" s="87" t="str">
        <f t="shared" si="112"/>
        <v>Tuesday</v>
      </c>
      <c r="C1836" s="88" t="s">
        <v>1381</v>
      </c>
      <c r="D1836" s="88" t="s">
        <v>812</v>
      </c>
      <c r="E1836" s="89">
        <v>25.96</v>
      </c>
      <c r="F1836" s="88" t="s">
        <v>26</v>
      </c>
      <c r="G1836" s="87">
        <f>Table1[[#This Row],[date]]</f>
        <v>45587</v>
      </c>
      <c r="H1836" s="94">
        <f>SUMIF($A$2:A5471,G1836,$E$2:E5471)</f>
        <v>272.84000000000003</v>
      </c>
      <c r="I1836" s="93" t="str">
        <f t="shared" si="113"/>
        <v>Tuesday</v>
      </c>
      <c r="J1836" s="93" t="str">
        <f t="shared" si="114"/>
        <v>October</v>
      </c>
      <c r="K1836" s="93" t="str">
        <f t="shared" si="115"/>
        <v>2024</v>
      </c>
      <c r="L1836" s="6"/>
      <c r="M1836" s="6"/>
      <c r="N1836" s="6"/>
    </row>
    <row r="1837" spans="1:14" x14ac:dyDescent="0.3">
      <c r="A1837" s="92">
        <v>45587</v>
      </c>
      <c r="B1837" s="92" t="str">
        <f t="shared" si="112"/>
        <v>Tuesday</v>
      </c>
      <c r="C1837" s="93" t="s">
        <v>1381</v>
      </c>
      <c r="D1837" s="93" t="s">
        <v>414</v>
      </c>
      <c r="E1837" s="94">
        <v>21.06</v>
      </c>
      <c r="F1837" s="93" t="s">
        <v>33</v>
      </c>
      <c r="G1837" s="87">
        <f>Table1[[#This Row],[date]]</f>
        <v>45587</v>
      </c>
      <c r="H1837" s="94">
        <f>SUMIF($A$2:A5472,G1837,$E$2:E5472)</f>
        <v>272.84000000000003</v>
      </c>
      <c r="I1837" s="93" t="str">
        <f t="shared" si="113"/>
        <v>Tuesday</v>
      </c>
      <c r="J1837" s="93" t="str">
        <f t="shared" si="114"/>
        <v>October</v>
      </c>
      <c r="K1837" s="93" t="str">
        <f t="shared" si="115"/>
        <v>2024</v>
      </c>
      <c r="L1837" s="6"/>
      <c r="M1837" s="6"/>
      <c r="N1837" s="6"/>
    </row>
    <row r="1838" spans="1:14" x14ac:dyDescent="0.3">
      <c r="A1838" s="87">
        <v>45587</v>
      </c>
      <c r="B1838" s="87" t="str">
        <f t="shared" si="112"/>
        <v>Tuesday</v>
      </c>
      <c r="C1838" s="88" t="s">
        <v>1381</v>
      </c>
      <c r="D1838" s="88" t="s">
        <v>414</v>
      </c>
      <c r="E1838" s="89">
        <v>25.96</v>
      </c>
      <c r="F1838" s="88" t="s">
        <v>26</v>
      </c>
      <c r="G1838" s="87">
        <f>Table1[[#This Row],[date]]</f>
        <v>45587</v>
      </c>
      <c r="H1838" s="94">
        <f>SUMIF($A$2:A5473,G1838,$E$2:E5473)</f>
        <v>272.84000000000003</v>
      </c>
      <c r="I1838" s="93" t="str">
        <f t="shared" si="113"/>
        <v>Tuesday</v>
      </c>
      <c r="J1838" s="93" t="str">
        <f t="shared" si="114"/>
        <v>October</v>
      </c>
      <c r="K1838" s="93" t="str">
        <f t="shared" si="115"/>
        <v>2024</v>
      </c>
      <c r="L1838" s="6"/>
      <c r="M1838" s="6"/>
      <c r="N1838" s="6"/>
    </row>
    <row r="1839" spans="1:14" x14ac:dyDescent="0.3">
      <c r="A1839" s="92">
        <v>45587</v>
      </c>
      <c r="B1839" s="92" t="str">
        <f t="shared" si="112"/>
        <v>Tuesday</v>
      </c>
      <c r="C1839" s="93" t="s">
        <v>1381</v>
      </c>
      <c r="D1839" s="93" t="s">
        <v>813</v>
      </c>
      <c r="E1839" s="94">
        <v>25.96</v>
      </c>
      <c r="F1839" s="93" t="s">
        <v>9</v>
      </c>
      <c r="G1839" s="87">
        <f>Table1[[#This Row],[date]]</f>
        <v>45587</v>
      </c>
      <c r="H1839" s="94">
        <f>SUMIF($A$2:A5474,G1839,$E$2:E5474)</f>
        <v>272.84000000000003</v>
      </c>
      <c r="I1839" s="93" t="str">
        <f t="shared" si="113"/>
        <v>Tuesday</v>
      </c>
      <c r="J1839" s="93" t="str">
        <f t="shared" si="114"/>
        <v>October</v>
      </c>
      <c r="K1839" s="93" t="str">
        <f t="shared" si="115"/>
        <v>2024</v>
      </c>
      <c r="L1839" s="6"/>
      <c r="M1839" s="6"/>
      <c r="N1839" s="6"/>
    </row>
    <row r="1840" spans="1:14" x14ac:dyDescent="0.3">
      <c r="A1840" s="87">
        <v>45587</v>
      </c>
      <c r="B1840" s="87" t="str">
        <f t="shared" si="112"/>
        <v>Tuesday</v>
      </c>
      <c r="C1840" s="88" t="s">
        <v>1381</v>
      </c>
      <c r="D1840" s="88" t="s">
        <v>519</v>
      </c>
      <c r="E1840" s="89">
        <v>35.76</v>
      </c>
      <c r="F1840" s="88" t="s">
        <v>7</v>
      </c>
      <c r="G1840" s="87">
        <f>Table1[[#This Row],[date]]</f>
        <v>45587</v>
      </c>
      <c r="H1840" s="94">
        <f>SUMIF($A$2:A5475,G1840,$E$2:E5475)</f>
        <v>272.84000000000003</v>
      </c>
      <c r="I1840" s="93" t="str">
        <f t="shared" si="113"/>
        <v>Tuesday</v>
      </c>
      <c r="J1840" s="93" t="str">
        <f t="shared" si="114"/>
        <v>October</v>
      </c>
      <c r="K1840" s="93" t="str">
        <f t="shared" si="115"/>
        <v>2024</v>
      </c>
      <c r="L1840" s="6"/>
      <c r="M1840" s="6"/>
      <c r="N1840" s="6"/>
    </row>
    <row r="1841" spans="1:14" x14ac:dyDescent="0.3">
      <c r="A1841" s="92">
        <v>45587</v>
      </c>
      <c r="B1841" s="92" t="str">
        <f t="shared" si="112"/>
        <v>Tuesday</v>
      </c>
      <c r="C1841" s="93" t="s">
        <v>1381</v>
      </c>
      <c r="D1841" s="93" t="s">
        <v>519</v>
      </c>
      <c r="E1841" s="94">
        <v>35.76</v>
      </c>
      <c r="F1841" s="93" t="s">
        <v>5</v>
      </c>
      <c r="G1841" s="87">
        <f>Table1[[#This Row],[date]]</f>
        <v>45587</v>
      </c>
      <c r="H1841" s="94">
        <f>SUMIF($A$2:A5476,G1841,$E$2:E5476)</f>
        <v>272.84000000000003</v>
      </c>
      <c r="I1841" s="93" t="str">
        <f t="shared" si="113"/>
        <v>Tuesday</v>
      </c>
      <c r="J1841" s="93" t="str">
        <f t="shared" si="114"/>
        <v>October</v>
      </c>
      <c r="K1841" s="93" t="str">
        <f t="shared" si="115"/>
        <v>2024</v>
      </c>
      <c r="L1841" s="6"/>
      <c r="M1841" s="6"/>
      <c r="N1841" s="6"/>
    </row>
    <row r="1842" spans="1:14" x14ac:dyDescent="0.3">
      <c r="A1842" s="87">
        <v>45588</v>
      </c>
      <c r="B1842" s="87" t="str">
        <f t="shared" si="112"/>
        <v>Wednesday</v>
      </c>
      <c r="C1842" s="88" t="s">
        <v>1381</v>
      </c>
      <c r="D1842" s="88" t="s">
        <v>708</v>
      </c>
      <c r="E1842" s="89">
        <v>35.76</v>
      </c>
      <c r="F1842" s="88" t="s">
        <v>5</v>
      </c>
      <c r="G1842" s="87">
        <f>Table1[[#This Row],[date]]</f>
        <v>45588</v>
      </c>
      <c r="H1842" s="94">
        <f>SUMIF($A$2:A5477,G1842,$E$2:E5477)</f>
        <v>385.02</v>
      </c>
      <c r="I1842" s="93" t="str">
        <f t="shared" si="113"/>
        <v>Wednesday</v>
      </c>
      <c r="J1842" s="93" t="str">
        <f t="shared" si="114"/>
        <v>October</v>
      </c>
      <c r="K1842" s="93" t="str">
        <f t="shared" si="115"/>
        <v>2024</v>
      </c>
      <c r="L1842" s="6"/>
      <c r="M1842" s="6"/>
      <c r="N1842" s="6"/>
    </row>
    <row r="1843" spans="1:14" x14ac:dyDescent="0.3">
      <c r="A1843" s="92">
        <v>45588</v>
      </c>
      <c r="B1843" s="92" t="str">
        <f t="shared" si="112"/>
        <v>Wednesday</v>
      </c>
      <c r="C1843" s="93" t="s">
        <v>1381</v>
      </c>
      <c r="D1843" s="93" t="s">
        <v>288</v>
      </c>
      <c r="E1843" s="94">
        <v>30.86</v>
      </c>
      <c r="F1843" s="93" t="s">
        <v>12</v>
      </c>
      <c r="G1843" s="87">
        <f>Table1[[#This Row],[date]]</f>
        <v>45588</v>
      </c>
      <c r="H1843" s="94">
        <f>SUMIF($A$2:A5478,G1843,$E$2:E5478)</f>
        <v>385.02</v>
      </c>
      <c r="I1843" s="93" t="str">
        <f t="shared" si="113"/>
        <v>Wednesday</v>
      </c>
      <c r="J1843" s="93" t="str">
        <f t="shared" si="114"/>
        <v>October</v>
      </c>
      <c r="K1843" s="93" t="str">
        <f t="shared" si="115"/>
        <v>2024</v>
      </c>
      <c r="L1843" s="6"/>
      <c r="M1843" s="6"/>
      <c r="N1843" s="6"/>
    </row>
    <row r="1844" spans="1:14" x14ac:dyDescent="0.3">
      <c r="A1844" s="87">
        <v>45588</v>
      </c>
      <c r="B1844" s="87" t="str">
        <f t="shared" si="112"/>
        <v>Wednesday</v>
      </c>
      <c r="C1844" s="88" t="s">
        <v>1381</v>
      </c>
      <c r="D1844" s="88" t="s">
        <v>153</v>
      </c>
      <c r="E1844" s="89">
        <v>25.96</v>
      </c>
      <c r="F1844" s="88" t="s">
        <v>26</v>
      </c>
      <c r="G1844" s="87">
        <f>Table1[[#This Row],[date]]</f>
        <v>45588</v>
      </c>
      <c r="H1844" s="94">
        <f>SUMIF($A$2:A5479,G1844,$E$2:E5479)</f>
        <v>385.02</v>
      </c>
      <c r="I1844" s="93" t="str">
        <f t="shared" si="113"/>
        <v>Wednesday</v>
      </c>
      <c r="J1844" s="93" t="str">
        <f t="shared" si="114"/>
        <v>October</v>
      </c>
      <c r="K1844" s="93" t="str">
        <f t="shared" si="115"/>
        <v>2024</v>
      </c>
      <c r="L1844" s="6"/>
      <c r="M1844" s="6"/>
      <c r="N1844" s="6"/>
    </row>
    <row r="1845" spans="1:14" x14ac:dyDescent="0.3">
      <c r="A1845" s="92">
        <v>45588</v>
      </c>
      <c r="B1845" s="92" t="str">
        <f t="shared" si="112"/>
        <v>Wednesday</v>
      </c>
      <c r="C1845" s="93" t="s">
        <v>1381</v>
      </c>
      <c r="D1845" s="93" t="s">
        <v>814</v>
      </c>
      <c r="E1845" s="94">
        <v>30.86</v>
      </c>
      <c r="F1845" s="93" t="s">
        <v>12</v>
      </c>
      <c r="G1845" s="87">
        <f>Table1[[#This Row],[date]]</f>
        <v>45588</v>
      </c>
      <c r="H1845" s="94">
        <f>SUMIF($A$2:A5480,G1845,$E$2:E5480)</f>
        <v>385.02</v>
      </c>
      <c r="I1845" s="93" t="str">
        <f t="shared" si="113"/>
        <v>Wednesday</v>
      </c>
      <c r="J1845" s="93" t="str">
        <f t="shared" si="114"/>
        <v>October</v>
      </c>
      <c r="K1845" s="93" t="str">
        <f t="shared" si="115"/>
        <v>2024</v>
      </c>
      <c r="L1845" s="6"/>
      <c r="M1845" s="6"/>
      <c r="N1845" s="6"/>
    </row>
    <row r="1846" spans="1:14" x14ac:dyDescent="0.3">
      <c r="A1846" s="87">
        <v>45588</v>
      </c>
      <c r="B1846" s="87" t="str">
        <f t="shared" si="112"/>
        <v>Wednesday</v>
      </c>
      <c r="C1846" s="88" t="s">
        <v>1381</v>
      </c>
      <c r="D1846" s="88" t="s">
        <v>815</v>
      </c>
      <c r="E1846" s="89">
        <v>30.86</v>
      </c>
      <c r="F1846" s="88" t="s">
        <v>12</v>
      </c>
      <c r="G1846" s="87">
        <f>Table1[[#This Row],[date]]</f>
        <v>45588</v>
      </c>
      <c r="H1846" s="94">
        <f>SUMIF($A$2:A5481,G1846,$E$2:E5481)</f>
        <v>385.02</v>
      </c>
      <c r="I1846" s="93" t="str">
        <f t="shared" si="113"/>
        <v>Wednesday</v>
      </c>
      <c r="J1846" s="93" t="str">
        <f t="shared" si="114"/>
        <v>October</v>
      </c>
      <c r="K1846" s="93" t="str">
        <f t="shared" si="115"/>
        <v>2024</v>
      </c>
      <c r="L1846" s="6"/>
      <c r="M1846" s="6"/>
      <c r="N1846" s="6"/>
    </row>
    <row r="1847" spans="1:14" x14ac:dyDescent="0.3">
      <c r="A1847" s="87">
        <v>45588</v>
      </c>
      <c r="B1847" s="87" t="str">
        <f t="shared" si="112"/>
        <v>Wednesday</v>
      </c>
      <c r="C1847" s="88" t="s">
        <v>1381</v>
      </c>
      <c r="D1847" s="88" t="s">
        <v>816</v>
      </c>
      <c r="E1847" s="89">
        <v>35.76</v>
      </c>
      <c r="F1847" s="88" t="s">
        <v>41</v>
      </c>
      <c r="G1847" s="87">
        <f>Table1[[#This Row],[date]]</f>
        <v>45588</v>
      </c>
      <c r="H1847" s="94">
        <f>SUMIF($A$2:A5482,G1847,$E$2:E5482)</f>
        <v>385.02</v>
      </c>
      <c r="I1847" s="93" t="str">
        <f t="shared" si="113"/>
        <v>Wednesday</v>
      </c>
      <c r="J1847" s="93" t="str">
        <f t="shared" si="114"/>
        <v>October</v>
      </c>
      <c r="K1847" s="93" t="str">
        <f t="shared" si="115"/>
        <v>2024</v>
      </c>
      <c r="L1847" s="6"/>
      <c r="M1847" s="6"/>
      <c r="N1847" s="6"/>
    </row>
    <row r="1848" spans="1:14" x14ac:dyDescent="0.3">
      <c r="A1848" s="92">
        <v>45588</v>
      </c>
      <c r="B1848" s="92" t="str">
        <f t="shared" si="112"/>
        <v>Wednesday</v>
      </c>
      <c r="C1848" s="93" t="s">
        <v>1381</v>
      </c>
      <c r="D1848" s="93" t="s">
        <v>817</v>
      </c>
      <c r="E1848" s="94">
        <v>21.06</v>
      </c>
      <c r="F1848" s="93" t="s">
        <v>33</v>
      </c>
      <c r="G1848" s="87">
        <f>Table1[[#This Row],[date]]</f>
        <v>45588</v>
      </c>
      <c r="H1848" s="94">
        <f>SUMIF($A$2:A5483,G1848,$E$2:E5483)</f>
        <v>385.02</v>
      </c>
      <c r="I1848" s="93" t="str">
        <f t="shared" si="113"/>
        <v>Wednesday</v>
      </c>
      <c r="J1848" s="93" t="str">
        <f t="shared" si="114"/>
        <v>October</v>
      </c>
      <c r="K1848" s="93" t="str">
        <f t="shared" si="115"/>
        <v>2024</v>
      </c>
      <c r="L1848" s="6"/>
      <c r="M1848" s="6"/>
      <c r="N1848" s="6"/>
    </row>
    <row r="1849" spans="1:14" x14ac:dyDescent="0.3">
      <c r="A1849" s="87">
        <v>45588</v>
      </c>
      <c r="B1849" s="87" t="str">
        <f t="shared" si="112"/>
        <v>Wednesday</v>
      </c>
      <c r="C1849" s="88" t="s">
        <v>1381</v>
      </c>
      <c r="D1849" s="88" t="s">
        <v>52</v>
      </c>
      <c r="E1849" s="89">
        <v>35.76</v>
      </c>
      <c r="F1849" s="88" t="s">
        <v>16</v>
      </c>
      <c r="G1849" s="87">
        <f>Table1[[#This Row],[date]]</f>
        <v>45588</v>
      </c>
      <c r="H1849" s="94">
        <f>SUMIF($A$2:A5484,G1849,$E$2:E5484)</f>
        <v>385.02</v>
      </c>
      <c r="I1849" s="93" t="str">
        <f t="shared" si="113"/>
        <v>Wednesday</v>
      </c>
      <c r="J1849" s="93" t="str">
        <f t="shared" si="114"/>
        <v>October</v>
      </c>
      <c r="K1849" s="93" t="str">
        <f t="shared" si="115"/>
        <v>2024</v>
      </c>
      <c r="L1849" s="6"/>
      <c r="M1849" s="6"/>
      <c r="N1849" s="6"/>
    </row>
    <row r="1850" spans="1:14" x14ac:dyDescent="0.3">
      <c r="A1850" s="92">
        <v>45588</v>
      </c>
      <c r="B1850" s="92" t="str">
        <f t="shared" si="112"/>
        <v>Wednesday</v>
      </c>
      <c r="C1850" s="93" t="s">
        <v>1381</v>
      </c>
      <c r="D1850" s="93" t="s">
        <v>52</v>
      </c>
      <c r="E1850" s="94">
        <v>35.76</v>
      </c>
      <c r="F1850" s="93" t="s">
        <v>41</v>
      </c>
      <c r="G1850" s="87">
        <f>Table1[[#This Row],[date]]</f>
        <v>45588</v>
      </c>
      <c r="H1850" s="94">
        <f>SUMIF($A$2:A5485,G1850,$E$2:E5485)</f>
        <v>385.02</v>
      </c>
      <c r="I1850" s="93" t="str">
        <f t="shared" si="113"/>
        <v>Wednesday</v>
      </c>
      <c r="J1850" s="93" t="str">
        <f t="shared" si="114"/>
        <v>October</v>
      </c>
      <c r="K1850" s="93" t="str">
        <f t="shared" si="115"/>
        <v>2024</v>
      </c>
      <c r="L1850" s="6"/>
      <c r="M1850" s="6"/>
      <c r="N1850" s="6"/>
    </row>
    <row r="1851" spans="1:14" x14ac:dyDescent="0.3">
      <c r="A1851" s="87">
        <v>45588</v>
      </c>
      <c r="B1851" s="87" t="str">
        <f t="shared" si="112"/>
        <v>Wednesday</v>
      </c>
      <c r="C1851" s="88" t="s">
        <v>1381</v>
      </c>
      <c r="D1851" s="88" t="s">
        <v>530</v>
      </c>
      <c r="E1851" s="89">
        <v>30.86</v>
      </c>
      <c r="F1851" s="88" t="s">
        <v>12</v>
      </c>
      <c r="G1851" s="87">
        <f>Table1[[#This Row],[date]]</f>
        <v>45588</v>
      </c>
      <c r="H1851" s="94">
        <f>SUMIF($A$2:A5486,G1851,$E$2:E5486)</f>
        <v>385.02</v>
      </c>
      <c r="I1851" s="93" t="str">
        <f t="shared" si="113"/>
        <v>Wednesday</v>
      </c>
      <c r="J1851" s="93" t="str">
        <f t="shared" si="114"/>
        <v>October</v>
      </c>
      <c r="K1851" s="93" t="str">
        <f t="shared" si="115"/>
        <v>2024</v>
      </c>
      <c r="L1851" s="6"/>
      <c r="M1851" s="6"/>
      <c r="N1851" s="6"/>
    </row>
    <row r="1852" spans="1:14" x14ac:dyDescent="0.3">
      <c r="A1852" s="92">
        <v>45588</v>
      </c>
      <c r="B1852" s="92" t="str">
        <f t="shared" si="112"/>
        <v>Wednesday</v>
      </c>
      <c r="C1852" s="93" t="s">
        <v>1381</v>
      </c>
      <c r="D1852" s="93" t="s">
        <v>818</v>
      </c>
      <c r="E1852" s="94">
        <v>35.76</v>
      </c>
      <c r="F1852" s="93" t="s">
        <v>7</v>
      </c>
      <c r="G1852" s="87">
        <f>Table1[[#This Row],[date]]</f>
        <v>45588</v>
      </c>
      <c r="H1852" s="94">
        <f>SUMIF($A$2:A5487,G1852,$E$2:E5487)</f>
        <v>385.02</v>
      </c>
      <c r="I1852" s="93" t="str">
        <f t="shared" si="113"/>
        <v>Wednesday</v>
      </c>
      <c r="J1852" s="93" t="str">
        <f t="shared" si="114"/>
        <v>October</v>
      </c>
      <c r="K1852" s="93" t="str">
        <f t="shared" si="115"/>
        <v>2024</v>
      </c>
      <c r="L1852" s="6"/>
      <c r="M1852" s="6"/>
      <c r="N1852" s="6"/>
    </row>
    <row r="1853" spans="1:14" x14ac:dyDescent="0.3">
      <c r="A1853" s="87">
        <v>45588</v>
      </c>
      <c r="B1853" s="87" t="str">
        <f t="shared" si="112"/>
        <v>Wednesday</v>
      </c>
      <c r="C1853" s="88" t="s">
        <v>1381</v>
      </c>
      <c r="D1853" s="88" t="s">
        <v>819</v>
      </c>
      <c r="E1853" s="89">
        <v>35.76</v>
      </c>
      <c r="F1853" s="88" t="s">
        <v>5</v>
      </c>
      <c r="G1853" s="87">
        <f>Table1[[#This Row],[date]]</f>
        <v>45588</v>
      </c>
      <c r="H1853" s="94">
        <f>SUMIF($A$2:A5488,G1853,$E$2:E5488)</f>
        <v>385.02</v>
      </c>
      <c r="I1853" s="93" t="str">
        <f t="shared" si="113"/>
        <v>Wednesday</v>
      </c>
      <c r="J1853" s="93" t="str">
        <f t="shared" si="114"/>
        <v>October</v>
      </c>
      <c r="K1853" s="93" t="str">
        <f t="shared" si="115"/>
        <v>2024</v>
      </c>
      <c r="L1853" s="6"/>
      <c r="M1853" s="6"/>
      <c r="N1853" s="6"/>
    </row>
    <row r="1854" spans="1:14" x14ac:dyDescent="0.3">
      <c r="A1854" s="92">
        <v>45589</v>
      </c>
      <c r="B1854" s="92" t="str">
        <f t="shared" si="112"/>
        <v>Thursday</v>
      </c>
      <c r="C1854" s="93" t="s">
        <v>1381</v>
      </c>
      <c r="D1854" s="93" t="s">
        <v>820</v>
      </c>
      <c r="E1854" s="94">
        <v>25.96</v>
      </c>
      <c r="F1854" s="93" t="s">
        <v>9</v>
      </c>
      <c r="G1854" s="87">
        <f>Table1[[#This Row],[date]]</f>
        <v>45589</v>
      </c>
      <c r="H1854" s="94">
        <f>SUMIF($A$2:A5489,G1854,$E$2:E5489)</f>
        <v>399.71999999999991</v>
      </c>
      <c r="I1854" s="93" t="str">
        <f t="shared" si="113"/>
        <v>Thursday</v>
      </c>
      <c r="J1854" s="93" t="str">
        <f t="shared" si="114"/>
        <v>October</v>
      </c>
      <c r="K1854" s="93" t="str">
        <f t="shared" si="115"/>
        <v>2024</v>
      </c>
      <c r="L1854" s="6"/>
      <c r="M1854" s="6"/>
      <c r="N1854" s="6"/>
    </row>
    <row r="1855" spans="1:14" x14ac:dyDescent="0.3">
      <c r="A1855" s="87">
        <v>45589</v>
      </c>
      <c r="B1855" s="87" t="str">
        <f t="shared" si="112"/>
        <v>Thursday</v>
      </c>
      <c r="C1855" s="88" t="s">
        <v>1381</v>
      </c>
      <c r="D1855" s="88" t="s">
        <v>821</v>
      </c>
      <c r="E1855" s="89">
        <v>35.76</v>
      </c>
      <c r="F1855" s="88" t="s">
        <v>41</v>
      </c>
      <c r="G1855" s="87">
        <f>Table1[[#This Row],[date]]</f>
        <v>45589</v>
      </c>
      <c r="H1855" s="94">
        <f>SUMIF($A$2:A5490,G1855,$E$2:E5490)</f>
        <v>399.71999999999991</v>
      </c>
      <c r="I1855" s="93" t="str">
        <f t="shared" si="113"/>
        <v>Thursday</v>
      </c>
      <c r="J1855" s="93" t="str">
        <f t="shared" si="114"/>
        <v>October</v>
      </c>
      <c r="K1855" s="93" t="str">
        <f t="shared" si="115"/>
        <v>2024</v>
      </c>
      <c r="L1855" s="6"/>
      <c r="M1855" s="6"/>
      <c r="N1855" s="6"/>
    </row>
    <row r="1856" spans="1:14" x14ac:dyDescent="0.3">
      <c r="A1856" s="92">
        <v>45589</v>
      </c>
      <c r="B1856" s="92" t="str">
        <f t="shared" si="112"/>
        <v>Thursday</v>
      </c>
      <c r="C1856" s="93" t="s">
        <v>1381</v>
      </c>
      <c r="D1856" s="93" t="s">
        <v>816</v>
      </c>
      <c r="E1856" s="94">
        <v>35.76</v>
      </c>
      <c r="F1856" s="93" t="s">
        <v>41</v>
      </c>
      <c r="G1856" s="87">
        <f>Table1[[#This Row],[date]]</f>
        <v>45589</v>
      </c>
      <c r="H1856" s="94">
        <f>SUMIF($A$2:A5491,G1856,$E$2:E5491)</f>
        <v>399.71999999999991</v>
      </c>
      <c r="I1856" s="93" t="str">
        <f t="shared" si="113"/>
        <v>Thursday</v>
      </c>
      <c r="J1856" s="93" t="str">
        <f t="shared" si="114"/>
        <v>October</v>
      </c>
      <c r="K1856" s="93" t="str">
        <f t="shared" si="115"/>
        <v>2024</v>
      </c>
      <c r="L1856" s="6"/>
      <c r="M1856" s="6"/>
      <c r="N1856" s="6"/>
    </row>
    <row r="1857" spans="1:14" x14ac:dyDescent="0.3">
      <c r="A1857" s="87">
        <v>45589</v>
      </c>
      <c r="B1857" s="87" t="str">
        <f t="shared" si="112"/>
        <v>Thursday</v>
      </c>
      <c r="C1857" s="88" t="s">
        <v>1381</v>
      </c>
      <c r="D1857" s="88" t="s">
        <v>822</v>
      </c>
      <c r="E1857" s="89">
        <v>35.76</v>
      </c>
      <c r="F1857" s="88" t="s">
        <v>7</v>
      </c>
      <c r="G1857" s="87">
        <f>Table1[[#This Row],[date]]</f>
        <v>45589</v>
      </c>
      <c r="H1857" s="94">
        <f>SUMIF($A$2:A5492,G1857,$E$2:E5492)</f>
        <v>399.71999999999991</v>
      </c>
      <c r="I1857" s="93" t="str">
        <f t="shared" si="113"/>
        <v>Thursday</v>
      </c>
      <c r="J1857" s="93" t="str">
        <f t="shared" si="114"/>
        <v>October</v>
      </c>
      <c r="K1857" s="93" t="str">
        <f t="shared" si="115"/>
        <v>2024</v>
      </c>
      <c r="L1857" s="6"/>
      <c r="M1857" s="6"/>
      <c r="N1857" s="6"/>
    </row>
    <row r="1858" spans="1:14" x14ac:dyDescent="0.3">
      <c r="A1858" s="92">
        <v>45589</v>
      </c>
      <c r="B1858" s="92" t="str">
        <f t="shared" ref="B1858:B1921" si="116">TEXT(A1858,"dddd")</f>
        <v>Thursday</v>
      </c>
      <c r="C1858" s="93" t="s">
        <v>1381</v>
      </c>
      <c r="D1858" s="93" t="s">
        <v>822</v>
      </c>
      <c r="E1858" s="94">
        <v>35.76</v>
      </c>
      <c r="F1858" s="93" t="s">
        <v>5</v>
      </c>
      <c r="G1858" s="87">
        <f>Table1[[#This Row],[date]]</f>
        <v>45589</v>
      </c>
      <c r="H1858" s="94">
        <f>SUMIF($A$2:A5493,G1858,$E$2:E5493)</f>
        <v>399.71999999999991</v>
      </c>
      <c r="I1858" s="93" t="str">
        <f t="shared" si="113"/>
        <v>Thursday</v>
      </c>
      <c r="J1858" s="93" t="str">
        <f t="shared" si="114"/>
        <v>October</v>
      </c>
      <c r="K1858" s="93" t="str">
        <f t="shared" si="115"/>
        <v>2024</v>
      </c>
      <c r="L1858" s="6"/>
      <c r="M1858" s="6"/>
      <c r="N1858" s="6"/>
    </row>
    <row r="1859" spans="1:14" x14ac:dyDescent="0.3">
      <c r="A1859" s="87">
        <v>45589</v>
      </c>
      <c r="B1859" s="87" t="str">
        <f t="shared" si="116"/>
        <v>Thursday</v>
      </c>
      <c r="C1859" s="88" t="s">
        <v>1381</v>
      </c>
      <c r="D1859" s="88" t="s">
        <v>800</v>
      </c>
      <c r="E1859" s="89">
        <v>35.76</v>
      </c>
      <c r="F1859" s="88" t="s">
        <v>5</v>
      </c>
      <c r="G1859" s="87">
        <f>Table1[[#This Row],[date]]</f>
        <v>45589</v>
      </c>
      <c r="H1859" s="94">
        <f>SUMIF($A$2:A5494,G1859,$E$2:E5494)</f>
        <v>399.71999999999991</v>
      </c>
      <c r="I1859" s="93" t="str">
        <f t="shared" si="113"/>
        <v>Thursday</v>
      </c>
      <c r="J1859" s="93" t="str">
        <f t="shared" si="114"/>
        <v>October</v>
      </c>
      <c r="K1859" s="93" t="str">
        <f t="shared" si="115"/>
        <v>2024</v>
      </c>
      <c r="L1859" s="6"/>
      <c r="M1859" s="6"/>
      <c r="N1859" s="6"/>
    </row>
    <row r="1860" spans="1:14" x14ac:dyDescent="0.3">
      <c r="A1860" s="87">
        <v>45589</v>
      </c>
      <c r="B1860" s="87" t="str">
        <f t="shared" si="116"/>
        <v>Thursday</v>
      </c>
      <c r="C1860" s="88" t="s">
        <v>1381</v>
      </c>
      <c r="D1860" s="88" t="s">
        <v>823</v>
      </c>
      <c r="E1860" s="89">
        <v>25.96</v>
      </c>
      <c r="F1860" s="88" t="s">
        <v>9</v>
      </c>
      <c r="G1860" s="87">
        <f>Table1[[#This Row],[date]]</f>
        <v>45589</v>
      </c>
      <c r="H1860" s="94">
        <f>SUMIF($A$2:A5495,G1860,$E$2:E5495)</f>
        <v>399.71999999999991</v>
      </c>
      <c r="I1860" s="93" t="str">
        <f t="shared" si="113"/>
        <v>Thursday</v>
      </c>
      <c r="J1860" s="93" t="str">
        <f t="shared" si="114"/>
        <v>October</v>
      </c>
      <c r="K1860" s="93" t="str">
        <f t="shared" si="115"/>
        <v>2024</v>
      </c>
      <c r="L1860" s="6"/>
      <c r="M1860" s="6"/>
      <c r="N1860" s="6"/>
    </row>
    <row r="1861" spans="1:14" x14ac:dyDescent="0.3">
      <c r="A1861" s="87">
        <v>45589</v>
      </c>
      <c r="B1861" s="87" t="str">
        <f t="shared" si="116"/>
        <v>Thursday</v>
      </c>
      <c r="C1861" s="88" t="s">
        <v>1381</v>
      </c>
      <c r="D1861" s="88" t="s">
        <v>519</v>
      </c>
      <c r="E1861" s="89">
        <v>35.76</v>
      </c>
      <c r="F1861" s="88" t="s">
        <v>5</v>
      </c>
      <c r="G1861" s="87">
        <f>Table1[[#This Row],[date]]</f>
        <v>45589</v>
      </c>
      <c r="H1861" s="94">
        <f>SUMIF($A$2:A5496,G1861,$E$2:E5496)</f>
        <v>399.71999999999991</v>
      </c>
      <c r="I1861" s="93" t="str">
        <f t="shared" si="113"/>
        <v>Thursday</v>
      </c>
      <c r="J1861" s="93" t="str">
        <f t="shared" si="114"/>
        <v>October</v>
      </c>
      <c r="K1861" s="93" t="str">
        <f t="shared" si="115"/>
        <v>2024</v>
      </c>
      <c r="L1861" s="6"/>
      <c r="M1861" s="6"/>
      <c r="N1861" s="6"/>
    </row>
    <row r="1862" spans="1:14" x14ac:dyDescent="0.3">
      <c r="A1862" s="92">
        <v>45589</v>
      </c>
      <c r="B1862" s="92" t="str">
        <f t="shared" si="116"/>
        <v>Thursday</v>
      </c>
      <c r="C1862" s="93" t="s">
        <v>1381</v>
      </c>
      <c r="D1862" s="93" t="s">
        <v>824</v>
      </c>
      <c r="E1862" s="94">
        <v>25.96</v>
      </c>
      <c r="F1862" s="93" t="s">
        <v>9</v>
      </c>
      <c r="G1862" s="87">
        <f>Table1[[#This Row],[date]]</f>
        <v>45589</v>
      </c>
      <c r="H1862" s="94">
        <f>SUMIF($A$2:A5497,G1862,$E$2:E5497)</f>
        <v>399.71999999999991</v>
      </c>
      <c r="I1862" s="93" t="str">
        <f t="shared" ref="I1862:I1925" si="117">TEXT(G1862,"dddd")</f>
        <v>Thursday</v>
      </c>
      <c r="J1862" s="93" t="str">
        <f t="shared" si="114"/>
        <v>October</v>
      </c>
      <c r="K1862" s="93" t="str">
        <f t="shared" si="115"/>
        <v>2024</v>
      </c>
      <c r="L1862" s="6"/>
      <c r="M1862" s="6"/>
      <c r="N1862" s="6"/>
    </row>
    <row r="1863" spans="1:14" x14ac:dyDescent="0.3">
      <c r="A1863" s="87">
        <v>45589</v>
      </c>
      <c r="B1863" s="87" t="str">
        <f t="shared" si="116"/>
        <v>Thursday</v>
      </c>
      <c r="C1863" s="88" t="s">
        <v>1381</v>
      </c>
      <c r="D1863" s="88" t="s">
        <v>825</v>
      </c>
      <c r="E1863" s="89">
        <v>35.76</v>
      </c>
      <c r="F1863" s="88" t="s">
        <v>7</v>
      </c>
      <c r="G1863" s="87">
        <f>Table1[[#This Row],[date]]</f>
        <v>45589</v>
      </c>
      <c r="H1863" s="94">
        <f>SUMIF($A$2:A5498,G1863,$E$2:E5498)</f>
        <v>399.71999999999991</v>
      </c>
      <c r="I1863" s="93" t="str">
        <f t="shared" si="117"/>
        <v>Thursday</v>
      </c>
      <c r="J1863" s="93" t="str">
        <f t="shared" ref="J1863:J1926" si="118">TEXT(G1863,"mmmm")</f>
        <v>October</v>
      </c>
      <c r="K1863" s="93" t="str">
        <f t="shared" ref="K1863:K1926" si="119">TEXT(G1863,"yyyy")</f>
        <v>2024</v>
      </c>
      <c r="L1863" s="6"/>
      <c r="M1863" s="6"/>
      <c r="N1863" s="6"/>
    </row>
    <row r="1864" spans="1:14" x14ac:dyDescent="0.3">
      <c r="A1864" s="87">
        <v>45589</v>
      </c>
      <c r="B1864" s="87" t="str">
        <f t="shared" si="116"/>
        <v>Thursday</v>
      </c>
      <c r="C1864" s="88" t="s">
        <v>1381</v>
      </c>
      <c r="D1864" s="88" t="s">
        <v>649</v>
      </c>
      <c r="E1864" s="89">
        <v>35.76</v>
      </c>
      <c r="F1864" s="88" t="s">
        <v>7</v>
      </c>
      <c r="G1864" s="87">
        <f>Table1[[#This Row],[date]]</f>
        <v>45589</v>
      </c>
      <c r="H1864" s="94">
        <f>SUMIF($A$2:A5499,G1864,$E$2:E5499)</f>
        <v>399.71999999999991</v>
      </c>
      <c r="I1864" s="93" t="str">
        <f t="shared" si="117"/>
        <v>Thursday</v>
      </c>
      <c r="J1864" s="93" t="str">
        <f t="shared" si="118"/>
        <v>October</v>
      </c>
      <c r="K1864" s="93" t="str">
        <f t="shared" si="119"/>
        <v>2024</v>
      </c>
      <c r="L1864" s="6"/>
      <c r="M1864" s="6"/>
      <c r="N1864" s="6"/>
    </row>
    <row r="1865" spans="1:14" x14ac:dyDescent="0.3">
      <c r="A1865" s="92">
        <v>45589</v>
      </c>
      <c r="B1865" s="92" t="str">
        <f t="shared" si="116"/>
        <v>Thursday</v>
      </c>
      <c r="C1865" s="93" t="s">
        <v>1381</v>
      </c>
      <c r="D1865" s="93" t="s">
        <v>649</v>
      </c>
      <c r="E1865" s="94">
        <v>35.76</v>
      </c>
      <c r="F1865" s="93" t="s">
        <v>41</v>
      </c>
      <c r="G1865" s="87">
        <f>Table1[[#This Row],[date]]</f>
        <v>45589</v>
      </c>
      <c r="H1865" s="94">
        <f>SUMIF($A$2:A5500,G1865,$E$2:E5500)</f>
        <v>399.71999999999991</v>
      </c>
      <c r="I1865" s="93" t="str">
        <f t="shared" si="117"/>
        <v>Thursday</v>
      </c>
      <c r="J1865" s="93" t="str">
        <f t="shared" si="118"/>
        <v>October</v>
      </c>
      <c r="K1865" s="93" t="str">
        <f t="shared" si="119"/>
        <v>2024</v>
      </c>
      <c r="L1865" s="6"/>
      <c r="M1865" s="6"/>
      <c r="N1865" s="6"/>
    </row>
    <row r="1866" spans="1:14" x14ac:dyDescent="0.3">
      <c r="A1866" s="87">
        <v>45590</v>
      </c>
      <c r="B1866" s="87" t="str">
        <f t="shared" si="116"/>
        <v>Friday</v>
      </c>
      <c r="C1866" s="88" t="s">
        <v>1381</v>
      </c>
      <c r="D1866" s="88" t="s">
        <v>708</v>
      </c>
      <c r="E1866" s="89">
        <v>35.76</v>
      </c>
      <c r="F1866" s="88" t="s">
        <v>41</v>
      </c>
      <c r="G1866" s="87">
        <f>Table1[[#This Row],[date]]</f>
        <v>45590</v>
      </c>
      <c r="H1866" s="94">
        <f>SUMIF($A$2:A5501,G1866,$E$2:E5501)</f>
        <v>410.9799999999999</v>
      </c>
      <c r="I1866" s="93" t="str">
        <f t="shared" si="117"/>
        <v>Friday</v>
      </c>
      <c r="J1866" s="93" t="str">
        <f t="shared" si="118"/>
        <v>October</v>
      </c>
      <c r="K1866" s="93" t="str">
        <f t="shared" si="119"/>
        <v>2024</v>
      </c>
      <c r="L1866" s="6"/>
      <c r="M1866" s="6"/>
      <c r="N1866" s="6"/>
    </row>
    <row r="1867" spans="1:14" x14ac:dyDescent="0.3">
      <c r="A1867" s="92">
        <v>45590</v>
      </c>
      <c r="B1867" s="92" t="str">
        <f t="shared" si="116"/>
        <v>Friday</v>
      </c>
      <c r="C1867" s="93" t="s">
        <v>1381</v>
      </c>
      <c r="D1867" s="93" t="s">
        <v>414</v>
      </c>
      <c r="E1867" s="94">
        <v>21.06</v>
      </c>
      <c r="F1867" s="93" t="s">
        <v>33</v>
      </c>
      <c r="G1867" s="87">
        <f>Table1[[#This Row],[date]]</f>
        <v>45590</v>
      </c>
      <c r="H1867" s="94">
        <f>SUMIF($A$2:A5502,G1867,$E$2:E5502)</f>
        <v>410.9799999999999</v>
      </c>
      <c r="I1867" s="93" t="str">
        <f t="shared" si="117"/>
        <v>Friday</v>
      </c>
      <c r="J1867" s="93" t="str">
        <f t="shared" si="118"/>
        <v>October</v>
      </c>
      <c r="K1867" s="93" t="str">
        <f t="shared" si="119"/>
        <v>2024</v>
      </c>
      <c r="L1867" s="6"/>
      <c r="M1867" s="6"/>
      <c r="N1867" s="6"/>
    </row>
    <row r="1868" spans="1:14" x14ac:dyDescent="0.3">
      <c r="A1868" s="87">
        <v>45590</v>
      </c>
      <c r="B1868" s="87" t="str">
        <f t="shared" si="116"/>
        <v>Friday</v>
      </c>
      <c r="C1868" s="88" t="s">
        <v>1381</v>
      </c>
      <c r="D1868" s="88" t="s">
        <v>582</v>
      </c>
      <c r="E1868" s="89">
        <v>35.76</v>
      </c>
      <c r="F1868" s="88" t="s">
        <v>16</v>
      </c>
      <c r="G1868" s="87">
        <f>Table1[[#This Row],[date]]</f>
        <v>45590</v>
      </c>
      <c r="H1868" s="94">
        <f>SUMIF($A$2:A5503,G1868,$E$2:E5503)</f>
        <v>410.9799999999999</v>
      </c>
      <c r="I1868" s="93" t="str">
        <f t="shared" si="117"/>
        <v>Friday</v>
      </c>
      <c r="J1868" s="93" t="str">
        <f t="shared" si="118"/>
        <v>October</v>
      </c>
      <c r="K1868" s="93" t="str">
        <f t="shared" si="119"/>
        <v>2024</v>
      </c>
      <c r="L1868" s="6"/>
      <c r="M1868" s="6"/>
      <c r="N1868" s="6"/>
    </row>
    <row r="1869" spans="1:14" x14ac:dyDescent="0.3">
      <c r="A1869" s="92">
        <v>45590</v>
      </c>
      <c r="B1869" s="92" t="str">
        <f t="shared" si="116"/>
        <v>Friday</v>
      </c>
      <c r="C1869" s="93" t="s">
        <v>1381</v>
      </c>
      <c r="D1869" s="93" t="s">
        <v>582</v>
      </c>
      <c r="E1869" s="94">
        <v>35.76</v>
      </c>
      <c r="F1869" s="93" t="s">
        <v>5</v>
      </c>
      <c r="G1869" s="87">
        <f>Table1[[#This Row],[date]]</f>
        <v>45590</v>
      </c>
      <c r="H1869" s="94">
        <f>SUMIF($A$2:A5504,G1869,$E$2:E5504)</f>
        <v>410.9799999999999</v>
      </c>
      <c r="I1869" s="93" t="str">
        <f t="shared" si="117"/>
        <v>Friday</v>
      </c>
      <c r="J1869" s="93" t="str">
        <f t="shared" si="118"/>
        <v>October</v>
      </c>
      <c r="K1869" s="93" t="str">
        <f t="shared" si="119"/>
        <v>2024</v>
      </c>
      <c r="L1869" s="6"/>
      <c r="M1869" s="6"/>
      <c r="N1869" s="6"/>
    </row>
    <row r="1870" spans="1:14" x14ac:dyDescent="0.3">
      <c r="A1870" s="87">
        <v>45590</v>
      </c>
      <c r="B1870" s="87" t="str">
        <f t="shared" si="116"/>
        <v>Friday</v>
      </c>
      <c r="C1870" s="88" t="s">
        <v>1381</v>
      </c>
      <c r="D1870" s="88" t="s">
        <v>96</v>
      </c>
      <c r="E1870" s="89">
        <v>35.76</v>
      </c>
      <c r="F1870" s="88" t="s">
        <v>16</v>
      </c>
      <c r="G1870" s="87">
        <f>Table1[[#This Row],[date]]</f>
        <v>45590</v>
      </c>
      <c r="H1870" s="94">
        <f>SUMIF($A$2:A5505,G1870,$E$2:E5505)</f>
        <v>410.9799999999999</v>
      </c>
      <c r="I1870" s="93" t="str">
        <f t="shared" si="117"/>
        <v>Friday</v>
      </c>
      <c r="J1870" s="93" t="str">
        <f t="shared" si="118"/>
        <v>October</v>
      </c>
      <c r="K1870" s="93" t="str">
        <f t="shared" si="119"/>
        <v>2024</v>
      </c>
      <c r="L1870" s="6"/>
      <c r="M1870" s="6"/>
      <c r="N1870" s="6"/>
    </row>
    <row r="1871" spans="1:14" x14ac:dyDescent="0.3">
      <c r="A1871" s="92">
        <v>45590</v>
      </c>
      <c r="B1871" s="92" t="str">
        <f t="shared" si="116"/>
        <v>Friday</v>
      </c>
      <c r="C1871" s="93" t="s">
        <v>1381</v>
      </c>
      <c r="D1871" s="93" t="s">
        <v>695</v>
      </c>
      <c r="E1871" s="94">
        <v>25.96</v>
      </c>
      <c r="F1871" s="93" t="s">
        <v>9</v>
      </c>
      <c r="G1871" s="87">
        <f>Table1[[#This Row],[date]]</f>
        <v>45590</v>
      </c>
      <c r="H1871" s="94">
        <f>SUMIF($A$2:A5506,G1871,$E$2:E5506)</f>
        <v>410.9799999999999</v>
      </c>
      <c r="I1871" s="93" t="str">
        <f t="shared" si="117"/>
        <v>Friday</v>
      </c>
      <c r="J1871" s="93" t="str">
        <f t="shared" si="118"/>
        <v>October</v>
      </c>
      <c r="K1871" s="93" t="str">
        <f t="shared" si="119"/>
        <v>2024</v>
      </c>
      <c r="L1871" s="6"/>
      <c r="M1871" s="6"/>
      <c r="N1871" s="6"/>
    </row>
    <row r="1872" spans="1:14" x14ac:dyDescent="0.3">
      <c r="A1872" s="92">
        <v>45590</v>
      </c>
      <c r="B1872" s="92" t="str">
        <f t="shared" si="116"/>
        <v>Friday</v>
      </c>
      <c r="C1872" s="93" t="s">
        <v>1381</v>
      </c>
      <c r="D1872" s="93" t="s">
        <v>288</v>
      </c>
      <c r="E1872" s="94">
        <v>30.86</v>
      </c>
      <c r="F1872" s="93" t="s">
        <v>12</v>
      </c>
      <c r="G1872" s="87">
        <f>Table1[[#This Row],[date]]</f>
        <v>45590</v>
      </c>
      <c r="H1872" s="94">
        <f>SUMIF($A$2:A5507,G1872,$E$2:E5507)</f>
        <v>410.9799999999999</v>
      </c>
      <c r="I1872" s="93" t="str">
        <f t="shared" si="117"/>
        <v>Friday</v>
      </c>
      <c r="J1872" s="93" t="str">
        <f t="shared" si="118"/>
        <v>October</v>
      </c>
      <c r="K1872" s="93" t="str">
        <f t="shared" si="119"/>
        <v>2024</v>
      </c>
      <c r="L1872" s="6"/>
      <c r="M1872" s="6"/>
      <c r="N1872" s="6"/>
    </row>
    <row r="1873" spans="1:14" x14ac:dyDescent="0.3">
      <c r="A1873" s="87">
        <v>45590</v>
      </c>
      <c r="B1873" s="87" t="str">
        <f t="shared" si="116"/>
        <v>Friday</v>
      </c>
      <c r="C1873" s="88" t="s">
        <v>1381</v>
      </c>
      <c r="D1873" s="88" t="s">
        <v>21</v>
      </c>
      <c r="E1873" s="89">
        <v>35.76</v>
      </c>
      <c r="F1873" s="88" t="s">
        <v>16</v>
      </c>
      <c r="G1873" s="87">
        <f>Table1[[#This Row],[date]]</f>
        <v>45590</v>
      </c>
      <c r="H1873" s="94">
        <f>SUMIF($A$2:A5508,G1873,$E$2:E5508)</f>
        <v>410.9799999999999</v>
      </c>
      <c r="I1873" s="93" t="str">
        <f t="shared" si="117"/>
        <v>Friday</v>
      </c>
      <c r="J1873" s="93" t="str">
        <f t="shared" si="118"/>
        <v>October</v>
      </c>
      <c r="K1873" s="93" t="str">
        <f t="shared" si="119"/>
        <v>2024</v>
      </c>
      <c r="L1873" s="6"/>
      <c r="M1873" s="6"/>
      <c r="N1873" s="6"/>
    </row>
    <row r="1874" spans="1:14" x14ac:dyDescent="0.3">
      <c r="A1874" s="87">
        <v>45590</v>
      </c>
      <c r="B1874" s="87" t="str">
        <f t="shared" si="116"/>
        <v>Friday</v>
      </c>
      <c r="C1874" s="88" t="s">
        <v>1381</v>
      </c>
      <c r="D1874" s="88" t="s">
        <v>153</v>
      </c>
      <c r="E1874" s="89">
        <v>25.96</v>
      </c>
      <c r="F1874" s="88" t="s">
        <v>26</v>
      </c>
      <c r="G1874" s="87">
        <f>Table1[[#This Row],[date]]</f>
        <v>45590</v>
      </c>
      <c r="H1874" s="94">
        <f>SUMIF($A$2:A5509,G1874,$E$2:E5509)</f>
        <v>410.9799999999999</v>
      </c>
      <c r="I1874" s="93" t="str">
        <f t="shared" si="117"/>
        <v>Friday</v>
      </c>
      <c r="J1874" s="93" t="str">
        <f t="shared" si="118"/>
        <v>October</v>
      </c>
      <c r="K1874" s="93" t="str">
        <f t="shared" si="119"/>
        <v>2024</v>
      </c>
      <c r="L1874" s="6"/>
      <c r="M1874" s="6"/>
      <c r="N1874" s="6"/>
    </row>
    <row r="1875" spans="1:14" x14ac:dyDescent="0.3">
      <c r="A1875" s="92">
        <v>45590</v>
      </c>
      <c r="B1875" s="92" t="str">
        <f t="shared" si="116"/>
        <v>Friday</v>
      </c>
      <c r="C1875" s="93" t="s">
        <v>1381</v>
      </c>
      <c r="D1875" s="93" t="s">
        <v>826</v>
      </c>
      <c r="E1875" s="94">
        <v>35.76</v>
      </c>
      <c r="F1875" s="93" t="s">
        <v>5</v>
      </c>
      <c r="G1875" s="87">
        <f>Table1[[#This Row],[date]]</f>
        <v>45590</v>
      </c>
      <c r="H1875" s="94">
        <f>SUMIF($A$2:A5510,G1875,$E$2:E5510)</f>
        <v>410.9799999999999</v>
      </c>
      <c r="I1875" s="93" t="str">
        <f t="shared" si="117"/>
        <v>Friday</v>
      </c>
      <c r="J1875" s="93" t="str">
        <f t="shared" si="118"/>
        <v>October</v>
      </c>
      <c r="K1875" s="93" t="str">
        <f t="shared" si="119"/>
        <v>2024</v>
      </c>
      <c r="L1875" s="6"/>
      <c r="M1875" s="6"/>
      <c r="N1875" s="6"/>
    </row>
    <row r="1876" spans="1:14" x14ac:dyDescent="0.3">
      <c r="A1876" s="87">
        <v>45590</v>
      </c>
      <c r="B1876" s="87" t="str">
        <f t="shared" si="116"/>
        <v>Friday</v>
      </c>
      <c r="C1876" s="88" t="s">
        <v>1381</v>
      </c>
      <c r="D1876" s="88" t="s">
        <v>149</v>
      </c>
      <c r="E1876" s="89">
        <v>35.76</v>
      </c>
      <c r="F1876" s="88" t="s">
        <v>41</v>
      </c>
      <c r="G1876" s="87">
        <f>Table1[[#This Row],[date]]</f>
        <v>45590</v>
      </c>
      <c r="H1876" s="94">
        <f>SUMIF($A$2:A5511,G1876,$E$2:E5511)</f>
        <v>410.9799999999999</v>
      </c>
      <c r="I1876" s="93" t="str">
        <f t="shared" si="117"/>
        <v>Friday</v>
      </c>
      <c r="J1876" s="93" t="str">
        <f t="shared" si="118"/>
        <v>October</v>
      </c>
      <c r="K1876" s="93" t="str">
        <f t="shared" si="119"/>
        <v>2024</v>
      </c>
      <c r="L1876" s="6"/>
      <c r="M1876" s="6"/>
      <c r="N1876" s="6"/>
    </row>
    <row r="1877" spans="1:14" x14ac:dyDescent="0.3">
      <c r="A1877" s="92">
        <v>45590</v>
      </c>
      <c r="B1877" s="92" t="str">
        <f t="shared" si="116"/>
        <v>Friday</v>
      </c>
      <c r="C1877" s="93" t="s">
        <v>1381</v>
      </c>
      <c r="D1877" s="93" t="s">
        <v>827</v>
      </c>
      <c r="E1877" s="94">
        <v>35.76</v>
      </c>
      <c r="F1877" s="93" t="s">
        <v>7</v>
      </c>
      <c r="G1877" s="87">
        <f>Table1[[#This Row],[date]]</f>
        <v>45590</v>
      </c>
      <c r="H1877" s="94">
        <f>SUMIF($A$2:A5512,G1877,$E$2:E5512)</f>
        <v>410.9799999999999</v>
      </c>
      <c r="I1877" s="93" t="str">
        <f t="shared" si="117"/>
        <v>Friday</v>
      </c>
      <c r="J1877" s="93" t="str">
        <f t="shared" si="118"/>
        <v>October</v>
      </c>
      <c r="K1877" s="93" t="str">
        <f t="shared" si="119"/>
        <v>2024</v>
      </c>
      <c r="L1877" s="6"/>
      <c r="M1877" s="6"/>
      <c r="N1877" s="6"/>
    </row>
    <row r="1878" spans="1:14" x14ac:dyDescent="0.3">
      <c r="A1878" s="87">
        <v>45590</v>
      </c>
      <c r="B1878" s="87" t="str">
        <f t="shared" si="116"/>
        <v>Friday</v>
      </c>
      <c r="C1878" s="88" t="s">
        <v>1381</v>
      </c>
      <c r="D1878" s="88" t="s">
        <v>827</v>
      </c>
      <c r="E1878" s="89">
        <v>21.06</v>
      </c>
      <c r="F1878" s="88" t="s">
        <v>33</v>
      </c>
      <c r="G1878" s="87">
        <f>Table1[[#This Row],[date]]</f>
        <v>45590</v>
      </c>
      <c r="H1878" s="94">
        <f>SUMIF($A$2:A5513,G1878,$E$2:E5513)</f>
        <v>410.9799999999999</v>
      </c>
      <c r="I1878" s="93" t="str">
        <f t="shared" si="117"/>
        <v>Friday</v>
      </c>
      <c r="J1878" s="93" t="str">
        <f t="shared" si="118"/>
        <v>October</v>
      </c>
      <c r="K1878" s="93" t="str">
        <f t="shared" si="119"/>
        <v>2024</v>
      </c>
      <c r="L1878" s="6"/>
      <c r="M1878" s="6"/>
      <c r="N1878" s="6"/>
    </row>
    <row r="1879" spans="1:14" x14ac:dyDescent="0.3">
      <c r="A1879" s="92">
        <v>45591</v>
      </c>
      <c r="B1879" s="92" t="str">
        <f t="shared" si="116"/>
        <v>Saturday</v>
      </c>
      <c r="C1879" s="93" t="s">
        <v>1381</v>
      </c>
      <c r="D1879" s="93" t="s">
        <v>694</v>
      </c>
      <c r="E1879" s="94">
        <v>35.76</v>
      </c>
      <c r="F1879" s="93" t="s">
        <v>41</v>
      </c>
      <c r="G1879" s="87">
        <f>Table1[[#This Row],[date]]</f>
        <v>45591</v>
      </c>
      <c r="H1879" s="94">
        <f>SUMIF($A$2:A5514,G1879,$E$2:E5514)</f>
        <v>425.68</v>
      </c>
      <c r="I1879" s="93" t="str">
        <f t="shared" si="117"/>
        <v>Saturday</v>
      </c>
      <c r="J1879" s="93" t="str">
        <f t="shared" si="118"/>
        <v>October</v>
      </c>
      <c r="K1879" s="93" t="str">
        <f t="shared" si="119"/>
        <v>2024</v>
      </c>
      <c r="L1879" s="6"/>
      <c r="M1879" s="6"/>
      <c r="N1879" s="6"/>
    </row>
    <row r="1880" spans="1:14" x14ac:dyDescent="0.3">
      <c r="A1880" s="87">
        <v>45591</v>
      </c>
      <c r="B1880" s="87" t="str">
        <f t="shared" si="116"/>
        <v>Saturday</v>
      </c>
      <c r="C1880" s="88" t="s">
        <v>1381</v>
      </c>
      <c r="D1880" s="88" t="s">
        <v>153</v>
      </c>
      <c r="E1880" s="89">
        <v>25.96</v>
      </c>
      <c r="F1880" s="88" t="s">
        <v>26</v>
      </c>
      <c r="G1880" s="87">
        <f>Table1[[#This Row],[date]]</f>
        <v>45591</v>
      </c>
      <c r="H1880" s="94">
        <f>SUMIF($A$2:A5515,G1880,$E$2:E5515)</f>
        <v>425.68</v>
      </c>
      <c r="I1880" s="93" t="str">
        <f t="shared" si="117"/>
        <v>Saturday</v>
      </c>
      <c r="J1880" s="93" t="str">
        <f t="shared" si="118"/>
        <v>October</v>
      </c>
      <c r="K1880" s="93" t="str">
        <f t="shared" si="119"/>
        <v>2024</v>
      </c>
      <c r="L1880" s="6"/>
      <c r="M1880" s="6"/>
      <c r="N1880" s="6"/>
    </row>
    <row r="1881" spans="1:14" x14ac:dyDescent="0.3">
      <c r="A1881" s="92">
        <v>45591</v>
      </c>
      <c r="B1881" s="92" t="str">
        <f t="shared" si="116"/>
        <v>Saturday</v>
      </c>
      <c r="C1881" s="93" t="s">
        <v>1381</v>
      </c>
      <c r="D1881" s="93" t="s">
        <v>346</v>
      </c>
      <c r="E1881" s="94">
        <v>35.76</v>
      </c>
      <c r="F1881" s="93" t="s">
        <v>41</v>
      </c>
      <c r="G1881" s="87">
        <f>Table1[[#This Row],[date]]</f>
        <v>45591</v>
      </c>
      <c r="H1881" s="94">
        <f>SUMIF($A$2:A5516,G1881,$E$2:E5516)</f>
        <v>425.68</v>
      </c>
      <c r="I1881" s="93" t="str">
        <f t="shared" si="117"/>
        <v>Saturday</v>
      </c>
      <c r="J1881" s="93" t="str">
        <f t="shared" si="118"/>
        <v>October</v>
      </c>
      <c r="K1881" s="93" t="str">
        <f t="shared" si="119"/>
        <v>2024</v>
      </c>
      <c r="L1881" s="6"/>
      <c r="M1881" s="6"/>
      <c r="N1881" s="6"/>
    </row>
    <row r="1882" spans="1:14" x14ac:dyDescent="0.3">
      <c r="A1882" s="87">
        <v>45591</v>
      </c>
      <c r="B1882" s="87" t="str">
        <f t="shared" si="116"/>
        <v>Saturday</v>
      </c>
      <c r="C1882" s="88" t="s">
        <v>1381</v>
      </c>
      <c r="D1882" s="88" t="s">
        <v>828</v>
      </c>
      <c r="E1882" s="89">
        <v>25.96</v>
      </c>
      <c r="F1882" s="88" t="s">
        <v>9</v>
      </c>
      <c r="G1882" s="87">
        <f>Table1[[#This Row],[date]]</f>
        <v>45591</v>
      </c>
      <c r="H1882" s="94">
        <f>SUMIF($A$2:A5517,G1882,$E$2:E5517)</f>
        <v>425.68</v>
      </c>
      <c r="I1882" s="93" t="str">
        <f t="shared" si="117"/>
        <v>Saturday</v>
      </c>
      <c r="J1882" s="93" t="str">
        <f t="shared" si="118"/>
        <v>October</v>
      </c>
      <c r="K1882" s="93" t="str">
        <f t="shared" si="119"/>
        <v>2024</v>
      </c>
      <c r="L1882" s="6"/>
      <c r="M1882" s="6"/>
      <c r="N1882" s="6"/>
    </row>
    <row r="1883" spans="1:14" x14ac:dyDescent="0.3">
      <c r="A1883" s="92">
        <v>45591</v>
      </c>
      <c r="B1883" s="92" t="str">
        <f t="shared" si="116"/>
        <v>Saturday</v>
      </c>
      <c r="C1883" s="93" t="s">
        <v>1381</v>
      </c>
      <c r="D1883" s="93" t="s">
        <v>52</v>
      </c>
      <c r="E1883" s="94">
        <v>35.76</v>
      </c>
      <c r="F1883" s="93" t="s">
        <v>16</v>
      </c>
      <c r="G1883" s="87">
        <f>Table1[[#This Row],[date]]</f>
        <v>45591</v>
      </c>
      <c r="H1883" s="94">
        <f>SUMIF($A$2:A5518,G1883,$E$2:E5518)</f>
        <v>425.68</v>
      </c>
      <c r="I1883" s="93" t="str">
        <f t="shared" si="117"/>
        <v>Saturday</v>
      </c>
      <c r="J1883" s="93" t="str">
        <f t="shared" si="118"/>
        <v>October</v>
      </c>
      <c r="K1883" s="93" t="str">
        <f t="shared" si="119"/>
        <v>2024</v>
      </c>
      <c r="L1883" s="6"/>
      <c r="M1883" s="6"/>
      <c r="N1883" s="6"/>
    </row>
    <row r="1884" spans="1:14" x14ac:dyDescent="0.3">
      <c r="A1884" s="87">
        <v>45591</v>
      </c>
      <c r="B1884" s="87" t="str">
        <f t="shared" si="116"/>
        <v>Saturday</v>
      </c>
      <c r="C1884" s="88" t="s">
        <v>1381</v>
      </c>
      <c r="D1884" s="88" t="s">
        <v>829</v>
      </c>
      <c r="E1884" s="89">
        <v>35.76</v>
      </c>
      <c r="F1884" s="88" t="s">
        <v>5</v>
      </c>
      <c r="G1884" s="87">
        <f>Table1[[#This Row],[date]]</f>
        <v>45591</v>
      </c>
      <c r="H1884" s="94">
        <f>SUMIF($A$2:A5519,G1884,$E$2:E5519)</f>
        <v>425.68</v>
      </c>
      <c r="I1884" s="93" t="str">
        <f t="shared" si="117"/>
        <v>Saturday</v>
      </c>
      <c r="J1884" s="93" t="str">
        <f t="shared" si="118"/>
        <v>October</v>
      </c>
      <c r="K1884" s="93" t="str">
        <f t="shared" si="119"/>
        <v>2024</v>
      </c>
      <c r="L1884" s="6"/>
      <c r="M1884" s="6"/>
      <c r="N1884" s="6"/>
    </row>
    <row r="1885" spans="1:14" x14ac:dyDescent="0.3">
      <c r="A1885" s="92">
        <v>45591</v>
      </c>
      <c r="B1885" s="92" t="str">
        <f t="shared" si="116"/>
        <v>Saturday</v>
      </c>
      <c r="C1885" s="93" t="s">
        <v>1381</v>
      </c>
      <c r="D1885" s="93" t="s">
        <v>288</v>
      </c>
      <c r="E1885" s="94">
        <v>35.76</v>
      </c>
      <c r="F1885" s="93" t="s">
        <v>5</v>
      </c>
      <c r="G1885" s="87">
        <f>Table1[[#This Row],[date]]</f>
        <v>45591</v>
      </c>
      <c r="H1885" s="94">
        <f>SUMIF($A$2:A5520,G1885,$E$2:E5520)</f>
        <v>425.68</v>
      </c>
      <c r="I1885" s="93" t="str">
        <f t="shared" si="117"/>
        <v>Saturday</v>
      </c>
      <c r="J1885" s="93" t="str">
        <f t="shared" si="118"/>
        <v>October</v>
      </c>
      <c r="K1885" s="93" t="str">
        <f t="shared" si="119"/>
        <v>2024</v>
      </c>
      <c r="L1885" s="6"/>
      <c r="M1885" s="6"/>
      <c r="N1885" s="6"/>
    </row>
    <row r="1886" spans="1:14" x14ac:dyDescent="0.3">
      <c r="A1886" s="87">
        <v>45591</v>
      </c>
      <c r="B1886" s="87" t="str">
        <f t="shared" si="116"/>
        <v>Saturday</v>
      </c>
      <c r="C1886" s="88" t="s">
        <v>1381</v>
      </c>
      <c r="D1886" s="88" t="s">
        <v>288</v>
      </c>
      <c r="E1886" s="89">
        <v>30.86</v>
      </c>
      <c r="F1886" s="88" t="s">
        <v>12</v>
      </c>
      <c r="G1886" s="87">
        <f>Table1[[#This Row],[date]]</f>
        <v>45591</v>
      </c>
      <c r="H1886" s="94">
        <f>SUMIF($A$2:A5521,G1886,$E$2:E5521)</f>
        <v>425.68</v>
      </c>
      <c r="I1886" s="93" t="str">
        <f t="shared" si="117"/>
        <v>Saturday</v>
      </c>
      <c r="J1886" s="93" t="str">
        <f t="shared" si="118"/>
        <v>October</v>
      </c>
      <c r="K1886" s="93" t="str">
        <f t="shared" si="119"/>
        <v>2024</v>
      </c>
      <c r="L1886" s="6"/>
      <c r="M1886" s="6"/>
      <c r="N1886" s="6"/>
    </row>
    <row r="1887" spans="1:14" x14ac:dyDescent="0.3">
      <c r="A1887" s="92">
        <v>45591</v>
      </c>
      <c r="B1887" s="92" t="str">
        <f t="shared" si="116"/>
        <v>Saturday</v>
      </c>
      <c r="C1887" s="93" t="s">
        <v>1381</v>
      </c>
      <c r="D1887" s="93" t="s">
        <v>830</v>
      </c>
      <c r="E1887" s="94">
        <v>35.76</v>
      </c>
      <c r="F1887" s="93" t="s">
        <v>5</v>
      </c>
      <c r="G1887" s="87">
        <f>Table1[[#This Row],[date]]</f>
        <v>45591</v>
      </c>
      <c r="H1887" s="94">
        <f>SUMIF($A$2:A5522,G1887,$E$2:E5522)</f>
        <v>425.68</v>
      </c>
      <c r="I1887" s="93" t="str">
        <f t="shared" si="117"/>
        <v>Saturday</v>
      </c>
      <c r="J1887" s="93" t="str">
        <f t="shared" si="118"/>
        <v>October</v>
      </c>
      <c r="K1887" s="93" t="str">
        <f t="shared" si="119"/>
        <v>2024</v>
      </c>
      <c r="L1887" s="6"/>
      <c r="M1887" s="6"/>
      <c r="N1887" s="6"/>
    </row>
    <row r="1888" spans="1:14" x14ac:dyDescent="0.3">
      <c r="A1888" s="92">
        <v>45591</v>
      </c>
      <c r="B1888" s="92" t="str">
        <f t="shared" si="116"/>
        <v>Saturday</v>
      </c>
      <c r="C1888" s="93" t="s">
        <v>1381</v>
      </c>
      <c r="D1888" s="93" t="s">
        <v>831</v>
      </c>
      <c r="E1888" s="94">
        <v>30.86</v>
      </c>
      <c r="F1888" s="93" t="s">
        <v>12</v>
      </c>
      <c r="G1888" s="87">
        <f>Table1[[#This Row],[date]]</f>
        <v>45591</v>
      </c>
      <c r="H1888" s="94">
        <f>SUMIF($A$2:A5523,G1888,$E$2:E5523)</f>
        <v>425.68</v>
      </c>
      <c r="I1888" s="93" t="str">
        <f t="shared" si="117"/>
        <v>Saturday</v>
      </c>
      <c r="J1888" s="93" t="str">
        <f t="shared" si="118"/>
        <v>October</v>
      </c>
      <c r="K1888" s="93" t="str">
        <f t="shared" si="119"/>
        <v>2024</v>
      </c>
      <c r="L1888" s="6"/>
      <c r="M1888" s="6"/>
      <c r="N1888" s="6"/>
    </row>
    <row r="1889" spans="1:14" x14ac:dyDescent="0.3">
      <c r="A1889" s="87">
        <v>45591</v>
      </c>
      <c r="B1889" s="87" t="str">
        <f t="shared" si="116"/>
        <v>Saturday</v>
      </c>
      <c r="C1889" s="88" t="s">
        <v>1381</v>
      </c>
      <c r="D1889" s="88" t="s">
        <v>832</v>
      </c>
      <c r="E1889" s="89">
        <v>30.86</v>
      </c>
      <c r="F1889" s="88" t="s">
        <v>12</v>
      </c>
      <c r="G1889" s="87">
        <f>Table1[[#This Row],[date]]</f>
        <v>45591</v>
      </c>
      <c r="H1889" s="94">
        <f>SUMIF($A$2:A5524,G1889,$E$2:E5524)</f>
        <v>425.68</v>
      </c>
      <c r="I1889" s="93" t="str">
        <f t="shared" si="117"/>
        <v>Saturday</v>
      </c>
      <c r="J1889" s="93" t="str">
        <f t="shared" si="118"/>
        <v>October</v>
      </c>
      <c r="K1889" s="93" t="str">
        <f t="shared" si="119"/>
        <v>2024</v>
      </c>
      <c r="L1889" s="6"/>
      <c r="M1889" s="6"/>
      <c r="N1889" s="6"/>
    </row>
    <row r="1890" spans="1:14" x14ac:dyDescent="0.3">
      <c r="A1890" s="92">
        <v>45591</v>
      </c>
      <c r="B1890" s="92" t="str">
        <f t="shared" si="116"/>
        <v>Saturday</v>
      </c>
      <c r="C1890" s="93" t="s">
        <v>1381</v>
      </c>
      <c r="D1890" s="93" t="s">
        <v>727</v>
      </c>
      <c r="E1890" s="94">
        <v>35.76</v>
      </c>
      <c r="F1890" s="93" t="s">
        <v>41</v>
      </c>
      <c r="G1890" s="87">
        <f>Table1[[#This Row],[date]]</f>
        <v>45591</v>
      </c>
      <c r="H1890" s="94">
        <f>SUMIF($A$2:A5525,G1890,$E$2:E5525)</f>
        <v>425.68</v>
      </c>
      <c r="I1890" s="93" t="str">
        <f t="shared" si="117"/>
        <v>Saturday</v>
      </c>
      <c r="J1890" s="93" t="str">
        <f t="shared" si="118"/>
        <v>October</v>
      </c>
      <c r="K1890" s="93" t="str">
        <f t="shared" si="119"/>
        <v>2024</v>
      </c>
      <c r="L1890" s="6"/>
      <c r="M1890" s="6"/>
      <c r="N1890" s="6"/>
    </row>
    <row r="1891" spans="1:14" x14ac:dyDescent="0.3">
      <c r="A1891" s="87">
        <v>45591</v>
      </c>
      <c r="B1891" s="87" t="str">
        <f t="shared" si="116"/>
        <v>Saturday</v>
      </c>
      <c r="C1891" s="88" t="s">
        <v>1381</v>
      </c>
      <c r="D1891" s="88" t="s">
        <v>833</v>
      </c>
      <c r="E1891" s="89">
        <v>30.86</v>
      </c>
      <c r="F1891" s="88" t="s">
        <v>12</v>
      </c>
      <c r="G1891" s="87">
        <f>Table1[[#This Row],[date]]</f>
        <v>45591</v>
      </c>
      <c r="H1891" s="94">
        <f>SUMIF($A$2:A5526,G1891,$E$2:E5526)</f>
        <v>425.68</v>
      </c>
      <c r="I1891" s="93" t="str">
        <f t="shared" si="117"/>
        <v>Saturday</v>
      </c>
      <c r="J1891" s="93" t="str">
        <f t="shared" si="118"/>
        <v>October</v>
      </c>
      <c r="K1891" s="93" t="str">
        <f t="shared" si="119"/>
        <v>2024</v>
      </c>
      <c r="L1891" s="6"/>
      <c r="M1891" s="6"/>
      <c r="N1891" s="6"/>
    </row>
    <row r="1892" spans="1:14" x14ac:dyDescent="0.3">
      <c r="A1892" s="92">
        <v>45592</v>
      </c>
      <c r="B1892" s="92" t="str">
        <f t="shared" si="116"/>
        <v>Sunday</v>
      </c>
      <c r="C1892" s="93" t="s">
        <v>1381</v>
      </c>
      <c r="D1892" s="93" t="s">
        <v>359</v>
      </c>
      <c r="E1892" s="94">
        <v>30.86</v>
      </c>
      <c r="F1892" s="93" t="s">
        <v>12</v>
      </c>
      <c r="G1892" s="87">
        <f>Table1[[#This Row],[date]]</f>
        <v>45592</v>
      </c>
      <c r="H1892" s="94">
        <f>SUMIF($A$2:A5527,G1892,$E$2:E5527)</f>
        <v>169</v>
      </c>
      <c r="I1892" s="93" t="str">
        <f t="shared" si="117"/>
        <v>Sunday</v>
      </c>
      <c r="J1892" s="93" t="str">
        <f t="shared" si="118"/>
        <v>October</v>
      </c>
      <c r="K1892" s="93" t="str">
        <f t="shared" si="119"/>
        <v>2024</v>
      </c>
      <c r="L1892" s="6"/>
      <c r="M1892" s="6"/>
      <c r="N1892" s="6"/>
    </row>
    <row r="1893" spans="1:14" x14ac:dyDescent="0.3">
      <c r="A1893" s="87">
        <v>45592</v>
      </c>
      <c r="B1893" s="87" t="str">
        <f t="shared" si="116"/>
        <v>Sunday</v>
      </c>
      <c r="C1893" s="88" t="s">
        <v>1381</v>
      </c>
      <c r="D1893" s="88" t="s">
        <v>288</v>
      </c>
      <c r="E1893" s="89">
        <v>35.76</v>
      </c>
      <c r="F1893" s="88" t="s">
        <v>5</v>
      </c>
      <c r="G1893" s="87">
        <f>Table1[[#This Row],[date]]</f>
        <v>45592</v>
      </c>
      <c r="H1893" s="94">
        <f>SUMIF($A$2:A5528,G1893,$E$2:E5528)</f>
        <v>169</v>
      </c>
      <c r="I1893" s="93" t="str">
        <f t="shared" si="117"/>
        <v>Sunday</v>
      </c>
      <c r="J1893" s="93" t="str">
        <f t="shared" si="118"/>
        <v>October</v>
      </c>
      <c r="K1893" s="93" t="str">
        <f t="shared" si="119"/>
        <v>2024</v>
      </c>
      <c r="L1893" s="6"/>
      <c r="M1893" s="6"/>
      <c r="N1893" s="6"/>
    </row>
    <row r="1894" spans="1:14" x14ac:dyDescent="0.3">
      <c r="A1894" s="92">
        <v>45592</v>
      </c>
      <c r="B1894" s="92" t="str">
        <f t="shared" si="116"/>
        <v>Sunday</v>
      </c>
      <c r="C1894" s="93" t="s">
        <v>1381</v>
      </c>
      <c r="D1894" s="93" t="s">
        <v>288</v>
      </c>
      <c r="E1894" s="94">
        <v>30.86</v>
      </c>
      <c r="F1894" s="93" t="s">
        <v>12</v>
      </c>
      <c r="G1894" s="87">
        <f>Table1[[#This Row],[date]]</f>
        <v>45592</v>
      </c>
      <c r="H1894" s="94">
        <f>SUMIF($A$2:A5529,G1894,$E$2:E5529)</f>
        <v>169</v>
      </c>
      <c r="I1894" s="93" t="str">
        <f t="shared" si="117"/>
        <v>Sunday</v>
      </c>
      <c r="J1894" s="93" t="str">
        <f t="shared" si="118"/>
        <v>October</v>
      </c>
      <c r="K1894" s="93" t="str">
        <f t="shared" si="119"/>
        <v>2024</v>
      </c>
      <c r="L1894" s="6"/>
      <c r="M1894" s="6"/>
      <c r="N1894" s="6"/>
    </row>
    <row r="1895" spans="1:14" x14ac:dyDescent="0.3">
      <c r="A1895" s="87">
        <v>45592</v>
      </c>
      <c r="B1895" s="87" t="str">
        <f t="shared" si="116"/>
        <v>Sunday</v>
      </c>
      <c r="C1895" s="88" t="s">
        <v>1381</v>
      </c>
      <c r="D1895" s="88" t="s">
        <v>834</v>
      </c>
      <c r="E1895" s="89">
        <v>35.76</v>
      </c>
      <c r="F1895" s="88" t="s">
        <v>41</v>
      </c>
      <c r="G1895" s="87">
        <f>Table1[[#This Row],[date]]</f>
        <v>45592</v>
      </c>
      <c r="H1895" s="94">
        <f>SUMIF($A$2:A5530,G1895,$E$2:E5530)</f>
        <v>169</v>
      </c>
      <c r="I1895" s="93" t="str">
        <f t="shared" si="117"/>
        <v>Sunday</v>
      </c>
      <c r="J1895" s="93" t="str">
        <f t="shared" si="118"/>
        <v>October</v>
      </c>
      <c r="K1895" s="93" t="str">
        <f t="shared" si="119"/>
        <v>2024</v>
      </c>
      <c r="L1895" s="6"/>
      <c r="M1895" s="6"/>
      <c r="N1895" s="6"/>
    </row>
    <row r="1896" spans="1:14" x14ac:dyDescent="0.3">
      <c r="A1896" s="92">
        <v>45592</v>
      </c>
      <c r="B1896" s="92" t="str">
        <f t="shared" si="116"/>
        <v>Sunday</v>
      </c>
      <c r="C1896" s="93" t="s">
        <v>1381</v>
      </c>
      <c r="D1896" s="93" t="s">
        <v>519</v>
      </c>
      <c r="E1896" s="94">
        <v>35.76</v>
      </c>
      <c r="F1896" s="93" t="s">
        <v>5</v>
      </c>
      <c r="G1896" s="87">
        <f>Table1[[#This Row],[date]]</f>
        <v>45592</v>
      </c>
      <c r="H1896" s="94">
        <f>SUMIF($A$2:A5531,G1896,$E$2:E5531)</f>
        <v>169</v>
      </c>
      <c r="I1896" s="93" t="str">
        <f t="shared" si="117"/>
        <v>Sunday</v>
      </c>
      <c r="J1896" s="93" t="str">
        <f t="shared" si="118"/>
        <v>October</v>
      </c>
      <c r="K1896" s="93" t="str">
        <f t="shared" si="119"/>
        <v>2024</v>
      </c>
      <c r="L1896" s="6"/>
      <c r="M1896" s="6"/>
      <c r="N1896" s="6"/>
    </row>
    <row r="1897" spans="1:14" x14ac:dyDescent="0.3">
      <c r="A1897" s="87">
        <v>45593</v>
      </c>
      <c r="B1897" s="87" t="str">
        <f t="shared" si="116"/>
        <v>Monday</v>
      </c>
      <c r="C1897" s="88" t="s">
        <v>1381</v>
      </c>
      <c r="D1897" s="88" t="s">
        <v>708</v>
      </c>
      <c r="E1897" s="89">
        <v>35.76</v>
      </c>
      <c r="F1897" s="88" t="s">
        <v>41</v>
      </c>
      <c r="G1897" s="87">
        <f>Table1[[#This Row],[date]]</f>
        <v>45593</v>
      </c>
      <c r="H1897" s="94">
        <f>SUMIF($A$2:A5532,G1897,$E$2:E5532)</f>
        <v>497.2</v>
      </c>
      <c r="I1897" s="93" t="str">
        <f t="shared" si="117"/>
        <v>Monday</v>
      </c>
      <c r="J1897" s="93" t="str">
        <f t="shared" si="118"/>
        <v>October</v>
      </c>
      <c r="K1897" s="93" t="str">
        <f t="shared" si="119"/>
        <v>2024</v>
      </c>
      <c r="L1897" s="6"/>
      <c r="M1897" s="6"/>
      <c r="N1897" s="6"/>
    </row>
    <row r="1898" spans="1:14" x14ac:dyDescent="0.3">
      <c r="A1898" s="92">
        <v>45593</v>
      </c>
      <c r="B1898" s="92" t="str">
        <f t="shared" si="116"/>
        <v>Monday</v>
      </c>
      <c r="C1898" s="93" t="s">
        <v>1381</v>
      </c>
      <c r="D1898" s="93" t="s">
        <v>835</v>
      </c>
      <c r="E1898" s="94">
        <v>25.96</v>
      </c>
      <c r="F1898" s="93" t="s">
        <v>9</v>
      </c>
      <c r="G1898" s="87">
        <f>Table1[[#This Row],[date]]</f>
        <v>45593</v>
      </c>
      <c r="H1898" s="94">
        <f>SUMIF($A$2:A5533,G1898,$E$2:E5533)</f>
        <v>497.2</v>
      </c>
      <c r="I1898" s="93" t="str">
        <f t="shared" si="117"/>
        <v>Monday</v>
      </c>
      <c r="J1898" s="93" t="str">
        <f t="shared" si="118"/>
        <v>October</v>
      </c>
      <c r="K1898" s="93" t="str">
        <f t="shared" si="119"/>
        <v>2024</v>
      </c>
      <c r="L1898" s="6"/>
      <c r="M1898" s="6"/>
      <c r="N1898" s="6"/>
    </row>
    <row r="1899" spans="1:14" x14ac:dyDescent="0.3">
      <c r="A1899" s="87">
        <v>45593</v>
      </c>
      <c r="B1899" s="87" t="str">
        <f t="shared" si="116"/>
        <v>Monday</v>
      </c>
      <c r="C1899" s="88" t="s">
        <v>1381</v>
      </c>
      <c r="D1899" s="88" t="s">
        <v>695</v>
      </c>
      <c r="E1899" s="89">
        <v>35.76</v>
      </c>
      <c r="F1899" s="88" t="s">
        <v>5</v>
      </c>
      <c r="G1899" s="87">
        <f>Table1[[#This Row],[date]]</f>
        <v>45593</v>
      </c>
      <c r="H1899" s="94">
        <f>SUMIF($A$2:A5534,G1899,$E$2:E5534)</f>
        <v>497.2</v>
      </c>
      <c r="I1899" s="93" t="str">
        <f t="shared" si="117"/>
        <v>Monday</v>
      </c>
      <c r="J1899" s="93" t="str">
        <f t="shared" si="118"/>
        <v>October</v>
      </c>
      <c r="K1899" s="93" t="str">
        <f t="shared" si="119"/>
        <v>2024</v>
      </c>
      <c r="L1899" s="6"/>
      <c r="M1899" s="6"/>
      <c r="N1899" s="6"/>
    </row>
    <row r="1900" spans="1:14" x14ac:dyDescent="0.3">
      <c r="A1900" s="92">
        <v>45593</v>
      </c>
      <c r="B1900" s="92" t="str">
        <f t="shared" si="116"/>
        <v>Monday</v>
      </c>
      <c r="C1900" s="93" t="s">
        <v>1381</v>
      </c>
      <c r="D1900" s="93" t="s">
        <v>254</v>
      </c>
      <c r="E1900" s="94">
        <v>30.86</v>
      </c>
      <c r="F1900" s="93" t="s">
        <v>12</v>
      </c>
      <c r="G1900" s="87">
        <f>Table1[[#This Row],[date]]</f>
        <v>45593</v>
      </c>
      <c r="H1900" s="94">
        <f>SUMIF($A$2:A5535,G1900,$E$2:E5535)</f>
        <v>497.2</v>
      </c>
      <c r="I1900" s="93" t="str">
        <f t="shared" si="117"/>
        <v>Monday</v>
      </c>
      <c r="J1900" s="93" t="str">
        <f t="shared" si="118"/>
        <v>October</v>
      </c>
      <c r="K1900" s="93" t="str">
        <f t="shared" si="119"/>
        <v>2024</v>
      </c>
      <c r="L1900" s="6"/>
      <c r="M1900" s="6"/>
      <c r="N1900" s="6"/>
    </row>
    <row r="1901" spans="1:14" x14ac:dyDescent="0.3">
      <c r="A1901" s="87">
        <v>45593</v>
      </c>
      <c r="B1901" s="87" t="str">
        <f t="shared" si="116"/>
        <v>Monday</v>
      </c>
      <c r="C1901" s="88" t="s">
        <v>1381</v>
      </c>
      <c r="D1901" s="88" t="s">
        <v>836</v>
      </c>
      <c r="E1901" s="89">
        <v>35.76</v>
      </c>
      <c r="F1901" s="88" t="s">
        <v>5</v>
      </c>
      <c r="G1901" s="87">
        <f>Table1[[#This Row],[date]]</f>
        <v>45593</v>
      </c>
      <c r="H1901" s="94">
        <f>SUMIF($A$2:A5536,G1901,$E$2:E5536)</f>
        <v>497.2</v>
      </c>
      <c r="I1901" s="93" t="str">
        <f t="shared" si="117"/>
        <v>Monday</v>
      </c>
      <c r="J1901" s="93" t="str">
        <f t="shared" si="118"/>
        <v>October</v>
      </c>
      <c r="K1901" s="93" t="str">
        <f t="shared" si="119"/>
        <v>2024</v>
      </c>
      <c r="L1901" s="6"/>
      <c r="M1901" s="6"/>
      <c r="N1901" s="6"/>
    </row>
    <row r="1902" spans="1:14" x14ac:dyDescent="0.3">
      <c r="A1902" s="87">
        <v>45593</v>
      </c>
      <c r="B1902" s="87" t="str">
        <f t="shared" si="116"/>
        <v>Monday</v>
      </c>
      <c r="C1902" s="88" t="s">
        <v>1381</v>
      </c>
      <c r="D1902" s="88" t="s">
        <v>719</v>
      </c>
      <c r="E1902" s="89">
        <v>35.76</v>
      </c>
      <c r="F1902" s="88" t="s">
        <v>7</v>
      </c>
      <c r="G1902" s="87">
        <f>Table1[[#This Row],[date]]</f>
        <v>45593</v>
      </c>
      <c r="H1902" s="94">
        <f>SUMIF($A$2:A5537,G1902,$E$2:E5537)</f>
        <v>497.2</v>
      </c>
      <c r="I1902" s="93" t="str">
        <f t="shared" si="117"/>
        <v>Monday</v>
      </c>
      <c r="J1902" s="93" t="str">
        <f t="shared" si="118"/>
        <v>October</v>
      </c>
      <c r="K1902" s="93" t="str">
        <f t="shared" si="119"/>
        <v>2024</v>
      </c>
      <c r="L1902" s="6"/>
      <c r="M1902" s="6"/>
      <c r="N1902" s="6"/>
    </row>
    <row r="1903" spans="1:14" x14ac:dyDescent="0.3">
      <c r="A1903" s="92">
        <v>45593</v>
      </c>
      <c r="B1903" s="92" t="str">
        <f t="shared" si="116"/>
        <v>Monday</v>
      </c>
      <c r="C1903" s="93" t="s">
        <v>1381</v>
      </c>
      <c r="D1903" s="93" t="s">
        <v>837</v>
      </c>
      <c r="E1903" s="94">
        <v>30.86</v>
      </c>
      <c r="F1903" s="93" t="s">
        <v>12</v>
      </c>
      <c r="G1903" s="87">
        <f>Table1[[#This Row],[date]]</f>
        <v>45593</v>
      </c>
      <c r="H1903" s="94">
        <f>SUMIF($A$2:A5538,G1903,$E$2:E5538)</f>
        <v>497.2</v>
      </c>
      <c r="I1903" s="93" t="str">
        <f t="shared" si="117"/>
        <v>Monday</v>
      </c>
      <c r="J1903" s="93" t="str">
        <f t="shared" si="118"/>
        <v>October</v>
      </c>
      <c r="K1903" s="93" t="str">
        <f t="shared" si="119"/>
        <v>2024</v>
      </c>
      <c r="L1903" s="6"/>
      <c r="M1903" s="6"/>
      <c r="N1903" s="6"/>
    </row>
    <row r="1904" spans="1:14" x14ac:dyDescent="0.3">
      <c r="A1904" s="87">
        <v>45593</v>
      </c>
      <c r="B1904" s="87" t="str">
        <f t="shared" si="116"/>
        <v>Monday</v>
      </c>
      <c r="C1904" s="88" t="s">
        <v>1381</v>
      </c>
      <c r="D1904" s="88" t="s">
        <v>838</v>
      </c>
      <c r="E1904" s="89">
        <v>35.76</v>
      </c>
      <c r="F1904" s="88" t="s">
        <v>41</v>
      </c>
      <c r="G1904" s="87">
        <f>Table1[[#This Row],[date]]</f>
        <v>45593</v>
      </c>
      <c r="H1904" s="94">
        <f>SUMIF($A$2:A5539,G1904,$E$2:E5539)</f>
        <v>497.2</v>
      </c>
      <c r="I1904" s="93" t="str">
        <f t="shared" si="117"/>
        <v>Monday</v>
      </c>
      <c r="J1904" s="93" t="str">
        <f t="shared" si="118"/>
        <v>October</v>
      </c>
      <c r="K1904" s="93" t="str">
        <f t="shared" si="119"/>
        <v>2024</v>
      </c>
      <c r="L1904" s="6"/>
      <c r="M1904" s="6"/>
      <c r="N1904" s="6"/>
    </row>
    <row r="1905" spans="1:14" x14ac:dyDescent="0.3">
      <c r="A1905" s="92">
        <v>45593</v>
      </c>
      <c r="B1905" s="92" t="str">
        <f t="shared" si="116"/>
        <v>Monday</v>
      </c>
      <c r="C1905" s="93" t="s">
        <v>1381</v>
      </c>
      <c r="D1905" s="93" t="s">
        <v>831</v>
      </c>
      <c r="E1905" s="94">
        <v>30.86</v>
      </c>
      <c r="F1905" s="93" t="s">
        <v>12</v>
      </c>
      <c r="G1905" s="87">
        <f>Table1[[#This Row],[date]]</f>
        <v>45593</v>
      </c>
      <c r="H1905" s="94">
        <f>SUMIF($A$2:A5540,G1905,$E$2:E5540)</f>
        <v>497.2</v>
      </c>
      <c r="I1905" s="93" t="str">
        <f t="shared" si="117"/>
        <v>Monday</v>
      </c>
      <c r="J1905" s="93" t="str">
        <f t="shared" si="118"/>
        <v>October</v>
      </c>
      <c r="K1905" s="93" t="str">
        <f t="shared" si="119"/>
        <v>2024</v>
      </c>
      <c r="L1905" s="6"/>
      <c r="M1905" s="6"/>
      <c r="N1905" s="6"/>
    </row>
    <row r="1906" spans="1:14" x14ac:dyDescent="0.3">
      <c r="A1906" s="92">
        <v>45593</v>
      </c>
      <c r="B1906" s="92" t="str">
        <f t="shared" si="116"/>
        <v>Monday</v>
      </c>
      <c r="C1906" s="93" t="s">
        <v>1381</v>
      </c>
      <c r="D1906" s="93" t="s">
        <v>839</v>
      </c>
      <c r="E1906" s="94">
        <v>30.86</v>
      </c>
      <c r="F1906" s="93" t="s">
        <v>12</v>
      </c>
      <c r="G1906" s="87">
        <f>Table1[[#This Row],[date]]</f>
        <v>45593</v>
      </c>
      <c r="H1906" s="94">
        <f>SUMIF($A$2:A5541,G1906,$E$2:E5541)</f>
        <v>497.2</v>
      </c>
      <c r="I1906" s="93" t="str">
        <f t="shared" si="117"/>
        <v>Monday</v>
      </c>
      <c r="J1906" s="93" t="str">
        <f t="shared" si="118"/>
        <v>October</v>
      </c>
      <c r="K1906" s="93" t="str">
        <f t="shared" si="119"/>
        <v>2024</v>
      </c>
      <c r="L1906" s="6"/>
      <c r="M1906" s="6"/>
      <c r="N1906" s="6"/>
    </row>
    <row r="1907" spans="1:14" x14ac:dyDescent="0.3">
      <c r="A1907" s="87">
        <v>45593</v>
      </c>
      <c r="B1907" s="87" t="str">
        <f t="shared" si="116"/>
        <v>Monday</v>
      </c>
      <c r="C1907" s="88" t="s">
        <v>1381</v>
      </c>
      <c r="D1907" s="88" t="s">
        <v>171</v>
      </c>
      <c r="E1907" s="89">
        <v>35.76</v>
      </c>
      <c r="F1907" s="88" t="s">
        <v>5</v>
      </c>
      <c r="G1907" s="87">
        <f>Table1[[#This Row],[date]]</f>
        <v>45593</v>
      </c>
      <c r="H1907" s="94">
        <f>SUMIF($A$2:A5542,G1907,$E$2:E5542)</f>
        <v>497.2</v>
      </c>
      <c r="I1907" s="93" t="str">
        <f t="shared" si="117"/>
        <v>Monday</v>
      </c>
      <c r="J1907" s="93" t="str">
        <f t="shared" si="118"/>
        <v>October</v>
      </c>
      <c r="K1907" s="93" t="str">
        <f t="shared" si="119"/>
        <v>2024</v>
      </c>
      <c r="L1907" s="6"/>
      <c r="M1907" s="6"/>
      <c r="N1907" s="6"/>
    </row>
    <row r="1908" spans="1:14" x14ac:dyDescent="0.3">
      <c r="A1908" s="92">
        <v>45593</v>
      </c>
      <c r="B1908" s="92" t="str">
        <f t="shared" si="116"/>
        <v>Monday</v>
      </c>
      <c r="C1908" s="93" t="s">
        <v>1381</v>
      </c>
      <c r="D1908" s="93" t="s">
        <v>840</v>
      </c>
      <c r="E1908" s="94">
        <v>35.76</v>
      </c>
      <c r="F1908" s="93" t="s">
        <v>16</v>
      </c>
      <c r="G1908" s="87">
        <f>Table1[[#This Row],[date]]</f>
        <v>45593</v>
      </c>
      <c r="H1908" s="94">
        <f>SUMIF($A$2:A5543,G1908,$E$2:E5543)</f>
        <v>497.2</v>
      </c>
      <c r="I1908" s="93" t="str">
        <f t="shared" si="117"/>
        <v>Monday</v>
      </c>
      <c r="J1908" s="93" t="str">
        <f t="shared" si="118"/>
        <v>October</v>
      </c>
      <c r="K1908" s="93" t="str">
        <f t="shared" si="119"/>
        <v>2024</v>
      </c>
      <c r="L1908" s="6"/>
      <c r="M1908" s="6"/>
      <c r="N1908" s="6"/>
    </row>
    <row r="1909" spans="1:14" x14ac:dyDescent="0.3">
      <c r="A1909" s="92">
        <v>45593</v>
      </c>
      <c r="B1909" s="92" t="str">
        <f t="shared" si="116"/>
        <v>Monday</v>
      </c>
      <c r="C1909" s="93" t="s">
        <v>1381</v>
      </c>
      <c r="D1909" s="93" t="s">
        <v>269</v>
      </c>
      <c r="E1909" s="94">
        <v>35.76</v>
      </c>
      <c r="F1909" s="93" t="s">
        <v>41</v>
      </c>
      <c r="G1909" s="87">
        <f>Table1[[#This Row],[date]]</f>
        <v>45593</v>
      </c>
      <c r="H1909" s="94">
        <f>SUMIF($A$2:A5544,G1909,$E$2:E5544)</f>
        <v>497.2</v>
      </c>
      <c r="I1909" s="93" t="str">
        <f t="shared" si="117"/>
        <v>Monday</v>
      </c>
      <c r="J1909" s="93" t="str">
        <f t="shared" si="118"/>
        <v>October</v>
      </c>
      <c r="K1909" s="93" t="str">
        <f t="shared" si="119"/>
        <v>2024</v>
      </c>
      <c r="L1909" s="6"/>
      <c r="M1909" s="6"/>
      <c r="N1909" s="6"/>
    </row>
    <row r="1910" spans="1:14" x14ac:dyDescent="0.3">
      <c r="A1910" s="87">
        <v>45593</v>
      </c>
      <c r="B1910" s="87" t="str">
        <f t="shared" si="116"/>
        <v>Monday</v>
      </c>
      <c r="C1910" s="88" t="s">
        <v>1381</v>
      </c>
      <c r="D1910" s="88" t="s">
        <v>341</v>
      </c>
      <c r="E1910" s="89">
        <v>30.86</v>
      </c>
      <c r="F1910" s="88" t="s">
        <v>12</v>
      </c>
      <c r="G1910" s="87">
        <f>Table1[[#This Row],[date]]</f>
        <v>45593</v>
      </c>
      <c r="H1910" s="94">
        <f>SUMIF($A$2:A5545,G1910,$E$2:E5545)</f>
        <v>497.2</v>
      </c>
      <c r="I1910" s="93" t="str">
        <f t="shared" si="117"/>
        <v>Monday</v>
      </c>
      <c r="J1910" s="93" t="str">
        <f t="shared" si="118"/>
        <v>October</v>
      </c>
      <c r="K1910" s="93" t="str">
        <f t="shared" si="119"/>
        <v>2024</v>
      </c>
      <c r="L1910" s="6"/>
      <c r="M1910" s="6"/>
      <c r="N1910" s="6"/>
    </row>
    <row r="1911" spans="1:14" x14ac:dyDescent="0.3">
      <c r="A1911" s="92">
        <v>45593</v>
      </c>
      <c r="B1911" s="92" t="str">
        <f t="shared" si="116"/>
        <v>Monday</v>
      </c>
      <c r="C1911" s="93" t="s">
        <v>1381</v>
      </c>
      <c r="D1911" s="93" t="s">
        <v>707</v>
      </c>
      <c r="E1911" s="94">
        <v>30.86</v>
      </c>
      <c r="F1911" s="93" t="s">
        <v>12</v>
      </c>
      <c r="G1911" s="87">
        <f>Table1[[#This Row],[date]]</f>
        <v>45593</v>
      </c>
      <c r="H1911" s="94">
        <f>SUMIF($A$2:A5546,G1911,$E$2:E5546)</f>
        <v>497.2</v>
      </c>
      <c r="I1911" s="93" t="str">
        <f t="shared" si="117"/>
        <v>Monday</v>
      </c>
      <c r="J1911" s="93" t="str">
        <f t="shared" si="118"/>
        <v>October</v>
      </c>
      <c r="K1911" s="93" t="str">
        <f t="shared" si="119"/>
        <v>2024</v>
      </c>
      <c r="L1911" s="6"/>
      <c r="M1911" s="6"/>
      <c r="N1911" s="6"/>
    </row>
    <row r="1912" spans="1:14" x14ac:dyDescent="0.3">
      <c r="A1912" s="87">
        <v>45594</v>
      </c>
      <c r="B1912" s="87" t="str">
        <f t="shared" si="116"/>
        <v>Tuesday</v>
      </c>
      <c r="C1912" s="88" t="s">
        <v>1381</v>
      </c>
      <c r="D1912" s="88" t="s">
        <v>816</v>
      </c>
      <c r="E1912" s="89">
        <v>35.76</v>
      </c>
      <c r="F1912" s="88" t="s">
        <v>5</v>
      </c>
      <c r="G1912" s="87">
        <f>Table1[[#This Row],[date]]</f>
        <v>45594</v>
      </c>
      <c r="H1912" s="94">
        <f>SUMIF($A$2:A5547,G1912,$E$2:E5547)</f>
        <v>532.96</v>
      </c>
      <c r="I1912" s="93" t="str">
        <f t="shared" si="117"/>
        <v>Tuesday</v>
      </c>
      <c r="J1912" s="93" t="str">
        <f t="shared" si="118"/>
        <v>October</v>
      </c>
      <c r="K1912" s="93" t="str">
        <f t="shared" si="119"/>
        <v>2024</v>
      </c>
      <c r="L1912" s="6"/>
      <c r="M1912" s="6"/>
      <c r="N1912" s="6"/>
    </row>
    <row r="1913" spans="1:14" x14ac:dyDescent="0.3">
      <c r="A1913" s="92">
        <v>45594</v>
      </c>
      <c r="B1913" s="92" t="str">
        <f t="shared" si="116"/>
        <v>Tuesday</v>
      </c>
      <c r="C1913" s="93" t="s">
        <v>1381</v>
      </c>
      <c r="D1913" s="93" t="s">
        <v>695</v>
      </c>
      <c r="E1913" s="94">
        <v>35.76</v>
      </c>
      <c r="F1913" s="93" t="s">
        <v>5</v>
      </c>
      <c r="G1913" s="87">
        <f>Table1[[#This Row],[date]]</f>
        <v>45594</v>
      </c>
      <c r="H1913" s="94">
        <f>SUMIF($A$2:A5548,G1913,$E$2:E5548)</f>
        <v>532.96</v>
      </c>
      <c r="I1913" s="93" t="str">
        <f t="shared" si="117"/>
        <v>Tuesday</v>
      </c>
      <c r="J1913" s="93" t="str">
        <f t="shared" si="118"/>
        <v>October</v>
      </c>
      <c r="K1913" s="93" t="str">
        <f t="shared" si="119"/>
        <v>2024</v>
      </c>
      <c r="L1913" s="6"/>
      <c r="M1913" s="6"/>
      <c r="N1913" s="6"/>
    </row>
    <row r="1914" spans="1:14" x14ac:dyDescent="0.3">
      <c r="A1914" s="87">
        <v>45594</v>
      </c>
      <c r="B1914" s="87" t="str">
        <f t="shared" si="116"/>
        <v>Tuesday</v>
      </c>
      <c r="C1914" s="88" t="s">
        <v>1381</v>
      </c>
      <c r="D1914" s="88" t="s">
        <v>582</v>
      </c>
      <c r="E1914" s="89">
        <v>35.76</v>
      </c>
      <c r="F1914" s="88" t="s">
        <v>5</v>
      </c>
      <c r="G1914" s="87">
        <f>Table1[[#This Row],[date]]</f>
        <v>45594</v>
      </c>
      <c r="H1914" s="94">
        <f>SUMIF($A$2:A5549,G1914,$E$2:E5549)</f>
        <v>532.96</v>
      </c>
      <c r="I1914" s="93" t="str">
        <f t="shared" si="117"/>
        <v>Tuesday</v>
      </c>
      <c r="J1914" s="93" t="str">
        <f t="shared" si="118"/>
        <v>October</v>
      </c>
      <c r="K1914" s="93" t="str">
        <f t="shared" si="119"/>
        <v>2024</v>
      </c>
      <c r="L1914" s="6"/>
      <c r="M1914" s="6"/>
      <c r="N1914" s="6"/>
    </row>
    <row r="1915" spans="1:14" x14ac:dyDescent="0.3">
      <c r="A1915" s="92">
        <v>45594</v>
      </c>
      <c r="B1915" s="92" t="str">
        <f t="shared" si="116"/>
        <v>Tuesday</v>
      </c>
      <c r="C1915" s="93" t="s">
        <v>1381</v>
      </c>
      <c r="D1915" s="93" t="s">
        <v>841</v>
      </c>
      <c r="E1915" s="94">
        <v>30.86</v>
      </c>
      <c r="F1915" s="93" t="s">
        <v>12</v>
      </c>
      <c r="G1915" s="87">
        <f>Table1[[#This Row],[date]]</f>
        <v>45594</v>
      </c>
      <c r="H1915" s="94">
        <f>SUMIF($A$2:A5550,G1915,$E$2:E5550)</f>
        <v>532.96</v>
      </c>
      <c r="I1915" s="93" t="str">
        <f t="shared" si="117"/>
        <v>Tuesday</v>
      </c>
      <c r="J1915" s="93" t="str">
        <f t="shared" si="118"/>
        <v>October</v>
      </c>
      <c r="K1915" s="93" t="str">
        <f t="shared" si="119"/>
        <v>2024</v>
      </c>
      <c r="L1915" s="6"/>
      <c r="M1915" s="6"/>
      <c r="N1915" s="6"/>
    </row>
    <row r="1916" spans="1:14" x14ac:dyDescent="0.3">
      <c r="A1916" s="87">
        <v>45594</v>
      </c>
      <c r="B1916" s="87" t="str">
        <f t="shared" si="116"/>
        <v>Tuesday</v>
      </c>
      <c r="C1916" s="88" t="s">
        <v>1381</v>
      </c>
      <c r="D1916" s="88" t="s">
        <v>842</v>
      </c>
      <c r="E1916" s="89">
        <v>21.06</v>
      </c>
      <c r="F1916" s="88" t="s">
        <v>33</v>
      </c>
      <c r="G1916" s="87">
        <f>Table1[[#This Row],[date]]</f>
        <v>45594</v>
      </c>
      <c r="H1916" s="94">
        <f>SUMIF($A$2:A5551,G1916,$E$2:E5551)</f>
        <v>532.96</v>
      </c>
      <c r="I1916" s="93" t="str">
        <f t="shared" si="117"/>
        <v>Tuesday</v>
      </c>
      <c r="J1916" s="93" t="str">
        <f t="shared" si="118"/>
        <v>October</v>
      </c>
      <c r="K1916" s="93" t="str">
        <f t="shared" si="119"/>
        <v>2024</v>
      </c>
      <c r="L1916" s="6"/>
      <c r="M1916" s="6"/>
      <c r="N1916" s="6"/>
    </row>
    <row r="1917" spans="1:14" x14ac:dyDescent="0.3">
      <c r="A1917" s="92">
        <v>45594</v>
      </c>
      <c r="B1917" s="92" t="str">
        <f t="shared" si="116"/>
        <v>Tuesday</v>
      </c>
      <c r="C1917" s="93" t="s">
        <v>1381</v>
      </c>
      <c r="D1917" s="93" t="s">
        <v>843</v>
      </c>
      <c r="E1917" s="94">
        <v>25.96</v>
      </c>
      <c r="F1917" s="93" t="s">
        <v>26</v>
      </c>
      <c r="G1917" s="87">
        <f>Table1[[#This Row],[date]]</f>
        <v>45594</v>
      </c>
      <c r="H1917" s="94">
        <f>SUMIF($A$2:A5552,G1917,$E$2:E5552)</f>
        <v>532.96</v>
      </c>
      <c r="I1917" s="93" t="str">
        <f t="shared" si="117"/>
        <v>Tuesday</v>
      </c>
      <c r="J1917" s="93" t="str">
        <f t="shared" si="118"/>
        <v>October</v>
      </c>
      <c r="K1917" s="93" t="str">
        <f t="shared" si="119"/>
        <v>2024</v>
      </c>
      <c r="L1917" s="6"/>
      <c r="M1917" s="6"/>
      <c r="N1917" s="6"/>
    </row>
    <row r="1918" spans="1:14" x14ac:dyDescent="0.3">
      <c r="A1918" s="92">
        <v>45594</v>
      </c>
      <c r="B1918" s="92" t="str">
        <f t="shared" si="116"/>
        <v>Tuesday</v>
      </c>
      <c r="C1918" s="93" t="s">
        <v>1381</v>
      </c>
      <c r="D1918" s="93" t="s">
        <v>844</v>
      </c>
      <c r="E1918" s="94">
        <v>35.76</v>
      </c>
      <c r="F1918" s="93" t="s">
        <v>41</v>
      </c>
      <c r="G1918" s="87">
        <f>Table1[[#This Row],[date]]</f>
        <v>45594</v>
      </c>
      <c r="H1918" s="94">
        <f>SUMIF($A$2:A5553,G1918,$E$2:E5553)</f>
        <v>532.96</v>
      </c>
      <c r="I1918" s="93" t="str">
        <f t="shared" si="117"/>
        <v>Tuesday</v>
      </c>
      <c r="J1918" s="93" t="str">
        <f t="shared" si="118"/>
        <v>October</v>
      </c>
      <c r="K1918" s="93" t="str">
        <f t="shared" si="119"/>
        <v>2024</v>
      </c>
      <c r="L1918" s="6"/>
      <c r="M1918" s="6"/>
      <c r="N1918" s="6"/>
    </row>
    <row r="1919" spans="1:14" x14ac:dyDescent="0.3">
      <c r="A1919" s="87">
        <v>45594</v>
      </c>
      <c r="B1919" s="87" t="str">
        <f t="shared" si="116"/>
        <v>Tuesday</v>
      </c>
      <c r="C1919" s="88" t="s">
        <v>1381</v>
      </c>
      <c r="D1919" s="88" t="s">
        <v>845</v>
      </c>
      <c r="E1919" s="89">
        <v>35.76</v>
      </c>
      <c r="F1919" s="88" t="s">
        <v>7</v>
      </c>
      <c r="G1919" s="87">
        <f>Table1[[#This Row],[date]]</f>
        <v>45594</v>
      </c>
      <c r="H1919" s="94">
        <f>SUMIF($A$2:A5554,G1919,$E$2:E5554)</f>
        <v>532.96</v>
      </c>
      <c r="I1919" s="93" t="str">
        <f t="shared" si="117"/>
        <v>Tuesday</v>
      </c>
      <c r="J1919" s="93" t="str">
        <f t="shared" si="118"/>
        <v>October</v>
      </c>
      <c r="K1919" s="93" t="str">
        <f t="shared" si="119"/>
        <v>2024</v>
      </c>
      <c r="L1919" s="6"/>
      <c r="M1919" s="6"/>
      <c r="N1919" s="6"/>
    </row>
    <row r="1920" spans="1:14" x14ac:dyDescent="0.3">
      <c r="A1920" s="92">
        <v>45594</v>
      </c>
      <c r="B1920" s="92" t="str">
        <f t="shared" si="116"/>
        <v>Tuesday</v>
      </c>
      <c r="C1920" s="93" t="s">
        <v>1381</v>
      </c>
      <c r="D1920" s="93" t="s">
        <v>846</v>
      </c>
      <c r="E1920" s="94">
        <v>35.76</v>
      </c>
      <c r="F1920" s="93" t="s">
        <v>16</v>
      </c>
      <c r="G1920" s="87">
        <f>Table1[[#This Row],[date]]</f>
        <v>45594</v>
      </c>
      <c r="H1920" s="94">
        <f>SUMIF($A$2:A5555,G1920,$E$2:E5555)</f>
        <v>532.96</v>
      </c>
      <c r="I1920" s="93" t="str">
        <f t="shared" si="117"/>
        <v>Tuesday</v>
      </c>
      <c r="J1920" s="93" t="str">
        <f t="shared" si="118"/>
        <v>October</v>
      </c>
      <c r="K1920" s="93" t="str">
        <f t="shared" si="119"/>
        <v>2024</v>
      </c>
      <c r="L1920" s="6"/>
      <c r="M1920" s="6"/>
      <c r="N1920" s="6"/>
    </row>
    <row r="1921" spans="1:14" x14ac:dyDescent="0.3">
      <c r="A1921" s="87">
        <v>45594</v>
      </c>
      <c r="B1921" s="87" t="str">
        <f t="shared" si="116"/>
        <v>Tuesday</v>
      </c>
      <c r="C1921" s="88" t="s">
        <v>1381</v>
      </c>
      <c r="D1921" s="88" t="s">
        <v>237</v>
      </c>
      <c r="E1921" s="89">
        <v>35.76</v>
      </c>
      <c r="F1921" s="88" t="s">
        <v>16</v>
      </c>
      <c r="G1921" s="87">
        <f>Table1[[#This Row],[date]]</f>
        <v>45594</v>
      </c>
      <c r="H1921" s="94">
        <f>SUMIF($A$2:A5556,G1921,$E$2:E5556)</f>
        <v>532.96</v>
      </c>
      <c r="I1921" s="93" t="str">
        <f t="shared" si="117"/>
        <v>Tuesday</v>
      </c>
      <c r="J1921" s="93" t="str">
        <f t="shared" si="118"/>
        <v>October</v>
      </c>
      <c r="K1921" s="93" t="str">
        <f t="shared" si="119"/>
        <v>2024</v>
      </c>
      <c r="L1921" s="6"/>
      <c r="M1921" s="6"/>
      <c r="N1921" s="6"/>
    </row>
    <row r="1922" spans="1:14" x14ac:dyDescent="0.3">
      <c r="A1922" s="92">
        <v>45594</v>
      </c>
      <c r="B1922" s="92" t="str">
        <f t="shared" ref="B1922:B1985" si="120">TEXT(A1922,"dddd")</f>
        <v>Tuesday</v>
      </c>
      <c r="C1922" s="93" t="s">
        <v>1381</v>
      </c>
      <c r="D1922" s="93" t="s">
        <v>847</v>
      </c>
      <c r="E1922" s="94">
        <v>30.86</v>
      </c>
      <c r="F1922" s="93" t="s">
        <v>12</v>
      </c>
      <c r="G1922" s="87">
        <f>Table1[[#This Row],[date]]</f>
        <v>45594</v>
      </c>
      <c r="H1922" s="94">
        <f>SUMIF($A$2:A5557,G1922,$E$2:E5557)</f>
        <v>532.96</v>
      </c>
      <c r="I1922" s="93" t="str">
        <f t="shared" si="117"/>
        <v>Tuesday</v>
      </c>
      <c r="J1922" s="93" t="str">
        <f t="shared" si="118"/>
        <v>October</v>
      </c>
      <c r="K1922" s="93" t="str">
        <f t="shared" si="119"/>
        <v>2024</v>
      </c>
      <c r="L1922" s="6"/>
      <c r="M1922" s="6"/>
      <c r="N1922" s="6"/>
    </row>
    <row r="1923" spans="1:14" x14ac:dyDescent="0.3">
      <c r="A1923" s="92">
        <v>45594</v>
      </c>
      <c r="B1923" s="92" t="str">
        <f t="shared" si="120"/>
        <v>Tuesday</v>
      </c>
      <c r="C1923" s="93" t="s">
        <v>1381</v>
      </c>
      <c r="D1923" s="93" t="s">
        <v>848</v>
      </c>
      <c r="E1923" s="94">
        <v>30.86</v>
      </c>
      <c r="F1923" s="93" t="s">
        <v>12</v>
      </c>
      <c r="G1923" s="87">
        <f>Table1[[#This Row],[date]]</f>
        <v>45594</v>
      </c>
      <c r="H1923" s="94">
        <f>SUMIF($A$2:A5558,G1923,$E$2:E5558)</f>
        <v>532.96</v>
      </c>
      <c r="I1923" s="93" t="str">
        <f t="shared" si="117"/>
        <v>Tuesday</v>
      </c>
      <c r="J1923" s="93" t="str">
        <f t="shared" si="118"/>
        <v>October</v>
      </c>
      <c r="K1923" s="93" t="str">
        <f t="shared" si="119"/>
        <v>2024</v>
      </c>
      <c r="L1923" s="6"/>
      <c r="M1923" s="6"/>
      <c r="N1923" s="6"/>
    </row>
    <row r="1924" spans="1:14" x14ac:dyDescent="0.3">
      <c r="A1924" s="87">
        <v>45594</v>
      </c>
      <c r="B1924" s="87" t="str">
        <f t="shared" si="120"/>
        <v>Tuesday</v>
      </c>
      <c r="C1924" s="88" t="s">
        <v>1381</v>
      </c>
      <c r="D1924" s="88" t="s">
        <v>218</v>
      </c>
      <c r="E1924" s="89">
        <v>35.76</v>
      </c>
      <c r="F1924" s="88" t="s">
        <v>41</v>
      </c>
      <c r="G1924" s="87">
        <f>Table1[[#This Row],[date]]</f>
        <v>45594</v>
      </c>
      <c r="H1924" s="94">
        <f>SUMIF($A$2:A5559,G1924,$E$2:E5559)</f>
        <v>532.96</v>
      </c>
      <c r="I1924" s="93" t="str">
        <f t="shared" si="117"/>
        <v>Tuesday</v>
      </c>
      <c r="J1924" s="93" t="str">
        <f t="shared" si="118"/>
        <v>October</v>
      </c>
      <c r="K1924" s="93" t="str">
        <f t="shared" si="119"/>
        <v>2024</v>
      </c>
      <c r="L1924" s="6"/>
      <c r="M1924" s="6"/>
      <c r="N1924" s="6"/>
    </row>
    <row r="1925" spans="1:14" x14ac:dyDescent="0.3">
      <c r="A1925" s="92">
        <v>45594</v>
      </c>
      <c r="B1925" s="92" t="str">
        <f t="shared" si="120"/>
        <v>Tuesday</v>
      </c>
      <c r="C1925" s="93" t="s">
        <v>1381</v>
      </c>
      <c r="D1925" s="93" t="s">
        <v>519</v>
      </c>
      <c r="E1925" s="94">
        <v>35.76</v>
      </c>
      <c r="F1925" s="93" t="s">
        <v>7</v>
      </c>
      <c r="G1925" s="87">
        <f>Table1[[#This Row],[date]]</f>
        <v>45594</v>
      </c>
      <c r="H1925" s="94">
        <f>SUMIF($A$2:A5560,G1925,$E$2:E5560)</f>
        <v>532.96</v>
      </c>
      <c r="I1925" s="93" t="str">
        <f t="shared" si="117"/>
        <v>Tuesday</v>
      </c>
      <c r="J1925" s="93" t="str">
        <f t="shared" si="118"/>
        <v>October</v>
      </c>
      <c r="K1925" s="93" t="str">
        <f t="shared" si="119"/>
        <v>2024</v>
      </c>
      <c r="L1925" s="6"/>
      <c r="M1925" s="6"/>
      <c r="N1925" s="6"/>
    </row>
    <row r="1926" spans="1:14" x14ac:dyDescent="0.3">
      <c r="A1926" s="87">
        <v>45594</v>
      </c>
      <c r="B1926" s="87" t="str">
        <f t="shared" si="120"/>
        <v>Tuesday</v>
      </c>
      <c r="C1926" s="88" t="s">
        <v>1381</v>
      </c>
      <c r="D1926" s="88" t="s">
        <v>519</v>
      </c>
      <c r="E1926" s="89">
        <v>35.76</v>
      </c>
      <c r="F1926" s="88" t="s">
        <v>5</v>
      </c>
      <c r="G1926" s="87">
        <f>Table1[[#This Row],[date]]</f>
        <v>45594</v>
      </c>
      <c r="H1926" s="94">
        <f>SUMIF($A$2:A5561,G1926,$E$2:E5561)</f>
        <v>532.96</v>
      </c>
      <c r="I1926" s="93" t="str">
        <f t="shared" ref="I1926:I1989" si="121">TEXT(G1926,"dddd")</f>
        <v>Tuesday</v>
      </c>
      <c r="J1926" s="93" t="str">
        <f t="shared" si="118"/>
        <v>October</v>
      </c>
      <c r="K1926" s="93" t="str">
        <f t="shared" si="119"/>
        <v>2024</v>
      </c>
      <c r="L1926" s="6"/>
      <c r="M1926" s="6"/>
      <c r="N1926" s="6"/>
    </row>
    <row r="1927" spans="1:14" x14ac:dyDescent="0.3">
      <c r="A1927" s="92">
        <v>45594</v>
      </c>
      <c r="B1927" s="92" t="str">
        <f t="shared" si="120"/>
        <v>Tuesday</v>
      </c>
      <c r="C1927" s="93" t="s">
        <v>1381</v>
      </c>
      <c r="D1927" s="93" t="s">
        <v>811</v>
      </c>
      <c r="E1927" s="94">
        <v>35.76</v>
      </c>
      <c r="F1927" s="93" t="s">
        <v>5</v>
      </c>
      <c r="G1927" s="87">
        <f>Table1[[#This Row],[date]]</f>
        <v>45594</v>
      </c>
      <c r="H1927" s="94">
        <f>SUMIF($A$2:A5562,G1927,$E$2:E5562)</f>
        <v>532.96</v>
      </c>
      <c r="I1927" s="93" t="str">
        <f t="shared" si="121"/>
        <v>Tuesday</v>
      </c>
      <c r="J1927" s="93" t="str">
        <f t="shared" ref="J1927:J1990" si="122">TEXT(G1927,"mmmm")</f>
        <v>October</v>
      </c>
      <c r="K1927" s="93" t="str">
        <f t="shared" ref="K1927:K1990" si="123">TEXT(G1927,"yyyy")</f>
        <v>2024</v>
      </c>
      <c r="L1927" s="6"/>
      <c r="M1927" s="6"/>
      <c r="N1927" s="6"/>
    </row>
    <row r="1928" spans="1:14" x14ac:dyDescent="0.3">
      <c r="A1928" s="87">
        <v>45595</v>
      </c>
      <c r="B1928" s="87" t="str">
        <f t="shared" si="120"/>
        <v>Wednesday</v>
      </c>
      <c r="C1928" s="88" t="s">
        <v>1381</v>
      </c>
      <c r="D1928" s="88" t="s">
        <v>715</v>
      </c>
      <c r="E1928" s="89">
        <v>35.76</v>
      </c>
      <c r="F1928" s="88" t="s">
        <v>5</v>
      </c>
      <c r="G1928" s="87">
        <f>Table1[[#This Row],[date]]</f>
        <v>45595</v>
      </c>
      <c r="H1928" s="94">
        <f>SUMIF($A$2:A5563,G1928,$E$2:E5563)</f>
        <v>420.78</v>
      </c>
      <c r="I1928" s="93" t="str">
        <f t="shared" si="121"/>
        <v>Wednesday</v>
      </c>
      <c r="J1928" s="93" t="str">
        <f t="shared" si="122"/>
        <v>October</v>
      </c>
      <c r="K1928" s="93" t="str">
        <f t="shared" si="123"/>
        <v>2024</v>
      </c>
      <c r="L1928" s="6"/>
      <c r="M1928" s="6"/>
      <c r="N1928" s="6"/>
    </row>
    <row r="1929" spans="1:14" x14ac:dyDescent="0.3">
      <c r="A1929" s="92">
        <v>45595</v>
      </c>
      <c r="B1929" s="92" t="str">
        <f t="shared" si="120"/>
        <v>Wednesday</v>
      </c>
      <c r="C1929" s="93" t="s">
        <v>1381</v>
      </c>
      <c r="D1929" s="93" t="s">
        <v>583</v>
      </c>
      <c r="E1929" s="94">
        <v>30.86</v>
      </c>
      <c r="F1929" s="93" t="s">
        <v>12</v>
      </c>
      <c r="G1929" s="87">
        <f>Table1[[#This Row],[date]]</f>
        <v>45595</v>
      </c>
      <c r="H1929" s="94">
        <f>SUMIF($A$2:A5564,G1929,$E$2:E5564)</f>
        <v>420.78</v>
      </c>
      <c r="I1929" s="93" t="str">
        <f t="shared" si="121"/>
        <v>Wednesday</v>
      </c>
      <c r="J1929" s="93" t="str">
        <f t="shared" si="122"/>
        <v>October</v>
      </c>
      <c r="K1929" s="93" t="str">
        <f t="shared" si="123"/>
        <v>2024</v>
      </c>
      <c r="L1929" s="6"/>
      <c r="M1929" s="6"/>
      <c r="N1929" s="6"/>
    </row>
    <row r="1930" spans="1:14" x14ac:dyDescent="0.3">
      <c r="A1930" s="92">
        <v>45595</v>
      </c>
      <c r="B1930" s="92" t="str">
        <f t="shared" si="120"/>
        <v>Wednesday</v>
      </c>
      <c r="C1930" s="93" t="s">
        <v>1381</v>
      </c>
      <c r="D1930" s="93" t="s">
        <v>849</v>
      </c>
      <c r="E1930" s="94">
        <v>35.76</v>
      </c>
      <c r="F1930" s="93" t="s">
        <v>5</v>
      </c>
      <c r="G1930" s="87">
        <f>Table1[[#This Row],[date]]</f>
        <v>45595</v>
      </c>
      <c r="H1930" s="94">
        <f>SUMIF($A$2:A5565,G1930,$E$2:E5565)</f>
        <v>420.78</v>
      </c>
      <c r="I1930" s="93" t="str">
        <f t="shared" si="121"/>
        <v>Wednesday</v>
      </c>
      <c r="J1930" s="93" t="str">
        <f t="shared" si="122"/>
        <v>October</v>
      </c>
      <c r="K1930" s="93" t="str">
        <f t="shared" si="123"/>
        <v>2024</v>
      </c>
      <c r="L1930" s="6"/>
      <c r="M1930" s="6"/>
      <c r="N1930" s="6"/>
    </row>
    <row r="1931" spans="1:14" x14ac:dyDescent="0.3">
      <c r="A1931" s="87">
        <v>45595</v>
      </c>
      <c r="B1931" s="87" t="str">
        <f t="shared" si="120"/>
        <v>Wednesday</v>
      </c>
      <c r="C1931" s="88" t="s">
        <v>1381</v>
      </c>
      <c r="D1931" s="88" t="s">
        <v>850</v>
      </c>
      <c r="E1931" s="89">
        <v>35.76</v>
      </c>
      <c r="F1931" s="88" t="s">
        <v>5</v>
      </c>
      <c r="G1931" s="87">
        <f>Table1[[#This Row],[date]]</f>
        <v>45595</v>
      </c>
      <c r="H1931" s="94">
        <f>SUMIF($A$2:A5566,G1931,$E$2:E5566)</f>
        <v>420.78</v>
      </c>
      <c r="I1931" s="93" t="str">
        <f t="shared" si="121"/>
        <v>Wednesday</v>
      </c>
      <c r="J1931" s="93" t="str">
        <f t="shared" si="122"/>
        <v>October</v>
      </c>
      <c r="K1931" s="93" t="str">
        <f t="shared" si="123"/>
        <v>2024</v>
      </c>
      <c r="L1931" s="6"/>
      <c r="M1931" s="6"/>
      <c r="N1931" s="6"/>
    </row>
    <row r="1932" spans="1:14" x14ac:dyDescent="0.3">
      <c r="A1932" s="87">
        <v>45595</v>
      </c>
      <c r="B1932" s="87" t="str">
        <f t="shared" si="120"/>
        <v>Wednesday</v>
      </c>
      <c r="C1932" s="88" t="s">
        <v>1381</v>
      </c>
      <c r="D1932" s="88" t="s">
        <v>387</v>
      </c>
      <c r="E1932" s="89">
        <v>35.76</v>
      </c>
      <c r="F1932" s="88" t="s">
        <v>5</v>
      </c>
      <c r="G1932" s="87">
        <f>Table1[[#This Row],[date]]</f>
        <v>45595</v>
      </c>
      <c r="H1932" s="94">
        <f>SUMIF($A$2:A5567,G1932,$E$2:E5567)</f>
        <v>420.78</v>
      </c>
      <c r="I1932" s="93" t="str">
        <f t="shared" si="121"/>
        <v>Wednesday</v>
      </c>
      <c r="J1932" s="93" t="str">
        <f t="shared" si="122"/>
        <v>October</v>
      </c>
      <c r="K1932" s="93" t="str">
        <f t="shared" si="123"/>
        <v>2024</v>
      </c>
      <c r="L1932" s="6"/>
      <c r="M1932" s="6"/>
      <c r="N1932" s="6"/>
    </row>
    <row r="1933" spans="1:14" x14ac:dyDescent="0.3">
      <c r="A1933" s="92">
        <v>45595</v>
      </c>
      <c r="B1933" s="92" t="str">
        <f t="shared" si="120"/>
        <v>Wednesday</v>
      </c>
      <c r="C1933" s="93" t="s">
        <v>1381</v>
      </c>
      <c r="D1933" s="93" t="s">
        <v>387</v>
      </c>
      <c r="E1933" s="94">
        <v>25.96</v>
      </c>
      <c r="F1933" s="93" t="s">
        <v>9</v>
      </c>
      <c r="G1933" s="87">
        <f>Table1[[#This Row],[date]]</f>
        <v>45595</v>
      </c>
      <c r="H1933" s="94">
        <f>SUMIF($A$2:A5568,G1933,$E$2:E5568)</f>
        <v>420.78</v>
      </c>
      <c r="I1933" s="93" t="str">
        <f t="shared" si="121"/>
        <v>Wednesday</v>
      </c>
      <c r="J1933" s="93" t="str">
        <f t="shared" si="122"/>
        <v>October</v>
      </c>
      <c r="K1933" s="93" t="str">
        <f t="shared" si="123"/>
        <v>2024</v>
      </c>
      <c r="L1933" s="6"/>
      <c r="M1933" s="6"/>
      <c r="N1933" s="6"/>
    </row>
    <row r="1934" spans="1:14" x14ac:dyDescent="0.3">
      <c r="A1934" s="87">
        <v>45595</v>
      </c>
      <c r="B1934" s="87" t="str">
        <f t="shared" si="120"/>
        <v>Wednesday</v>
      </c>
      <c r="C1934" s="88" t="s">
        <v>1381</v>
      </c>
      <c r="D1934" s="88" t="s">
        <v>746</v>
      </c>
      <c r="E1934" s="89">
        <v>30.86</v>
      </c>
      <c r="F1934" s="88" t="s">
        <v>12</v>
      </c>
      <c r="G1934" s="87">
        <f>Table1[[#This Row],[date]]</f>
        <v>45595</v>
      </c>
      <c r="H1934" s="94">
        <f>SUMIF($A$2:A5569,G1934,$E$2:E5569)</f>
        <v>420.78</v>
      </c>
      <c r="I1934" s="93" t="str">
        <f t="shared" si="121"/>
        <v>Wednesday</v>
      </c>
      <c r="J1934" s="93" t="str">
        <f t="shared" si="122"/>
        <v>October</v>
      </c>
      <c r="K1934" s="93" t="str">
        <f t="shared" si="123"/>
        <v>2024</v>
      </c>
      <c r="L1934" s="6"/>
      <c r="M1934" s="6"/>
      <c r="N1934" s="6"/>
    </row>
    <row r="1935" spans="1:14" x14ac:dyDescent="0.3">
      <c r="A1935" s="92">
        <v>45595</v>
      </c>
      <c r="B1935" s="92" t="str">
        <f t="shared" si="120"/>
        <v>Wednesday</v>
      </c>
      <c r="C1935" s="93" t="s">
        <v>1381</v>
      </c>
      <c r="D1935" s="93" t="s">
        <v>851</v>
      </c>
      <c r="E1935" s="94">
        <v>25.96</v>
      </c>
      <c r="F1935" s="93" t="s">
        <v>9</v>
      </c>
      <c r="G1935" s="87">
        <f>Table1[[#This Row],[date]]</f>
        <v>45595</v>
      </c>
      <c r="H1935" s="94">
        <f>SUMIF($A$2:A5570,G1935,$E$2:E5570)</f>
        <v>420.78</v>
      </c>
      <c r="I1935" s="93" t="str">
        <f t="shared" si="121"/>
        <v>Wednesday</v>
      </c>
      <c r="J1935" s="93" t="str">
        <f t="shared" si="122"/>
        <v>October</v>
      </c>
      <c r="K1935" s="93" t="str">
        <f t="shared" si="123"/>
        <v>2024</v>
      </c>
      <c r="L1935" s="6"/>
      <c r="M1935" s="6"/>
      <c r="N1935" s="6"/>
    </row>
    <row r="1936" spans="1:14" x14ac:dyDescent="0.3">
      <c r="A1936" s="87">
        <v>45595</v>
      </c>
      <c r="B1936" s="87" t="str">
        <f t="shared" si="120"/>
        <v>Wednesday</v>
      </c>
      <c r="C1936" s="88" t="s">
        <v>1381</v>
      </c>
      <c r="D1936" s="88" t="s">
        <v>519</v>
      </c>
      <c r="E1936" s="89">
        <v>35.76</v>
      </c>
      <c r="F1936" s="88" t="s">
        <v>5</v>
      </c>
      <c r="G1936" s="87">
        <f>Table1[[#This Row],[date]]</f>
        <v>45595</v>
      </c>
      <c r="H1936" s="94">
        <f>SUMIF($A$2:A5571,G1936,$E$2:E5571)</f>
        <v>420.78</v>
      </c>
      <c r="I1936" s="93" t="str">
        <f t="shared" si="121"/>
        <v>Wednesday</v>
      </c>
      <c r="J1936" s="93" t="str">
        <f t="shared" si="122"/>
        <v>October</v>
      </c>
      <c r="K1936" s="93" t="str">
        <f t="shared" si="123"/>
        <v>2024</v>
      </c>
      <c r="L1936" s="6"/>
      <c r="M1936" s="6"/>
      <c r="N1936" s="6"/>
    </row>
    <row r="1937" spans="1:14" x14ac:dyDescent="0.3">
      <c r="A1937" s="87">
        <v>45595</v>
      </c>
      <c r="B1937" s="87" t="str">
        <f t="shared" si="120"/>
        <v>Wednesday</v>
      </c>
      <c r="C1937" s="88" t="s">
        <v>1381</v>
      </c>
      <c r="D1937" s="88" t="s">
        <v>852</v>
      </c>
      <c r="E1937" s="89">
        <v>30.86</v>
      </c>
      <c r="F1937" s="88" t="s">
        <v>12</v>
      </c>
      <c r="G1937" s="87">
        <f>Table1[[#This Row],[date]]</f>
        <v>45595</v>
      </c>
      <c r="H1937" s="94">
        <f>SUMIF($A$2:A5572,G1937,$E$2:E5572)</f>
        <v>420.78</v>
      </c>
      <c r="I1937" s="93" t="str">
        <f t="shared" si="121"/>
        <v>Wednesday</v>
      </c>
      <c r="J1937" s="93" t="str">
        <f t="shared" si="122"/>
        <v>October</v>
      </c>
      <c r="K1937" s="93" t="str">
        <f t="shared" si="123"/>
        <v>2024</v>
      </c>
      <c r="L1937" s="6"/>
      <c r="M1937" s="6"/>
      <c r="N1937" s="6"/>
    </row>
    <row r="1938" spans="1:14" x14ac:dyDescent="0.3">
      <c r="A1938" s="92">
        <v>45595</v>
      </c>
      <c r="B1938" s="92" t="str">
        <f t="shared" si="120"/>
        <v>Wednesday</v>
      </c>
      <c r="C1938" s="93" t="s">
        <v>1381</v>
      </c>
      <c r="D1938" s="93" t="s">
        <v>853</v>
      </c>
      <c r="E1938" s="94">
        <v>35.76</v>
      </c>
      <c r="F1938" s="93" t="s">
        <v>7</v>
      </c>
      <c r="G1938" s="87">
        <f>Table1[[#This Row],[date]]</f>
        <v>45595</v>
      </c>
      <c r="H1938" s="94">
        <f>SUMIF($A$2:A5573,G1938,$E$2:E5573)</f>
        <v>420.78</v>
      </c>
      <c r="I1938" s="93" t="str">
        <f t="shared" si="121"/>
        <v>Wednesday</v>
      </c>
      <c r="J1938" s="93" t="str">
        <f t="shared" si="122"/>
        <v>October</v>
      </c>
      <c r="K1938" s="93" t="str">
        <f t="shared" si="123"/>
        <v>2024</v>
      </c>
      <c r="L1938" s="6"/>
      <c r="M1938" s="6"/>
      <c r="N1938" s="6"/>
    </row>
    <row r="1939" spans="1:14" x14ac:dyDescent="0.3">
      <c r="A1939" s="87">
        <v>45595</v>
      </c>
      <c r="B1939" s="87" t="str">
        <f t="shared" si="120"/>
        <v>Wednesday</v>
      </c>
      <c r="C1939" s="88" t="s">
        <v>1381</v>
      </c>
      <c r="D1939" s="88" t="s">
        <v>831</v>
      </c>
      <c r="E1939" s="89">
        <v>30.86</v>
      </c>
      <c r="F1939" s="88" t="s">
        <v>12</v>
      </c>
      <c r="G1939" s="87">
        <f>Table1[[#This Row],[date]]</f>
        <v>45595</v>
      </c>
      <c r="H1939" s="94">
        <f>SUMIF($A$2:A5574,G1939,$E$2:E5574)</f>
        <v>420.78</v>
      </c>
      <c r="I1939" s="93" t="str">
        <f t="shared" si="121"/>
        <v>Wednesday</v>
      </c>
      <c r="J1939" s="93" t="str">
        <f t="shared" si="122"/>
        <v>October</v>
      </c>
      <c r="K1939" s="93" t="str">
        <f t="shared" si="123"/>
        <v>2024</v>
      </c>
      <c r="L1939" s="6"/>
      <c r="M1939" s="6"/>
      <c r="N1939" s="6"/>
    </row>
    <row r="1940" spans="1:14" x14ac:dyDescent="0.3">
      <c r="A1940" s="92">
        <v>45595</v>
      </c>
      <c r="B1940" s="92" t="str">
        <f t="shared" si="120"/>
        <v>Wednesday</v>
      </c>
      <c r="C1940" s="93" t="s">
        <v>1381</v>
      </c>
      <c r="D1940" s="93" t="s">
        <v>854</v>
      </c>
      <c r="E1940" s="94">
        <v>30.86</v>
      </c>
      <c r="F1940" s="93" t="s">
        <v>12</v>
      </c>
      <c r="G1940" s="87">
        <f>Table1[[#This Row],[date]]</f>
        <v>45595</v>
      </c>
      <c r="H1940" s="94">
        <f>SUMIF($A$2:A5575,G1940,$E$2:E5575)</f>
        <v>420.78</v>
      </c>
      <c r="I1940" s="93" t="str">
        <f t="shared" si="121"/>
        <v>Wednesday</v>
      </c>
      <c r="J1940" s="93" t="str">
        <f t="shared" si="122"/>
        <v>October</v>
      </c>
      <c r="K1940" s="93" t="str">
        <f t="shared" si="123"/>
        <v>2024</v>
      </c>
      <c r="L1940" s="6"/>
      <c r="M1940" s="6"/>
      <c r="N1940" s="6"/>
    </row>
    <row r="1941" spans="1:14" x14ac:dyDescent="0.3">
      <c r="A1941" s="87">
        <v>45596</v>
      </c>
      <c r="B1941" s="87" t="str">
        <f t="shared" si="120"/>
        <v>Thursday</v>
      </c>
      <c r="C1941" s="88" t="s">
        <v>1381</v>
      </c>
      <c r="D1941" s="88" t="s">
        <v>715</v>
      </c>
      <c r="E1941" s="89">
        <v>35.76</v>
      </c>
      <c r="F1941" s="88" t="s">
        <v>5</v>
      </c>
      <c r="G1941" s="87">
        <f>Table1[[#This Row],[date]]</f>
        <v>45596</v>
      </c>
      <c r="H1941" s="94">
        <f>SUMIF($A$2:A5576,G1941,$E$2:E5576)</f>
        <v>169</v>
      </c>
      <c r="I1941" s="93" t="str">
        <f t="shared" si="121"/>
        <v>Thursday</v>
      </c>
      <c r="J1941" s="93" t="str">
        <f t="shared" si="122"/>
        <v>October</v>
      </c>
      <c r="K1941" s="93" t="str">
        <f t="shared" si="123"/>
        <v>2024</v>
      </c>
      <c r="L1941" s="6"/>
      <c r="M1941" s="6"/>
      <c r="N1941" s="6"/>
    </row>
    <row r="1942" spans="1:14" x14ac:dyDescent="0.3">
      <c r="A1942" s="92">
        <v>45596</v>
      </c>
      <c r="B1942" s="92" t="str">
        <f t="shared" si="120"/>
        <v>Thursday</v>
      </c>
      <c r="C1942" s="93" t="s">
        <v>1381</v>
      </c>
      <c r="D1942" s="93" t="s">
        <v>695</v>
      </c>
      <c r="E1942" s="94">
        <v>35.76</v>
      </c>
      <c r="F1942" s="93" t="s">
        <v>5</v>
      </c>
      <c r="G1942" s="87">
        <f>Table1[[#This Row],[date]]</f>
        <v>45596</v>
      </c>
      <c r="H1942" s="94">
        <f>SUMIF($A$2:A5577,G1942,$E$2:E5577)</f>
        <v>169</v>
      </c>
      <c r="I1942" s="93" t="str">
        <f t="shared" si="121"/>
        <v>Thursday</v>
      </c>
      <c r="J1942" s="93" t="str">
        <f t="shared" si="122"/>
        <v>October</v>
      </c>
      <c r="K1942" s="93" t="str">
        <f t="shared" si="123"/>
        <v>2024</v>
      </c>
      <c r="L1942" s="6"/>
      <c r="M1942" s="6"/>
      <c r="N1942" s="6"/>
    </row>
    <row r="1943" spans="1:14" x14ac:dyDescent="0.3">
      <c r="A1943" s="87">
        <v>45596</v>
      </c>
      <c r="B1943" s="87" t="str">
        <f t="shared" si="120"/>
        <v>Thursday</v>
      </c>
      <c r="C1943" s="88" t="s">
        <v>1381</v>
      </c>
      <c r="D1943" s="88" t="s">
        <v>288</v>
      </c>
      <c r="E1943" s="89">
        <v>30.86</v>
      </c>
      <c r="F1943" s="88" t="s">
        <v>12</v>
      </c>
      <c r="G1943" s="87">
        <f>Table1[[#This Row],[date]]</f>
        <v>45596</v>
      </c>
      <c r="H1943" s="94">
        <f>SUMIF($A$2:A5578,G1943,$E$2:E5578)</f>
        <v>169</v>
      </c>
      <c r="I1943" s="93" t="str">
        <f t="shared" si="121"/>
        <v>Thursday</v>
      </c>
      <c r="J1943" s="93" t="str">
        <f t="shared" si="122"/>
        <v>October</v>
      </c>
      <c r="K1943" s="93" t="str">
        <f t="shared" si="123"/>
        <v>2024</v>
      </c>
      <c r="L1943" s="6"/>
      <c r="M1943" s="6"/>
      <c r="N1943" s="6"/>
    </row>
    <row r="1944" spans="1:14" x14ac:dyDescent="0.3">
      <c r="A1944" s="92">
        <v>45596</v>
      </c>
      <c r="B1944" s="92" t="str">
        <f t="shared" si="120"/>
        <v>Thursday</v>
      </c>
      <c r="C1944" s="93" t="s">
        <v>1381</v>
      </c>
      <c r="D1944" s="93" t="s">
        <v>855</v>
      </c>
      <c r="E1944" s="94">
        <v>35.76</v>
      </c>
      <c r="F1944" s="93" t="s">
        <v>5</v>
      </c>
      <c r="G1944" s="87">
        <f>Table1[[#This Row],[date]]</f>
        <v>45596</v>
      </c>
      <c r="H1944" s="94">
        <f>SUMIF($A$2:A5579,G1944,$E$2:E5579)</f>
        <v>169</v>
      </c>
      <c r="I1944" s="93" t="str">
        <f t="shared" si="121"/>
        <v>Thursday</v>
      </c>
      <c r="J1944" s="93" t="str">
        <f t="shared" si="122"/>
        <v>October</v>
      </c>
      <c r="K1944" s="93" t="str">
        <f t="shared" si="123"/>
        <v>2024</v>
      </c>
      <c r="L1944" s="6"/>
      <c r="M1944" s="6"/>
      <c r="N1944" s="6"/>
    </row>
    <row r="1945" spans="1:14" x14ac:dyDescent="0.3">
      <c r="A1945" s="87">
        <v>45596</v>
      </c>
      <c r="B1945" s="87" t="str">
        <f t="shared" si="120"/>
        <v>Thursday</v>
      </c>
      <c r="C1945" s="88" t="s">
        <v>1381</v>
      </c>
      <c r="D1945" s="88" t="s">
        <v>856</v>
      </c>
      <c r="E1945" s="89">
        <v>30.86</v>
      </c>
      <c r="F1945" s="88" t="s">
        <v>12</v>
      </c>
      <c r="G1945" s="87">
        <f>Table1[[#This Row],[date]]</f>
        <v>45596</v>
      </c>
      <c r="H1945" s="94">
        <f>SUMIF($A$2:A5580,G1945,$E$2:E5580)</f>
        <v>169</v>
      </c>
      <c r="I1945" s="93" t="str">
        <f t="shared" si="121"/>
        <v>Thursday</v>
      </c>
      <c r="J1945" s="93" t="str">
        <f t="shared" si="122"/>
        <v>October</v>
      </c>
      <c r="K1945" s="93" t="str">
        <f t="shared" si="123"/>
        <v>2024</v>
      </c>
      <c r="L1945" s="6"/>
      <c r="M1945" s="6"/>
      <c r="N1945" s="6"/>
    </row>
    <row r="1946" spans="1:14" x14ac:dyDescent="0.3">
      <c r="A1946" s="92">
        <v>45597</v>
      </c>
      <c r="B1946" s="92" t="str">
        <f t="shared" si="120"/>
        <v>Friday</v>
      </c>
      <c r="C1946" s="93" t="s">
        <v>1381</v>
      </c>
      <c r="D1946" s="93" t="s">
        <v>854</v>
      </c>
      <c r="E1946" s="94">
        <v>35.76</v>
      </c>
      <c r="F1946" s="93" t="s">
        <v>16</v>
      </c>
      <c r="G1946" s="87">
        <f>Table1[[#This Row],[date]]</f>
        <v>45597</v>
      </c>
      <c r="H1946" s="94">
        <f>SUMIF($A$2:A5581,G1946,$E$2:E5581)</f>
        <v>190.06</v>
      </c>
      <c r="I1946" s="93" t="str">
        <f t="shared" si="121"/>
        <v>Friday</v>
      </c>
      <c r="J1946" s="93" t="str">
        <f t="shared" si="122"/>
        <v>November</v>
      </c>
      <c r="K1946" s="93" t="str">
        <f t="shared" si="123"/>
        <v>2024</v>
      </c>
      <c r="L1946" s="6"/>
      <c r="M1946" s="6"/>
      <c r="N1946" s="6"/>
    </row>
    <row r="1947" spans="1:14" x14ac:dyDescent="0.3">
      <c r="A1947" s="87">
        <v>45597</v>
      </c>
      <c r="B1947" s="87" t="str">
        <f t="shared" si="120"/>
        <v>Friday</v>
      </c>
      <c r="C1947" s="88" t="s">
        <v>1381</v>
      </c>
      <c r="D1947" s="88" t="s">
        <v>316</v>
      </c>
      <c r="E1947" s="89">
        <v>25.96</v>
      </c>
      <c r="F1947" s="88" t="s">
        <v>9</v>
      </c>
      <c r="G1947" s="87">
        <f>Table1[[#This Row],[date]]</f>
        <v>45597</v>
      </c>
      <c r="H1947" s="94">
        <f>SUMIF($A$2:A5582,G1947,$E$2:E5582)</f>
        <v>190.06</v>
      </c>
      <c r="I1947" s="93" t="str">
        <f t="shared" si="121"/>
        <v>Friday</v>
      </c>
      <c r="J1947" s="93" t="str">
        <f t="shared" si="122"/>
        <v>November</v>
      </c>
      <c r="K1947" s="93" t="str">
        <f t="shared" si="123"/>
        <v>2024</v>
      </c>
      <c r="L1947" s="6"/>
      <c r="M1947" s="6"/>
      <c r="N1947" s="6"/>
    </row>
    <row r="1948" spans="1:14" x14ac:dyDescent="0.3">
      <c r="A1948" s="92">
        <v>45597</v>
      </c>
      <c r="B1948" s="92" t="str">
        <f t="shared" si="120"/>
        <v>Friday</v>
      </c>
      <c r="C1948" s="93" t="s">
        <v>1381</v>
      </c>
      <c r="D1948" s="93" t="s">
        <v>624</v>
      </c>
      <c r="E1948" s="94">
        <v>35.76</v>
      </c>
      <c r="F1948" s="93" t="s">
        <v>5</v>
      </c>
      <c r="G1948" s="87">
        <f>Table1[[#This Row],[date]]</f>
        <v>45597</v>
      </c>
      <c r="H1948" s="94">
        <f>SUMIF($A$2:A5583,G1948,$E$2:E5583)</f>
        <v>190.06</v>
      </c>
      <c r="I1948" s="93" t="str">
        <f t="shared" si="121"/>
        <v>Friday</v>
      </c>
      <c r="J1948" s="93" t="str">
        <f t="shared" si="122"/>
        <v>November</v>
      </c>
      <c r="K1948" s="93" t="str">
        <f t="shared" si="123"/>
        <v>2024</v>
      </c>
      <c r="L1948" s="6"/>
      <c r="M1948" s="6"/>
      <c r="N1948" s="6"/>
    </row>
    <row r="1949" spans="1:14" x14ac:dyDescent="0.3">
      <c r="A1949" s="87">
        <v>45597</v>
      </c>
      <c r="B1949" s="87" t="str">
        <f t="shared" si="120"/>
        <v>Friday</v>
      </c>
      <c r="C1949" s="88" t="s">
        <v>1381</v>
      </c>
      <c r="D1949" s="88" t="s">
        <v>21</v>
      </c>
      <c r="E1949" s="89">
        <v>35.76</v>
      </c>
      <c r="F1949" s="88" t="s">
        <v>16</v>
      </c>
      <c r="G1949" s="87">
        <f>Table1[[#This Row],[date]]</f>
        <v>45597</v>
      </c>
      <c r="H1949" s="94">
        <f>SUMIF($A$2:A5584,G1949,$E$2:E5584)</f>
        <v>190.06</v>
      </c>
      <c r="I1949" s="93" t="str">
        <f t="shared" si="121"/>
        <v>Friday</v>
      </c>
      <c r="J1949" s="93" t="str">
        <f t="shared" si="122"/>
        <v>November</v>
      </c>
      <c r="K1949" s="93" t="str">
        <f t="shared" si="123"/>
        <v>2024</v>
      </c>
      <c r="L1949" s="6"/>
      <c r="M1949" s="6"/>
      <c r="N1949" s="6"/>
    </row>
    <row r="1950" spans="1:14" x14ac:dyDescent="0.3">
      <c r="A1950" s="87">
        <v>45597</v>
      </c>
      <c r="B1950" s="87" t="str">
        <f t="shared" si="120"/>
        <v>Friday</v>
      </c>
      <c r="C1950" s="88" t="s">
        <v>1381</v>
      </c>
      <c r="D1950" s="88" t="s">
        <v>857</v>
      </c>
      <c r="E1950" s="89">
        <v>25.96</v>
      </c>
      <c r="F1950" s="88" t="s">
        <v>26</v>
      </c>
      <c r="G1950" s="87">
        <f>Table1[[#This Row],[date]]</f>
        <v>45597</v>
      </c>
      <c r="H1950" s="94">
        <f>SUMIF($A$2:A5585,G1950,$E$2:E5585)</f>
        <v>190.06</v>
      </c>
      <c r="I1950" s="93" t="str">
        <f t="shared" si="121"/>
        <v>Friday</v>
      </c>
      <c r="J1950" s="93" t="str">
        <f t="shared" si="122"/>
        <v>November</v>
      </c>
      <c r="K1950" s="93" t="str">
        <f t="shared" si="123"/>
        <v>2024</v>
      </c>
      <c r="L1950" s="6"/>
      <c r="M1950" s="6"/>
      <c r="N1950" s="6"/>
    </row>
    <row r="1951" spans="1:14" x14ac:dyDescent="0.3">
      <c r="A1951" s="92">
        <v>45597</v>
      </c>
      <c r="B1951" s="92" t="str">
        <f t="shared" si="120"/>
        <v>Friday</v>
      </c>
      <c r="C1951" s="93" t="s">
        <v>1381</v>
      </c>
      <c r="D1951" s="93" t="s">
        <v>707</v>
      </c>
      <c r="E1951" s="94">
        <v>30.86</v>
      </c>
      <c r="F1951" s="93" t="s">
        <v>12</v>
      </c>
      <c r="G1951" s="87">
        <f>Table1[[#This Row],[date]]</f>
        <v>45597</v>
      </c>
      <c r="H1951" s="94">
        <f>SUMIF($A$2:A5586,G1951,$E$2:E5586)</f>
        <v>190.06</v>
      </c>
      <c r="I1951" s="93" t="str">
        <f t="shared" si="121"/>
        <v>Friday</v>
      </c>
      <c r="J1951" s="93" t="str">
        <f t="shared" si="122"/>
        <v>November</v>
      </c>
      <c r="K1951" s="93" t="str">
        <f t="shared" si="123"/>
        <v>2024</v>
      </c>
      <c r="L1951" s="6"/>
      <c r="M1951" s="6"/>
      <c r="N1951" s="6"/>
    </row>
    <row r="1952" spans="1:14" x14ac:dyDescent="0.3">
      <c r="A1952" s="87">
        <v>45598</v>
      </c>
      <c r="B1952" s="87" t="str">
        <f t="shared" si="120"/>
        <v>Saturday</v>
      </c>
      <c r="C1952" s="88" t="s">
        <v>1381</v>
      </c>
      <c r="D1952" s="88" t="s">
        <v>153</v>
      </c>
      <c r="E1952" s="89">
        <v>25.96</v>
      </c>
      <c r="F1952" s="88" t="s">
        <v>26</v>
      </c>
      <c r="G1952" s="87">
        <f>Table1[[#This Row],[date]]</f>
        <v>45598</v>
      </c>
      <c r="H1952" s="94">
        <f>SUMIF($A$2:A5587,G1952,$E$2:E5587)</f>
        <v>287.53999999999996</v>
      </c>
      <c r="I1952" s="93" t="str">
        <f t="shared" si="121"/>
        <v>Saturday</v>
      </c>
      <c r="J1952" s="93" t="str">
        <f t="shared" si="122"/>
        <v>November</v>
      </c>
      <c r="K1952" s="93" t="str">
        <f t="shared" si="123"/>
        <v>2024</v>
      </c>
      <c r="L1952" s="6"/>
      <c r="M1952" s="6"/>
      <c r="N1952" s="6"/>
    </row>
    <row r="1953" spans="1:14" x14ac:dyDescent="0.3">
      <c r="A1953" s="92">
        <v>45598</v>
      </c>
      <c r="B1953" s="92" t="str">
        <f t="shared" si="120"/>
        <v>Saturday</v>
      </c>
      <c r="C1953" s="93" t="s">
        <v>1381</v>
      </c>
      <c r="D1953" s="93" t="s">
        <v>840</v>
      </c>
      <c r="E1953" s="94">
        <v>35.76</v>
      </c>
      <c r="F1953" s="93" t="s">
        <v>16</v>
      </c>
      <c r="G1953" s="87">
        <f>Table1[[#This Row],[date]]</f>
        <v>45598</v>
      </c>
      <c r="H1953" s="94">
        <f>SUMIF($A$2:A5588,G1953,$E$2:E5588)</f>
        <v>287.53999999999996</v>
      </c>
      <c r="I1953" s="93" t="str">
        <f t="shared" si="121"/>
        <v>Saturday</v>
      </c>
      <c r="J1953" s="93" t="str">
        <f t="shared" si="122"/>
        <v>November</v>
      </c>
      <c r="K1953" s="93" t="str">
        <f t="shared" si="123"/>
        <v>2024</v>
      </c>
      <c r="L1953" s="6"/>
      <c r="M1953" s="6"/>
      <c r="N1953" s="6"/>
    </row>
    <row r="1954" spans="1:14" x14ac:dyDescent="0.3">
      <c r="A1954" s="87">
        <v>45598</v>
      </c>
      <c r="B1954" s="87" t="str">
        <f t="shared" si="120"/>
        <v>Saturday</v>
      </c>
      <c r="C1954" s="88" t="s">
        <v>1381</v>
      </c>
      <c r="D1954" s="88" t="s">
        <v>109</v>
      </c>
      <c r="E1954" s="89">
        <v>30.86</v>
      </c>
      <c r="F1954" s="88" t="s">
        <v>12</v>
      </c>
      <c r="G1954" s="87">
        <f>Table1[[#This Row],[date]]</f>
        <v>45598</v>
      </c>
      <c r="H1954" s="94">
        <f>SUMIF($A$2:A5589,G1954,$E$2:E5589)</f>
        <v>287.53999999999996</v>
      </c>
      <c r="I1954" s="93" t="str">
        <f t="shared" si="121"/>
        <v>Saturday</v>
      </c>
      <c r="J1954" s="93" t="str">
        <f t="shared" si="122"/>
        <v>November</v>
      </c>
      <c r="K1954" s="93" t="str">
        <f t="shared" si="123"/>
        <v>2024</v>
      </c>
      <c r="L1954" s="6"/>
      <c r="M1954" s="6"/>
      <c r="N1954" s="6"/>
    </row>
    <row r="1955" spans="1:14" x14ac:dyDescent="0.3">
      <c r="A1955" s="92">
        <v>45598</v>
      </c>
      <c r="B1955" s="92" t="str">
        <f t="shared" si="120"/>
        <v>Saturday</v>
      </c>
      <c r="C1955" s="93" t="s">
        <v>1381</v>
      </c>
      <c r="D1955" s="93" t="s">
        <v>858</v>
      </c>
      <c r="E1955" s="94">
        <v>30.86</v>
      </c>
      <c r="F1955" s="93" t="s">
        <v>12</v>
      </c>
      <c r="G1955" s="87">
        <f>Table1[[#This Row],[date]]</f>
        <v>45598</v>
      </c>
      <c r="H1955" s="94">
        <f>SUMIF($A$2:A5590,G1955,$E$2:E5590)</f>
        <v>287.53999999999996</v>
      </c>
      <c r="I1955" s="93" t="str">
        <f t="shared" si="121"/>
        <v>Saturday</v>
      </c>
      <c r="J1955" s="93" t="str">
        <f t="shared" si="122"/>
        <v>November</v>
      </c>
      <c r="K1955" s="93" t="str">
        <f t="shared" si="123"/>
        <v>2024</v>
      </c>
      <c r="L1955" s="6"/>
      <c r="M1955" s="6"/>
      <c r="N1955" s="6"/>
    </row>
    <row r="1956" spans="1:14" x14ac:dyDescent="0.3">
      <c r="A1956" s="87">
        <v>45598</v>
      </c>
      <c r="B1956" s="87" t="str">
        <f t="shared" si="120"/>
        <v>Saturday</v>
      </c>
      <c r="C1956" s="88" t="s">
        <v>1381</v>
      </c>
      <c r="D1956" s="88" t="s">
        <v>519</v>
      </c>
      <c r="E1956" s="89">
        <v>35.76</v>
      </c>
      <c r="F1956" s="88" t="s">
        <v>7</v>
      </c>
      <c r="G1956" s="87">
        <f>Table1[[#This Row],[date]]</f>
        <v>45598</v>
      </c>
      <c r="H1956" s="94">
        <f>SUMIF($A$2:A5591,G1956,$E$2:E5591)</f>
        <v>287.53999999999996</v>
      </c>
      <c r="I1956" s="93" t="str">
        <f t="shared" si="121"/>
        <v>Saturday</v>
      </c>
      <c r="J1956" s="93" t="str">
        <f t="shared" si="122"/>
        <v>November</v>
      </c>
      <c r="K1956" s="93" t="str">
        <f t="shared" si="123"/>
        <v>2024</v>
      </c>
      <c r="L1956" s="6"/>
      <c r="M1956" s="6"/>
      <c r="N1956" s="6"/>
    </row>
    <row r="1957" spans="1:14" x14ac:dyDescent="0.3">
      <c r="A1957" s="92">
        <v>45598</v>
      </c>
      <c r="B1957" s="92" t="str">
        <f t="shared" si="120"/>
        <v>Saturday</v>
      </c>
      <c r="C1957" s="93" t="s">
        <v>1381</v>
      </c>
      <c r="D1957" s="93" t="s">
        <v>519</v>
      </c>
      <c r="E1957" s="94">
        <v>35.76</v>
      </c>
      <c r="F1957" s="93" t="s">
        <v>5</v>
      </c>
      <c r="G1957" s="87">
        <f>Table1[[#This Row],[date]]</f>
        <v>45598</v>
      </c>
      <c r="H1957" s="94">
        <f>SUMIF($A$2:A5592,G1957,$E$2:E5592)</f>
        <v>287.53999999999996</v>
      </c>
      <c r="I1957" s="93" t="str">
        <f t="shared" si="121"/>
        <v>Saturday</v>
      </c>
      <c r="J1957" s="93" t="str">
        <f t="shared" si="122"/>
        <v>November</v>
      </c>
      <c r="K1957" s="93" t="str">
        <f t="shared" si="123"/>
        <v>2024</v>
      </c>
      <c r="L1957" s="6"/>
      <c r="M1957" s="6"/>
      <c r="N1957" s="6"/>
    </row>
    <row r="1958" spans="1:14" x14ac:dyDescent="0.3">
      <c r="A1958" s="87">
        <v>45598</v>
      </c>
      <c r="B1958" s="87" t="str">
        <f t="shared" si="120"/>
        <v>Saturday</v>
      </c>
      <c r="C1958" s="88" t="s">
        <v>1381</v>
      </c>
      <c r="D1958" s="88" t="s">
        <v>859</v>
      </c>
      <c r="E1958" s="89">
        <v>35.76</v>
      </c>
      <c r="F1958" s="88" t="s">
        <v>5</v>
      </c>
      <c r="G1958" s="87">
        <f>Table1[[#This Row],[date]]</f>
        <v>45598</v>
      </c>
      <c r="H1958" s="94">
        <f>SUMIF($A$2:A5593,G1958,$E$2:E5593)</f>
        <v>287.53999999999996</v>
      </c>
      <c r="I1958" s="93" t="str">
        <f t="shared" si="121"/>
        <v>Saturday</v>
      </c>
      <c r="J1958" s="93" t="str">
        <f t="shared" si="122"/>
        <v>November</v>
      </c>
      <c r="K1958" s="93" t="str">
        <f t="shared" si="123"/>
        <v>2024</v>
      </c>
      <c r="L1958" s="6"/>
      <c r="M1958" s="6"/>
      <c r="N1958" s="6"/>
    </row>
    <row r="1959" spans="1:14" x14ac:dyDescent="0.3">
      <c r="A1959" s="92">
        <v>45598</v>
      </c>
      <c r="B1959" s="92" t="str">
        <f t="shared" si="120"/>
        <v>Saturday</v>
      </c>
      <c r="C1959" s="93" t="s">
        <v>1381</v>
      </c>
      <c r="D1959" s="93" t="s">
        <v>632</v>
      </c>
      <c r="E1959" s="94">
        <v>30.86</v>
      </c>
      <c r="F1959" s="93" t="s">
        <v>12</v>
      </c>
      <c r="G1959" s="87">
        <f>Table1[[#This Row],[date]]</f>
        <v>45598</v>
      </c>
      <c r="H1959" s="94">
        <f>SUMIF($A$2:A5594,G1959,$E$2:E5594)</f>
        <v>287.53999999999996</v>
      </c>
      <c r="I1959" s="93" t="str">
        <f t="shared" si="121"/>
        <v>Saturday</v>
      </c>
      <c r="J1959" s="93" t="str">
        <f t="shared" si="122"/>
        <v>November</v>
      </c>
      <c r="K1959" s="93" t="str">
        <f t="shared" si="123"/>
        <v>2024</v>
      </c>
      <c r="L1959" s="6"/>
      <c r="M1959" s="6"/>
      <c r="N1959" s="6"/>
    </row>
    <row r="1960" spans="1:14" x14ac:dyDescent="0.3">
      <c r="A1960" s="87">
        <v>45598</v>
      </c>
      <c r="B1960" s="87" t="str">
        <f t="shared" si="120"/>
        <v>Saturday</v>
      </c>
      <c r="C1960" s="88" t="s">
        <v>1381</v>
      </c>
      <c r="D1960" s="88" t="s">
        <v>860</v>
      </c>
      <c r="E1960" s="89">
        <v>25.96</v>
      </c>
      <c r="F1960" s="88" t="s">
        <v>9</v>
      </c>
      <c r="G1960" s="87">
        <f>Table1[[#This Row],[date]]</f>
        <v>45598</v>
      </c>
      <c r="H1960" s="94">
        <f>SUMIF($A$2:A5595,G1960,$E$2:E5595)</f>
        <v>287.53999999999996</v>
      </c>
      <c r="I1960" s="93" t="str">
        <f t="shared" si="121"/>
        <v>Saturday</v>
      </c>
      <c r="J1960" s="93" t="str">
        <f t="shared" si="122"/>
        <v>November</v>
      </c>
      <c r="K1960" s="93" t="str">
        <f t="shared" si="123"/>
        <v>2024</v>
      </c>
      <c r="L1960" s="6"/>
      <c r="M1960" s="6"/>
      <c r="N1960" s="6"/>
    </row>
    <row r="1961" spans="1:14" x14ac:dyDescent="0.3">
      <c r="A1961" s="92">
        <v>45599</v>
      </c>
      <c r="B1961" s="92" t="str">
        <f t="shared" si="120"/>
        <v>Sunday</v>
      </c>
      <c r="C1961" s="93" t="s">
        <v>1381</v>
      </c>
      <c r="D1961" s="93" t="s">
        <v>153</v>
      </c>
      <c r="E1961" s="94">
        <v>25.96</v>
      </c>
      <c r="F1961" s="93" t="s">
        <v>26</v>
      </c>
      <c r="G1961" s="87">
        <f>Table1[[#This Row],[date]]</f>
        <v>45599</v>
      </c>
      <c r="H1961" s="94">
        <f>SUMIF($A$2:A5596,G1961,$E$2:E5596)</f>
        <v>313.49999999999994</v>
      </c>
      <c r="I1961" s="93" t="str">
        <f t="shared" si="121"/>
        <v>Sunday</v>
      </c>
      <c r="J1961" s="93" t="str">
        <f t="shared" si="122"/>
        <v>November</v>
      </c>
      <c r="K1961" s="93" t="str">
        <f t="shared" si="123"/>
        <v>2024</v>
      </c>
      <c r="L1961" s="6"/>
      <c r="M1961" s="6"/>
      <c r="N1961" s="6"/>
    </row>
    <row r="1962" spans="1:14" x14ac:dyDescent="0.3">
      <c r="A1962" s="87">
        <v>45599</v>
      </c>
      <c r="B1962" s="87" t="str">
        <f t="shared" si="120"/>
        <v>Sunday</v>
      </c>
      <c r="C1962" s="88" t="s">
        <v>1381</v>
      </c>
      <c r="D1962" s="88" t="s">
        <v>52</v>
      </c>
      <c r="E1962" s="89">
        <v>30.86</v>
      </c>
      <c r="F1962" s="88" t="s">
        <v>12</v>
      </c>
      <c r="G1962" s="87">
        <f>Table1[[#This Row],[date]]</f>
        <v>45599</v>
      </c>
      <c r="H1962" s="94">
        <f>SUMIF($A$2:A5597,G1962,$E$2:E5597)</f>
        <v>313.49999999999994</v>
      </c>
      <c r="I1962" s="93" t="str">
        <f t="shared" si="121"/>
        <v>Sunday</v>
      </c>
      <c r="J1962" s="93" t="str">
        <f t="shared" si="122"/>
        <v>November</v>
      </c>
      <c r="K1962" s="93" t="str">
        <f t="shared" si="123"/>
        <v>2024</v>
      </c>
      <c r="L1962" s="6"/>
      <c r="M1962" s="6"/>
      <c r="N1962" s="6"/>
    </row>
    <row r="1963" spans="1:14" x14ac:dyDescent="0.3">
      <c r="A1963" s="87">
        <v>45599</v>
      </c>
      <c r="B1963" s="87" t="str">
        <f t="shared" si="120"/>
        <v>Sunday</v>
      </c>
      <c r="C1963" s="88" t="s">
        <v>1381</v>
      </c>
      <c r="D1963" s="88" t="s">
        <v>861</v>
      </c>
      <c r="E1963" s="89">
        <v>35.76</v>
      </c>
      <c r="F1963" s="88" t="s">
        <v>5</v>
      </c>
      <c r="G1963" s="87">
        <f>Table1[[#This Row],[date]]</f>
        <v>45599</v>
      </c>
      <c r="H1963" s="94">
        <f>SUMIF($A$2:A5598,G1963,$E$2:E5598)</f>
        <v>313.49999999999994</v>
      </c>
      <c r="I1963" s="93" t="str">
        <f t="shared" si="121"/>
        <v>Sunday</v>
      </c>
      <c r="J1963" s="93" t="str">
        <f t="shared" si="122"/>
        <v>November</v>
      </c>
      <c r="K1963" s="93" t="str">
        <f t="shared" si="123"/>
        <v>2024</v>
      </c>
      <c r="L1963" s="6"/>
      <c r="M1963" s="6"/>
      <c r="N1963" s="6"/>
    </row>
    <row r="1964" spans="1:14" x14ac:dyDescent="0.3">
      <c r="A1964" s="92">
        <v>45599</v>
      </c>
      <c r="B1964" s="92" t="str">
        <f t="shared" si="120"/>
        <v>Sunday</v>
      </c>
      <c r="C1964" s="93" t="s">
        <v>1381</v>
      </c>
      <c r="D1964" s="93" t="s">
        <v>861</v>
      </c>
      <c r="E1964" s="94">
        <v>30.86</v>
      </c>
      <c r="F1964" s="93" t="s">
        <v>12</v>
      </c>
      <c r="G1964" s="87">
        <f>Table1[[#This Row],[date]]</f>
        <v>45599</v>
      </c>
      <c r="H1964" s="94">
        <f>SUMIF($A$2:A5599,G1964,$E$2:E5599)</f>
        <v>313.49999999999994</v>
      </c>
      <c r="I1964" s="93" t="str">
        <f t="shared" si="121"/>
        <v>Sunday</v>
      </c>
      <c r="J1964" s="93" t="str">
        <f t="shared" si="122"/>
        <v>November</v>
      </c>
      <c r="K1964" s="93" t="str">
        <f t="shared" si="123"/>
        <v>2024</v>
      </c>
      <c r="L1964" s="6"/>
      <c r="M1964" s="6"/>
      <c r="N1964" s="6"/>
    </row>
    <row r="1965" spans="1:14" x14ac:dyDescent="0.3">
      <c r="A1965" s="87">
        <v>45599</v>
      </c>
      <c r="B1965" s="87" t="str">
        <f t="shared" si="120"/>
        <v>Sunday</v>
      </c>
      <c r="C1965" s="88" t="s">
        <v>1381</v>
      </c>
      <c r="D1965" s="88" t="s">
        <v>240</v>
      </c>
      <c r="E1965" s="89">
        <v>35.76</v>
      </c>
      <c r="F1965" s="88" t="s">
        <v>16</v>
      </c>
      <c r="G1965" s="87">
        <f>Table1[[#This Row],[date]]</f>
        <v>45599</v>
      </c>
      <c r="H1965" s="94">
        <f>SUMIF($A$2:A5600,G1965,$E$2:E5600)</f>
        <v>313.49999999999994</v>
      </c>
      <c r="I1965" s="93" t="str">
        <f t="shared" si="121"/>
        <v>Sunday</v>
      </c>
      <c r="J1965" s="93" t="str">
        <f t="shared" si="122"/>
        <v>November</v>
      </c>
      <c r="K1965" s="93" t="str">
        <f t="shared" si="123"/>
        <v>2024</v>
      </c>
      <c r="L1965" s="6"/>
      <c r="M1965" s="6"/>
      <c r="N1965" s="6"/>
    </row>
    <row r="1966" spans="1:14" x14ac:dyDescent="0.3">
      <c r="A1966" s="92">
        <v>45599</v>
      </c>
      <c r="B1966" s="92" t="str">
        <f t="shared" si="120"/>
        <v>Sunday</v>
      </c>
      <c r="C1966" s="93" t="s">
        <v>1381</v>
      </c>
      <c r="D1966" s="93" t="s">
        <v>862</v>
      </c>
      <c r="E1966" s="94">
        <v>25.96</v>
      </c>
      <c r="F1966" s="93" t="s">
        <v>9</v>
      </c>
      <c r="G1966" s="87">
        <f>Table1[[#This Row],[date]]</f>
        <v>45599</v>
      </c>
      <c r="H1966" s="94">
        <f>SUMIF($A$2:A5601,G1966,$E$2:E5601)</f>
        <v>313.49999999999994</v>
      </c>
      <c r="I1966" s="93" t="str">
        <f t="shared" si="121"/>
        <v>Sunday</v>
      </c>
      <c r="J1966" s="93" t="str">
        <f t="shared" si="122"/>
        <v>November</v>
      </c>
      <c r="K1966" s="93" t="str">
        <f t="shared" si="123"/>
        <v>2024</v>
      </c>
      <c r="L1966" s="6"/>
      <c r="M1966" s="6"/>
      <c r="N1966" s="6"/>
    </row>
    <row r="1967" spans="1:14" x14ac:dyDescent="0.3">
      <c r="A1967" s="87">
        <v>45599</v>
      </c>
      <c r="B1967" s="87" t="str">
        <f t="shared" si="120"/>
        <v>Sunday</v>
      </c>
      <c r="C1967" s="88" t="s">
        <v>1381</v>
      </c>
      <c r="D1967" s="88" t="s">
        <v>863</v>
      </c>
      <c r="E1967" s="89">
        <v>30.86</v>
      </c>
      <c r="F1967" s="88" t="s">
        <v>12</v>
      </c>
      <c r="G1967" s="87">
        <f>Table1[[#This Row],[date]]</f>
        <v>45599</v>
      </c>
      <c r="H1967" s="94">
        <f>SUMIF($A$2:A5602,G1967,$E$2:E5602)</f>
        <v>313.49999999999994</v>
      </c>
      <c r="I1967" s="93" t="str">
        <f t="shared" si="121"/>
        <v>Sunday</v>
      </c>
      <c r="J1967" s="93" t="str">
        <f t="shared" si="122"/>
        <v>November</v>
      </c>
      <c r="K1967" s="93" t="str">
        <f t="shared" si="123"/>
        <v>2024</v>
      </c>
      <c r="L1967" s="6"/>
      <c r="M1967" s="6"/>
      <c r="N1967" s="6"/>
    </row>
    <row r="1968" spans="1:14" x14ac:dyDescent="0.3">
      <c r="A1968" s="92">
        <v>45599</v>
      </c>
      <c r="B1968" s="92" t="str">
        <f t="shared" si="120"/>
        <v>Sunday</v>
      </c>
      <c r="C1968" s="93" t="s">
        <v>1381</v>
      </c>
      <c r="D1968" s="93" t="s">
        <v>634</v>
      </c>
      <c r="E1968" s="94">
        <v>35.76</v>
      </c>
      <c r="F1968" s="93" t="s">
        <v>7</v>
      </c>
      <c r="G1968" s="87">
        <f>Table1[[#This Row],[date]]</f>
        <v>45599</v>
      </c>
      <c r="H1968" s="94">
        <f>SUMIF($A$2:A5603,G1968,$E$2:E5603)</f>
        <v>313.49999999999994</v>
      </c>
      <c r="I1968" s="93" t="str">
        <f t="shared" si="121"/>
        <v>Sunday</v>
      </c>
      <c r="J1968" s="93" t="str">
        <f t="shared" si="122"/>
        <v>November</v>
      </c>
      <c r="K1968" s="93" t="str">
        <f t="shared" si="123"/>
        <v>2024</v>
      </c>
      <c r="L1968" s="6"/>
      <c r="M1968" s="6"/>
      <c r="N1968" s="6"/>
    </row>
    <row r="1969" spans="1:14" x14ac:dyDescent="0.3">
      <c r="A1969" s="92">
        <v>45599</v>
      </c>
      <c r="B1969" s="92" t="str">
        <f t="shared" si="120"/>
        <v>Sunday</v>
      </c>
      <c r="C1969" s="93" t="s">
        <v>1381</v>
      </c>
      <c r="D1969" s="93" t="s">
        <v>864</v>
      </c>
      <c r="E1969" s="94">
        <v>25.96</v>
      </c>
      <c r="F1969" s="93" t="s">
        <v>9</v>
      </c>
      <c r="G1969" s="87">
        <f>Table1[[#This Row],[date]]</f>
        <v>45599</v>
      </c>
      <c r="H1969" s="94">
        <f>SUMIF($A$2:A5604,G1969,$E$2:E5604)</f>
        <v>313.49999999999994</v>
      </c>
      <c r="I1969" s="93" t="str">
        <f t="shared" si="121"/>
        <v>Sunday</v>
      </c>
      <c r="J1969" s="93" t="str">
        <f t="shared" si="122"/>
        <v>November</v>
      </c>
      <c r="K1969" s="93" t="str">
        <f t="shared" si="123"/>
        <v>2024</v>
      </c>
      <c r="L1969" s="6"/>
      <c r="M1969" s="6"/>
      <c r="N1969" s="6"/>
    </row>
    <row r="1970" spans="1:14" x14ac:dyDescent="0.3">
      <c r="A1970" s="92">
        <v>45599</v>
      </c>
      <c r="B1970" s="92" t="str">
        <f t="shared" si="120"/>
        <v>Sunday</v>
      </c>
      <c r="C1970" s="93" t="s">
        <v>1381</v>
      </c>
      <c r="D1970" s="93" t="s">
        <v>237</v>
      </c>
      <c r="E1970" s="94">
        <v>35.76</v>
      </c>
      <c r="F1970" s="93" t="s">
        <v>16</v>
      </c>
      <c r="G1970" s="87">
        <f>Table1[[#This Row],[date]]</f>
        <v>45599</v>
      </c>
      <c r="H1970" s="94">
        <f>SUMIF($A$2:A5605,G1970,$E$2:E5605)</f>
        <v>313.49999999999994</v>
      </c>
      <c r="I1970" s="93" t="str">
        <f t="shared" si="121"/>
        <v>Sunday</v>
      </c>
      <c r="J1970" s="93" t="str">
        <f t="shared" si="122"/>
        <v>November</v>
      </c>
      <c r="K1970" s="93" t="str">
        <f t="shared" si="123"/>
        <v>2024</v>
      </c>
      <c r="L1970" s="6"/>
      <c r="M1970" s="6"/>
      <c r="N1970" s="6"/>
    </row>
    <row r="1971" spans="1:14" x14ac:dyDescent="0.3">
      <c r="A1971" s="87">
        <v>45600</v>
      </c>
      <c r="B1971" s="87" t="str">
        <f t="shared" si="120"/>
        <v>Monday</v>
      </c>
      <c r="C1971" s="88" t="s">
        <v>1381</v>
      </c>
      <c r="D1971" s="88" t="s">
        <v>708</v>
      </c>
      <c r="E1971" s="89">
        <v>35.76</v>
      </c>
      <c r="F1971" s="88" t="s">
        <v>5</v>
      </c>
      <c r="G1971" s="87">
        <f>Table1[[#This Row],[date]]</f>
        <v>45600</v>
      </c>
      <c r="H1971" s="94">
        <f>SUMIF($A$2:A5606,G1971,$E$2:E5606)</f>
        <v>194.95999999999998</v>
      </c>
      <c r="I1971" s="93" t="str">
        <f t="shared" si="121"/>
        <v>Monday</v>
      </c>
      <c r="J1971" s="93" t="str">
        <f t="shared" si="122"/>
        <v>November</v>
      </c>
      <c r="K1971" s="93" t="str">
        <f t="shared" si="123"/>
        <v>2024</v>
      </c>
      <c r="L1971" s="6"/>
      <c r="M1971" s="6"/>
      <c r="N1971" s="6"/>
    </row>
    <row r="1972" spans="1:14" x14ac:dyDescent="0.3">
      <c r="A1972" s="92">
        <v>45600</v>
      </c>
      <c r="B1972" s="92" t="str">
        <f t="shared" si="120"/>
        <v>Monday</v>
      </c>
      <c r="C1972" s="93" t="s">
        <v>1381</v>
      </c>
      <c r="D1972" s="93" t="s">
        <v>288</v>
      </c>
      <c r="E1972" s="94">
        <v>35.76</v>
      </c>
      <c r="F1972" s="93" t="s">
        <v>5</v>
      </c>
      <c r="G1972" s="87">
        <f>Table1[[#This Row],[date]]</f>
        <v>45600</v>
      </c>
      <c r="H1972" s="94">
        <f>SUMIF($A$2:A5607,G1972,$E$2:E5607)</f>
        <v>194.95999999999998</v>
      </c>
      <c r="I1972" s="93" t="str">
        <f t="shared" si="121"/>
        <v>Monday</v>
      </c>
      <c r="J1972" s="93" t="str">
        <f t="shared" si="122"/>
        <v>November</v>
      </c>
      <c r="K1972" s="93" t="str">
        <f t="shared" si="123"/>
        <v>2024</v>
      </c>
      <c r="L1972" s="6"/>
      <c r="M1972" s="6"/>
      <c r="N1972" s="6"/>
    </row>
    <row r="1973" spans="1:14" x14ac:dyDescent="0.3">
      <c r="A1973" s="87">
        <v>45600</v>
      </c>
      <c r="B1973" s="87" t="str">
        <f t="shared" si="120"/>
        <v>Monday</v>
      </c>
      <c r="C1973" s="88" t="s">
        <v>1381</v>
      </c>
      <c r="D1973" s="88" t="s">
        <v>288</v>
      </c>
      <c r="E1973" s="89">
        <v>30.86</v>
      </c>
      <c r="F1973" s="88" t="s">
        <v>12</v>
      </c>
      <c r="G1973" s="87">
        <f>Table1[[#This Row],[date]]</f>
        <v>45600</v>
      </c>
      <c r="H1973" s="94">
        <f>SUMIF($A$2:A5608,G1973,$E$2:E5608)</f>
        <v>194.95999999999998</v>
      </c>
      <c r="I1973" s="93" t="str">
        <f t="shared" si="121"/>
        <v>Monday</v>
      </c>
      <c r="J1973" s="93" t="str">
        <f t="shared" si="122"/>
        <v>November</v>
      </c>
      <c r="K1973" s="93" t="str">
        <f t="shared" si="123"/>
        <v>2024</v>
      </c>
      <c r="L1973" s="6"/>
      <c r="M1973" s="6"/>
      <c r="N1973" s="6"/>
    </row>
    <row r="1974" spans="1:14" x14ac:dyDescent="0.3">
      <c r="A1974" s="92">
        <v>45600</v>
      </c>
      <c r="B1974" s="92" t="str">
        <f t="shared" si="120"/>
        <v>Monday</v>
      </c>
      <c r="C1974" s="93" t="s">
        <v>1381</v>
      </c>
      <c r="D1974" s="93" t="s">
        <v>865</v>
      </c>
      <c r="E1974" s="94">
        <v>25.96</v>
      </c>
      <c r="F1974" s="93" t="s">
        <v>9</v>
      </c>
      <c r="G1974" s="87">
        <f>Table1[[#This Row],[date]]</f>
        <v>45600</v>
      </c>
      <c r="H1974" s="94">
        <f>SUMIF($A$2:A5609,G1974,$E$2:E5609)</f>
        <v>194.95999999999998</v>
      </c>
      <c r="I1974" s="93" t="str">
        <f t="shared" si="121"/>
        <v>Monday</v>
      </c>
      <c r="J1974" s="93" t="str">
        <f t="shared" si="122"/>
        <v>November</v>
      </c>
      <c r="K1974" s="93" t="str">
        <f t="shared" si="123"/>
        <v>2024</v>
      </c>
      <c r="L1974" s="6"/>
      <c r="M1974" s="6"/>
      <c r="N1974" s="6"/>
    </row>
    <row r="1975" spans="1:14" x14ac:dyDescent="0.3">
      <c r="A1975" s="87">
        <v>45600</v>
      </c>
      <c r="B1975" s="87" t="str">
        <f t="shared" si="120"/>
        <v>Monday</v>
      </c>
      <c r="C1975" s="88" t="s">
        <v>1381</v>
      </c>
      <c r="D1975" s="88" t="s">
        <v>866</v>
      </c>
      <c r="E1975" s="89">
        <v>30.86</v>
      </c>
      <c r="F1975" s="88" t="s">
        <v>12</v>
      </c>
      <c r="G1975" s="87">
        <f>Table1[[#This Row],[date]]</f>
        <v>45600</v>
      </c>
      <c r="H1975" s="94">
        <f>SUMIF($A$2:A5610,G1975,$E$2:E5610)</f>
        <v>194.95999999999998</v>
      </c>
      <c r="I1975" s="93" t="str">
        <f t="shared" si="121"/>
        <v>Monday</v>
      </c>
      <c r="J1975" s="93" t="str">
        <f t="shared" si="122"/>
        <v>November</v>
      </c>
      <c r="K1975" s="93" t="str">
        <f t="shared" si="123"/>
        <v>2024</v>
      </c>
      <c r="L1975" s="6"/>
      <c r="M1975" s="6"/>
      <c r="N1975" s="6"/>
    </row>
    <row r="1976" spans="1:14" x14ac:dyDescent="0.3">
      <c r="A1976" s="92">
        <v>45600</v>
      </c>
      <c r="B1976" s="92" t="str">
        <f t="shared" si="120"/>
        <v>Monday</v>
      </c>
      <c r="C1976" s="93" t="s">
        <v>1381</v>
      </c>
      <c r="D1976" s="93" t="s">
        <v>21</v>
      </c>
      <c r="E1976" s="94">
        <v>35.76</v>
      </c>
      <c r="F1976" s="93" t="s">
        <v>16</v>
      </c>
      <c r="G1976" s="87">
        <f>Table1[[#This Row],[date]]</f>
        <v>45600</v>
      </c>
      <c r="H1976" s="94">
        <f>SUMIF($A$2:A5611,G1976,$E$2:E5611)</f>
        <v>194.95999999999998</v>
      </c>
      <c r="I1976" s="93" t="str">
        <f t="shared" si="121"/>
        <v>Monday</v>
      </c>
      <c r="J1976" s="93" t="str">
        <f t="shared" si="122"/>
        <v>November</v>
      </c>
      <c r="K1976" s="93" t="str">
        <f t="shared" si="123"/>
        <v>2024</v>
      </c>
      <c r="L1976" s="6"/>
      <c r="M1976" s="6"/>
      <c r="N1976" s="6"/>
    </row>
    <row r="1977" spans="1:14" x14ac:dyDescent="0.3">
      <c r="A1977" s="92">
        <v>45601</v>
      </c>
      <c r="B1977" s="92" t="str">
        <f t="shared" si="120"/>
        <v>Tuesday</v>
      </c>
      <c r="C1977" s="93" t="s">
        <v>1381</v>
      </c>
      <c r="D1977" s="93" t="s">
        <v>708</v>
      </c>
      <c r="E1977" s="94">
        <v>35.76</v>
      </c>
      <c r="F1977" s="93" t="s">
        <v>16</v>
      </c>
      <c r="G1977" s="87">
        <f>Table1[[#This Row],[date]]</f>
        <v>45601</v>
      </c>
      <c r="H1977" s="94">
        <f>SUMIF($A$2:A5612,G1977,$E$2:E5612)</f>
        <v>481.03999999999996</v>
      </c>
      <c r="I1977" s="93" t="str">
        <f t="shared" si="121"/>
        <v>Tuesday</v>
      </c>
      <c r="J1977" s="93" t="str">
        <f t="shared" si="122"/>
        <v>November</v>
      </c>
      <c r="K1977" s="93" t="str">
        <f t="shared" si="123"/>
        <v>2024</v>
      </c>
      <c r="L1977" s="6"/>
      <c r="M1977" s="6"/>
      <c r="N1977" s="6"/>
    </row>
    <row r="1978" spans="1:14" x14ac:dyDescent="0.3">
      <c r="A1978" s="87">
        <v>45601</v>
      </c>
      <c r="B1978" s="87" t="str">
        <f t="shared" si="120"/>
        <v>Tuesday</v>
      </c>
      <c r="C1978" s="88" t="s">
        <v>1381</v>
      </c>
      <c r="D1978" s="88" t="s">
        <v>288</v>
      </c>
      <c r="E1978" s="89">
        <v>30.86</v>
      </c>
      <c r="F1978" s="88" t="s">
        <v>12</v>
      </c>
      <c r="G1978" s="87">
        <f>Table1[[#This Row],[date]]</f>
        <v>45601</v>
      </c>
      <c r="H1978" s="94">
        <f>SUMIF($A$2:A5613,G1978,$E$2:E5613)</f>
        <v>481.03999999999996</v>
      </c>
      <c r="I1978" s="93" t="str">
        <f t="shared" si="121"/>
        <v>Tuesday</v>
      </c>
      <c r="J1978" s="93" t="str">
        <f t="shared" si="122"/>
        <v>November</v>
      </c>
      <c r="K1978" s="93" t="str">
        <f t="shared" si="123"/>
        <v>2024</v>
      </c>
      <c r="L1978" s="6"/>
      <c r="M1978" s="6"/>
      <c r="N1978" s="6"/>
    </row>
    <row r="1979" spans="1:14" x14ac:dyDescent="0.3">
      <c r="A1979" s="92">
        <v>45601</v>
      </c>
      <c r="B1979" s="92" t="str">
        <f t="shared" si="120"/>
        <v>Tuesday</v>
      </c>
      <c r="C1979" s="93" t="s">
        <v>1381</v>
      </c>
      <c r="D1979" s="93" t="s">
        <v>743</v>
      </c>
      <c r="E1979" s="94">
        <v>35.76</v>
      </c>
      <c r="F1979" s="93" t="s">
        <v>41</v>
      </c>
      <c r="G1979" s="87">
        <f>Table1[[#This Row],[date]]</f>
        <v>45601</v>
      </c>
      <c r="H1979" s="94">
        <f>SUMIF($A$2:A5614,G1979,$E$2:E5614)</f>
        <v>481.03999999999996</v>
      </c>
      <c r="I1979" s="93" t="str">
        <f t="shared" si="121"/>
        <v>Tuesday</v>
      </c>
      <c r="J1979" s="93" t="str">
        <f t="shared" si="122"/>
        <v>November</v>
      </c>
      <c r="K1979" s="93" t="str">
        <f t="shared" si="123"/>
        <v>2024</v>
      </c>
      <c r="L1979" s="6"/>
      <c r="M1979" s="6"/>
      <c r="N1979" s="6"/>
    </row>
    <row r="1980" spans="1:14" x14ac:dyDescent="0.3">
      <c r="A1980" s="87">
        <v>45601</v>
      </c>
      <c r="B1980" s="87" t="str">
        <f t="shared" si="120"/>
        <v>Tuesday</v>
      </c>
      <c r="C1980" s="88" t="s">
        <v>1381</v>
      </c>
      <c r="D1980" s="88" t="s">
        <v>743</v>
      </c>
      <c r="E1980" s="89">
        <v>30.86</v>
      </c>
      <c r="F1980" s="88" t="s">
        <v>12</v>
      </c>
      <c r="G1980" s="87">
        <f>Table1[[#This Row],[date]]</f>
        <v>45601</v>
      </c>
      <c r="H1980" s="94">
        <f>SUMIF($A$2:A5615,G1980,$E$2:E5615)</f>
        <v>481.03999999999996</v>
      </c>
      <c r="I1980" s="93" t="str">
        <f t="shared" si="121"/>
        <v>Tuesday</v>
      </c>
      <c r="J1980" s="93" t="str">
        <f t="shared" si="122"/>
        <v>November</v>
      </c>
      <c r="K1980" s="93" t="str">
        <f t="shared" si="123"/>
        <v>2024</v>
      </c>
      <c r="L1980" s="6"/>
      <c r="M1980" s="6"/>
      <c r="N1980" s="6"/>
    </row>
    <row r="1981" spans="1:14" x14ac:dyDescent="0.3">
      <c r="A1981" s="92">
        <v>45601</v>
      </c>
      <c r="B1981" s="92" t="str">
        <f t="shared" si="120"/>
        <v>Tuesday</v>
      </c>
      <c r="C1981" s="93" t="s">
        <v>1381</v>
      </c>
      <c r="D1981" s="93" t="s">
        <v>21</v>
      </c>
      <c r="E1981" s="94">
        <v>30.86</v>
      </c>
      <c r="F1981" s="93" t="s">
        <v>12</v>
      </c>
      <c r="G1981" s="87">
        <f>Table1[[#This Row],[date]]</f>
        <v>45601</v>
      </c>
      <c r="H1981" s="94">
        <f>SUMIF($A$2:A5616,G1981,$E$2:E5616)</f>
        <v>481.03999999999996</v>
      </c>
      <c r="I1981" s="93" t="str">
        <f t="shared" si="121"/>
        <v>Tuesday</v>
      </c>
      <c r="J1981" s="93" t="str">
        <f t="shared" si="122"/>
        <v>November</v>
      </c>
      <c r="K1981" s="93" t="str">
        <f t="shared" si="123"/>
        <v>2024</v>
      </c>
      <c r="L1981" s="6"/>
      <c r="M1981" s="6"/>
      <c r="N1981" s="6"/>
    </row>
    <row r="1982" spans="1:14" x14ac:dyDescent="0.3">
      <c r="A1982" s="87">
        <v>45601</v>
      </c>
      <c r="B1982" s="87" t="str">
        <f t="shared" si="120"/>
        <v>Tuesday</v>
      </c>
      <c r="C1982" s="88" t="s">
        <v>1381</v>
      </c>
      <c r="D1982" s="88" t="s">
        <v>867</v>
      </c>
      <c r="E1982" s="89">
        <v>35.76</v>
      </c>
      <c r="F1982" s="88" t="s">
        <v>16</v>
      </c>
      <c r="G1982" s="87">
        <f>Table1[[#This Row],[date]]</f>
        <v>45601</v>
      </c>
      <c r="H1982" s="94">
        <f>SUMIF($A$2:A5617,G1982,$E$2:E5617)</f>
        <v>481.03999999999996</v>
      </c>
      <c r="I1982" s="93" t="str">
        <f t="shared" si="121"/>
        <v>Tuesday</v>
      </c>
      <c r="J1982" s="93" t="str">
        <f t="shared" si="122"/>
        <v>November</v>
      </c>
      <c r="K1982" s="93" t="str">
        <f t="shared" si="123"/>
        <v>2024</v>
      </c>
      <c r="L1982" s="6"/>
      <c r="M1982" s="6"/>
      <c r="N1982" s="6"/>
    </row>
    <row r="1983" spans="1:14" x14ac:dyDescent="0.3">
      <c r="A1983" s="92">
        <v>45601</v>
      </c>
      <c r="B1983" s="92" t="str">
        <f t="shared" si="120"/>
        <v>Tuesday</v>
      </c>
      <c r="C1983" s="93" t="s">
        <v>1381</v>
      </c>
      <c r="D1983" s="93" t="s">
        <v>868</v>
      </c>
      <c r="E1983" s="94">
        <v>35.76</v>
      </c>
      <c r="F1983" s="93" t="s">
        <v>5</v>
      </c>
      <c r="G1983" s="87">
        <f>Table1[[#This Row],[date]]</f>
        <v>45601</v>
      </c>
      <c r="H1983" s="94">
        <f>SUMIF($A$2:A5618,G1983,$E$2:E5618)</f>
        <v>481.03999999999996</v>
      </c>
      <c r="I1983" s="93" t="str">
        <f t="shared" si="121"/>
        <v>Tuesday</v>
      </c>
      <c r="J1983" s="93" t="str">
        <f t="shared" si="122"/>
        <v>November</v>
      </c>
      <c r="K1983" s="93" t="str">
        <f t="shared" si="123"/>
        <v>2024</v>
      </c>
      <c r="L1983" s="6"/>
      <c r="M1983" s="6"/>
      <c r="N1983" s="6"/>
    </row>
    <row r="1984" spans="1:14" x14ac:dyDescent="0.3">
      <c r="A1984" s="87">
        <v>45601</v>
      </c>
      <c r="B1984" s="87" t="str">
        <f t="shared" si="120"/>
        <v>Tuesday</v>
      </c>
      <c r="C1984" s="88" t="s">
        <v>1381</v>
      </c>
      <c r="D1984" s="88" t="s">
        <v>869</v>
      </c>
      <c r="E1984" s="89">
        <v>35.76</v>
      </c>
      <c r="F1984" s="88" t="s">
        <v>5</v>
      </c>
      <c r="G1984" s="87">
        <f>Table1[[#This Row],[date]]</f>
        <v>45601</v>
      </c>
      <c r="H1984" s="94">
        <f>SUMIF($A$2:A5619,G1984,$E$2:E5619)</f>
        <v>481.03999999999996</v>
      </c>
      <c r="I1984" s="93" t="str">
        <f t="shared" si="121"/>
        <v>Tuesday</v>
      </c>
      <c r="J1984" s="93" t="str">
        <f t="shared" si="122"/>
        <v>November</v>
      </c>
      <c r="K1984" s="93" t="str">
        <f t="shared" si="123"/>
        <v>2024</v>
      </c>
      <c r="L1984" s="6"/>
      <c r="M1984" s="6"/>
      <c r="N1984" s="6"/>
    </row>
    <row r="1985" spans="1:14" x14ac:dyDescent="0.3">
      <c r="A1985" s="92">
        <v>45601</v>
      </c>
      <c r="B1985" s="92" t="str">
        <f t="shared" si="120"/>
        <v>Tuesday</v>
      </c>
      <c r="C1985" s="93" t="s">
        <v>1381</v>
      </c>
      <c r="D1985" s="93" t="s">
        <v>870</v>
      </c>
      <c r="E1985" s="94">
        <v>35.76</v>
      </c>
      <c r="F1985" s="93" t="s">
        <v>5</v>
      </c>
      <c r="G1985" s="87">
        <f>Table1[[#This Row],[date]]</f>
        <v>45601</v>
      </c>
      <c r="H1985" s="94">
        <f>SUMIF($A$2:A5620,G1985,$E$2:E5620)</f>
        <v>481.03999999999996</v>
      </c>
      <c r="I1985" s="93" t="str">
        <f t="shared" si="121"/>
        <v>Tuesday</v>
      </c>
      <c r="J1985" s="93" t="str">
        <f t="shared" si="122"/>
        <v>November</v>
      </c>
      <c r="K1985" s="93" t="str">
        <f t="shared" si="123"/>
        <v>2024</v>
      </c>
      <c r="L1985" s="6"/>
      <c r="M1985" s="6"/>
      <c r="N1985" s="6"/>
    </row>
    <row r="1986" spans="1:14" x14ac:dyDescent="0.3">
      <c r="A1986" s="87">
        <v>45601</v>
      </c>
      <c r="B1986" s="87" t="str">
        <f t="shared" ref="B1986:B2049" si="124">TEXT(A1986,"dddd")</f>
        <v>Tuesday</v>
      </c>
      <c r="C1986" s="88" t="s">
        <v>1381</v>
      </c>
      <c r="D1986" s="88" t="s">
        <v>467</v>
      </c>
      <c r="E1986" s="89">
        <v>35.76</v>
      </c>
      <c r="F1986" s="88" t="s">
        <v>41</v>
      </c>
      <c r="G1986" s="87">
        <f>Table1[[#This Row],[date]]</f>
        <v>45601</v>
      </c>
      <c r="H1986" s="94">
        <f>SUMIF($A$2:A5621,G1986,$E$2:E5621)</f>
        <v>481.03999999999996</v>
      </c>
      <c r="I1986" s="93" t="str">
        <f t="shared" si="121"/>
        <v>Tuesday</v>
      </c>
      <c r="J1986" s="93" t="str">
        <f t="shared" si="122"/>
        <v>November</v>
      </c>
      <c r="K1986" s="93" t="str">
        <f t="shared" si="123"/>
        <v>2024</v>
      </c>
      <c r="L1986" s="6"/>
      <c r="M1986" s="6"/>
      <c r="N1986" s="6"/>
    </row>
    <row r="1987" spans="1:14" x14ac:dyDescent="0.3">
      <c r="A1987" s="92">
        <v>45601</v>
      </c>
      <c r="B1987" s="92" t="str">
        <f t="shared" si="124"/>
        <v>Tuesday</v>
      </c>
      <c r="C1987" s="93" t="s">
        <v>1381</v>
      </c>
      <c r="D1987" s="93" t="s">
        <v>871</v>
      </c>
      <c r="E1987" s="94">
        <v>35.76</v>
      </c>
      <c r="F1987" s="93" t="s">
        <v>16</v>
      </c>
      <c r="G1987" s="87">
        <f>Table1[[#This Row],[date]]</f>
        <v>45601</v>
      </c>
      <c r="H1987" s="94">
        <f>SUMIF($A$2:A5622,G1987,$E$2:E5622)</f>
        <v>481.03999999999996</v>
      </c>
      <c r="I1987" s="93" t="str">
        <f t="shared" si="121"/>
        <v>Tuesday</v>
      </c>
      <c r="J1987" s="93" t="str">
        <f t="shared" si="122"/>
        <v>November</v>
      </c>
      <c r="K1987" s="93" t="str">
        <f t="shared" si="123"/>
        <v>2024</v>
      </c>
      <c r="L1987" s="6"/>
      <c r="M1987" s="6"/>
      <c r="N1987" s="6"/>
    </row>
    <row r="1988" spans="1:14" x14ac:dyDescent="0.3">
      <c r="A1988" s="92">
        <v>45601</v>
      </c>
      <c r="B1988" s="92" t="str">
        <f t="shared" si="124"/>
        <v>Tuesday</v>
      </c>
      <c r="C1988" s="93" t="s">
        <v>1381</v>
      </c>
      <c r="D1988" s="93" t="s">
        <v>734</v>
      </c>
      <c r="E1988" s="94">
        <v>35.76</v>
      </c>
      <c r="F1988" s="93" t="s">
        <v>7</v>
      </c>
      <c r="G1988" s="87">
        <f>Table1[[#This Row],[date]]</f>
        <v>45601</v>
      </c>
      <c r="H1988" s="94">
        <f>SUMIF($A$2:A5623,G1988,$E$2:E5623)</f>
        <v>481.03999999999996</v>
      </c>
      <c r="I1988" s="93" t="str">
        <f t="shared" si="121"/>
        <v>Tuesday</v>
      </c>
      <c r="J1988" s="93" t="str">
        <f t="shared" si="122"/>
        <v>November</v>
      </c>
      <c r="K1988" s="93" t="str">
        <f t="shared" si="123"/>
        <v>2024</v>
      </c>
      <c r="L1988" s="6"/>
      <c r="M1988" s="6"/>
      <c r="N1988" s="6"/>
    </row>
    <row r="1989" spans="1:14" x14ac:dyDescent="0.3">
      <c r="A1989" s="87">
        <v>45601</v>
      </c>
      <c r="B1989" s="87" t="str">
        <f t="shared" si="124"/>
        <v>Tuesday</v>
      </c>
      <c r="C1989" s="88" t="s">
        <v>1381</v>
      </c>
      <c r="D1989" s="88" t="s">
        <v>649</v>
      </c>
      <c r="E1989" s="89">
        <v>35.76</v>
      </c>
      <c r="F1989" s="88" t="s">
        <v>7</v>
      </c>
      <c r="G1989" s="87">
        <f>Table1[[#This Row],[date]]</f>
        <v>45601</v>
      </c>
      <c r="H1989" s="94">
        <f>SUMIF($A$2:A5624,G1989,$E$2:E5624)</f>
        <v>481.03999999999996</v>
      </c>
      <c r="I1989" s="93" t="str">
        <f t="shared" si="121"/>
        <v>Tuesday</v>
      </c>
      <c r="J1989" s="93" t="str">
        <f t="shared" si="122"/>
        <v>November</v>
      </c>
      <c r="K1989" s="93" t="str">
        <f t="shared" si="123"/>
        <v>2024</v>
      </c>
      <c r="L1989" s="6"/>
      <c r="M1989" s="6"/>
      <c r="N1989" s="6"/>
    </row>
    <row r="1990" spans="1:14" x14ac:dyDescent="0.3">
      <c r="A1990" s="92">
        <v>45601</v>
      </c>
      <c r="B1990" s="92" t="str">
        <f t="shared" si="124"/>
        <v>Tuesday</v>
      </c>
      <c r="C1990" s="93" t="s">
        <v>1381</v>
      </c>
      <c r="D1990" s="93" t="s">
        <v>649</v>
      </c>
      <c r="E1990" s="94">
        <v>30.86</v>
      </c>
      <c r="F1990" s="93" t="s">
        <v>12</v>
      </c>
      <c r="G1990" s="87">
        <f>Table1[[#This Row],[date]]</f>
        <v>45601</v>
      </c>
      <c r="H1990" s="94">
        <f>SUMIF($A$2:A5625,G1990,$E$2:E5625)</f>
        <v>481.03999999999996</v>
      </c>
      <c r="I1990" s="93" t="str">
        <f t="shared" ref="I1990:I2053" si="125">TEXT(G1990,"dddd")</f>
        <v>Tuesday</v>
      </c>
      <c r="J1990" s="93" t="str">
        <f t="shared" si="122"/>
        <v>November</v>
      </c>
      <c r="K1990" s="93" t="str">
        <f t="shared" si="123"/>
        <v>2024</v>
      </c>
      <c r="L1990" s="6"/>
      <c r="M1990" s="6"/>
      <c r="N1990" s="6"/>
    </row>
    <row r="1991" spans="1:14" x14ac:dyDescent="0.3">
      <c r="A1991" s="87">
        <v>45602</v>
      </c>
      <c r="B1991" s="87" t="str">
        <f t="shared" si="124"/>
        <v>Wednesday</v>
      </c>
      <c r="C1991" s="88" t="s">
        <v>1381</v>
      </c>
      <c r="D1991" s="88" t="s">
        <v>582</v>
      </c>
      <c r="E1991" s="89">
        <v>35.76</v>
      </c>
      <c r="F1991" s="88" t="s">
        <v>5</v>
      </c>
      <c r="G1991" s="87">
        <f>Table1[[#This Row],[date]]</f>
        <v>45602</v>
      </c>
      <c r="H1991" s="94">
        <f>SUMIF($A$2:A5626,G1991,$E$2:E5626)</f>
        <v>225.81999999999996</v>
      </c>
      <c r="I1991" s="93" t="str">
        <f t="shared" si="125"/>
        <v>Wednesday</v>
      </c>
      <c r="J1991" s="93" t="str">
        <f t="shared" ref="J1991:J2054" si="126">TEXT(G1991,"mmmm")</f>
        <v>November</v>
      </c>
      <c r="K1991" s="93" t="str">
        <f t="shared" ref="K1991:K2054" si="127">TEXT(G1991,"yyyy")</f>
        <v>2024</v>
      </c>
      <c r="L1991" s="6"/>
      <c r="M1991" s="6"/>
      <c r="N1991" s="6"/>
    </row>
    <row r="1992" spans="1:14" x14ac:dyDescent="0.3">
      <c r="A1992" s="92">
        <v>45602</v>
      </c>
      <c r="B1992" s="92" t="str">
        <f t="shared" si="124"/>
        <v>Wednesday</v>
      </c>
      <c r="C1992" s="93" t="s">
        <v>1381</v>
      </c>
      <c r="D1992" s="93" t="s">
        <v>872</v>
      </c>
      <c r="E1992" s="94">
        <v>21.06</v>
      </c>
      <c r="F1992" s="93" t="s">
        <v>33</v>
      </c>
      <c r="G1992" s="87">
        <f>Table1[[#This Row],[date]]</f>
        <v>45602</v>
      </c>
      <c r="H1992" s="94">
        <f>SUMIF($A$2:A5627,G1992,$E$2:E5627)</f>
        <v>225.81999999999996</v>
      </c>
      <c r="I1992" s="93" t="str">
        <f t="shared" si="125"/>
        <v>Wednesday</v>
      </c>
      <c r="J1992" s="93" t="str">
        <f t="shared" si="126"/>
        <v>November</v>
      </c>
      <c r="K1992" s="93" t="str">
        <f t="shared" si="127"/>
        <v>2024</v>
      </c>
      <c r="L1992" s="6"/>
      <c r="M1992" s="6"/>
      <c r="N1992" s="6"/>
    </row>
    <row r="1993" spans="1:14" x14ac:dyDescent="0.3">
      <c r="A1993" s="87">
        <v>45602</v>
      </c>
      <c r="B1993" s="87" t="str">
        <f t="shared" si="124"/>
        <v>Wednesday</v>
      </c>
      <c r="C1993" s="88" t="s">
        <v>1381</v>
      </c>
      <c r="D1993" s="88" t="s">
        <v>754</v>
      </c>
      <c r="E1993" s="89">
        <v>25.96</v>
      </c>
      <c r="F1993" s="88" t="s">
        <v>9</v>
      </c>
      <c r="G1993" s="87">
        <f>Table1[[#This Row],[date]]</f>
        <v>45602</v>
      </c>
      <c r="H1993" s="94">
        <f>SUMIF($A$2:A5628,G1993,$E$2:E5628)</f>
        <v>225.81999999999996</v>
      </c>
      <c r="I1993" s="93" t="str">
        <f t="shared" si="125"/>
        <v>Wednesday</v>
      </c>
      <c r="J1993" s="93" t="str">
        <f t="shared" si="126"/>
        <v>November</v>
      </c>
      <c r="K1993" s="93" t="str">
        <f t="shared" si="127"/>
        <v>2024</v>
      </c>
      <c r="L1993" s="6"/>
      <c r="M1993" s="6"/>
      <c r="N1993" s="6"/>
    </row>
    <row r="1994" spans="1:14" x14ac:dyDescent="0.3">
      <c r="A1994" s="92">
        <v>45602</v>
      </c>
      <c r="B1994" s="92" t="str">
        <f t="shared" si="124"/>
        <v>Wednesday</v>
      </c>
      <c r="C1994" s="93" t="s">
        <v>1381</v>
      </c>
      <c r="D1994" s="93" t="s">
        <v>634</v>
      </c>
      <c r="E1994" s="94">
        <v>35.76</v>
      </c>
      <c r="F1994" s="93" t="s">
        <v>41</v>
      </c>
      <c r="G1994" s="87">
        <f>Table1[[#This Row],[date]]</f>
        <v>45602</v>
      </c>
      <c r="H1994" s="94">
        <f>SUMIF($A$2:A5629,G1994,$E$2:E5629)</f>
        <v>225.81999999999996</v>
      </c>
      <c r="I1994" s="93" t="str">
        <f t="shared" si="125"/>
        <v>Wednesday</v>
      </c>
      <c r="J1994" s="93" t="str">
        <f t="shared" si="126"/>
        <v>November</v>
      </c>
      <c r="K1994" s="93" t="str">
        <f t="shared" si="127"/>
        <v>2024</v>
      </c>
      <c r="L1994" s="6"/>
      <c r="M1994" s="6"/>
      <c r="N1994" s="6"/>
    </row>
    <row r="1995" spans="1:14" x14ac:dyDescent="0.3">
      <c r="A1995" s="87">
        <v>45602</v>
      </c>
      <c r="B1995" s="87" t="str">
        <f t="shared" si="124"/>
        <v>Wednesday</v>
      </c>
      <c r="C1995" s="88" t="s">
        <v>1381</v>
      </c>
      <c r="D1995" s="88" t="s">
        <v>873</v>
      </c>
      <c r="E1995" s="89">
        <v>35.76</v>
      </c>
      <c r="F1995" s="88" t="s">
        <v>5</v>
      </c>
      <c r="G1995" s="87">
        <f>Table1[[#This Row],[date]]</f>
        <v>45602</v>
      </c>
      <c r="H1995" s="94">
        <f>SUMIF($A$2:A5630,G1995,$E$2:E5630)</f>
        <v>225.81999999999996</v>
      </c>
      <c r="I1995" s="93" t="str">
        <f t="shared" si="125"/>
        <v>Wednesday</v>
      </c>
      <c r="J1995" s="93" t="str">
        <f t="shared" si="126"/>
        <v>November</v>
      </c>
      <c r="K1995" s="93" t="str">
        <f t="shared" si="127"/>
        <v>2024</v>
      </c>
      <c r="L1995" s="6"/>
      <c r="M1995" s="6"/>
      <c r="N1995" s="6"/>
    </row>
    <row r="1996" spans="1:14" x14ac:dyDescent="0.3">
      <c r="A1996" s="92">
        <v>45602</v>
      </c>
      <c r="B1996" s="92" t="str">
        <f t="shared" si="124"/>
        <v>Wednesday</v>
      </c>
      <c r="C1996" s="93" t="s">
        <v>1381</v>
      </c>
      <c r="D1996" s="93" t="s">
        <v>874</v>
      </c>
      <c r="E1996" s="94">
        <v>35.76</v>
      </c>
      <c r="F1996" s="93" t="s">
        <v>41</v>
      </c>
      <c r="G1996" s="87">
        <f>Table1[[#This Row],[date]]</f>
        <v>45602</v>
      </c>
      <c r="H1996" s="94">
        <f>SUMIF($A$2:A5631,G1996,$E$2:E5631)</f>
        <v>225.81999999999996</v>
      </c>
      <c r="I1996" s="93" t="str">
        <f t="shared" si="125"/>
        <v>Wednesday</v>
      </c>
      <c r="J1996" s="93" t="str">
        <f t="shared" si="126"/>
        <v>November</v>
      </c>
      <c r="K1996" s="93" t="str">
        <f t="shared" si="127"/>
        <v>2024</v>
      </c>
      <c r="L1996" s="6"/>
      <c r="M1996" s="6"/>
      <c r="N1996" s="6"/>
    </row>
    <row r="1997" spans="1:14" x14ac:dyDescent="0.3">
      <c r="A1997" s="87">
        <v>45602</v>
      </c>
      <c r="B1997" s="87" t="str">
        <f t="shared" si="124"/>
        <v>Wednesday</v>
      </c>
      <c r="C1997" s="88" t="s">
        <v>1381</v>
      </c>
      <c r="D1997" s="88" t="s">
        <v>875</v>
      </c>
      <c r="E1997" s="89">
        <v>35.76</v>
      </c>
      <c r="F1997" s="88" t="s">
        <v>7</v>
      </c>
      <c r="G1997" s="87">
        <f>Table1[[#This Row],[date]]</f>
        <v>45602</v>
      </c>
      <c r="H1997" s="94">
        <f>SUMIF($A$2:A5632,G1997,$E$2:E5632)</f>
        <v>225.81999999999996</v>
      </c>
      <c r="I1997" s="93" t="str">
        <f t="shared" si="125"/>
        <v>Wednesday</v>
      </c>
      <c r="J1997" s="93" t="str">
        <f t="shared" si="126"/>
        <v>November</v>
      </c>
      <c r="K1997" s="93" t="str">
        <f t="shared" si="127"/>
        <v>2024</v>
      </c>
      <c r="L1997" s="6"/>
      <c r="M1997" s="6"/>
      <c r="N1997" s="6"/>
    </row>
    <row r="1998" spans="1:14" x14ac:dyDescent="0.3">
      <c r="A1998" s="87">
        <v>45603</v>
      </c>
      <c r="B1998" s="87" t="str">
        <f t="shared" si="124"/>
        <v>Thursday</v>
      </c>
      <c r="C1998" s="88" t="s">
        <v>1381</v>
      </c>
      <c r="D1998" s="88" t="s">
        <v>876</v>
      </c>
      <c r="E1998" s="89">
        <v>35.76</v>
      </c>
      <c r="F1998" s="88" t="s">
        <v>5</v>
      </c>
      <c r="G1998" s="87">
        <f>Table1[[#This Row],[date]]</f>
        <v>45603</v>
      </c>
      <c r="H1998" s="94">
        <f>SUMIF($A$2:A5633,G1998,$E$2:E5633)</f>
        <v>230.71999999999997</v>
      </c>
      <c r="I1998" s="93" t="str">
        <f t="shared" si="125"/>
        <v>Thursday</v>
      </c>
      <c r="J1998" s="93" t="str">
        <f t="shared" si="126"/>
        <v>November</v>
      </c>
      <c r="K1998" s="93" t="str">
        <f t="shared" si="127"/>
        <v>2024</v>
      </c>
      <c r="L1998" s="6"/>
      <c r="M1998" s="6"/>
      <c r="N1998" s="6"/>
    </row>
    <row r="1999" spans="1:14" x14ac:dyDescent="0.3">
      <c r="A1999" s="92">
        <v>45603</v>
      </c>
      <c r="B1999" s="92" t="str">
        <f t="shared" si="124"/>
        <v>Thursday</v>
      </c>
      <c r="C1999" s="93" t="s">
        <v>1381</v>
      </c>
      <c r="D1999" s="93" t="s">
        <v>877</v>
      </c>
      <c r="E1999" s="94">
        <v>25.96</v>
      </c>
      <c r="F1999" s="93" t="s">
        <v>9</v>
      </c>
      <c r="G1999" s="87">
        <f>Table1[[#This Row],[date]]</f>
        <v>45603</v>
      </c>
      <c r="H1999" s="94">
        <f>SUMIF($A$2:A5634,G1999,$E$2:E5634)</f>
        <v>230.71999999999997</v>
      </c>
      <c r="I1999" s="93" t="str">
        <f t="shared" si="125"/>
        <v>Thursday</v>
      </c>
      <c r="J1999" s="93" t="str">
        <f t="shared" si="126"/>
        <v>November</v>
      </c>
      <c r="K1999" s="93" t="str">
        <f t="shared" si="127"/>
        <v>2024</v>
      </c>
      <c r="L1999" s="6"/>
      <c r="M1999" s="6"/>
      <c r="N1999" s="6"/>
    </row>
    <row r="2000" spans="1:14" x14ac:dyDescent="0.3">
      <c r="A2000" s="87">
        <v>45603</v>
      </c>
      <c r="B2000" s="87" t="str">
        <f t="shared" si="124"/>
        <v>Thursday</v>
      </c>
      <c r="C2000" s="88" t="s">
        <v>1381</v>
      </c>
      <c r="D2000" s="88" t="s">
        <v>878</v>
      </c>
      <c r="E2000" s="89">
        <v>25.96</v>
      </c>
      <c r="F2000" s="88" t="s">
        <v>9</v>
      </c>
      <c r="G2000" s="87">
        <f>Table1[[#This Row],[date]]</f>
        <v>45603</v>
      </c>
      <c r="H2000" s="94">
        <f>SUMIF($A$2:A5635,G2000,$E$2:E5635)</f>
        <v>230.71999999999997</v>
      </c>
      <c r="I2000" s="93" t="str">
        <f t="shared" si="125"/>
        <v>Thursday</v>
      </c>
      <c r="J2000" s="93" t="str">
        <f t="shared" si="126"/>
        <v>November</v>
      </c>
      <c r="K2000" s="93" t="str">
        <f t="shared" si="127"/>
        <v>2024</v>
      </c>
      <c r="L2000" s="6"/>
      <c r="M2000" s="6"/>
      <c r="N2000" s="6"/>
    </row>
    <row r="2001" spans="1:14" x14ac:dyDescent="0.3">
      <c r="A2001" s="92">
        <v>45603</v>
      </c>
      <c r="B2001" s="92" t="str">
        <f t="shared" si="124"/>
        <v>Thursday</v>
      </c>
      <c r="C2001" s="93" t="s">
        <v>1381</v>
      </c>
      <c r="D2001" s="93" t="s">
        <v>840</v>
      </c>
      <c r="E2001" s="94">
        <v>35.76</v>
      </c>
      <c r="F2001" s="93" t="s">
        <v>16</v>
      </c>
      <c r="G2001" s="87">
        <f>Table1[[#This Row],[date]]</f>
        <v>45603</v>
      </c>
      <c r="H2001" s="94">
        <f>SUMIF($A$2:A5636,G2001,$E$2:E5636)</f>
        <v>230.71999999999997</v>
      </c>
      <c r="I2001" s="93" t="str">
        <f t="shared" si="125"/>
        <v>Thursday</v>
      </c>
      <c r="J2001" s="93" t="str">
        <f t="shared" si="126"/>
        <v>November</v>
      </c>
      <c r="K2001" s="93" t="str">
        <f t="shared" si="127"/>
        <v>2024</v>
      </c>
      <c r="L2001" s="6"/>
      <c r="M2001" s="6"/>
      <c r="N2001" s="6"/>
    </row>
    <row r="2002" spans="1:14" x14ac:dyDescent="0.3">
      <c r="A2002" s="87">
        <v>45603</v>
      </c>
      <c r="B2002" s="87" t="str">
        <f t="shared" si="124"/>
        <v>Thursday</v>
      </c>
      <c r="C2002" s="88" t="s">
        <v>1381</v>
      </c>
      <c r="D2002" s="88" t="s">
        <v>879</v>
      </c>
      <c r="E2002" s="89">
        <v>35.76</v>
      </c>
      <c r="F2002" s="88" t="s">
        <v>7</v>
      </c>
      <c r="G2002" s="87">
        <f>Table1[[#This Row],[date]]</f>
        <v>45603</v>
      </c>
      <c r="H2002" s="94">
        <f>SUMIF($A$2:A5637,G2002,$E$2:E5637)</f>
        <v>230.71999999999997</v>
      </c>
      <c r="I2002" s="93" t="str">
        <f t="shared" si="125"/>
        <v>Thursday</v>
      </c>
      <c r="J2002" s="93" t="str">
        <f t="shared" si="126"/>
        <v>November</v>
      </c>
      <c r="K2002" s="93" t="str">
        <f t="shared" si="127"/>
        <v>2024</v>
      </c>
      <c r="L2002" s="6"/>
      <c r="M2002" s="6"/>
      <c r="N2002" s="6"/>
    </row>
    <row r="2003" spans="1:14" x14ac:dyDescent="0.3">
      <c r="A2003" s="92">
        <v>45603</v>
      </c>
      <c r="B2003" s="92" t="str">
        <f t="shared" si="124"/>
        <v>Thursday</v>
      </c>
      <c r="C2003" s="93" t="s">
        <v>1381</v>
      </c>
      <c r="D2003" s="93" t="s">
        <v>879</v>
      </c>
      <c r="E2003" s="94">
        <v>35.76</v>
      </c>
      <c r="F2003" s="93" t="s">
        <v>5</v>
      </c>
      <c r="G2003" s="87">
        <f>Table1[[#This Row],[date]]</f>
        <v>45603</v>
      </c>
      <c r="H2003" s="94">
        <f>SUMIF($A$2:A5638,G2003,$E$2:E5638)</f>
        <v>230.71999999999997</v>
      </c>
      <c r="I2003" s="93" t="str">
        <f t="shared" si="125"/>
        <v>Thursday</v>
      </c>
      <c r="J2003" s="93" t="str">
        <f t="shared" si="126"/>
        <v>November</v>
      </c>
      <c r="K2003" s="93" t="str">
        <f t="shared" si="127"/>
        <v>2024</v>
      </c>
      <c r="L2003" s="6"/>
      <c r="M2003" s="6"/>
      <c r="N2003" s="6"/>
    </row>
    <row r="2004" spans="1:14" x14ac:dyDescent="0.3">
      <c r="A2004" s="87">
        <v>45603</v>
      </c>
      <c r="B2004" s="87" t="str">
        <f t="shared" si="124"/>
        <v>Thursday</v>
      </c>
      <c r="C2004" s="88" t="s">
        <v>1381</v>
      </c>
      <c r="D2004" s="88" t="s">
        <v>519</v>
      </c>
      <c r="E2004" s="89">
        <v>35.76</v>
      </c>
      <c r="F2004" s="88" t="s">
        <v>5</v>
      </c>
      <c r="G2004" s="87">
        <f>Table1[[#This Row],[date]]</f>
        <v>45603</v>
      </c>
      <c r="H2004" s="94">
        <f>SUMIF($A$2:A5639,G2004,$E$2:E5639)</f>
        <v>230.71999999999997</v>
      </c>
      <c r="I2004" s="93" t="str">
        <f t="shared" si="125"/>
        <v>Thursday</v>
      </c>
      <c r="J2004" s="93" t="str">
        <f t="shared" si="126"/>
        <v>November</v>
      </c>
      <c r="K2004" s="93" t="str">
        <f t="shared" si="127"/>
        <v>2024</v>
      </c>
      <c r="L2004" s="6"/>
      <c r="M2004" s="6"/>
      <c r="N2004" s="6"/>
    </row>
    <row r="2005" spans="1:14" x14ac:dyDescent="0.3">
      <c r="A2005" s="92">
        <v>45604</v>
      </c>
      <c r="B2005" s="92" t="str">
        <f t="shared" si="124"/>
        <v>Friday</v>
      </c>
      <c r="C2005" s="93" t="s">
        <v>1381</v>
      </c>
      <c r="D2005" s="93" t="s">
        <v>288</v>
      </c>
      <c r="E2005" s="94">
        <v>30.86</v>
      </c>
      <c r="F2005" s="93" t="s">
        <v>12</v>
      </c>
      <c r="G2005" s="87">
        <f>Table1[[#This Row],[date]]</f>
        <v>45604</v>
      </c>
      <c r="H2005" s="94">
        <f>SUMIF($A$2:A5640,G2005,$E$2:E5640)</f>
        <v>297.33999999999997</v>
      </c>
      <c r="I2005" s="93" t="str">
        <f t="shared" si="125"/>
        <v>Friday</v>
      </c>
      <c r="J2005" s="93" t="str">
        <f t="shared" si="126"/>
        <v>November</v>
      </c>
      <c r="K2005" s="93" t="str">
        <f t="shared" si="127"/>
        <v>2024</v>
      </c>
      <c r="L2005" s="6"/>
      <c r="M2005" s="6"/>
      <c r="N2005" s="6"/>
    </row>
    <row r="2006" spans="1:14" x14ac:dyDescent="0.3">
      <c r="A2006" s="87">
        <v>45604</v>
      </c>
      <c r="B2006" s="87" t="str">
        <f t="shared" si="124"/>
        <v>Friday</v>
      </c>
      <c r="C2006" s="88" t="s">
        <v>1381</v>
      </c>
      <c r="D2006" s="88" t="s">
        <v>387</v>
      </c>
      <c r="E2006" s="89">
        <v>25.96</v>
      </c>
      <c r="F2006" s="88" t="s">
        <v>9</v>
      </c>
      <c r="G2006" s="87">
        <f>Table1[[#This Row],[date]]</f>
        <v>45604</v>
      </c>
      <c r="H2006" s="94">
        <f>SUMIF($A$2:A5641,G2006,$E$2:E5641)</f>
        <v>297.33999999999997</v>
      </c>
      <c r="I2006" s="93" t="str">
        <f t="shared" si="125"/>
        <v>Friday</v>
      </c>
      <c r="J2006" s="93" t="str">
        <f t="shared" si="126"/>
        <v>November</v>
      </c>
      <c r="K2006" s="93" t="str">
        <f t="shared" si="127"/>
        <v>2024</v>
      </c>
      <c r="L2006" s="6"/>
      <c r="M2006" s="6"/>
      <c r="N2006" s="6"/>
    </row>
    <row r="2007" spans="1:14" x14ac:dyDescent="0.3">
      <c r="A2007" s="87">
        <v>45604</v>
      </c>
      <c r="B2007" s="87" t="str">
        <f t="shared" si="124"/>
        <v>Friday</v>
      </c>
      <c r="C2007" s="88" t="s">
        <v>1381</v>
      </c>
      <c r="D2007" s="88" t="s">
        <v>506</v>
      </c>
      <c r="E2007" s="89">
        <v>35.76</v>
      </c>
      <c r="F2007" s="88" t="s">
        <v>41</v>
      </c>
      <c r="G2007" s="87">
        <f>Table1[[#This Row],[date]]</f>
        <v>45604</v>
      </c>
      <c r="H2007" s="94">
        <f>SUMIF($A$2:A5642,G2007,$E$2:E5642)</f>
        <v>297.33999999999997</v>
      </c>
      <c r="I2007" s="93" t="str">
        <f t="shared" si="125"/>
        <v>Friday</v>
      </c>
      <c r="J2007" s="93" t="str">
        <f t="shared" si="126"/>
        <v>November</v>
      </c>
      <c r="K2007" s="93" t="str">
        <f t="shared" si="127"/>
        <v>2024</v>
      </c>
      <c r="L2007" s="6"/>
      <c r="M2007" s="6"/>
      <c r="N2007" s="6"/>
    </row>
    <row r="2008" spans="1:14" x14ac:dyDescent="0.3">
      <c r="A2008" s="92">
        <v>45604</v>
      </c>
      <c r="B2008" s="92" t="str">
        <f t="shared" si="124"/>
        <v>Friday</v>
      </c>
      <c r="C2008" s="93" t="s">
        <v>1381</v>
      </c>
      <c r="D2008" s="93" t="s">
        <v>880</v>
      </c>
      <c r="E2008" s="94">
        <v>35.76</v>
      </c>
      <c r="F2008" s="93" t="s">
        <v>5</v>
      </c>
      <c r="G2008" s="87">
        <f>Table1[[#This Row],[date]]</f>
        <v>45604</v>
      </c>
      <c r="H2008" s="94">
        <f>SUMIF($A$2:A5643,G2008,$E$2:E5643)</f>
        <v>297.33999999999997</v>
      </c>
      <c r="I2008" s="93" t="str">
        <f t="shared" si="125"/>
        <v>Friday</v>
      </c>
      <c r="J2008" s="93" t="str">
        <f t="shared" si="126"/>
        <v>November</v>
      </c>
      <c r="K2008" s="93" t="str">
        <f t="shared" si="127"/>
        <v>2024</v>
      </c>
      <c r="L2008" s="6"/>
      <c r="M2008" s="6"/>
      <c r="N2008" s="6"/>
    </row>
    <row r="2009" spans="1:14" x14ac:dyDescent="0.3">
      <c r="A2009" s="92">
        <v>45604</v>
      </c>
      <c r="B2009" s="92" t="str">
        <f t="shared" si="124"/>
        <v>Friday</v>
      </c>
      <c r="C2009" s="93" t="s">
        <v>1381</v>
      </c>
      <c r="D2009" s="93" t="s">
        <v>881</v>
      </c>
      <c r="E2009" s="94">
        <v>30.86</v>
      </c>
      <c r="F2009" s="93" t="s">
        <v>12</v>
      </c>
      <c r="G2009" s="87">
        <f>Table1[[#This Row],[date]]</f>
        <v>45604</v>
      </c>
      <c r="H2009" s="94">
        <f>SUMIF($A$2:A5644,G2009,$E$2:E5644)</f>
        <v>297.33999999999997</v>
      </c>
      <c r="I2009" s="93" t="str">
        <f t="shared" si="125"/>
        <v>Friday</v>
      </c>
      <c r="J2009" s="93" t="str">
        <f t="shared" si="126"/>
        <v>November</v>
      </c>
      <c r="K2009" s="93" t="str">
        <f t="shared" si="127"/>
        <v>2024</v>
      </c>
      <c r="L2009" s="6"/>
      <c r="M2009" s="6"/>
      <c r="N2009" s="6"/>
    </row>
    <row r="2010" spans="1:14" x14ac:dyDescent="0.3">
      <c r="A2010" s="87">
        <v>45604</v>
      </c>
      <c r="B2010" s="87" t="str">
        <f t="shared" si="124"/>
        <v>Friday</v>
      </c>
      <c r="C2010" s="88" t="s">
        <v>1381</v>
      </c>
      <c r="D2010" s="88" t="s">
        <v>882</v>
      </c>
      <c r="E2010" s="89">
        <v>30.86</v>
      </c>
      <c r="F2010" s="88" t="s">
        <v>12</v>
      </c>
      <c r="G2010" s="87">
        <f>Table1[[#This Row],[date]]</f>
        <v>45604</v>
      </c>
      <c r="H2010" s="94">
        <f>SUMIF($A$2:A5645,G2010,$E$2:E5645)</f>
        <v>297.33999999999997</v>
      </c>
      <c r="I2010" s="93" t="str">
        <f t="shared" si="125"/>
        <v>Friday</v>
      </c>
      <c r="J2010" s="93" t="str">
        <f t="shared" si="126"/>
        <v>November</v>
      </c>
      <c r="K2010" s="93" t="str">
        <f t="shared" si="127"/>
        <v>2024</v>
      </c>
      <c r="L2010" s="6"/>
      <c r="M2010" s="6"/>
      <c r="N2010" s="6"/>
    </row>
    <row r="2011" spans="1:14" x14ac:dyDescent="0.3">
      <c r="A2011" s="92">
        <v>45604</v>
      </c>
      <c r="B2011" s="92" t="str">
        <f t="shared" si="124"/>
        <v>Friday</v>
      </c>
      <c r="C2011" s="93" t="s">
        <v>1381</v>
      </c>
      <c r="D2011" s="93" t="s">
        <v>883</v>
      </c>
      <c r="E2011" s="94">
        <v>35.76</v>
      </c>
      <c r="F2011" s="93" t="s">
        <v>7</v>
      </c>
      <c r="G2011" s="87">
        <f>Table1[[#This Row],[date]]</f>
        <v>45604</v>
      </c>
      <c r="H2011" s="94">
        <f>SUMIF($A$2:A5646,G2011,$E$2:E5646)</f>
        <v>297.33999999999997</v>
      </c>
      <c r="I2011" s="93" t="str">
        <f t="shared" si="125"/>
        <v>Friday</v>
      </c>
      <c r="J2011" s="93" t="str">
        <f t="shared" si="126"/>
        <v>November</v>
      </c>
      <c r="K2011" s="93" t="str">
        <f t="shared" si="127"/>
        <v>2024</v>
      </c>
      <c r="L2011" s="6"/>
      <c r="M2011" s="6"/>
      <c r="N2011" s="6"/>
    </row>
    <row r="2012" spans="1:14" x14ac:dyDescent="0.3">
      <c r="A2012" s="87">
        <v>45604</v>
      </c>
      <c r="B2012" s="87" t="str">
        <f t="shared" si="124"/>
        <v>Friday</v>
      </c>
      <c r="C2012" s="88" t="s">
        <v>1381</v>
      </c>
      <c r="D2012" s="88" t="s">
        <v>884</v>
      </c>
      <c r="E2012" s="89">
        <v>35.76</v>
      </c>
      <c r="F2012" s="88" t="s">
        <v>7</v>
      </c>
      <c r="G2012" s="87">
        <f>Table1[[#This Row],[date]]</f>
        <v>45604</v>
      </c>
      <c r="H2012" s="94">
        <f>SUMIF($A$2:A5647,G2012,$E$2:E5647)</f>
        <v>297.33999999999997</v>
      </c>
      <c r="I2012" s="93" t="str">
        <f t="shared" si="125"/>
        <v>Friday</v>
      </c>
      <c r="J2012" s="93" t="str">
        <f t="shared" si="126"/>
        <v>November</v>
      </c>
      <c r="K2012" s="93" t="str">
        <f t="shared" si="127"/>
        <v>2024</v>
      </c>
      <c r="L2012" s="6"/>
      <c r="M2012" s="6"/>
      <c r="N2012" s="6"/>
    </row>
    <row r="2013" spans="1:14" x14ac:dyDescent="0.3">
      <c r="A2013" s="87">
        <v>45604</v>
      </c>
      <c r="B2013" s="87" t="str">
        <f t="shared" si="124"/>
        <v>Friday</v>
      </c>
      <c r="C2013" s="88" t="s">
        <v>1381</v>
      </c>
      <c r="D2013" s="88" t="s">
        <v>702</v>
      </c>
      <c r="E2013" s="89">
        <v>35.76</v>
      </c>
      <c r="F2013" s="88" t="s">
        <v>5</v>
      </c>
      <c r="G2013" s="87">
        <f>Table1[[#This Row],[date]]</f>
        <v>45604</v>
      </c>
      <c r="H2013" s="94">
        <f>SUMIF($A$2:A5648,G2013,$E$2:E5648)</f>
        <v>297.33999999999997</v>
      </c>
      <c r="I2013" s="93" t="str">
        <f t="shared" si="125"/>
        <v>Friday</v>
      </c>
      <c r="J2013" s="93" t="str">
        <f t="shared" si="126"/>
        <v>November</v>
      </c>
      <c r="K2013" s="93" t="str">
        <f t="shared" si="127"/>
        <v>2024</v>
      </c>
      <c r="L2013" s="6"/>
      <c r="M2013" s="6"/>
      <c r="N2013" s="6"/>
    </row>
    <row r="2014" spans="1:14" x14ac:dyDescent="0.3">
      <c r="A2014" s="92">
        <v>45605</v>
      </c>
      <c r="B2014" s="92" t="str">
        <f t="shared" si="124"/>
        <v>Saturday</v>
      </c>
      <c r="C2014" s="93" t="s">
        <v>1381</v>
      </c>
      <c r="D2014" s="93" t="s">
        <v>288</v>
      </c>
      <c r="E2014" s="94">
        <v>30.86</v>
      </c>
      <c r="F2014" s="93" t="s">
        <v>12</v>
      </c>
      <c r="G2014" s="87">
        <f>Table1[[#This Row],[date]]</f>
        <v>45605</v>
      </c>
      <c r="H2014" s="94">
        <f>SUMIF($A$2:A5649,G2014,$E$2:E5649)</f>
        <v>410.9799999999999</v>
      </c>
      <c r="I2014" s="93" t="str">
        <f t="shared" si="125"/>
        <v>Saturday</v>
      </c>
      <c r="J2014" s="93" t="str">
        <f t="shared" si="126"/>
        <v>November</v>
      </c>
      <c r="K2014" s="93" t="str">
        <f t="shared" si="127"/>
        <v>2024</v>
      </c>
      <c r="L2014" s="6"/>
      <c r="M2014" s="6"/>
      <c r="N2014" s="6"/>
    </row>
    <row r="2015" spans="1:14" x14ac:dyDescent="0.3">
      <c r="A2015" s="87">
        <v>45605</v>
      </c>
      <c r="B2015" s="87" t="str">
        <f t="shared" si="124"/>
        <v>Saturday</v>
      </c>
      <c r="C2015" s="88" t="s">
        <v>1381</v>
      </c>
      <c r="D2015" s="88" t="s">
        <v>153</v>
      </c>
      <c r="E2015" s="89">
        <v>25.96</v>
      </c>
      <c r="F2015" s="88" t="s">
        <v>26</v>
      </c>
      <c r="G2015" s="87">
        <f>Table1[[#This Row],[date]]</f>
        <v>45605</v>
      </c>
      <c r="H2015" s="94">
        <f>SUMIF($A$2:A5650,G2015,$E$2:E5650)</f>
        <v>410.9799999999999</v>
      </c>
      <c r="I2015" s="93" t="str">
        <f t="shared" si="125"/>
        <v>Saturday</v>
      </c>
      <c r="J2015" s="93" t="str">
        <f t="shared" si="126"/>
        <v>November</v>
      </c>
      <c r="K2015" s="93" t="str">
        <f t="shared" si="127"/>
        <v>2024</v>
      </c>
      <c r="L2015" s="6"/>
      <c r="M2015" s="6"/>
      <c r="N2015" s="6"/>
    </row>
    <row r="2016" spans="1:14" x14ac:dyDescent="0.3">
      <c r="A2016" s="87">
        <v>45605</v>
      </c>
      <c r="B2016" s="87" t="str">
        <f t="shared" si="124"/>
        <v>Saturday</v>
      </c>
      <c r="C2016" s="88" t="s">
        <v>1381</v>
      </c>
      <c r="D2016" s="88" t="s">
        <v>885</v>
      </c>
      <c r="E2016" s="89">
        <v>35.76</v>
      </c>
      <c r="F2016" s="88" t="s">
        <v>5</v>
      </c>
      <c r="G2016" s="87">
        <f>Table1[[#This Row],[date]]</f>
        <v>45605</v>
      </c>
      <c r="H2016" s="94">
        <f>SUMIF($A$2:A5651,G2016,$E$2:E5651)</f>
        <v>410.9799999999999</v>
      </c>
      <c r="I2016" s="93" t="str">
        <f t="shared" si="125"/>
        <v>Saturday</v>
      </c>
      <c r="J2016" s="93" t="str">
        <f t="shared" si="126"/>
        <v>November</v>
      </c>
      <c r="K2016" s="93" t="str">
        <f t="shared" si="127"/>
        <v>2024</v>
      </c>
      <c r="L2016" s="6"/>
      <c r="M2016" s="6"/>
      <c r="N2016" s="6"/>
    </row>
    <row r="2017" spans="1:14" x14ac:dyDescent="0.3">
      <c r="A2017" s="92">
        <v>45605</v>
      </c>
      <c r="B2017" s="92" t="str">
        <f t="shared" si="124"/>
        <v>Saturday</v>
      </c>
      <c r="C2017" s="93" t="s">
        <v>1381</v>
      </c>
      <c r="D2017" s="93" t="s">
        <v>883</v>
      </c>
      <c r="E2017" s="94">
        <v>35.76</v>
      </c>
      <c r="F2017" s="93" t="s">
        <v>7</v>
      </c>
      <c r="G2017" s="87">
        <f>Table1[[#This Row],[date]]</f>
        <v>45605</v>
      </c>
      <c r="H2017" s="94">
        <f>SUMIF($A$2:A5652,G2017,$E$2:E5652)</f>
        <v>410.9799999999999</v>
      </c>
      <c r="I2017" s="93" t="str">
        <f t="shared" si="125"/>
        <v>Saturday</v>
      </c>
      <c r="J2017" s="93" t="str">
        <f t="shared" si="126"/>
        <v>November</v>
      </c>
      <c r="K2017" s="93" t="str">
        <f t="shared" si="127"/>
        <v>2024</v>
      </c>
      <c r="L2017" s="6"/>
      <c r="M2017" s="6"/>
      <c r="N2017" s="6"/>
    </row>
    <row r="2018" spans="1:14" x14ac:dyDescent="0.3">
      <c r="A2018" s="92">
        <v>45605</v>
      </c>
      <c r="B2018" s="92" t="str">
        <f t="shared" si="124"/>
        <v>Saturday</v>
      </c>
      <c r="C2018" s="93" t="s">
        <v>1381</v>
      </c>
      <c r="D2018" s="93" t="s">
        <v>886</v>
      </c>
      <c r="E2018" s="94">
        <v>35.76</v>
      </c>
      <c r="F2018" s="93" t="s">
        <v>7</v>
      </c>
      <c r="G2018" s="87">
        <f>Table1[[#This Row],[date]]</f>
        <v>45605</v>
      </c>
      <c r="H2018" s="94">
        <f>SUMIF($A$2:A5653,G2018,$E$2:E5653)</f>
        <v>410.9799999999999</v>
      </c>
      <c r="I2018" s="93" t="str">
        <f t="shared" si="125"/>
        <v>Saturday</v>
      </c>
      <c r="J2018" s="93" t="str">
        <f t="shared" si="126"/>
        <v>November</v>
      </c>
      <c r="K2018" s="93" t="str">
        <f t="shared" si="127"/>
        <v>2024</v>
      </c>
      <c r="L2018" s="6"/>
      <c r="M2018" s="6"/>
      <c r="N2018" s="6"/>
    </row>
    <row r="2019" spans="1:14" x14ac:dyDescent="0.3">
      <c r="A2019" s="92">
        <v>45605</v>
      </c>
      <c r="B2019" s="92" t="str">
        <f t="shared" si="124"/>
        <v>Saturday</v>
      </c>
      <c r="C2019" s="93" t="s">
        <v>1381</v>
      </c>
      <c r="D2019" s="93" t="s">
        <v>887</v>
      </c>
      <c r="E2019" s="94">
        <v>25.96</v>
      </c>
      <c r="F2019" s="93" t="s">
        <v>9</v>
      </c>
      <c r="G2019" s="87">
        <f>Table1[[#This Row],[date]]</f>
        <v>45605</v>
      </c>
      <c r="H2019" s="94">
        <f>SUMIF($A$2:A5654,G2019,$E$2:E5654)</f>
        <v>410.9799999999999</v>
      </c>
      <c r="I2019" s="93" t="str">
        <f t="shared" si="125"/>
        <v>Saturday</v>
      </c>
      <c r="J2019" s="93" t="str">
        <f t="shared" si="126"/>
        <v>November</v>
      </c>
      <c r="K2019" s="93" t="str">
        <f t="shared" si="127"/>
        <v>2024</v>
      </c>
      <c r="L2019" s="6"/>
      <c r="M2019" s="6"/>
      <c r="N2019" s="6"/>
    </row>
    <row r="2020" spans="1:14" x14ac:dyDescent="0.3">
      <c r="A2020" s="92">
        <v>45605</v>
      </c>
      <c r="B2020" s="92" t="str">
        <f t="shared" si="124"/>
        <v>Saturday</v>
      </c>
      <c r="C2020" s="93" t="s">
        <v>1381</v>
      </c>
      <c r="D2020" s="93" t="s">
        <v>582</v>
      </c>
      <c r="E2020" s="94">
        <v>35.76</v>
      </c>
      <c r="F2020" s="93" t="s">
        <v>5</v>
      </c>
      <c r="G2020" s="87">
        <f>Table1[[#This Row],[date]]</f>
        <v>45605</v>
      </c>
      <c r="H2020" s="94">
        <f>SUMIF($A$2:A5655,G2020,$E$2:E5655)</f>
        <v>410.9799999999999</v>
      </c>
      <c r="I2020" s="93" t="str">
        <f t="shared" si="125"/>
        <v>Saturday</v>
      </c>
      <c r="J2020" s="93" t="str">
        <f t="shared" si="126"/>
        <v>November</v>
      </c>
      <c r="K2020" s="93" t="str">
        <f t="shared" si="127"/>
        <v>2024</v>
      </c>
      <c r="L2020" s="6"/>
      <c r="M2020" s="6"/>
      <c r="N2020" s="6"/>
    </row>
    <row r="2021" spans="1:14" x14ac:dyDescent="0.3">
      <c r="A2021" s="87">
        <v>45605</v>
      </c>
      <c r="B2021" s="87" t="str">
        <f t="shared" si="124"/>
        <v>Saturday</v>
      </c>
      <c r="C2021" s="88" t="s">
        <v>1381</v>
      </c>
      <c r="D2021" s="88" t="s">
        <v>582</v>
      </c>
      <c r="E2021" s="89">
        <v>35.76</v>
      </c>
      <c r="F2021" s="88" t="s">
        <v>16</v>
      </c>
      <c r="G2021" s="87">
        <f>Table1[[#This Row],[date]]</f>
        <v>45605</v>
      </c>
      <c r="H2021" s="94">
        <f>SUMIF($A$2:A5656,G2021,$E$2:E5656)</f>
        <v>410.9799999999999</v>
      </c>
      <c r="I2021" s="93" t="str">
        <f t="shared" si="125"/>
        <v>Saturday</v>
      </c>
      <c r="J2021" s="93" t="str">
        <f t="shared" si="126"/>
        <v>November</v>
      </c>
      <c r="K2021" s="93" t="str">
        <f t="shared" si="127"/>
        <v>2024</v>
      </c>
      <c r="L2021" s="6"/>
      <c r="M2021" s="6"/>
      <c r="N2021" s="6"/>
    </row>
    <row r="2022" spans="1:14" x14ac:dyDescent="0.3">
      <c r="A2022" s="92">
        <v>45605</v>
      </c>
      <c r="B2022" s="92" t="str">
        <f t="shared" si="124"/>
        <v>Saturday</v>
      </c>
      <c r="C2022" s="93" t="s">
        <v>1381</v>
      </c>
      <c r="D2022" s="93" t="s">
        <v>888</v>
      </c>
      <c r="E2022" s="94">
        <v>25.96</v>
      </c>
      <c r="F2022" s="93" t="s">
        <v>9</v>
      </c>
      <c r="G2022" s="87">
        <f>Table1[[#This Row],[date]]</f>
        <v>45605</v>
      </c>
      <c r="H2022" s="94">
        <f>SUMIF($A$2:A5657,G2022,$E$2:E5657)</f>
        <v>410.9799999999999</v>
      </c>
      <c r="I2022" s="93" t="str">
        <f t="shared" si="125"/>
        <v>Saturday</v>
      </c>
      <c r="J2022" s="93" t="str">
        <f t="shared" si="126"/>
        <v>November</v>
      </c>
      <c r="K2022" s="93" t="str">
        <f t="shared" si="127"/>
        <v>2024</v>
      </c>
      <c r="L2022" s="6"/>
      <c r="M2022" s="6"/>
      <c r="N2022" s="6"/>
    </row>
    <row r="2023" spans="1:14" x14ac:dyDescent="0.3">
      <c r="A2023" s="87">
        <v>45605</v>
      </c>
      <c r="B2023" s="87" t="str">
        <f t="shared" si="124"/>
        <v>Saturday</v>
      </c>
      <c r="C2023" s="88" t="s">
        <v>1381</v>
      </c>
      <c r="D2023" s="88" t="s">
        <v>888</v>
      </c>
      <c r="E2023" s="89">
        <v>35.76</v>
      </c>
      <c r="F2023" s="88" t="s">
        <v>5</v>
      </c>
      <c r="G2023" s="87">
        <f>Table1[[#This Row],[date]]</f>
        <v>45605</v>
      </c>
      <c r="H2023" s="94">
        <f>SUMIF($A$2:A5658,G2023,$E$2:E5658)</f>
        <v>410.9799999999999</v>
      </c>
      <c r="I2023" s="93" t="str">
        <f t="shared" si="125"/>
        <v>Saturday</v>
      </c>
      <c r="J2023" s="93" t="str">
        <f t="shared" si="126"/>
        <v>November</v>
      </c>
      <c r="K2023" s="93" t="str">
        <f t="shared" si="127"/>
        <v>2024</v>
      </c>
      <c r="L2023" s="6"/>
      <c r="M2023" s="6"/>
      <c r="N2023" s="6"/>
    </row>
    <row r="2024" spans="1:14" x14ac:dyDescent="0.3">
      <c r="A2024" s="92">
        <v>45605</v>
      </c>
      <c r="B2024" s="92" t="str">
        <f t="shared" si="124"/>
        <v>Saturday</v>
      </c>
      <c r="C2024" s="93" t="s">
        <v>1381</v>
      </c>
      <c r="D2024" s="93" t="s">
        <v>889</v>
      </c>
      <c r="E2024" s="94">
        <v>35.76</v>
      </c>
      <c r="F2024" s="93" t="s">
        <v>16</v>
      </c>
      <c r="G2024" s="87">
        <f>Table1[[#This Row],[date]]</f>
        <v>45605</v>
      </c>
      <c r="H2024" s="94">
        <f>SUMIF($A$2:A5659,G2024,$E$2:E5659)</f>
        <v>410.9799999999999</v>
      </c>
      <c r="I2024" s="93" t="str">
        <f t="shared" si="125"/>
        <v>Saturday</v>
      </c>
      <c r="J2024" s="93" t="str">
        <f t="shared" si="126"/>
        <v>November</v>
      </c>
      <c r="K2024" s="93" t="str">
        <f t="shared" si="127"/>
        <v>2024</v>
      </c>
      <c r="L2024" s="6"/>
      <c r="M2024" s="6"/>
      <c r="N2024" s="6"/>
    </row>
    <row r="2025" spans="1:14" x14ac:dyDescent="0.3">
      <c r="A2025" s="87">
        <v>45605</v>
      </c>
      <c r="B2025" s="87" t="str">
        <f t="shared" si="124"/>
        <v>Saturday</v>
      </c>
      <c r="C2025" s="88" t="s">
        <v>1381</v>
      </c>
      <c r="D2025" s="88" t="s">
        <v>890</v>
      </c>
      <c r="E2025" s="89">
        <v>25.96</v>
      </c>
      <c r="F2025" s="88" t="s">
        <v>9</v>
      </c>
      <c r="G2025" s="87">
        <f>Table1[[#This Row],[date]]</f>
        <v>45605</v>
      </c>
      <c r="H2025" s="94">
        <f>SUMIF($A$2:A5660,G2025,$E$2:E5660)</f>
        <v>410.9799999999999</v>
      </c>
      <c r="I2025" s="93" t="str">
        <f t="shared" si="125"/>
        <v>Saturday</v>
      </c>
      <c r="J2025" s="93" t="str">
        <f t="shared" si="126"/>
        <v>November</v>
      </c>
      <c r="K2025" s="93" t="str">
        <f t="shared" si="127"/>
        <v>2024</v>
      </c>
      <c r="L2025" s="6"/>
      <c r="M2025" s="6"/>
      <c r="N2025" s="6"/>
    </row>
    <row r="2026" spans="1:14" x14ac:dyDescent="0.3">
      <c r="A2026" s="92">
        <v>45605</v>
      </c>
      <c r="B2026" s="92" t="str">
        <f t="shared" si="124"/>
        <v>Saturday</v>
      </c>
      <c r="C2026" s="93" t="s">
        <v>1381</v>
      </c>
      <c r="D2026" s="93" t="s">
        <v>891</v>
      </c>
      <c r="E2026" s="94">
        <v>25.96</v>
      </c>
      <c r="F2026" s="93" t="s">
        <v>9</v>
      </c>
      <c r="G2026" s="87">
        <f>Table1[[#This Row],[date]]</f>
        <v>45605</v>
      </c>
      <c r="H2026" s="94">
        <f>SUMIF($A$2:A5661,G2026,$E$2:E5661)</f>
        <v>410.9799999999999</v>
      </c>
      <c r="I2026" s="93" t="str">
        <f t="shared" si="125"/>
        <v>Saturday</v>
      </c>
      <c r="J2026" s="93" t="str">
        <f t="shared" si="126"/>
        <v>November</v>
      </c>
      <c r="K2026" s="93" t="str">
        <f t="shared" si="127"/>
        <v>2024</v>
      </c>
      <c r="L2026" s="6"/>
      <c r="M2026" s="6"/>
      <c r="N2026" s="6"/>
    </row>
    <row r="2027" spans="1:14" x14ac:dyDescent="0.3">
      <c r="A2027" s="87">
        <v>45606</v>
      </c>
      <c r="B2027" s="87" t="str">
        <f t="shared" si="124"/>
        <v>Sunday</v>
      </c>
      <c r="C2027" s="88" t="s">
        <v>1381</v>
      </c>
      <c r="D2027" s="88" t="s">
        <v>892</v>
      </c>
      <c r="E2027" s="89">
        <v>25.96</v>
      </c>
      <c r="F2027" s="88" t="s">
        <v>9</v>
      </c>
      <c r="G2027" s="87">
        <f>Table1[[#This Row],[date]]</f>
        <v>45606</v>
      </c>
      <c r="H2027" s="94">
        <f>SUMIF($A$2:A5662,G2027,$E$2:E5662)</f>
        <v>168.99999999999997</v>
      </c>
      <c r="I2027" s="93" t="str">
        <f t="shared" si="125"/>
        <v>Sunday</v>
      </c>
      <c r="J2027" s="93" t="str">
        <f t="shared" si="126"/>
        <v>November</v>
      </c>
      <c r="K2027" s="93" t="str">
        <f t="shared" si="127"/>
        <v>2024</v>
      </c>
      <c r="L2027" s="6"/>
      <c r="M2027" s="6"/>
      <c r="N2027" s="6"/>
    </row>
    <row r="2028" spans="1:14" x14ac:dyDescent="0.3">
      <c r="A2028" s="92">
        <v>45606</v>
      </c>
      <c r="B2028" s="92" t="str">
        <f t="shared" si="124"/>
        <v>Sunday</v>
      </c>
      <c r="C2028" s="93" t="s">
        <v>1381</v>
      </c>
      <c r="D2028" s="93" t="s">
        <v>893</v>
      </c>
      <c r="E2028" s="94">
        <v>35.76</v>
      </c>
      <c r="F2028" s="93" t="s">
        <v>16</v>
      </c>
      <c r="G2028" s="87">
        <f>Table1[[#This Row],[date]]</f>
        <v>45606</v>
      </c>
      <c r="H2028" s="94">
        <f>SUMIF($A$2:A5663,G2028,$E$2:E5663)</f>
        <v>168.99999999999997</v>
      </c>
      <c r="I2028" s="93" t="str">
        <f t="shared" si="125"/>
        <v>Sunday</v>
      </c>
      <c r="J2028" s="93" t="str">
        <f t="shared" si="126"/>
        <v>November</v>
      </c>
      <c r="K2028" s="93" t="str">
        <f t="shared" si="127"/>
        <v>2024</v>
      </c>
      <c r="L2028" s="6"/>
      <c r="M2028" s="6"/>
      <c r="N2028" s="6"/>
    </row>
    <row r="2029" spans="1:14" x14ac:dyDescent="0.3">
      <c r="A2029" s="87">
        <v>45606</v>
      </c>
      <c r="B2029" s="87" t="str">
        <f t="shared" si="124"/>
        <v>Sunday</v>
      </c>
      <c r="C2029" s="88" t="s">
        <v>1381</v>
      </c>
      <c r="D2029" s="88" t="s">
        <v>894</v>
      </c>
      <c r="E2029" s="89">
        <v>35.76</v>
      </c>
      <c r="F2029" s="88" t="s">
        <v>7</v>
      </c>
      <c r="G2029" s="87">
        <f>Table1[[#This Row],[date]]</f>
        <v>45606</v>
      </c>
      <c r="H2029" s="94">
        <f>SUMIF($A$2:A5664,G2029,$E$2:E5664)</f>
        <v>168.99999999999997</v>
      </c>
      <c r="I2029" s="93" t="str">
        <f t="shared" si="125"/>
        <v>Sunday</v>
      </c>
      <c r="J2029" s="93" t="str">
        <f t="shared" si="126"/>
        <v>November</v>
      </c>
      <c r="K2029" s="93" t="str">
        <f t="shared" si="127"/>
        <v>2024</v>
      </c>
      <c r="L2029" s="6"/>
      <c r="M2029" s="6"/>
      <c r="N2029" s="6"/>
    </row>
    <row r="2030" spans="1:14" x14ac:dyDescent="0.3">
      <c r="A2030" s="92">
        <v>45606</v>
      </c>
      <c r="B2030" s="92" t="str">
        <f t="shared" si="124"/>
        <v>Sunday</v>
      </c>
      <c r="C2030" s="93" t="s">
        <v>1381</v>
      </c>
      <c r="D2030" s="93" t="s">
        <v>895</v>
      </c>
      <c r="E2030" s="94">
        <v>35.76</v>
      </c>
      <c r="F2030" s="93" t="s">
        <v>7</v>
      </c>
      <c r="G2030" s="87">
        <f>Table1[[#This Row],[date]]</f>
        <v>45606</v>
      </c>
      <c r="H2030" s="94">
        <f>SUMIF($A$2:A5665,G2030,$E$2:E5665)</f>
        <v>168.99999999999997</v>
      </c>
      <c r="I2030" s="93" t="str">
        <f t="shared" si="125"/>
        <v>Sunday</v>
      </c>
      <c r="J2030" s="93" t="str">
        <f t="shared" si="126"/>
        <v>November</v>
      </c>
      <c r="K2030" s="93" t="str">
        <f t="shared" si="127"/>
        <v>2024</v>
      </c>
      <c r="L2030" s="6"/>
      <c r="M2030" s="6"/>
      <c r="N2030" s="6"/>
    </row>
    <row r="2031" spans="1:14" x14ac:dyDescent="0.3">
      <c r="A2031" s="87">
        <v>45606</v>
      </c>
      <c r="B2031" s="87" t="str">
        <f t="shared" si="124"/>
        <v>Sunday</v>
      </c>
      <c r="C2031" s="88" t="s">
        <v>1381</v>
      </c>
      <c r="D2031" s="88" t="s">
        <v>896</v>
      </c>
      <c r="E2031" s="89">
        <v>35.76</v>
      </c>
      <c r="F2031" s="88" t="s">
        <v>41</v>
      </c>
      <c r="G2031" s="87">
        <f>Table1[[#This Row],[date]]</f>
        <v>45606</v>
      </c>
      <c r="H2031" s="94">
        <f>SUMIF($A$2:A5666,G2031,$E$2:E5666)</f>
        <v>168.99999999999997</v>
      </c>
      <c r="I2031" s="93" t="str">
        <f t="shared" si="125"/>
        <v>Sunday</v>
      </c>
      <c r="J2031" s="93" t="str">
        <f t="shared" si="126"/>
        <v>November</v>
      </c>
      <c r="K2031" s="93" t="str">
        <f t="shared" si="127"/>
        <v>2024</v>
      </c>
      <c r="L2031" s="6"/>
      <c r="M2031" s="6"/>
      <c r="N2031" s="6"/>
    </row>
    <row r="2032" spans="1:14" x14ac:dyDescent="0.3">
      <c r="A2032" s="87">
        <v>45607</v>
      </c>
      <c r="B2032" s="87" t="str">
        <f t="shared" si="124"/>
        <v>Monday</v>
      </c>
      <c r="C2032" s="88" t="s">
        <v>1381</v>
      </c>
      <c r="D2032" s="88" t="s">
        <v>708</v>
      </c>
      <c r="E2032" s="89">
        <v>35.76</v>
      </c>
      <c r="F2032" s="88" t="s">
        <v>41</v>
      </c>
      <c r="G2032" s="87">
        <f>Table1[[#This Row],[date]]</f>
        <v>45607</v>
      </c>
      <c r="H2032" s="94">
        <f>SUMIF($A$2:A5667,G2032,$E$2:E5667)</f>
        <v>307.14</v>
      </c>
      <c r="I2032" s="93" t="str">
        <f t="shared" si="125"/>
        <v>Monday</v>
      </c>
      <c r="J2032" s="93" t="str">
        <f t="shared" si="126"/>
        <v>November</v>
      </c>
      <c r="K2032" s="93" t="str">
        <f t="shared" si="127"/>
        <v>2024</v>
      </c>
      <c r="L2032" s="6"/>
      <c r="M2032" s="6"/>
      <c r="N2032" s="6"/>
    </row>
    <row r="2033" spans="1:14" x14ac:dyDescent="0.3">
      <c r="A2033" s="92">
        <v>45607</v>
      </c>
      <c r="B2033" s="92" t="str">
        <f t="shared" si="124"/>
        <v>Monday</v>
      </c>
      <c r="C2033" s="93" t="s">
        <v>1381</v>
      </c>
      <c r="D2033" s="93" t="s">
        <v>288</v>
      </c>
      <c r="E2033" s="94">
        <v>30.86</v>
      </c>
      <c r="F2033" s="93" t="s">
        <v>12</v>
      </c>
      <c r="G2033" s="87">
        <f>Table1[[#This Row],[date]]</f>
        <v>45607</v>
      </c>
      <c r="H2033" s="94">
        <f>SUMIF($A$2:A5668,G2033,$E$2:E5668)</f>
        <v>307.14</v>
      </c>
      <c r="I2033" s="93" t="str">
        <f t="shared" si="125"/>
        <v>Monday</v>
      </c>
      <c r="J2033" s="93" t="str">
        <f t="shared" si="126"/>
        <v>November</v>
      </c>
      <c r="K2033" s="93" t="str">
        <f t="shared" si="127"/>
        <v>2024</v>
      </c>
      <c r="L2033" s="6"/>
      <c r="M2033" s="6"/>
      <c r="N2033" s="6"/>
    </row>
    <row r="2034" spans="1:14" x14ac:dyDescent="0.3">
      <c r="A2034" s="87">
        <v>45607</v>
      </c>
      <c r="B2034" s="87" t="str">
        <f t="shared" si="124"/>
        <v>Monday</v>
      </c>
      <c r="C2034" s="88" t="s">
        <v>1381</v>
      </c>
      <c r="D2034" s="88" t="s">
        <v>153</v>
      </c>
      <c r="E2034" s="89">
        <v>25.96</v>
      </c>
      <c r="F2034" s="88" t="s">
        <v>26</v>
      </c>
      <c r="G2034" s="87">
        <f>Table1[[#This Row],[date]]</f>
        <v>45607</v>
      </c>
      <c r="H2034" s="94">
        <f>SUMIF($A$2:A5669,G2034,$E$2:E5669)</f>
        <v>307.14</v>
      </c>
      <c r="I2034" s="93" t="str">
        <f t="shared" si="125"/>
        <v>Monday</v>
      </c>
      <c r="J2034" s="93" t="str">
        <f t="shared" si="126"/>
        <v>November</v>
      </c>
      <c r="K2034" s="93" t="str">
        <f t="shared" si="127"/>
        <v>2024</v>
      </c>
      <c r="L2034" s="6"/>
      <c r="M2034" s="6"/>
      <c r="N2034" s="6"/>
    </row>
    <row r="2035" spans="1:14" x14ac:dyDescent="0.3">
      <c r="A2035" s="92">
        <v>45607</v>
      </c>
      <c r="B2035" s="92" t="str">
        <f t="shared" si="124"/>
        <v>Monday</v>
      </c>
      <c r="C2035" s="93" t="s">
        <v>1381</v>
      </c>
      <c r="D2035" s="93" t="s">
        <v>218</v>
      </c>
      <c r="E2035" s="94">
        <v>35.76</v>
      </c>
      <c r="F2035" s="93" t="s">
        <v>41</v>
      </c>
      <c r="G2035" s="87">
        <f>Table1[[#This Row],[date]]</f>
        <v>45607</v>
      </c>
      <c r="H2035" s="94">
        <f>SUMIF($A$2:A5670,G2035,$E$2:E5670)</f>
        <v>307.14</v>
      </c>
      <c r="I2035" s="93" t="str">
        <f t="shared" si="125"/>
        <v>Monday</v>
      </c>
      <c r="J2035" s="93" t="str">
        <f t="shared" si="126"/>
        <v>November</v>
      </c>
      <c r="K2035" s="93" t="str">
        <f t="shared" si="127"/>
        <v>2024</v>
      </c>
      <c r="L2035" s="6"/>
      <c r="M2035" s="6"/>
      <c r="N2035" s="6"/>
    </row>
    <row r="2036" spans="1:14" x14ac:dyDescent="0.3">
      <c r="A2036" s="87">
        <v>45607</v>
      </c>
      <c r="B2036" s="87" t="str">
        <f t="shared" si="124"/>
        <v>Monday</v>
      </c>
      <c r="C2036" s="88" t="s">
        <v>1381</v>
      </c>
      <c r="D2036" s="88" t="s">
        <v>218</v>
      </c>
      <c r="E2036" s="89">
        <v>35.76</v>
      </c>
      <c r="F2036" s="88" t="s">
        <v>7</v>
      </c>
      <c r="G2036" s="87">
        <f>Table1[[#This Row],[date]]</f>
        <v>45607</v>
      </c>
      <c r="H2036" s="94">
        <f>SUMIF($A$2:A5671,G2036,$E$2:E5671)</f>
        <v>307.14</v>
      </c>
      <c r="I2036" s="93" t="str">
        <f t="shared" si="125"/>
        <v>Monday</v>
      </c>
      <c r="J2036" s="93" t="str">
        <f t="shared" si="126"/>
        <v>November</v>
      </c>
      <c r="K2036" s="93" t="str">
        <f t="shared" si="127"/>
        <v>2024</v>
      </c>
      <c r="L2036" s="6"/>
      <c r="M2036" s="6"/>
      <c r="N2036" s="6"/>
    </row>
    <row r="2037" spans="1:14" x14ac:dyDescent="0.3">
      <c r="A2037" s="92">
        <v>45607</v>
      </c>
      <c r="B2037" s="92" t="str">
        <f t="shared" si="124"/>
        <v>Monday</v>
      </c>
      <c r="C2037" s="93" t="s">
        <v>1381</v>
      </c>
      <c r="D2037" s="93" t="s">
        <v>897</v>
      </c>
      <c r="E2037" s="94">
        <v>35.76</v>
      </c>
      <c r="F2037" s="93" t="s">
        <v>41</v>
      </c>
      <c r="G2037" s="87">
        <f>Table1[[#This Row],[date]]</f>
        <v>45607</v>
      </c>
      <c r="H2037" s="94">
        <f>SUMIF($A$2:A5672,G2037,$E$2:E5672)</f>
        <v>307.14</v>
      </c>
      <c r="I2037" s="93" t="str">
        <f t="shared" si="125"/>
        <v>Monday</v>
      </c>
      <c r="J2037" s="93" t="str">
        <f t="shared" si="126"/>
        <v>November</v>
      </c>
      <c r="K2037" s="93" t="str">
        <f t="shared" si="127"/>
        <v>2024</v>
      </c>
      <c r="L2037" s="6"/>
      <c r="M2037" s="6"/>
      <c r="N2037" s="6"/>
    </row>
    <row r="2038" spans="1:14" x14ac:dyDescent="0.3">
      <c r="A2038" s="87">
        <v>45607</v>
      </c>
      <c r="B2038" s="87" t="str">
        <f t="shared" si="124"/>
        <v>Monday</v>
      </c>
      <c r="C2038" s="88" t="s">
        <v>1381</v>
      </c>
      <c r="D2038" s="88" t="s">
        <v>898</v>
      </c>
      <c r="E2038" s="89">
        <v>35.76</v>
      </c>
      <c r="F2038" s="88" t="s">
        <v>5</v>
      </c>
      <c r="G2038" s="87">
        <f>Table1[[#This Row],[date]]</f>
        <v>45607</v>
      </c>
      <c r="H2038" s="94">
        <f>SUMIF($A$2:A5673,G2038,$E$2:E5673)</f>
        <v>307.14</v>
      </c>
      <c r="I2038" s="93" t="str">
        <f t="shared" si="125"/>
        <v>Monday</v>
      </c>
      <c r="J2038" s="93" t="str">
        <f t="shared" si="126"/>
        <v>November</v>
      </c>
      <c r="K2038" s="93" t="str">
        <f t="shared" si="127"/>
        <v>2024</v>
      </c>
      <c r="L2038" s="6"/>
      <c r="M2038" s="6"/>
      <c r="N2038" s="6"/>
    </row>
    <row r="2039" spans="1:14" x14ac:dyDescent="0.3">
      <c r="A2039" s="92">
        <v>45607</v>
      </c>
      <c r="B2039" s="92" t="str">
        <f t="shared" si="124"/>
        <v>Monday</v>
      </c>
      <c r="C2039" s="93" t="s">
        <v>1381</v>
      </c>
      <c r="D2039" s="93" t="s">
        <v>899</v>
      </c>
      <c r="E2039" s="94">
        <v>35.76</v>
      </c>
      <c r="F2039" s="93" t="s">
        <v>7</v>
      </c>
      <c r="G2039" s="87">
        <f>Table1[[#This Row],[date]]</f>
        <v>45607</v>
      </c>
      <c r="H2039" s="94">
        <f>SUMIF($A$2:A5674,G2039,$E$2:E5674)</f>
        <v>307.14</v>
      </c>
      <c r="I2039" s="93" t="str">
        <f t="shared" si="125"/>
        <v>Monday</v>
      </c>
      <c r="J2039" s="93" t="str">
        <f t="shared" si="126"/>
        <v>November</v>
      </c>
      <c r="K2039" s="93" t="str">
        <f t="shared" si="127"/>
        <v>2024</v>
      </c>
      <c r="L2039" s="6"/>
      <c r="M2039" s="6"/>
      <c r="N2039" s="6"/>
    </row>
    <row r="2040" spans="1:14" x14ac:dyDescent="0.3">
      <c r="A2040" s="87">
        <v>45607</v>
      </c>
      <c r="B2040" s="87" t="str">
        <f t="shared" si="124"/>
        <v>Monday</v>
      </c>
      <c r="C2040" s="88" t="s">
        <v>1381</v>
      </c>
      <c r="D2040" s="88" t="s">
        <v>900</v>
      </c>
      <c r="E2040" s="89">
        <v>35.76</v>
      </c>
      <c r="F2040" s="88" t="s">
        <v>5</v>
      </c>
      <c r="G2040" s="87">
        <f>Table1[[#This Row],[date]]</f>
        <v>45607</v>
      </c>
      <c r="H2040" s="94">
        <f>SUMIF($A$2:A5675,G2040,$E$2:E5675)</f>
        <v>307.14</v>
      </c>
      <c r="I2040" s="93" t="str">
        <f t="shared" si="125"/>
        <v>Monday</v>
      </c>
      <c r="J2040" s="93" t="str">
        <f t="shared" si="126"/>
        <v>November</v>
      </c>
      <c r="K2040" s="93" t="str">
        <f t="shared" si="127"/>
        <v>2024</v>
      </c>
      <c r="L2040" s="6"/>
      <c r="M2040" s="6"/>
      <c r="N2040" s="6"/>
    </row>
    <row r="2041" spans="1:14" x14ac:dyDescent="0.3">
      <c r="A2041" s="87">
        <v>45608</v>
      </c>
      <c r="B2041" s="87" t="str">
        <f t="shared" si="124"/>
        <v>Tuesday</v>
      </c>
      <c r="C2041" s="88" t="s">
        <v>1381</v>
      </c>
      <c r="D2041" s="88" t="s">
        <v>901</v>
      </c>
      <c r="E2041" s="89">
        <v>35.76</v>
      </c>
      <c r="F2041" s="88" t="s">
        <v>5</v>
      </c>
      <c r="G2041" s="87">
        <f>Table1[[#This Row],[date]]</f>
        <v>45608</v>
      </c>
      <c r="H2041" s="94">
        <f>SUMIF($A$2:A5676,G2041,$E$2:E5676)</f>
        <v>286.08</v>
      </c>
      <c r="I2041" s="93" t="str">
        <f t="shared" si="125"/>
        <v>Tuesday</v>
      </c>
      <c r="J2041" s="93" t="str">
        <f t="shared" si="126"/>
        <v>November</v>
      </c>
      <c r="K2041" s="93" t="str">
        <f t="shared" si="127"/>
        <v>2024</v>
      </c>
      <c r="L2041" s="6"/>
      <c r="M2041" s="6"/>
      <c r="N2041" s="6"/>
    </row>
    <row r="2042" spans="1:14" x14ac:dyDescent="0.3">
      <c r="A2042" s="92">
        <v>45608</v>
      </c>
      <c r="B2042" s="92" t="str">
        <f t="shared" si="124"/>
        <v>Tuesday</v>
      </c>
      <c r="C2042" s="93" t="s">
        <v>1381</v>
      </c>
      <c r="D2042" s="93" t="s">
        <v>902</v>
      </c>
      <c r="E2042" s="94">
        <v>35.76</v>
      </c>
      <c r="F2042" s="93" t="s">
        <v>5</v>
      </c>
      <c r="G2042" s="87">
        <f>Table1[[#This Row],[date]]</f>
        <v>45608</v>
      </c>
      <c r="H2042" s="94">
        <f>SUMIF($A$2:A5677,G2042,$E$2:E5677)</f>
        <v>286.08</v>
      </c>
      <c r="I2042" s="93" t="str">
        <f t="shared" si="125"/>
        <v>Tuesday</v>
      </c>
      <c r="J2042" s="93" t="str">
        <f t="shared" si="126"/>
        <v>November</v>
      </c>
      <c r="K2042" s="93" t="str">
        <f t="shared" si="127"/>
        <v>2024</v>
      </c>
      <c r="L2042" s="6"/>
      <c r="M2042" s="6"/>
      <c r="N2042" s="6"/>
    </row>
    <row r="2043" spans="1:14" x14ac:dyDescent="0.3">
      <c r="A2043" s="87">
        <v>45608</v>
      </c>
      <c r="B2043" s="87" t="str">
        <f t="shared" si="124"/>
        <v>Tuesday</v>
      </c>
      <c r="C2043" s="88" t="s">
        <v>1381</v>
      </c>
      <c r="D2043" s="88" t="s">
        <v>703</v>
      </c>
      <c r="E2043" s="89">
        <v>35.76</v>
      </c>
      <c r="F2043" s="88" t="s">
        <v>5</v>
      </c>
      <c r="G2043" s="87">
        <f>Table1[[#This Row],[date]]</f>
        <v>45608</v>
      </c>
      <c r="H2043" s="94">
        <f>SUMIF($A$2:A5678,G2043,$E$2:E5678)</f>
        <v>286.08</v>
      </c>
      <c r="I2043" s="93" t="str">
        <f t="shared" si="125"/>
        <v>Tuesday</v>
      </c>
      <c r="J2043" s="93" t="str">
        <f t="shared" si="126"/>
        <v>November</v>
      </c>
      <c r="K2043" s="93" t="str">
        <f t="shared" si="127"/>
        <v>2024</v>
      </c>
      <c r="L2043" s="6"/>
      <c r="M2043" s="6"/>
      <c r="N2043" s="6"/>
    </row>
    <row r="2044" spans="1:14" x14ac:dyDescent="0.3">
      <c r="A2044" s="92">
        <v>45608</v>
      </c>
      <c r="B2044" s="92" t="str">
        <f t="shared" si="124"/>
        <v>Tuesday</v>
      </c>
      <c r="C2044" s="93" t="s">
        <v>1381</v>
      </c>
      <c r="D2044" s="93" t="s">
        <v>903</v>
      </c>
      <c r="E2044" s="94">
        <v>35.76</v>
      </c>
      <c r="F2044" s="93" t="s">
        <v>7</v>
      </c>
      <c r="G2044" s="87">
        <f>Table1[[#This Row],[date]]</f>
        <v>45608</v>
      </c>
      <c r="H2044" s="94">
        <f>SUMIF($A$2:A5679,G2044,$E$2:E5679)</f>
        <v>286.08</v>
      </c>
      <c r="I2044" s="93" t="str">
        <f t="shared" si="125"/>
        <v>Tuesday</v>
      </c>
      <c r="J2044" s="93" t="str">
        <f t="shared" si="126"/>
        <v>November</v>
      </c>
      <c r="K2044" s="93" t="str">
        <f t="shared" si="127"/>
        <v>2024</v>
      </c>
      <c r="L2044" s="6"/>
      <c r="M2044" s="6"/>
      <c r="N2044" s="6"/>
    </row>
    <row r="2045" spans="1:14" x14ac:dyDescent="0.3">
      <c r="A2045" s="92">
        <v>45608</v>
      </c>
      <c r="B2045" s="92" t="str">
        <f t="shared" si="124"/>
        <v>Tuesday</v>
      </c>
      <c r="C2045" s="93" t="s">
        <v>1381</v>
      </c>
      <c r="D2045" s="93" t="s">
        <v>903</v>
      </c>
      <c r="E2045" s="94">
        <v>35.76</v>
      </c>
      <c r="F2045" s="93" t="s">
        <v>16</v>
      </c>
      <c r="G2045" s="87">
        <f>Table1[[#This Row],[date]]</f>
        <v>45608</v>
      </c>
      <c r="H2045" s="94">
        <f>SUMIF($A$2:A5680,G2045,$E$2:E5680)</f>
        <v>286.08</v>
      </c>
      <c r="I2045" s="93" t="str">
        <f t="shared" si="125"/>
        <v>Tuesday</v>
      </c>
      <c r="J2045" s="93" t="str">
        <f t="shared" si="126"/>
        <v>November</v>
      </c>
      <c r="K2045" s="93" t="str">
        <f t="shared" si="127"/>
        <v>2024</v>
      </c>
      <c r="L2045" s="6"/>
      <c r="M2045" s="6"/>
      <c r="N2045" s="6"/>
    </row>
    <row r="2046" spans="1:14" x14ac:dyDescent="0.3">
      <c r="A2046" s="87">
        <v>45608</v>
      </c>
      <c r="B2046" s="87" t="str">
        <f t="shared" si="124"/>
        <v>Tuesday</v>
      </c>
      <c r="C2046" s="88" t="s">
        <v>1381</v>
      </c>
      <c r="D2046" s="88" t="s">
        <v>708</v>
      </c>
      <c r="E2046" s="89">
        <v>35.76</v>
      </c>
      <c r="F2046" s="88" t="s">
        <v>41</v>
      </c>
      <c r="G2046" s="87">
        <f>Table1[[#This Row],[date]]</f>
        <v>45608</v>
      </c>
      <c r="H2046" s="94">
        <f>SUMIF($A$2:A5681,G2046,$E$2:E5681)</f>
        <v>286.08</v>
      </c>
      <c r="I2046" s="93" t="str">
        <f t="shared" si="125"/>
        <v>Tuesday</v>
      </c>
      <c r="J2046" s="93" t="str">
        <f t="shared" si="126"/>
        <v>November</v>
      </c>
      <c r="K2046" s="93" t="str">
        <f t="shared" si="127"/>
        <v>2024</v>
      </c>
      <c r="L2046" s="6"/>
      <c r="M2046" s="6"/>
      <c r="N2046" s="6"/>
    </row>
    <row r="2047" spans="1:14" x14ac:dyDescent="0.3">
      <c r="A2047" s="92">
        <v>45608</v>
      </c>
      <c r="B2047" s="92" t="str">
        <f t="shared" si="124"/>
        <v>Tuesday</v>
      </c>
      <c r="C2047" s="93" t="s">
        <v>1381</v>
      </c>
      <c r="D2047" s="93" t="s">
        <v>904</v>
      </c>
      <c r="E2047" s="94">
        <v>35.76</v>
      </c>
      <c r="F2047" s="93" t="s">
        <v>5</v>
      </c>
      <c r="G2047" s="87">
        <f>Table1[[#This Row],[date]]</f>
        <v>45608</v>
      </c>
      <c r="H2047" s="94">
        <f>SUMIF($A$2:A5682,G2047,$E$2:E5682)</f>
        <v>286.08</v>
      </c>
      <c r="I2047" s="93" t="str">
        <f t="shared" si="125"/>
        <v>Tuesday</v>
      </c>
      <c r="J2047" s="93" t="str">
        <f t="shared" si="126"/>
        <v>November</v>
      </c>
      <c r="K2047" s="93" t="str">
        <f t="shared" si="127"/>
        <v>2024</v>
      </c>
      <c r="L2047" s="6"/>
      <c r="M2047" s="6"/>
      <c r="N2047" s="6"/>
    </row>
    <row r="2048" spans="1:14" x14ac:dyDescent="0.3">
      <c r="A2048" s="87">
        <v>45608</v>
      </c>
      <c r="B2048" s="87" t="str">
        <f t="shared" si="124"/>
        <v>Tuesday</v>
      </c>
      <c r="C2048" s="88" t="s">
        <v>1381</v>
      </c>
      <c r="D2048" s="88" t="s">
        <v>905</v>
      </c>
      <c r="E2048" s="89">
        <v>35.76</v>
      </c>
      <c r="F2048" s="88" t="s">
        <v>16</v>
      </c>
      <c r="G2048" s="87">
        <f>Table1[[#This Row],[date]]</f>
        <v>45608</v>
      </c>
      <c r="H2048" s="94">
        <f>SUMIF($A$2:A5683,G2048,$E$2:E5683)</f>
        <v>286.08</v>
      </c>
      <c r="I2048" s="93" t="str">
        <f t="shared" si="125"/>
        <v>Tuesday</v>
      </c>
      <c r="J2048" s="93" t="str">
        <f t="shared" si="126"/>
        <v>November</v>
      </c>
      <c r="K2048" s="93" t="str">
        <f t="shared" si="127"/>
        <v>2024</v>
      </c>
      <c r="L2048" s="6"/>
      <c r="M2048" s="6"/>
      <c r="N2048" s="6"/>
    </row>
    <row r="2049" spans="1:14" x14ac:dyDescent="0.3">
      <c r="A2049" s="92">
        <v>45609</v>
      </c>
      <c r="B2049" s="92" t="str">
        <f t="shared" si="124"/>
        <v>Wednesday</v>
      </c>
      <c r="C2049" s="93" t="s">
        <v>1381</v>
      </c>
      <c r="D2049" s="93" t="s">
        <v>906</v>
      </c>
      <c r="E2049" s="94">
        <v>30.86</v>
      </c>
      <c r="F2049" s="93" t="s">
        <v>12</v>
      </c>
      <c r="G2049" s="87">
        <f>Table1[[#This Row],[date]]</f>
        <v>45609</v>
      </c>
      <c r="H2049" s="94">
        <f>SUMIF($A$2:A5684,G2049,$E$2:E5684)</f>
        <v>128.34</v>
      </c>
      <c r="I2049" s="93" t="str">
        <f t="shared" si="125"/>
        <v>Wednesday</v>
      </c>
      <c r="J2049" s="93" t="str">
        <f t="shared" si="126"/>
        <v>November</v>
      </c>
      <c r="K2049" s="93" t="str">
        <f t="shared" si="127"/>
        <v>2024</v>
      </c>
      <c r="L2049" s="6"/>
      <c r="M2049" s="6"/>
      <c r="N2049" s="6"/>
    </row>
    <row r="2050" spans="1:14" x14ac:dyDescent="0.3">
      <c r="A2050" s="87">
        <v>45609</v>
      </c>
      <c r="B2050" s="87" t="str">
        <f t="shared" ref="B2050:B2113" si="128">TEXT(A2050,"dddd")</f>
        <v>Wednesday</v>
      </c>
      <c r="C2050" s="88" t="s">
        <v>1381</v>
      </c>
      <c r="D2050" s="88" t="s">
        <v>904</v>
      </c>
      <c r="E2050" s="89">
        <v>35.76</v>
      </c>
      <c r="F2050" s="88" t="s">
        <v>5</v>
      </c>
      <c r="G2050" s="87">
        <f>Table1[[#This Row],[date]]</f>
        <v>45609</v>
      </c>
      <c r="H2050" s="94">
        <f>SUMIF($A$2:A5685,G2050,$E$2:E5685)</f>
        <v>128.34</v>
      </c>
      <c r="I2050" s="93" t="str">
        <f t="shared" si="125"/>
        <v>Wednesday</v>
      </c>
      <c r="J2050" s="93" t="str">
        <f t="shared" si="126"/>
        <v>November</v>
      </c>
      <c r="K2050" s="93" t="str">
        <f t="shared" si="127"/>
        <v>2024</v>
      </c>
      <c r="L2050" s="6"/>
      <c r="M2050" s="6"/>
      <c r="N2050" s="6"/>
    </row>
    <row r="2051" spans="1:14" x14ac:dyDescent="0.3">
      <c r="A2051" s="92">
        <v>45609</v>
      </c>
      <c r="B2051" s="92" t="str">
        <f t="shared" si="128"/>
        <v>Wednesday</v>
      </c>
      <c r="C2051" s="93" t="s">
        <v>1381</v>
      </c>
      <c r="D2051" s="93" t="s">
        <v>907</v>
      </c>
      <c r="E2051" s="94">
        <v>30.86</v>
      </c>
      <c r="F2051" s="93" t="s">
        <v>12</v>
      </c>
      <c r="G2051" s="87">
        <f>Table1[[#This Row],[date]]</f>
        <v>45609</v>
      </c>
      <c r="H2051" s="94">
        <f>SUMIF($A$2:A5686,G2051,$E$2:E5686)</f>
        <v>128.34</v>
      </c>
      <c r="I2051" s="93" t="str">
        <f t="shared" si="125"/>
        <v>Wednesday</v>
      </c>
      <c r="J2051" s="93" t="str">
        <f t="shared" si="126"/>
        <v>November</v>
      </c>
      <c r="K2051" s="93" t="str">
        <f t="shared" si="127"/>
        <v>2024</v>
      </c>
      <c r="L2051" s="6"/>
      <c r="M2051" s="6"/>
      <c r="N2051" s="6"/>
    </row>
    <row r="2052" spans="1:14" x14ac:dyDescent="0.3">
      <c r="A2052" s="92">
        <v>45609</v>
      </c>
      <c r="B2052" s="92" t="str">
        <f t="shared" si="128"/>
        <v>Wednesday</v>
      </c>
      <c r="C2052" s="93" t="s">
        <v>1381</v>
      </c>
      <c r="D2052" s="93" t="s">
        <v>908</v>
      </c>
      <c r="E2052" s="94">
        <v>30.86</v>
      </c>
      <c r="F2052" s="93" t="s">
        <v>12</v>
      </c>
      <c r="G2052" s="87">
        <f>Table1[[#This Row],[date]]</f>
        <v>45609</v>
      </c>
      <c r="H2052" s="94">
        <f>SUMIF($A$2:A5687,G2052,$E$2:E5687)</f>
        <v>128.34</v>
      </c>
      <c r="I2052" s="93" t="str">
        <f t="shared" si="125"/>
        <v>Wednesday</v>
      </c>
      <c r="J2052" s="93" t="str">
        <f t="shared" si="126"/>
        <v>November</v>
      </c>
      <c r="K2052" s="93" t="str">
        <f t="shared" si="127"/>
        <v>2024</v>
      </c>
      <c r="L2052" s="6"/>
      <c r="M2052" s="6"/>
      <c r="N2052" s="6"/>
    </row>
    <row r="2053" spans="1:14" x14ac:dyDescent="0.3">
      <c r="A2053" s="92">
        <v>45610</v>
      </c>
      <c r="B2053" s="92" t="str">
        <f t="shared" si="128"/>
        <v>Thursday</v>
      </c>
      <c r="C2053" s="93" t="s">
        <v>1381</v>
      </c>
      <c r="D2053" s="93" t="s">
        <v>904</v>
      </c>
      <c r="E2053" s="94">
        <v>35.76</v>
      </c>
      <c r="F2053" s="93" t="s">
        <v>5</v>
      </c>
      <c r="G2053" s="87">
        <f>Table1[[#This Row],[date]]</f>
        <v>45610</v>
      </c>
      <c r="H2053" s="94">
        <f>SUMIF($A$2:A5688,G2053,$E$2:E5688)</f>
        <v>435.4799999999999</v>
      </c>
      <c r="I2053" s="93" t="str">
        <f t="shared" si="125"/>
        <v>Thursday</v>
      </c>
      <c r="J2053" s="93" t="str">
        <f t="shared" si="126"/>
        <v>November</v>
      </c>
      <c r="K2053" s="93" t="str">
        <f t="shared" si="127"/>
        <v>2024</v>
      </c>
      <c r="L2053" s="6"/>
      <c r="M2053" s="6"/>
      <c r="N2053" s="6"/>
    </row>
    <row r="2054" spans="1:14" x14ac:dyDescent="0.3">
      <c r="A2054" s="87">
        <v>45610</v>
      </c>
      <c r="B2054" s="87" t="str">
        <f t="shared" si="128"/>
        <v>Thursday</v>
      </c>
      <c r="C2054" s="88" t="s">
        <v>1381</v>
      </c>
      <c r="D2054" s="88" t="s">
        <v>909</v>
      </c>
      <c r="E2054" s="89">
        <v>25.96</v>
      </c>
      <c r="F2054" s="88" t="s">
        <v>9</v>
      </c>
      <c r="G2054" s="87">
        <f>Table1[[#This Row],[date]]</f>
        <v>45610</v>
      </c>
      <c r="H2054" s="94">
        <f>SUMIF($A$2:A5689,G2054,$E$2:E5689)</f>
        <v>435.4799999999999</v>
      </c>
      <c r="I2054" s="93" t="str">
        <f t="shared" ref="I2054:I2117" si="129">TEXT(G2054,"dddd")</f>
        <v>Thursday</v>
      </c>
      <c r="J2054" s="93" t="str">
        <f t="shared" si="126"/>
        <v>November</v>
      </c>
      <c r="K2054" s="93" t="str">
        <f t="shared" si="127"/>
        <v>2024</v>
      </c>
      <c r="L2054" s="6"/>
      <c r="M2054" s="6"/>
      <c r="N2054" s="6"/>
    </row>
    <row r="2055" spans="1:14" x14ac:dyDescent="0.3">
      <c r="A2055" s="92">
        <v>45610</v>
      </c>
      <c r="B2055" s="92" t="str">
        <f t="shared" si="128"/>
        <v>Thursday</v>
      </c>
      <c r="C2055" s="93" t="s">
        <v>1381</v>
      </c>
      <c r="D2055" s="93" t="s">
        <v>910</v>
      </c>
      <c r="E2055" s="94">
        <v>21.06</v>
      </c>
      <c r="F2055" s="93" t="s">
        <v>33</v>
      </c>
      <c r="G2055" s="87">
        <f>Table1[[#This Row],[date]]</f>
        <v>45610</v>
      </c>
      <c r="H2055" s="94">
        <f>SUMIF($A$2:A5690,G2055,$E$2:E5690)</f>
        <v>435.4799999999999</v>
      </c>
      <c r="I2055" s="93" t="str">
        <f t="shared" si="129"/>
        <v>Thursday</v>
      </c>
      <c r="J2055" s="93" t="str">
        <f t="shared" ref="J2055:J2118" si="130">TEXT(G2055,"mmmm")</f>
        <v>November</v>
      </c>
      <c r="K2055" s="93" t="str">
        <f t="shared" ref="K2055:K2118" si="131">TEXT(G2055,"yyyy")</f>
        <v>2024</v>
      </c>
      <c r="L2055" s="6"/>
      <c r="M2055" s="6"/>
      <c r="N2055" s="6"/>
    </row>
    <row r="2056" spans="1:14" x14ac:dyDescent="0.3">
      <c r="A2056" s="87">
        <v>45610</v>
      </c>
      <c r="B2056" s="87" t="str">
        <f t="shared" si="128"/>
        <v>Thursday</v>
      </c>
      <c r="C2056" s="88" t="s">
        <v>1381</v>
      </c>
      <c r="D2056" s="88" t="s">
        <v>911</v>
      </c>
      <c r="E2056" s="89">
        <v>35.76</v>
      </c>
      <c r="F2056" s="88" t="s">
        <v>41</v>
      </c>
      <c r="G2056" s="87">
        <f>Table1[[#This Row],[date]]</f>
        <v>45610</v>
      </c>
      <c r="H2056" s="94">
        <f>SUMIF($A$2:A5691,G2056,$E$2:E5691)</f>
        <v>435.4799999999999</v>
      </c>
      <c r="I2056" s="93" t="str">
        <f t="shared" si="129"/>
        <v>Thursday</v>
      </c>
      <c r="J2056" s="93" t="str">
        <f t="shared" si="130"/>
        <v>November</v>
      </c>
      <c r="K2056" s="93" t="str">
        <f t="shared" si="131"/>
        <v>2024</v>
      </c>
      <c r="L2056" s="6"/>
      <c r="M2056" s="6"/>
      <c r="N2056" s="6"/>
    </row>
    <row r="2057" spans="1:14" x14ac:dyDescent="0.3">
      <c r="A2057" s="92">
        <v>45610</v>
      </c>
      <c r="B2057" s="92" t="str">
        <f t="shared" si="128"/>
        <v>Thursday</v>
      </c>
      <c r="C2057" s="93" t="s">
        <v>1381</v>
      </c>
      <c r="D2057" s="93" t="s">
        <v>912</v>
      </c>
      <c r="E2057" s="94">
        <v>35.76</v>
      </c>
      <c r="F2057" s="93" t="s">
        <v>5</v>
      </c>
      <c r="G2057" s="87">
        <f>Table1[[#This Row],[date]]</f>
        <v>45610</v>
      </c>
      <c r="H2057" s="94">
        <f>SUMIF($A$2:A5692,G2057,$E$2:E5692)</f>
        <v>435.4799999999999</v>
      </c>
      <c r="I2057" s="93" t="str">
        <f t="shared" si="129"/>
        <v>Thursday</v>
      </c>
      <c r="J2057" s="93" t="str">
        <f t="shared" si="130"/>
        <v>November</v>
      </c>
      <c r="K2057" s="93" t="str">
        <f t="shared" si="131"/>
        <v>2024</v>
      </c>
      <c r="L2057" s="6"/>
      <c r="M2057" s="6"/>
      <c r="N2057" s="6"/>
    </row>
    <row r="2058" spans="1:14" x14ac:dyDescent="0.3">
      <c r="A2058" s="87">
        <v>45610</v>
      </c>
      <c r="B2058" s="87" t="str">
        <f t="shared" si="128"/>
        <v>Thursday</v>
      </c>
      <c r="C2058" s="88" t="s">
        <v>1381</v>
      </c>
      <c r="D2058" s="88" t="s">
        <v>912</v>
      </c>
      <c r="E2058" s="89">
        <v>35.76</v>
      </c>
      <c r="F2058" s="88" t="s">
        <v>41</v>
      </c>
      <c r="G2058" s="87">
        <f>Table1[[#This Row],[date]]</f>
        <v>45610</v>
      </c>
      <c r="H2058" s="94">
        <f>SUMIF($A$2:A5693,G2058,$E$2:E5693)</f>
        <v>435.4799999999999</v>
      </c>
      <c r="I2058" s="93" t="str">
        <f t="shared" si="129"/>
        <v>Thursday</v>
      </c>
      <c r="J2058" s="93" t="str">
        <f t="shared" si="130"/>
        <v>November</v>
      </c>
      <c r="K2058" s="93" t="str">
        <f t="shared" si="131"/>
        <v>2024</v>
      </c>
      <c r="L2058" s="6"/>
      <c r="M2058" s="6"/>
      <c r="N2058" s="6"/>
    </row>
    <row r="2059" spans="1:14" x14ac:dyDescent="0.3">
      <c r="A2059" s="92">
        <v>45610</v>
      </c>
      <c r="B2059" s="92" t="str">
        <f t="shared" si="128"/>
        <v>Thursday</v>
      </c>
      <c r="C2059" s="93" t="s">
        <v>1381</v>
      </c>
      <c r="D2059" s="93" t="s">
        <v>831</v>
      </c>
      <c r="E2059" s="94">
        <v>30.86</v>
      </c>
      <c r="F2059" s="93" t="s">
        <v>12</v>
      </c>
      <c r="G2059" s="87">
        <f>Table1[[#This Row],[date]]</f>
        <v>45610</v>
      </c>
      <c r="H2059" s="94">
        <f>SUMIF($A$2:A5694,G2059,$E$2:E5694)</f>
        <v>435.4799999999999</v>
      </c>
      <c r="I2059" s="93" t="str">
        <f t="shared" si="129"/>
        <v>Thursday</v>
      </c>
      <c r="J2059" s="93" t="str">
        <f t="shared" si="130"/>
        <v>November</v>
      </c>
      <c r="K2059" s="93" t="str">
        <f t="shared" si="131"/>
        <v>2024</v>
      </c>
      <c r="L2059" s="6"/>
      <c r="M2059" s="6"/>
      <c r="N2059" s="6"/>
    </row>
    <row r="2060" spans="1:14" x14ac:dyDescent="0.3">
      <c r="A2060" s="87">
        <v>45610</v>
      </c>
      <c r="B2060" s="87" t="str">
        <f t="shared" si="128"/>
        <v>Thursday</v>
      </c>
      <c r="C2060" s="88" t="s">
        <v>1381</v>
      </c>
      <c r="D2060" s="88" t="s">
        <v>831</v>
      </c>
      <c r="E2060" s="89">
        <v>35.76</v>
      </c>
      <c r="F2060" s="88" t="s">
        <v>41</v>
      </c>
      <c r="G2060" s="87">
        <f>Table1[[#This Row],[date]]</f>
        <v>45610</v>
      </c>
      <c r="H2060" s="94">
        <f>SUMIF($A$2:A5695,G2060,$E$2:E5695)</f>
        <v>435.4799999999999</v>
      </c>
      <c r="I2060" s="93" t="str">
        <f t="shared" si="129"/>
        <v>Thursday</v>
      </c>
      <c r="J2060" s="93" t="str">
        <f t="shared" si="130"/>
        <v>November</v>
      </c>
      <c r="K2060" s="93" t="str">
        <f t="shared" si="131"/>
        <v>2024</v>
      </c>
      <c r="L2060" s="6"/>
      <c r="M2060" s="6"/>
      <c r="N2060" s="6"/>
    </row>
    <row r="2061" spans="1:14" x14ac:dyDescent="0.3">
      <c r="A2061" s="92">
        <v>45610</v>
      </c>
      <c r="B2061" s="92" t="str">
        <f t="shared" si="128"/>
        <v>Thursday</v>
      </c>
      <c r="C2061" s="93" t="s">
        <v>1381</v>
      </c>
      <c r="D2061" s="93" t="s">
        <v>519</v>
      </c>
      <c r="E2061" s="94">
        <v>35.76</v>
      </c>
      <c r="F2061" s="93" t="s">
        <v>7</v>
      </c>
      <c r="G2061" s="87">
        <f>Table1[[#This Row],[date]]</f>
        <v>45610</v>
      </c>
      <c r="H2061" s="94">
        <f>SUMIF($A$2:A5696,G2061,$E$2:E5696)</f>
        <v>435.4799999999999</v>
      </c>
      <c r="I2061" s="93" t="str">
        <f t="shared" si="129"/>
        <v>Thursday</v>
      </c>
      <c r="J2061" s="93" t="str">
        <f t="shared" si="130"/>
        <v>November</v>
      </c>
      <c r="K2061" s="93" t="str">
        <f t="shared" si="131"/>
        <v>2024</v>
      </c>
      <c r="L2061" s="6"/>
      <c r="M2061" s="6"/>
      <c r="N2061" s="6"/>
    </row>
    <row r="2062" spans="1:14" x14ac:dyDescent="0.3">
      <c r="A2062" s="92">
        <v>45610</v>
      </c>
      <c r="B2062" s="92" t="str">
        <f t="shared" si="128"/>
        <v>Thursday</v>
      </c>
      <c r="C2062" s="93" t="s">
        <v>1381</v>
      </c>
      <c r="D2062" s="93" t="s">
        <v>889</v>
      </c>
      <c r="E2062" s="94">
        <v>35.76</v>
      </c>
      <c r="F2062" s="93" t="s">
        <v>16</v>
      </c>
      <c r="G2062" s="87">
        <f>Table1[[#This Row],[date]]</f>
        <v>45610</v>
      </c>
      <c r="H2062" s="94">
        <f>SUMIF($A$2:A5697,G2062,$E$2:E5697)</f>
        <v>435.4799999999999</v>
      </c>
      <c r="I2062" s="93" t="str">
        <f t="shared" si="129"/>
        <v>Thursday</v>
      </c>
      <c r="J2062" s="93" t="str">
        <f t="shared" si="130"/>
        <v>November</v>
      </c>
      <c r="K2062" s="93" t="str">
        <f t="shared" si="131"/>
        <v>2024</v>
      </c>
      <c r="L2062" s="6"/>
      <c r="M2062" s="6"/>
      <c r="N2062" s="6"/>
    </row>
    <row r="2063" spans="1:14" x14ac:dyDescent="0.3">
      <c r="A2063" s="87">
        <v>45610</v>
      </c>
      <c r="B2063" s="87" t="str">
        <f t="shared" si="128"/>
        <v>Thursday</v>
      </c>
      <c r="C2063" s="88" t="s">
        <v>1381</v>
      </c>
      <c r="D2063" s="88" t="s">
        <v>889</v>
      </c>
      <c r="E2063" s="89">
        <v>35.76</v>
      </c>
      <c r="F2063" s="88" t="s">
        <v>7</v>
      </c>
      <c r="G2063" s="87">
        <f>Table1[[#This Row],[date]]</f>
        <v>45610</v>
      </c>
      <c r="H2063" s="94">
        <f>SUMIF($A$2:A5698,G2063,$E$2:E5698)</f>
        <v>435.4799999999999</v>
      </c>
      <c r="I2063" s="93" t="str">
        <f t="shared" si="129"/>
        <v>Thursday</v>
      </c>
      <c r="J2063" s="93" t="str">
        <f t="shared" si="130"/>
        <v>November</v>
      </c>
      <c r="K2063" s="93" t="str">
        <f t="shared" si="131"/>
        <v>2024</v>
      </c>
      <c r="L2063" s="6"/>
      <c r="M2063" s="6"/>
      <c r="N2063" s="6"/>
    </row>
    <row r="2064" spans="1:14" x14ac:dyDescent="0.3">
      <c r="A2064" s="92">
        <v>45610</v>
      </c>
      <c r="B2064" s="92" t="str">
        <f t="shared" si="128"/>
        <v>Thursday</v>
      </c>
      <c r="C2064" s="93" t="s">
        <v>1381</v>
      </c>
      <c r="D2064" s="93" t="s">
        <v>29</v>
      </c>
      <c r="E2064" s="94">
        <v>35.76</v>
      </c>
      <c r="F2064" s="93" t="s">
        <v>5</v>
      </c>
      <c r="G2064" s="87">
        <f>Table1[[#This Row],[date]]</f>
        <v>45610</v>
      </c>
      <c r="H2064" s="94">
        <f>SUMIF($A$2:A5699,G2064,$E$2:E5699)</f>
        <v>435.4799999999999</v>
      </c>
      <c r="I2064" s="93" t="str">
        <f t="shared" si="129"/>
        <v>Thursday</v>
      </c>
      <c r="J2064" s="93" t="str">
        <f t="shared" si="130"/>
        <v>November</v>
      </c>
      <c r="K2064" s="93" t="str">
        <f t="shared" si="131"/>
        <v>2024</v>
      </c>
      <c r="L2064" s="6"/>
      <c r="M2064" s="6"/>
      <c r="N2064" s="6"/>
    </row>
    <row r="2065" spans="1:14" x14ac:dyDescent="0.3">
      <c r="A2065" s="87">
        <v>45610</v>
      </c>
      <c r="B2065" s="87" t="str">
        <f t="shared" si="128"/>
        <v>Thursday</v>
      </c>
      <c r="C2065" s="88" t="s">
        <v>1381</v>
      </c>
      <c r="D2065" s="88" t="s">
        <v>913</v>
      </c>
      <c r="E2065" s="89">
        <v>35.76</v>
      </c>
      <c r="F2065" s="88" t="s">
        <v>5</v>
      </c>
      <c r="G2065" s="87">
        <f>Table1[[#This Row],[date]]</f>
        <v>45610</v>
      </c>
      <c r="H2065" s="94">
        <f>SUMIF($A$2:A5700,G2065,$E$2:E5700)</f>
        <v>435.4799999999999</v>
      </c>
      <c r="I2065" s="93" t="str">
        <f t="shared" si="129"/>
        <v>Thursday</v>
      </c>
      <c r="J2065" s="93" t="str">
        <f t="shared" si="130"/>
        <v>November</v>
      </c>
      <c r="K2065" s="93" t="str">
        <f t="shared" si="131"/>
        <v>2024</v>
      </c>
      <c r="L2065" s="6"/>
      <c r="M2065" s="6"/>
      <c r="N2065" s="6"/>
    </row>
    <row r="2066" spans="1:14" x14ac:dyDescent="0.3">
      <c r="A2066" s="92">
        <v>45611</v>
      </c>
      <c r="B2066" s="92" t="str">
        <f t="shared" si="128"/>
        <v>Friday</v>
      </c>
      <c r="C2066" s="93" t="s">
        <v>1381</v>
      </c>
      <c r="D2066" s="93" t="s">
        <v>914</v>
      </c>
      <c r="E2066" s="94">
        <v>30.86</v>
      </c>
      <c r="F2066" s="93" t="s">
        <v>12</v>
      </c>
      <c r="G2066" s="87">
        <f>Table1[[#This Row],[date]]</f>
        <v>45611</v>
      </c>
      <c r="H2066" s="94">
        <f>SUMIF($A$2:A5701,G2066,$E$2:E5701)</f>
        <v>328.2</v>
      </c>
      <c r="I2066" s="93" t="str">
        <f t="shared" si="129"/>
        <v>Friday</v>
      </c>
      <c r="J2066" s="93" t="str">
        <f t="shared" si="130"/>
        <v>November</v>
      </c>
      <c r="K2066" s="93" t="str">
        <f t="shared" si="131"/>
        <v>2024</v>
      </c>
      <c r="L2066" s="6"/>
      <c r="M2066" s="6"/>
      <c r="N2066" s="6"/>
    </row>
    <row r="2067" spans="1:14" x14ac:dyDescent="0.3">
      <c r="A2067" s="87">
        <v>45611</v>
      </c>
      <c r="B2067" s="87" t="str">
        <f t="shared" si="128"/>
        <v>Friday</v>
      </c>
      <c r="C2067" s="88" t="s">
        <v>1381</v>
      </c>
      <c r="D2067" s="88" t="s">
        <v>781</v>
      </c>
      <c r="E2067" s="89">
        <v>30.86</v>
      </c>
      <c r="F2067" s="88" t="s">
        <v>12</v>
      </c>
      <c r="G2067" s="87">
        <f>Table1[[#This Row],[date]]</f>
        <v>45611</v>
      </c>
      <c r="H2067" s="94">
        <f>SUMIF($A$2:A5702,G2067,$E$2:E5702)</f>
        <v>328.2</v>
      </c>
      <c r="I2067" s="93" t="str">
        <f t="shared" si="129"/>
        <v>Friday</v>
      </c>
      <c r="J2067" s="93" t="str">
        <f t="shared" si="130"/>
        <v>November</v>
      </c>
      <c r="K2067" s="93" t="str">
        <f t="shared" si="131"/>
        <v>2024</v>
      </c>
      <c r="L2067" s="6"/>
      <c r="M2067" s="6"/>
      <c r="N2067" s="6"/>
    </row>
    <row r="2068" spans="1:14" x14ac:dyDescent="0.3">
      <c r="A2068" s="92">
        <v>45611</v>
      </c>
      <c r="B2068" s="92" t="str">
        <f t="shared" si="128"/>
        <v>Friday</v>
      </c>
      <c r="C2068" s="93" t="s">
        <v>1381</v>
      </c>
      <c r="D2068" s="93" t="s">
        <v>915</v>
      </c>
      <c r="E2068" s="94">
        <v>35.76</v>
      </c>
      <c r="F2068" s="93" t="s">
        <v>16</v>
      </c>
      <c r="G2068" s="87">
        <f>Table1[[#This Row],[date]]</f>
        <v>45611</v>
      </c>
      <c r="H2068" s="94">
        <f>SUMIF($A$2:A5703,G2068,$E$2:E5703)</f>
        <v>328.2</v>
      </c>
      <c r="I2068" s="93" t="str">
        <f t="shared" si="129"/>
        <v>Friday</v>
      </c>
      <c r="J2068" s="93" t="str">
        <f t="shared" si="130"/>
        <v>November</v>
      </c>
      <c r="K2068" s="93" t="str">
        <f t="shared" si="131"/>
        <v>2024</v>
      </c>
      <c r="L2068" s="6"/>
      <c r="M2068" s="6"/>
      <c r="N2068" s="6"/>
    </row>
    <row r="2069" spans="1:14" x14ac:dyDescent="0.3">
      <c r="A2069" s="87">
        <v>45611</v>
      </c>
      <c r="B2069" s="87" t="str">
        <f t="shared" si="128"/>
        <v>Friday</v>
      </c>
      <c r="C2069" s="88" t="s">
        <v>1381</v>
      </c>
      <c r="D2069" s="88" t="s">
        <v>916</v>
      </c>
      <c r="E2069" s="89">
        <v>35.76</v>
      </c>
      <c r="F2069" s="88" t="s">
        <v>16</v>
      </c>
      <c r="G2069" s="87">
        <f>Table1[[#This Row],[date]]</f>
        <v>45611</v>
      </c>
      <c r="H2069" s="94">
        <f>SUMIF($A$2:A5704,G2069,$E$2:E5704)</f>
        <v>328.2</v>
      </c>
      <c r="I2069" s="93" t="str">
        <f t="shared" si="129"/>
        <v>Friday</v>
      </c>
      <c r="J2069" s="93" t="str">
        <f t="shared" si="130"/>
        <v>November</v>
      </c>
      <c r="K2069" s="93" t="str">
        <f t="shared" si="131"/>
        <v>2024</v>
      </c>
      <c r="L2069" s="6"/>
      <c r="M2069" s="6"/>
      <c r="N2069" s="6"/>
    </row>
    <row r="2070" spans="1:14" x14ac:dyDescent="0.3">
      <c r="A2070" s="92">
        <v>45611</v>
      </c>
      <c r="B2070" s="92" t="str">
        <f t="shared" si="128"/>
        <v>Friday</v>
      </c>
      <c r="C2070" s="93" t="s">
        <v>1381</v>
      </c>
      <c r="D2070" s="93" t="s">
        <v>506</v>
      </c>
      <c r="E2070" s="94">
        <v>35.76</v>
      </c>
      <c r="F2070" s="93" t="s">
        <v>5</v>
      </c>
      <c r="G2070" s="87">
        <f>Table1[[#This Row],[date]]</f>
        <v>45611</v>
      </c>
      <c r="H2070" s="94">
        <f>SUMIF($A$2:A5705,G2070,$E$2:E5705)</f>
        <v>328.2</v>
      </c>
      <c r="I2070" s="93" t="str">
        <f t="shared" si="129"/>
        <v>Friday</v>
      </c>
      <c r="J2070" s="93" t="str">
        <f t="shared" si="130"/>
        <v>November</v>
      </c>
      <c r="K2070" s="93" t="str">
        <f t="shared" si="131"/>
        <v>2024</v>
      </c>
      <c r="L2070" s="6"/>
      <c r="M2070" s="6"/>
      <c r="N2070" s="6"/>
    </row>
    <row r="2071" spans="1:14" x14ac:dyDescent="0.3">
      <c r="A2071" s="87">
        <v>45611</v>
      </c>
      <c r="B2071" s="87" t="str">
        <f t="shared" si="128"/>
        <v>Friday</v>
      </c>
      <c r="C2071" s="88" t="s">
        <v>1381</v>
      </c>
      <c r="D2071" s="88" t="s">
        <v>917</v>
      </c>
      <c r="E2071" s="89">
        <v>25.96</v>
      </c>
      <c r="F2071" s="88" t="s">
        <v>9</v>
      </c>
      <c r="G2071" s="87">
        <f>Table1[[#This Row],[date]]</f>
        <v>45611</v>
      </c>
      <c r="H2071" s="94">
        <f>SUMIF($A$2:A5706,G2071,$E$2:E5706)</f>
        <v>328.2</v>
      </c>
      <c r="I2071" s="93" t="str">
        <f t="shared" si="129"/>
        <v>Friday</v>
      </c>
      <c r="J2071" s="93" t="str">
        <f t="shared" si="130"/>
        <v>November</v>
      </c>
      <c r="K2071" s="93" t="str">
        <f t="shared" si="131"/>
        <v>2024</v>
      </c>
      <c r="L2071" s="6"/>
      <c r="M2071" s="6"/>
      <c r="N2071" s="6"/>
    </row>
    <row r="2072" spans="1:14" x14ac:dyDescent="0.3">
      <c r="A2072" s="92">
        <v>45611</v>
      </c>
      <c r="B2072" s="92" t="str">
        <f t="shared" si="128"/>
        <v>Friday</v>
      </c>
      <c r="C2072" s="93" t="s">
        <v>1381</v>
      </c>
      <c r="D2072" s="93" t="s">
        <v>863</v>
      </c>
      <c r="E2072" s="94">
        <v>30.86</v>
      </c>
      <c r="F2072" s="93" t="s">
        <v>12</v>
      </c>
      <c r="G2072" s="87">
        <f>Table1[[#This Row],[date]]</f>
        <v>45611</v>
      </c>
      <c r="H2072" s="94">
        <f>SUMIF($A$2:A5707,G2072,$E$2:E5707)</f>
        <v>328.2</v>
      </c>
      <c r="I2072" s="93" t="str">
        <f t="shared" si="129"/>
        <v>Friday</v>
      </c>
      <c r="J2072" s="93" t="str">
        <f t="shared" si="130"/>
        <v>November</v>
      </c>
      <c r="K2072" s="93" t="str">
        <f t="shared" si="131"/>
        <v>2024</v>
      </c>
      <c r="L2072" s="6"/>
      <c r="M2072" s="6"/>
      <c r="N2072" s="6"/>
    </row>
    <row r="2073" spans="1:14" x14ac:dyDescent="0.3">
      <c r="A2073" s="87">
        <v>45611</v>
      </c>
      <c r="B2073" s="87" t="str">
        <f t="shared" si="128"/>
        <v>Friday</v>
      </c>
      <c r="C2073" s="88" t="s">
        <v>1381</v>
      </c>
      <c r="D2073" s="88" t="s">
        <v>918</v>
      </c>
      <c r="E2073" s="89">
        <v>35.76</v>
      </c>
      <c r="F2073" s="88" t="s">
        <v>5</v>
      </c>
      <c r="G2073" s="87">
        <f>Table1[[#This Row],[date]]</f>
        <v>45611</v>
      </c>
      <c r="H2073" s="94">
        <f>SUMIF($A$2:A5708,G2073,$E$2:E5708)</f>
        <v>328.2</v>
      </c>
      <c r="I2073" s="93" t="str">
        <f t="shared" si="129"/>
        <v>Friday</v>
      </c>
      <c r="J2073" s="93" t="str">
        <f t="shared" si="130"/>
        <v>November</v>
      </c>
      <c r="K2073" s="93" t="str">
        <f t="shared" si="131"/>
        <v>2024</v>
      </c>
      <c r="L2073" s="6"/>
      <c r="M2073" s="6"/>
      <c r="N2073" s="6"/>
    </row>
    <row r="2074" spans="1:14" x14ac:dyDescent="0.3">
      <c r="A2074" s="92">
        <v>45611</v>
      </c>
      <c r="B2074" s="92" t="str">
        <f t="shared" si="128"/>
        <v>Friday</v>
      </c>
      <c r="C2074" s="93" t="s">
        <v>1381</v>
      </c>
      <c r="D2074" s="93" t="s">
        <v>919</v>
      </c>
      <c r="E2074" s="94">
        <v>35.76</v>
      </c>
      <c r="F2074" s="93" t="s">
        <v>7</v>
      </c>
      <c r="G2074" s="87">
        <f>Table1[[#This Row],[date]]</f>
        <v>45611</v>
      </c>
      <c r="H2074" s="94">
        <f>SUMIF($A$2:A5709,G2074,$E$2:E5709)</f>
        <v>328.2</v>
      </c>
      <c r="I2074" s="93" t="str">
        <f t="shared" si="129"/>
        <v>Friday</v>
      </c>
      <c r="J2074" s="93" t="str">
        <f t="shared" si="130"/>
        <v>November</v>
      </c>
      <c r="K2074" s="93" t="str">
        <f t="shared" si="131"/>
        <v>2024</v>
      </c>
      <c r="L2074" s="6"/>
      <c r="M2074" s="6"/>
      <c r="N2074" s="6"/>
    </row>
    <row r="2075" spans="1:14" x14ac:dyDescent="0.3">
      <c r="A2075" s="87">
        <v>45611</v>
      </c>
      <c r="B2075" s="87" t="str">
        <f t="shared" si="128"/>
        <v>Friday</v>
      </c>
      <c r="C2075" s="88" t="s">
        <v>1381</v>
      </c>
      <c r="D2075" s="88" t="s">
        <v>299</v>
      </c>
      <c r="E2075" s="89">
        <v>30.86</v>
      </c>
      <c r="F2075" s="88" t="s">
        <v>12</v>
      </c>
      <c r="G2075" s="87">
        <f>Table1[[#This Row],[date]]</f>
        <v>45611</v>
      </c>
      <c r="H2075" s="94">
        <f>SUMIF($A$2:A5710,G2075,$E$2:E5710)</f>
        <v>328.2</v>
      </c>
      <c r="I2075" s="93" t="str">
        <f t="shared" si="129"/>
        <v>Friday</v>
      </c>
      <c r="J2075" s="93" t="str">
        <f t="shared" si="130"/>
        <v>November</v>
      </c>
      <c r="K2075" s="93" t="str">
        <f t="shared" si="131"/>
        <v>2024</v>
      </c>
      <c r="L2075" s="6"/>
      <c r="M2075" s="6"/>
      <c r="N2075" s="6"/>
    </row>
    <row r="2076" spans="1:14" x14ac:dyDescent="0.3">
      <c r="A2076" s="87">
        <v>45612</v>
      </c>
      <c r="B2076" s="87" t="str">
        <f t="shared" si="128"/>
        <v>Saturday</v>
      </c>
      <c r="C2076" s="88" t="s">
        <v>1381</v>
      </c>
      <c r="D2076" s="88" t="s">
        <v>153</v>
      </c>
      <c r="E2076" s="89">
        <v>25.96</v>
      </c>
      <c r="F2076" s="88" t="s">
        <v>26</v>
      </c>
      <c r="G2076" s="87">
        <f>Table1[[#This Row],[date]]</f>
        <v>45612</v>
      </c>
      <c r="H2076" s="94">
        <f>SUMIF($A$2:A5711,G2076,$E$2:E5711)</f>
        <v>349.26</v>
      </c>
      <c r="I2076" s="93" t="str">
        <f t="shared" si="129"/>
        <v>Saturday</v>
      </c>
      <c r="J2076" s="93" t="str">
        <f t="shared" si="130"/>
        <v>November</v>
      </c>
      <c r="K2076" s="93" t="str">
        <f t="shared" si="131"/>
        <v>2024</v>
      </c>
      <c r="L2076" s="6"/>
      <c r="M2076" s="6"/>
      <c r="N2076" s="6"/>
    </row>
    <row r="2077" spans="1:14" x14ac:dyDescent="0.3">
      <c r="A2077" s="92">
        <v>45612</v>
      </c>
      <c r="B2077" s="92" t="str">
        <f t="shared" si="128"/>
        <v>Saturday</v>
      </c>
      <c r="C2077" s="93" t="s">
        <v>1381</v>
      </c>
      <c r="D2077" s="93" t="s">
        <v>920</v>
      </c>
      <c r="E2077" s="94">
        <v>25.96</v>
      </c>
      <c r="F2077" s="93" t="s">
        <v>26</v>
      </c>
      <c r="G2077" s="87">
        <f>Table1[[#This Row],[date]]</f>
        <v>45612</v>
      </c>
      <c r="H2077" s="94">
        <f>SUMIF($A$2:A5712,G2077,$E$2:E5712)</f>
        <v>349.26</v>
      </c>
      <c r="I2077" s="93" t="str">
        <f t="shared" si="129"/>
        <v>Saturday</v>
      </c>
      <c r="J2077" s="93" t="str">
        <f t="shared" si="130"/>
        <v>November</v>
      </c>
      <c r="K2077" s="93" t="str">
        <f t="shared" si="131"/>
        <v>2024</v>
      </c>
      <c r="L2077" s="6"/>
      <c r="M2077" s="6"/>
      <c r="N2077" s="6"/>
    </row>
    <row r="2078" spans="1:14" x14ac:dyDescent="0.3">
      <c r="A2078" s="87">
        <v>45612</v>
      </c>
      <c r="B2078" s="87" t="str">
        <f t="shared" si="128"/>
        <v>Saturday</v>
      </c>
      <c r="C2078" s="88" t="s">
        <v>1381</v>
      </c>
      <c r="D2078" s="88" t="s">
        <v>921</v>
      </c>
      <c r="E2078" s="89">
        <v>35.76</v>
      </c>
      <c r="F2078" s="88" t="s">
        <v>7</v>
      </c>
      <c r="G2078" s="87">
        <f>Table1[[#This Row],[date]]</f>
        <v>45612</v>
      </c>
      <c r="H2078" s="94">
        <f>SUMIF($A$2:A5713,G2078,$E$2:E5713)</f>
        <v>349.26</v>
      </c>
      <c r="I2078" s="93" t="str">
        <f t="shared" si="129"/>
        <v>Saturday</v>
      </c>
      <c r="J2078" s="93" t="str">
        <f t="shared" si="130"/>
        <v>November</v>
      </c>
      <c r="K2078" s="93" t="str">
        <f t="shared" si="131"/>
        <v>2024</v>
      </c>
      <c r="L2078" s="6"/>
      <c r="M2078" s="6"/>
      <c r="N2078" s="6"/>
    </row>
    <row r="2079" spans="1:14" x14ac:dyDescent="0.3">
      <c r="A2079" s="92">
        <v>45612</v>
      </c>
      <c r="B2079" s="92" t="str">
        <f t="shared" si="128"/>
        <v>Saturday</v>
      </c>
      <c r="C2079" s="93" t="s">
        <v>1381</v>
      </c>
      <c r="D2079" s="93" t="s">
        <v>922</v>
      </c>
      <c r="E2079" s="94">
        <v>35.76</v>
      </c>
      <c r="F2079" s="93" t="s">
        <v>5</v>
      </c>
      <c r="G2079" s="87">
        <f>Table1[[#This Row],[date]]</f>
        <v>45612</v>
      </c>
      <c r="H2079" s="94">
        <f>SUMIF($A$2:A5714,G2079,$E$2:E5714)</f>
        <v>349.26</v>
      </c>
      <c r="I2079" s="93" t="str">
        <f t="shared" si="129"/>
        <v>Saturday</v>
      </c>
      <c r="J2079" s="93" t="str">
        <f t="shared" si="130"/>
        <v>November</v>
      </c>
      <c r="K2079" s="93" t="str">
        <f t="shared" si="131"/>
        <v>2024</v>
      </c>
      <c r="L2079" s="6"/>
      <c r="M2079" s="6"/>
      <c r="N2079" s="6"/>
    </row>
    <row r="2080" spans="1:14" x14ac:dyDescent="0.3">
      <c r="A2080" s="87">
        <v>45612</v>
      </c>
      <c r="B2080" s="87" t="str">
        <f t="shared" si="128"/>
        <v>Saturday</v>
      </c>
      <c r="C2080" s="88" t="s">
        <v>1381</v>
      </c>
      <c r="D2080" s="88" t="s">
        <v>314</v>
      </c>
      <c r="E2080" s="89">
        <v>25.96</v>
      </c>
      <c r="F2080" s="88" t="s">
        <v>9</v>
      </c>
      <c r="G2080" s="87">
        <f>Table1[[#This Row],[date]]</f>
        <v>45612</v>
      </c>
      <c r="H2080" s="94">
        <f>SUMIF($A$2:A5715,G2080,$E$2:E5715)</f>
        <v>349.26</v>
      </c>
      <c r="I2080" s="93" t="str">
        <f t="shared" si="129"/>
        <v>Saturday</v>
      </c>
      <c r="J2080" s="93" t="str">
        <f t="shared" si="130"/>
        <v>November</v>
      </c>
      <c r="K2080" s="93" t="str">
        <f t="shared" si="131"/>
        <v>2024</v>
      </c>
      <c r="L2080" s="6"/>
      <c r="M2080" s="6"/>
      <c r="N2080" s="6"/>
    </row>
    <row r="2081" spans="1:14" x14ac:dyDescent="0.3">
      <c r="A2081" s="92">
        <v>45612</v>
      </c>
      <c r="B2081" s="92" t="str">
        <f t="shared" si="128"/>
        <v>Saturday</v>
      </c>
      <c r="C2081" s="93" t="s">
        <v>1381</v>
      </c>
      <c r="D2081" s="93" t="s">
        <v>923</v>
      </c>
      <c r="E2081" s="94">
        <v>35.76</v>
      </c>
      <c r="F2081" s="93" t="s">
        <v>41</v>
      </c>
      <c r="G2081" s="87">
        <f>Table1[[#This Row],[date]]</f>
        <v>45612</v>
      </c>
      <c r="H2081" s="94">
        <f>SUMIF($A$2:A5716,G2081,$E$2:E5716)</f>
        <v>349.26</v>
      </c>
      <c r="I2081" s="93" t="str">
        <f t="shared" si="129"/>
        <v>Saturday</v>
      </c>
      <c r="J2081" s="93" t="str">
        <f t="shared" si="130"/>
        <v>November</v>
      </c>
      <c r="K2081" s="93" t="str">
        <f t="shared" si="131"/>
        <v>2024</v>
      </c>
      <c r="L2081" s="6"/>
      <c r="M2081" s="6"/>
      <c r="N2081" s="6"/>
    </row>
    <row r="2082" spans="1:14" x14ac:dyDescent="0.3">
      <c r="A2082" s="87">
        <v>45612</v>
      </c>
      <c r="B2082" s="87" t="str">
        <f t="shared" si="128"/>
        <v>Saturday</v>
      </c>
      <c r="C2082" s="88" t="s">
        <v>1381</v>
      </c>
      <c r="D2082" s="88" t="s">
        <v>924</v>
      </c>
      <c r="E2082" s="89">
        <v>30.86</v>
      </c>
      <c r="F2082" s="88" t="s">
        <v>12</v>
      </c>
      <c r="G2082" s="87">
        <f>Table1[[#This Row],[date]]</f>
        <v>45612</v>
      </c>
      <c r="H2082" s="94">
        <f>SUMIF($A$2:A5717,G2082,$E$2:E5717)</f>
        <v>349.26</v>
      </c>
      <c r="I2082" s="93" t="str">
        <f t="shared" si="129"/>
        <v>Saturday</v>
      </c>
      <c r="J2082" s="93" t="str">
        <f t="shared" si="130"/>
        <v>November</v>
      </c>
      <c r="K2082" s="93" t="str">
        <f t="shared" si="131"/>
        <v>2024</v>
      </c>
      <c r="L2082" s="6"/>
      <c r="M2082" s="6"/>
      <c r="N2082" s="6"/>
    </row>
    <row r="2083" spans="1:14" x14ac:dyDescent="0.3">
      <c r="A2083" s="92">
        <v>45612</v>
      </c>
      <c r="B2083" s="92" t="str">
        <f t="shared" si="128"/>
        <v>Saturday</v>
      </c>
      <c r="C2083" s="93" t="s">
        <v>1381</v>
      </c>
      <c r="D2083" s="93" t="s">
        <v>925</v>
      </c>
      <c r="E2083" s="94">
        <v>35.76</v>
      </c>
      <c r="F2083" s="93" t="s">
        <v>5</v>
      </c>
      <c r="G2083" s="87">
        <f>Table1[[#This Row],[date]]</f>
        <v>45612</v>
      </c>
      <c r="H2083" s="94">
        <f>SUMIF($A$2:A5718,G2083,$E$2:E5718)</f>
        <v>349.26</v>
      </c>
      <c r="I2083" s="93" t="str">
        <f t="shared" si="129"/>
        <v>Saturday</v>
      </c>
      <c r="J2083" s="93" t="str">
        <f t="shared" si="130"/>
        <v>November</v>
      </c>
      <c r="K2083" s="93" t="str">
        <f t="shared" si="131"/>
        <v>2024</v>
      </c>
      <c r="L2083" s="6"/>
      <c r="M2083" s="6"/>
      <c r="N2083" s="6"/>
    </row>
    <row r="2084" spans="1:14" x14ac:dyDescent="0.3">
      <c r="A2084" s="92">
        <v>45612</v>
      </c>
      <c r="B2084" s="92" t="str">
        <f t="shared" si="128"/>
        <v>Saturday</v>
      </c>
      <c r="C2084" s="93" t="s">
        <v>1381</v>
      </c>
      <c r="D2084" s="93" t="s">
        <v>831</v>
      </c>
      <c r="E2084" s="94">
        <v>30.86</v>
      </c>
      <c r="F2084" s="93" t="s">
        <v>12</v>
      </c>
      <c r="G2084" s="87">
        <f>Table1[[#This Row],[date]]</f>
        <v>45612</v>
      </c>
      <c r="H2084" s="94">
        <f>SUMIF($A$2:A5719,G2084,$E$2:E5719)</f>
        <v>349.26</v>
      </c>
      <c r="I2084" s="93" t="str">
        <f t="shared" si="129"/>
        <v>Saturday</v>
      </c>
      <c r="J2084" s="93" t="str">
        <f t="shared" si="130"/>
        <v>November</v>
      </c>
      <c r="K2084" s="93" t="str">
        <f t="shared" si="131"/>
        <v>2024</v>
      </c>
      <c r="L2084" s="6"/>
      <c r="M2084" s="6"/>
      <c r="N2084" s="6"/>
    </row>
    <row r="2085" spans="1:14" x14ac:dyDescent="0.3">
      <c r="A2085" s="87">
        <v>45612</v>
      </c>
      <c r="B2085" s="87" t="str">
        <f t="shared" si="128"/>
        <v>Saturday</v>
      </c>
      <c r="C2085" s="88" t="s">
        <v>1381</v>
      </c>
      <c r="D2085" s="88" t="s">
        <v>926</v>
      </c>
      <c r="E2085" s="89">
        <v>35.76</v>
      </c>
      <c r="F2085" s="88" t="s">
        <v>5</v>
      </c>
      <c r="G2085" s="87">
        <f>Table1[[#This Row],[date]]</f>
        <v>45612</v>
      </c>
      <c r="H2085" s="94">
        <f>SUMIF($A$2:A5720,G2085,$E$2:E5720)</f>
        <v>349.26</v>
      </c>
      <c r="I2085" s="93" t="str">
        <f t="shared" si="129"/>
        <v>Saturday</v>
      </c>
      <c r="J2085" s="93" t="str">
        <f t="shared" si="130"/>
        <v>November</v>
      </c>
      <c r="K2085" s="93" t="str">
        <f t="shared" si="131"/>
        <v>2024</v>
      </c>
      <c r="L2085" s="6"/>
      <c r="M2085" s="6"/>
      <c r="N2085" s="6"/>
    </row>
    <row r="2086" spans="1:14" x14ac:dyDescent="0.3">
      <c r="A2086" s="87">
        <v>45612</v>
      </c>
      <c r="B2086" s="87" t="str">
        <f t="shared" si="128"/>
        <v>Saturday</v>
      </c>
      <c r="C2086" s="88" t="s">
        <v>1381</v>
      </c>
      <c r="D2086" s="88" t="s">
        <v>927</v>
      </c>
      <c r="E2086" s="89">
        <v>30.86</v>
      </c>
      <c r="F2086" s="88" t="s">
        <v>12</v>
      </c>
      <c r="G2086" s="87">
        <f>Table1[[#This Row],[date]]</f>
        <v>45612</v>
      </c>
      <c r="H2086" s="94">
        <f>SUMIF($A$2:A5721,G2086,$E$2:E5721)</f>
        <v>349.26</v>
      </c>
      <c r="I2086" s="93" t="str">
        <f t="shared" si="129"/>
        <v>Saturday</v>
      </c>
      <c r="J2086" s="93" t="str">
        <f t="shared" si="130"/>
        <v>November</v>
      </c>
      <c r="K2086" s="93" t="str">
        <f t="shared" si="131"/>
        <v>2024</v>
      </c>
      <c r="L2086" s="6"/>
      <c r="M2086" s="6"/>
      <c r="N2086" s="6"/>
    </row>
    <row r="2087" spans="1:14" x14ac:dyDescent="0.3">
      <c r="A2087" s="92">
        <v>45613</v>
      </c>
      <c r="B2087" s="92" t="str">
        <f t="shared" si="128"/>
        <v>Sunday</v>
      </c>
      <c r="C2087" s="93" t="s">
        <v>1381</v>
      </c>
      <c r="D2087" s="93" t="s">
        <v>928</v>
      </c>
      <c r="E2087" s="94">
        <v>30.86</v>
      </c>
      <c r="F2087" s="93" t="s">
        <v>12</v>
      </c>
      <c r="G2087" s="87">
        <f>Table1[[#This Row],[date]]</f>
        <v>45613</v>
      </c>
      <c r="H2087" s="94">
        <f>SUMIF($A$2:A5722,G2087,$E$2:E5722)</f>
        <v>225.82</v>
      </c>
      <c r="I2087" s="93" t="str">
        <f t="shared" si="129"/>
        <v>Sunday</v>
      </c>
      <c r="J2087" s="93" t="str">
        <f t="shared" si="130"/>
        <v>November</v>
      </c>
      <c r="K2087" s="93" t="str">
        <f t="shared" si="131"/>
        <v>2024</v>
      </c>
      <c r="L2087" s="6"/>
      <c r="M2087" s="6"/>
      <c r="N2087" s="6"/>
    </row>
    <row r="2088" spans="1:14" x14ac:dyDescent="0.3">
      <c r="A2088" s="87">
        <v>45613</v>
      </c>
      <c r="B2088" s="87" t="str">
        <f t="shared" si="128"/>
        <v>Sunday</v>
      </c>
      <c r="C2088" s="88" t="s">
        <v>1381</v>
      </c>
      <c r="D2088" s="88" t="s">
        <v>929</v>
      </c>
      <c r="E2088" s="89">
        <v>30.86</v>
      </c>
      <c r="F2088" s="88" t="s">
        <v>12</v>
      </c>
      <c r="G2088" s="87">
        <f>Table1[[#This Row],[date]]</f>
        <v>45613</v>
      </c>
      <c r="H2088" s="94">
        <f>SUMIF($A$2:A5723,G2088,$E$2:E5723)</f>
        <v>225.82</v>
      </c>
      <c r="I2088" s="93" t="str">
        <f t="shared" si="129"/>
        <v>Sunday</v>
      </c>
      <c r="J2088" s="93" t="str">
        <f t="shared" si="130"/>
        <v>November</v>
      </c>
      <c r="K2088" s="93" t="str">
        <f t="shared" si="131"/>
        <v>2024</v>
      </c>
      <c r="L2088" s="6"/>
      <c r="M2088" s="6"/>
      <c r="N2088" s="6"/>
    </row>
    <row r="2089" spans="1:14" x14ac:dyDescent="0.3">
      <c r="A2089" s="92">
        <v>45613</v>
      </c>
      <c r="B2089" s="92" t="str">
        <f t="shared" si="128"/>
        <v>Sunday</v>
      </c>
      <c r="C2089" s="93" t="s">
        <v>1381</v>
      </c>
      <c r="D2089" s="93" t="s">
        <v>930</v>
      </c>
      <c r="E2089" s="94">
        <v>25.96</v>
      </c>
      <c r="F2089" s="93" t="s">
        <v>9</v>
      </c>
      <c r="G2089" s="87">
        <f>Table1[[#This Row],[date]]</f>
        <v>45613</v>
      </c>
      <c r="H2089" s="94">
        <f>SUMIF($A$2:A5724,G2089,$E$2:E5724)</f>
        <v>225.82</v>
      </c>
      <c r="I2089" s="93" t="str">
        <f t="shared" si="129"/>
        <v>Sunday</v>
      </c>
      <c r="J2089" s="93" t="str">
        <f t="shared" si="130"/>
        <v>November</v>
      </c>
      <c r="K2089" s="93" t="str">
        <f t="shared" si="131"/>
        <v>2024</v>
      </c>
      <c r="L2089" s="6"/>
      <c r="M2089" s="6"/>
      <c r="N2089" s="6"/>
    </row>
    <row r="2090" spans="1:14" x14ac:dyDescent="0.3">
      <c r="A2090" s="87">
        <v>45613</v>
      </c>
      <c r="B2090" s="87" t="str">
        <f t="shared" si="128"/>
        <v>Sunday</v>
      </c>
      <c r="C2090" s="88" t="s">
        <v>1381</v>
      </c>
      <c r="D2090" s="88" t="s">
        <v>931</v>
      </c>
      <c r="E2090" s="89">
        <v>30.86</v>
      </c>
      <c r="F2090" s="88" t="s">
        <v>12</v>
      </c>
      <c r="G2090" s="87">
        <f>Table1[[#This Row],[date]]</f>
        <v>45613</v>
      </c>
      <c r="H2090" s="94">
        <f>SUMIF($A$2:A5725,G2090,$E$2:E5725)</f>
        <v>225.82</v>
      </c>
      <c r="I2090" s="93" t="str">
        <f t="shared" si="129"/>
        <v>Sunday</v>
      </c>
      <c r="J2090" s="93" t="str">
        <f t="shared" si="130"/>
        <v>November</v>
      </c>
      <c r="K2090" s="93" t="str">
        <f t="shared" si="131"/>
        <v>2024</v>
      </c>
      <c r="L2090" s="6"/>
      <c r="M2090" s="6"/>
      <c r="N2090" s="6"/>
    </row>
    <row r="2091" spans="1:14" x14ac:dyDescent="0.3">
      <c r="A2091" s="92">
        <v>45613</v>
      </c>
      <c r="B2091" s="92" t="str">
        <f t="shared" si="128"/>
        <v>Sunday</v>
      </c>
      <c r="C2091" s="93" t="s">
        <v>1381</v>
      </c>
      <c r="D2091" s="93" t="s">
        <v>932</v>
      </c>
      <c r="E2091" s="94">
        <v>35.76</v>
      </c>
      <c r="F2091" s="93" t="s">
        <v>5</v>
      </c>
      <c r="G2091" s="87">
        <f>Table1[[#This Row],[date]]</f>
        <v>45613</v>
      </c>
      <c r="H2091" s="94">
        <f>SUMIF($A$2:A5726,G2091,$E$2:E5726)</f>
        <v>225.82</v>
      </c>
      <c r="I2091" s="93" t="str">
        <f t="shared" si="129"/>
        <v>Sunday</v>
      </c>
      <c r="J2091" s="93" t="str">
        <f t="shared" si="130"/>
        <v>November</v>
      </c>
      <c r="K2091" s="93" t="str">
        <f t="shared" si="131"/>
        <v>2024</v>
      </c>
      <c r="L2091" s="6"/>
      <c r="M2091" s="6"/>
      <c r="N2091" s="6"/>
    </row>
    <row r="2092" spans="1:14" x14ac:dyDescent="0.3">
      <c r="A2092" s="92">
        <v>45613</v>
      </c>
      <c r="B2092" s="92" t="str">
        <f t="shared" si="128"/>
        <v>Sunday</v>
      </c>
      <c r="C2092" s="93" t="s">
        <v>1381</v>
      </c>
      <c r="D2092" s="93" t="s">
        <v>933</v>
      </c>
      <c r="E2092" s="94">
        <v>35.76</v>
      </c>
      <c r="F2092" s="93" t="s">
        <v>7</v>
      </c>
      <c r="G2092" s="87">
        <f>Table1[[#This Row],[date]]</f>
        <v>45613</v>
      </c>
      <c r="H2092" s="94">
        <f>SUMIF($A$2:A5727,G2092,$E$2:E5727)</f>
        <v>225.82</v>
      </c>
      <c r="I2092" s="93" t="str">
        <f t="shared" si="129"/>
        <v>Sunday</v>
      </c>
      <c r="J2092" s="93" t="str">
        <f t="shared" si="130"/>
        <v>November</v>
      </c>
      <c r="K2092" s="93" t="str">
        <f t="shared" si="131"/>
        <v>2024</v>
      </c>
      <c r="L2092" s="6"/>
      <c r="M2092" s="6"/>
      <c r="N2092" s="6"/>
    </row>
    <row r="2093" spans="1:14" x14ac:dyDescent="0.3">
      <c r="A2093" s="87">
        <v>45613</v>
      </c>
      <c r="B2093" s="87" t="str">
        <f t="shared" si="128"/>
        <v>Sunday</v>
      </c>
      <c r="C2093" s="88" t="s">
        <v>1381</v>
      </c>
      <c r="D2093" s="88" t="s">
        <v>934</v>
      </c>
      <c r="E2093" s="89">
        <v>35.76</v>
      </c>
      <c r="F2093" s="88" t="s">
        <v>7</v>
      </c>
      <c r="G2093" s="87">
        <f>Table1[[#This Row],[date]]</f>
        <v>45613</v>
      </c>
      <c r="H2093" s="94">
        <f>SUMIF($A$2:A5728,G2093,$E$2:E5728)</f>
        <v>225.82</v>
      </c>
      <c r="I2093" s="93" t="str">
        <f t="shared" si="129"/>
        <v>Sunday</v>
      </c>
      <c r="J2093" s="93" t="str">
        <f t="shared" si="130"/>
        <v>November</v>
      </c>
      <c r="K2093" s="93" t="str">
        <f t="shared" si="131"/>
        <v>2024</v>
      </c>
      <c r="L2093" s="6"/>
      <c r="M2093" s="6"/>
      <c r="N2093" s="6"/>
    </row>
    <row r="2094" spans="1:14" x14ac:dyDescent="0.3">
      <c r="A2094" s="87">
        <v>45614</v>
      </c>
      <c r="B2094" s="87" t="str">
        <f t="shared" si="128"/>
        <v>Monday</v>
      </c>
      <c r="C2094" s="88" t="s">
        <v>1381</v>
      </c>
      <c r="D2094" s="88" t="s">
        <v>781</v>
      </c>
      <c r="E2094" s="89">
        <v>30.86</v>
      </c>
      <c r="F2094" s="88" t="s">
        <v>12</v>
      </c>
      <c r="G2094" s="87">
        <f>Table1[[#This Row],[date]]</f>
        <v>45614</v>
      </c>
      <c r="H2094" s="94">
        <f>SUMIF($A$2:A5729,G2094,$E$2:E5729)</f>
        <v>204.75999999999996</v>
      </c>
      <c r="I2094" s="93" t="str">
        <f t="shared" si="129"/>
        <v>Monday</v>
      </c>
      <c r="J2094" s="93" t="str">
        <f t="shared" si="130"/>
        <v>November</v>
      </c>
      <c r="K2094" s="93" t="str">
        <f t="shared" si="131"/>
        <v>2024</v>
      </c>
      <c r="L2094" s="6"/>
      <c r="M2094" s="6"/>
      <c r="N2094" s="6"/>
    </row>
    <row r="2095" spans="1:14" x14ac:dyDescent="0.3">
      <c r="A2095" s="92">
        <v>45614</v>
      </c>
      <c r="B2095" s="92" t="str">
        <f t="shared" si="128"/>
        <v>Monday</v>
      </c>
      <c r="C2095" s="93" t="s">
        <v>1381</v>
      </c>
      <c r="D2095" s="93" t="s">
        <v>935</v>
      </c>
      <c r="E2095" s="94">
        <v>30.86</v>
      </c>
      <c r="F2095" s="93" t="s">
        <v>12</v>
      </c>
      <c r="G2095" s="87">
        <f>Table1[[#This Row],[date]]</f>
        <v>45614</v>
      </c>
      <c r="H2095" s="94">
        <f>SUMIF($A$2:A5730,G2095,$E$2:E5730)</f>
        <v>204.75999999999996</v>
      </c>
      <c r="I2095" s="93" t="str">
        <f t="shared" si="129"/>
        <v>Monday</v>
      </c>
      <c r="J2095" s="93" t="str">
        <f t="shared" si="130"/>
        <v>November</v>
      </c>
      <c r="K2095" s="93" t="str">
        <f t="shared" si="131"/>
        <v>2024</v>
      </c>
      <c r="L2095" s="6"/>
      <c r="M2095" s="6"/>
      <c r="N2095" s="6"/>
    </row>
    <row r="2096" spans="1:14" x14ac:dyDescent="0.3">
      <c r="A2096" s="87">
        <v>45614</v>
      </c>
      <c r="B2096" s="87" t="str">
        <f t="shared" si="128"/>
        <v>Monday</v>
      </c>
      <c r="C2096" s="88" t="s">
        <v>1381</v>
      </c>
      <c r="D2096" s="88" t="s">
        <v>582</v>
      </c>
      <c r="E2096" s="89">
        <v>35.76</v>
      </c>
      <c r="F2096" s="88" t="s">
        <v>5</v>
      </c>
      <c r="G2096" s="87">
        <f>Table1[[#This Row],[date]]</f>
        <v>45614</v>
      </c>
      <c r="H2096" s="94">
        <f>SUMIF($A$2:A5731,G2096,$E$2:E5731)</f>
        <v>204.75999999999996</v>
      </c>
      <c r="I2096" s="93" t="str">
        <f t="shared" si="129"/>
        <v>Monday</v>
      </c>
      <c r="J2096" s="93" t="str">
        <f t="shared" si="130"/>
        <v>November</v>
      </c>
      <c r="K2096" s="93" t="str">
        <f t="shared" si="131"/>
        <v>2024</v>
      </c>
      <c r="L2096" s="6"/>
      <c r="M2096" s="6"/>
      <c r="N2096" s="6"/>
    </row>
    <row r="2097" spans="1:14" x14ac:dyDescent="0.3">
      <c r="A2097" s="92">
        <v>45614</v>
      </c>
      <c r="B2097" s="92" t="str">
        <f t="shared" si="128"/>
        <v>Monday</v>
      </c>
      <c r="C2097" s="93" t="s">
        <v>1381</v>
      </c>
      <c r="D2097" s="93" t="s">
        <v>936</v>
      </c>
      <c r="E2097" s="94">
        <v>35.76</v>
      </c>
      <c r="F2097" s="93" t="s">
        <v>5</v>
      </c>
      <c r="G2097" s="87">
        <f>Table1[[#This Row],[date]]</f>
        <v>45614</v>
      </c>
      <c r="H2097" s="94">
        <f>SUMIF($A$2:A5732,G2097,$E$2:E5732)</f>
        <v>204.75999999999996</v>
      </c>
      <c r="I2097" s="93" t="str">
        <f t="shared" si="129"/>
        <v>Monday</v>
      </c>
      <c r="J2097" s="93" t="str">
        <f t="shared" si="130"/>
        <v>November</v>
      </c>
      <c r="K2097" s="93" t="str">
        <f t="shared" si="131"/>
        <v>2024</v>
      </c>
      <c r="L2097" s="6"/>
      <c r="M2097" s="6"/>
      <c r="N2097" s="6"/>
    </row>
    <row r="2098" spans="1:14" x14ac:dyDescent="0.3">
      <c r="A2098" s="87">
        <v>45614</v>
      </c>
      <c r="B2098" s="87" t="str">
        <f t="shared" si="128"/>
        <v>Monday</v>
      </c>
      <c r="C2098" s="88" t="s">
        <v>1381</v>
      </c>
      <c r="D2098" s="88" t="s">
        <v>918</v>
      </c>
      <c r="E2098" s="89">
        <v>35.76</v>
      </c>
      <c r="F2098" s="88" t="s">
        <v>5</v>
      </c>
      <c r="G2098" s="87">
        <f>Table1[[#This Row],[date]]</f>
        <v>45614</v>
      </c>
      <c r="H2098" s="94">
        <f>SUMIF($A$2:A5733,G2098,$E$2:E5733)</f>
        <v>204.75999999999996</v>
      </c>
      <c r="I2098" s="93" t="str">
        <f t="shared" si="129"/>
        <v>Monday</v>
      </c>
      <c r="J2098" s="93" t="str">
        <f t="shared" si="130"/>
        <v>November</v>
      </c>
      <c r="K2098" s="93" t="str">
        <f t="shared" si="131"/>
        <v>2024</v>
      </c>
      <c r="L2098" s="6"/>
      <c r="M2098" s="6"/>
      <c r="N2098" s="6"/>
    </row>
    <row r="2099" spans="1:14" x14ac:dyDescent="0.3">
      <c r="A2099" s="92">
        <v>45614</v>
      </c>
      <c r="B2099" s="92" t="str">
        <f t="shared" si="128"/>
        <v>Monday</v>
      </c>
      <c r="C2099" s="93" t="s">
        <v>1381</v>
      </c>
      <c r="D2099" s="93" t="s">
        <v>937</v>
      </c>
      <c r="E2099" s="94">
        <v>35.76</v>
      </c>
      <c r="F2099" s="93" t="s">
        <v>5</v>
      </c>
      <c r="G2099" s="87">
        <f>Table1[[#This Row],[date]]</f>
        <v>45614</v>
      </c>
      <c r="H2099" s="94">
        <f>SUMIF($A$2:A5734,G2099,$E$2:E5734)</f>
        <v>204.75999999999996</v>
      </c>
      <c r="I2099" s="93" t="str">
        <f t="shared" si="129"/>
        <v>Monday</v>
      </c>
      <c r="J2099" s="93" t="str">
        <f t="shared" si="130"/>
        <v>November</v>
      </c>
      <c r="K2099" s="93" t="str">
        <f t="shared" si="131"/>
        <v>2024</v>
      </c>
      <c r="L2099" s="6"/>
      <c r="M2099" s="6"/>
      <c r="N2099" s="6"/>
    </row>
    <row r="2100" spans="1:14" x14ac:dyDescent="0.3">
      <c r="A2100" s="87">
        <v>45615</v>
      </c>
      <c r="B2100" s="87" t="str">
        <f t="shared" si="128"/>
        <v>Tuesday</v>
      </c>
      <c r="C2100" s="88" t="s">
        <v>1381</v>
      </c>
      <c r="D2100" s="88" t="s">
        <v>708</v>
      </c>
      <c r="E2100" s="89">
        <v>35.76</v>
      </c>
      <c r="F2100" s="88" t="s">
        <v>16</v>
      </c>
      <c r="G2100" s="87">
        <f>Table1[[#This Row],[date]]</f>
        <v>45615</v>
      </c>
      <c r="H2100" s="94">
        <f>SUMIF($A$2:A5735,G2100,$E$2:E5735)</f>
        <v>333.09999999999997</v>
      </c>
      <c r="I2100" s="93" t="str">
        <f t="shared" si="129"/>
        <v>Tuesday</v>
      </c>
      <c r="J2100" s="93" t="str">
        <f t="shared" si="130"/>
        <v>November</v>
      </c>
      <c r="K2100" s="93" t="str">
        <f t="shared" si="131"/>
        <v>2024</v>
      </c>
      <c r="L2100" s="6"/>
      <c r="M2100" s="6"/>
      <c r="N2100" s="6"/>
    </row>
    <row r="2101" spans="1:14" x14ac:dyDescent="0.3">
      <c r="A2101" s="92">
        <v>45615</v>
      </c>
      <c r="B2101" s="92" t="str">
        <f t="shared" si="128"/>
        <v>Tuesday</v>
      </c>
      <c r="C2101" s="93" t="s">
        <v>1381</v>
      </c>
      <c r="D2101" s="93" t="s">
        <v>935</v>
      </c>
      <c r="E2101" s="94">
        <v>30.86</v>
      </c>
      <c r="F2101" s="93" t="s">
        <v>12</v>
      </c>
      <c r="G2101" s="87">
        <f>Table1[[#This Row],[date]]</f>
        <v>45615</v>
      </c>
      <c r="H2101" s="94">
        <f>SUMIF($A$2:A5736,G2101,$E$2:E5736)</f>
        <v>333.09999999999997</v>
      </c>
      <c r="I2101" s="93" t="str">
        <f t="shared" si="129"/>
        <v>Tuesday</v>
      </c>
      <c r="J2101" s="93" t="str">
        <f t="shared" si="130"/>
        <v>November</v>
      </c>
      <c r="K2101" s="93" t="str">
        <f t="shared" si="131"/>
        <v>2024</v>
      </c>
      <c r="L2101" s="6"/>
      <c r="M2101" s="6"/>
      <c r="N2101" s="6"/>
    </row>
    <row r="2102" spans="1:14" x14ac:dyDescent="0.3">
      <c r="A2102" s="87">
        <v>45615</v>
      </c>
      <c r="B2102" s="87" t="str">
        <f t="shared" si="128"/>
        <v>Tuesday</v>
      </c>
      <c r="C2102" s="88" t="s">
        <v>1381</v>
      </c>
      <c r="D2102" s="88" t="s">
        <v>935</v>
      </c>
      <c r="E2102" s="89">
        <v>35.76</v>
      </c>
      <c r="F2102" s="88" t="s">
        <v>5</v>
      </c>
      <c r="G2102" s="87">
        <f>Table1[[#This Row],[date]]</f>
        <v>45615</v>
      </c>
      <c r="H2102" s="94">
        <f>SUMIF($A$2:A5737,G2102,$E$2:E5737)</f>
        <v>333.09999999999997</v>
      </c>
      <c r="I2102" s="93" t="str">
        <f t="shared" si="129"/>
        <v>Tuesday</v>
      </c>
      <c r="J2102" s="93" t="str">
        <f t="shared" si="130"/>
        <v>November</v>
      </c>
      <c r="K2102" s="93" t="str">
        <f t="shared" si="131"/>
        <v>2024</v>
      </c>
      <c r="L2102" s="6"/>
      <c r="M2102" s="6"/>
      <c r="N2102" s="6"/>
    </row>
    <row r="2103" spans="1:14" x14ac:dyDescent="0.3">
      <c r="A2103" s="92">
        <v>45615</v>
      </c>
      <c r="B2103" s="92" t="str">
        <f t="shared" si="128"/>
        <v>Tuesday</v>
      </c>
      <c r="C2103" s="93" t="s">
        <v>1381</v>
      </c>
      <c r="D2103" s="93" t="s">
        <v>938</v>
      </c>
      <c r="E2103" s="94">
        <v>21.06</v>
      </c>
      <c r="F2103" s="93" t="s">
        <v>33</v>
      </c>
      <c r="G2103" s="87">
        <f>Table1[[#This Row],[date]]</f>
        <v>45615</v>
      </c>
      <c r="H2103" s="94">
        <f>SUMIF($A$2:A5738,G2103,$E$2:E5738)</f>
        <v>333.09999999999997</v>
      </c>
      <c r="I2103" s="93" t="str">
        <f t="shared" si="129"/>
        <v>Tuesday</v>
      </c>
      <c r="J2103" s="93" t="str">
        <f t="shared" si="130"/>
        <v>November</v>
      </c>
      <c r="K2103" s="93" t="str">
        <f t="shared" si="131"/>
        <v>2024</v>
      </c>
      <c r="L2103" s="6"/>
      <c r="M2103" s="6"/>
      <c r="N2103" s="6"/>
    </row>
    <row r="2104" spans="1:14" x14ac:dyDescent="0.3">
      <c r="A2104" s="87">
        <v>45615</v>
      </c>
      <c r="B2104" s="87" t="str">
        <f t="shared" si="128"/>
        <v>Tuesday</v>
      </c>
      <c r="C2104" s="88" t="s">
        <v>1381</v>
      </c>
      <c r="D2104" s="88" t="s">
        <v>939</v>
      </c>
      <c r="E2104" s="89">
        <v>35.76</v>
      </c>
      <c r="F2104" s="88" t="s">
        <v>5</v>
      </c>
      <c r="G2104" s="87">
        <f>Table1[[#This Row],[date]]</f>
        <v>45615</v>
      </c>
      <c r="H2104" s="94">
        <f>SUMIF($A$2:A5739,G2104,$E$2:E5739)</f>
        <v>333.09999999999997</v>
      </c>
      <c r="I2104" s="93" t="str">
        <f t="shared" si="129"/>
        <v>Tuesday</v>
      </c>
      <c r="J2104" s="93" t="str">
        <f t="shared" si="130"/>
        <v>November</v>
      </c>
      <c r="K2104" s="93" t="str">
        <f t="shared" si="131"/>
        <v>2024</v>
      </c>
      <c r="L2104" s="6"/>
      <c r="M2104" s="6"/>
      <c r="N2104" s="6"/>
    </row>
    <row r="2105" spans="1:14" x14ac:dyDescent="0.3">
      <c r="A2105" s="92">
        <v>45615</v>
      </c>
      <c r="B2105" s="92" t="str">
        <f t="shared" si="128"/>
        <v>Tuesday</v>
      </c>
      <c r="C2105" s="93" t="s">
        <v>1381</v>
      </c>
      <c r="D2105" s="93" t="s">
        <v>288</v>
      </c>
      <c r="E2105" s="94">
        <v>30.86</v>
      </c>
      <c r="F2105" s="93" t="s">
        <v>12</v>
      </c>
      <c r="G2105" s="87">
        <f>Table1[[#This Row],[date]]</f>
        <v>45615</v>
      </c>
      <c r="H2105" s="94">
        <f>SUMIF($A$2:A5740,G2105,$E$2:E5740)</f>
        <v>333.09999999999997</v>
      </c>
      <c r="I2105" s="93" t="str">
        <f t="shared" si="129"/>
        <v>Tuesday</v>
      </c>
      <c r="J2105" s="93" t="str">
        <f t="shared" si="130"/>
        <v>November</v>
      </c>
      <c r="K2105" s="93" t="str">
        <f t="shared" si="131"/>
        <v>2024</v>
      </c>
      <c r="L2105" s="6"/>
      <c r="M2105" s="6"/>
      <c r="N2105" s="6"/>
    </row>
    <row r="2106" spans="1:14" x14ac:dyDescent="0.3">
      <c r="A2106" s="87">
        <v>45615</v>
      </c>
      <c r="B2106" s="87" t="str">
        <f t="shared" si="128"/>
        <v>Tuesday</v>
      </c>
      <c r="C2106" s="88" t="s">
        <v>1381</v>
      </c>
      <c r="D2106" s="88" t="s">
        <v>940</v>
      </c>
      <c r="E2106" s="89">
        <v>35.76</v>
      </c>
      <c r="F2106" s="88" t="s">
        <v>5</v>
      </c>
      <c r="G2106" s="87">
        <f>Table1[[#This Row],[date]]</f>
        <v>45615</v>
      </c>
      <c r="H2106" s="94">
        <f>SUMIF($A$2:A5741,G2106,$E$2:E5741)</f>
        <v>333.09999999999997</v>
      </c>
      <c r="I2106" s="93" t="str">
        <f t="shared" si="129"/>
        <v>Tuesday</v>
      </c>
      <c r="J2106" s="93" t="str">
        <f t="shared" si="130"/>
        <v>November</v>
      </c>
      <c r="K2106" s="93" t="str">
        <f t="shared" si="131"/>
        <v>2024</v>
      </c>
      <c r="L2106" s="6"/>
      <c r="M2106" s="6"/>
      <c r="N2106" s="6"/>
    </row>
    <row r="2107" spans="1:14" x14ac:dyDescent="0.3">
      <c r="A2107" s="92">
        <v>45615</v>
      </c>
      <c r="B2107" s="92" t="str">
        <f t="shared" si="128"/>
        <v>Tuesday</v>
      </c>
      <c r="C2107" s="93" t="s">
        <v>1381</v>
      </c>
      <c r="D2107" s="93" t="s">
        <v>21</v>
      </c>
      <c r="E2107" s="94">
        <v>35.76</v>
      </c>
      <c r="F2107" s="93" t="s">
        <v>16</v>
      </c>
      <c r="G2107" s="87">
        <f>Table1[[#This Row],[date]]</f>
        <v>45615</v>
      </c>
      <c r="H2107" s="94">
        <f>SUMIF($A$2:A5742,G2107,$E$2:E5742)</f>
        <v>333.09999999999997</v>
      </c>
      <c r="I2107" s="93" t="str">
        <f t="shared" si="129"/>
        <v>Tuesday</v>
      </c>
      <c r="J2107" s="93" t="str">
        <f t="shared" si="130"/>
        <v>November</v>
      </c>
      <c r="K2107" s="93" t="str">
        <f t="shared" si="131"/>
        <v>2024</v>
      </c>
      <c r="L2107" s="6"/>
      <c r="M2107" s="6"/>
      <c r="N2107" s="6"/>
    </row>
    <row r="2108" spans="1:14" x14ac:dyDescent="0.3">
      <c r="A2108" s="92">
        <v>45615</v>
      </c>
      <c r="B2108" s="92" t="str">
        <f t="shared" si="128"/>
        <v>Tuesday</v>
      </c>
      <c r="C2108" s="93" t="s">
        <v>1381</v>
      </c>
      <c r="D2108" s="93" t="s">
        <v>218</v>
      </c>
      <c r="E2108" s="94">
        <v>35.76</v>
      </c>
      <c r="F2108" s="93" t="s">
        <v>41</v>
      </c>
      <c r="G2108" s="87">
        <f>Table1[[#This Row],[date]]</f>
        <v>45615</v>
      </c>
      <c r="H2108" s="94">
        <f>SUMIF($A$2:A5743,G2108,$E$2:E5743)</f>
        <v>333.09999999999997</v>
      </c>
      <c r="I2108" s="93" t="str">
        <f t="shared" si="129"/>
        <v>Tuesday</v>
      </c>
      <c r="J2108" s="93" t="str">
        <f t="shared" si="130"/>
        <v>November</v>
      </c>
      <c r="K2108" s="93" t="str">
        <f t="shared" si="131"/>
        <v>2024</v>
      </c>
      <c r="L2108" s="6"/>
      <c r="M2108" s="6"/>
      <c r="N2108" s="6"/>
    </row>
    <row r="2109" spans="1:14" x14ac:dyDescent="0.3">
      <c r="A2109" s="87">
        <v>45615</v>
      </c>
      <c r="B2109" s="87" t="str">
        <f t="shared" si="128"/>
        <v>Tuesday</v>
      </c>
      <c r="C2109" s="88" t="s">
        <v>1381</v>
      </c>
      <c r="D2109" s="88" t="s">
        <v>941</v>
      </c>
      <c r="E2109" s="89">
        <v>35.76</v>
      </c>
      <c r="F2109" s="88" t="s">
        <v>41</v>
      </c>
      <c r="G2109" s="87">
        <f>Table1[[#This Row],[date]]</f>
        <v>45615</v>
      </c>
      <c r="H2109" s="94">
        <f>SUMIF($A$2:A5744,G2109,$E$2:E5744)</f>
        <v>333.09999999999997</v>
      </c>
      <c r="I2109" s="93" t="str">
        <f t="shared" si="129"/>
        <v>Tuesday</v>
      </c>
      <c r="J2109" s="93" t="str">
        <f t="shared" si="130"/>
        <v>November</v>
      </c>
      <c r="K2109" s="93" t="str">
        <f t="shared" si="131"/>
        <v>2024</v>
      </c>
      <c r="L2109" s="6"/>
      <c r="M2109" s="6"/>
      <c r="N2109" s="6"/>
    </row>
    <row r="2110" spans="1:14" x14ac:dyDescent="0.3">
      <c r="A2110" s="92">
        <v>45616</v>
      </c>
      <c r="B2110" s="92" t="str">
        <f t="shared" si="128"/>
        <v>Wednesday</v>
      </c>
      <c r="C2110" s="93" t="s">
        <v>1381</v>
      </c>
      <c r="D2110" s="93" t="s">
        <v>942</v>
      </c>
      <c r="E2110" s="94">
        <v>30.86</v>
      </c>
      <c r="F2110" s="93" t="s">
        <v>12</v>
      </c>
      <c r="G2110" s="87">
        <f>Table1[[#This Row],[date]]</f>
        <v>45616</v>
      </c>
      <c r="H2110" s="94">
        <f>SUMIF($A$2:A5745,G2110,$E$2:E5745)</f>
        <v>138.13999999999999</v>
      </c>
      <c r="I2110" s="93" t="str">
        <f t="shared" si="129"/>
        <v>Wednesday</v>
      </c>
      <c r="J2110" s="93" t="str">
        <f t="shared" si="130"/>
        <v>November</v>
      </c>
      <c r="K2110" s="93" t="str">
        <f t="shared" si="131"/>
        <v>2024</v>
      </c>
      <c r="L2110" s="6"/>
      <c r="M2110" s="6"/>
      <c r="N2110" s="6"/>
    </row>
    <row r="2111" spans="1:14" x14ac:dyDescent="0.3">
      <c r="A2111" s="87">
        <v>45616</v>
      </c>
      <c r="B2111" s="87" t="str">
        <f t="shared" si="128"/>
        <v>Wednesday</v>
      </c>
      <c r="C2111" s="88" t="s">
        <v>1381</v>
      </c>
      <c r="D2111" s="88" t="s">
        <v>918</v>
      </c>
      <c r="E2111" s="89">
        <v>35.76</v>
      </c>
      <c r="F2111" s="88" t="s">
        <v>5</v>
      </c>
      <c r="G2111" s="87">
        <f>Table1[[#This Row],[date]]</f>
        <v>45616</v>
      </c>
      <c r="H2111" s="94">
        <f>SUMIF($A$2:A5746,G2111,$E$2:E5746)</f>
        <v>138.13999999999999</v>
      </c>
      <c r="I2111" s="93" t="str">
        <f t="shared" si="129"/>
        <v>Wednesday</v>
      </c>
      <c r="J2111" s="93" t="str">
        <f t="shared" si="130"/>
        <v>November</v>
      </c>
      <c r="K2111" s="93" t="str">
        <f t="shared" si="131"/>
        <v>2024</v>
      </c>
      <c r="L2111" s="6"/>
      <c r="M2111" s="6"/>
      <c r="N2111" s="6"/>
    </row>
    <row r="2112" spans="1:14" x14ac:dyDescent="0.3">
      <c r="A2112" s="92">
        <v>45616</v>
      </c>
      <c r="B2112" s="92" t="str">
        <f t="shared" si="128"/>
        <v>Wednesday</v>
      </c>
      <c r="C2112" s="93" t="s">
        <v>1381</v>
      </c>
      <c r="D2112" s="93" t="s">
        <v>943</v>
      </c>
      <c r="E2112" s="94">
        <v>35.76</v>
      </c>
      <c r="F2112" s="93" t="s">
        <v>41</v>
      </c>
      <c r="G2112" s="87">
        <f>Table1[[#This Row],[date]]</f>
        <v>45616</v>
      </c>
      <c r="H2112" s="94">
        <f>SUMIF($A$2:A5747,G2112,$E$2:E5747)</f>
        <v>138.13999999999999</v>
      </c>
      <c r="I2112" s="93" t="str">
        <f t="shared" si="129"/>
        <v>Wednesday</v>
      </c>
      <c r="J2112" s="93" t="str">
        <f t="shared" si="130"/>
        <v>November</v>
      </c>
      <c r="K2112" s="93" t="str">
        <f t="shared" si="131"/>
        <v>2024</v>
      </c>
      <c r="L2112" s="6"/>
      <c r="M2112" s="6"/>
      <c r="N2112" s="6"/>
    </row>
    <row r="2113" spans="1:14" x14ac:dyDescent="0.3">
      <c r="A2113" s="87">
        <v>45616</v>
      </c>
      <c r="B2113" s="87" t="str">
        <f t="shared" si="128"/>
        <v>Wednesday</v>
      </c>
      <c r="C2113" s="88" t="s">
        <v>1381</v>
      </c>
      <c r="D2113" s="88" t="s">
        <v>943</v>
      </c>
      <c r="E2113" s="89">
        <v>35.76</v>
      </c>
      <c r="F2113" s="88" t="s">
        <v>7</v>
      </c>
      <c r="G2113" s="87">
        <f>Table1[[#This Row],[date]]</f>
        <v>45616</v>
      </c>
      <c r="H2113" s="94">
        <f>SUMIF($A$2:A5748,G2113,$E$2:E5748)</f>
        <v>138.13999999999999</v>
      </c>
      <c r="I2113" s="93" t="str">
        <f t="shared" si="129"/>
        <v>Wednesday</v>
      </c>
      <c r="J2113" s="93" t="str">
        <f t="shared" si="130"/>
        <v>November</v>
      </c>
      <c r="K2113" s="93" t="str">
        <f t="shared" si="131"/>
        <v>2024</v>
      </c>
      <c r="L2113" s="6"/>
      <c r="M2113" s="6"/>
      <c r="N2113" s="6"/>
    </row>
    <row r="2114" spans="1:14" x14ac:dyDescent="0.3">
      <c r="A2114" s="92">
        <v>45617</v>
      </c>
      <c r="B2114" s="92" t="str">
        <f t="shared" ref="B2114:B2177" si="132">TEXT(A2114,"dddd")</f>
        <v>Thursday</v>
      </c>
      <c r="C2114" s="93" t="s">
        <v>1381</v>
      </c>
      <c r="D2114" s="93" t="s">
        <v>153</v>
      </c>
      <c r="E2114" s="94">
        <v>25.96</v>
      </c>
      <c r="F2114" s="93" t="s">
        <v>26</v>
      </c>
      <c r="G2114" s="87">
        <f>Table1[[#This Row],[date]]</f>
        <v>45617</v>
      </c>
      <c r="H2114" s="94">
        <f>SUMIF($A$2:A5749,G2114,$E$2:E5749)</f>
        <v>225.81999999999996</v>
      </c>
      <c r="I2114" s="93" t="str">
        <f t="shared" si="129"/>
        <v>Thursday</v>
      </c>
      <c r="J2114" s="93" t="str">
        <f t="shared" si="130"/>
        <v>November</v>
      </c>
      <c r="K2114" s="93" t="str">
        <f t="shared" si="131"/>
        <v>2024</v>
      </c>
      <c r="L2114" s="6"/>
      <c r="M2114" s="6"/>
      <c r="N2114" s="6"/>
    </row>
    <row r="2115" spans="1:14" x14ac:dyDescent="0.3">
      <c r="A2115" s="87">
        <v>45617</v>
      </c>
      <c r="B2115" s="87" t="str">
        <f t="shared" si="132"/>
        <v>Thursday</v>
      </c>
      <c r="C2115" s="88" t="s">
        <v>1381</v>
      </c>
      <c r="D2115" s="88" t="s">
        <v>918</v>
      </c>
      <c r="E2115" s="89">
        <v>35.76</v>
      </c>
      <c r="F2115" s="88" t="s">
        <v>5</v>
      </c>
      <c r="G2115" s="87">
        <f>Table1[[#This Row],[date]]</f>
        <v>45617</v>
      </c>
      <c r="H2115" s="94">
        <f>SUMIF($A$2:A5750,G2115,$E$2:E5750)</f>
        <v>225.81999999999996</v>
      </c>
      <c r="I2115" s="93" t="str">
        <f t="shared" si="129"/>
        <v>Thursday</v>
      </c>
      <c r="J2115" s="93" t="str">
        <f t="shared" si="130"/>
        <v>November</v>
      </c>
      <c r="K2115" s="93" t="str">
        <f t="shared" si="131"/>
        <v>2024</v>
      </c>
      <c r="L2115" s="6"/>
      <c r="M2115" s="6"/>
      <c r="N2115" s="6"/>
    </row>
    <row r="2116" spans="1:14" x14ac:dyDescent="0.3">
      <c r="A2116" s="92">
        <v>45617</v>
      </c>
      <c r="B2116" s="92" t="str">
        <f t="shared" si="132"/>
        <v>Thursday</v>
      </c>
      <c r="C2116" s="93" t="s">
        <v>1381</v>
      </c>
      <c r="D2116" s="93" t="s">
        <v>915</v>
      </c>
      <c r="E2116" s="94">
        <v>35.76</v>
      </c>
      <c r="F2116" s="93" t="s">
        <v>16</v>
      </c>
      <c r="G2116" s="87">
        <f>Table1[[#This Row],[date]]</f>
        <v>45617</v>
      </c>
      <c r="H2116" s="94">
        <f>SUMIF($A$2:A5751,G2116,$E$2:E5751)</f>
        <v>225.81999999999996</v>
      </c>
      <c r="I2116" s="93" t="str">
        <f t="shared" si="129"/>
        <v>Thursday</v>
      </c>
      <c r="J2116" s="93" t="str">
        <f t="shared" si="130"/>
        <v>November</v>
      </c>
      <c r="K2116" s="93" t="str">
        <f t="shared" si="131"/>
        <v>2024</v>
      </c>
      <c r="L2116" s="6"/>
      <c r="M2116" s="6"/>
      <c r="N2116" s="6"/>
    </row>
    <row r="2117" spans="1:14" x14ac:dyDescent="0.3">
      <c r="A2117" s="87">
        <v>45617</v>
      </c>
      <c r="B2117" s="87" t="str">
        <f t="shared" si="132"/>
        <v>Thursday</v>
      </c>
      <c r="C2117" s="88" t="s">
        <v>1381</v>
      </c>
      <c r="D2117" s="88" t="s">
        <v>944</v>
      </c>
      <c r="E2117" s="89">
        <v>35.76</v>
      </c>
      <c r="F2117" s="88" t="s">
        <v>16</v>
      </c>
      <c r="G2117" s="87">
        <f>Table1[[#This Row],[date]]</f>
        <v>45617</v>
      </c>
      <c r="H2117" s="94">
        <f>SUMIF($A$2:A5752,G2117,$E$2:E5752)</f>
        <v>225.81999999999996</v>
      </c>
      <c r="I2117" s="93" t="str">
        <f t="shared" si="129"/>
        <v>Thursday</v>
      </c>
      <c r="J2117" s="93" t="str">
        <f t="shared" si="130"/>
        <v>November</v>
      </c>
      <c r="K2117" s="93" t="str">
        <f t="shared" si="131"/>
        <v>2024</v>
      </c>
      <c r="L2117" s="6"/>
      <c r="M2117" s="6"/>
      <c r="N2117" s="6"/>
    </row>
    <row r="2118" spans="1:14" x14ac:dyDescent="0.3">
      <c r="A2118" s="87">
        <v>45617</v>
      </c>
      <c r="B2118" s="87" t="str">
        <f t="shared" si="132"/>
        <v>Thursday</v>
      </c>
      <c r="C2118" s="88" t="s">
        <v>1381</v>
      </c>
      <c r="D2118" s="88" t="s">
        <v>945</v>
      </c>
      <c r="E2118" s="89">
        <v>30.86</v>
      </c>
      <c r="F2118" s="88" t="s">
        <v>12</v>
      </c>
      <c r="G2118" s="87">
        <f>Table1[[#This Row],[date]]</f>
        <v>45617</v>
      </c>
      <c r="H2118" s="94">
        <f>SUMIF($A$2:A5753,G2118,$E$2:E5753)</f>
        <v>225.81999999999996</v>
      </c>
      <c r="I2118" s="93" t="str">
        <f t="shared" ref="I2118:I2181" si="133">TEXT(G2118,"dddd")</f>
        <v>Thursday</v>
      </c>
      <c r="J2118" s="93" t="str">
        <f t="shared" si="130"/>
        <v>November</v>
      </c>
      <c r="K2118" s="93" t="str">
        <f t="shared" si="131"/>
        <v>2024</v>
      </c>
      <c r="L2118" s="6"/>
      <c r="M2118" s="6"/>
      <c r="N2118" s="6"/>
    </row>
    <row r="2119" spans="1:14" x14ac:dyDescent="0.3">
      <c r="A2119" s="92">
        <v>45617</v>
      </c>
      <c r="B2119" s="92" t="str">
        <f t="shared" si="132"/>
        <v>Thursday</v>
      </c>
      <c r="C2119" s="93" t="s">
        <v>1381</v>
      </c>
      <c r="D2119" s="93" t="s">
        <v>946</v>
      </c>
      <c r="E2119" s="94">
        <v>25.96</v>
      </c>
      <c r="F2119" s="93" t="s">
        <v>26</v>
      </c>
      <c r="G2119" s="87">
        <f>Table1[[#This Row],[date]]</f>
        <v>45617</v>
      </c>
      <c r="H2119" s="94">
        <f>SUMIF($A$2:A5754,G2119,$E$2:E5754)</f>
        <v>225.81999999999996</v>
      </c>
      <c r="I2119" s="93" t="str">
        <f t="shared" si="133"/>
        <v>Thursday</v>
      </c>
      <c r="J2119" s="93" t="str">
        <f t="shared" ref="J2119:J2182" si="134">TEXT(G2119,"mmmm")</f>
        <v>November</v>
      </c>
      <c r="K2119" s="93" t="str">
        <f t="shared" ref="K2119:K2182" si="135">TEXT(G2119,"yyyy")</f>
        <v>2024</v>
      </c>
      <c r="L2119" s="6"/>
      <c r="M2119" s="6"/>
      <c r="N2119" s="6"/>
    </row>
    <row r="2120" spans="1:14" x14ac:dyDescent="0.3">
      <c r="A2120" s="87">
        <v>45617</v>
      </c>
      <c r="B2120" s="87" t="str">
        <f t="shared" si="132"/>
        <v>Thursday</v>
      </c>
      <c r="C2120" s="88" t="s">
        <v>1381</v>
      </c>
      <c r="D2120" s="88" t="s">
        <v>947</v>
      </c>
      <c r="E2120" s="89">
        <v>35.76</v>
      </c>
      <c r="F2120" s="88" t="s">
        <v>7</v>
      </c>
      <c r="G2120" s="87">
        <f>Table1[[#This Row],[date]]</f>
        <v>45617</v>
      </c>
      <c r="H2120" s="94">
        <f>SUMIF($A$2:A5755,G2120,$E$2:E5755)</f>
        <v>225.81999999999996</v>
      </c>
      <c r="I2120" s="93" t="str">
        <f t="shared" si="133"/>
        <v>Thursday</v>
      </c>
      <c r="J2120" s="93" t="str">
        <f t="shared" si="134"/>
        <v>November</v>
      </c>
      <c r="K2120" s="93" t="str">
        <f t="shared" si="135"/>
        <v>2024</v>
      </c>
      <c r="L2120" s="6"/>
      <c r="M2120" s="6"/>
      <c r="N2120" s="6"/>
    </row>
    <row r="2121" spans="1:14" x14ac:dyDescent="0.3">
      <c r="A2121" s="92">
        <v>45618</v>
      </c>
      <c r="B2121" s="92" t="str">
        <f t="shared" si="132"/>
        <v>Friday</v>
      </c>
      <c r="C2121" s="93" t="s">
        <v>1381</v>
      </c>
      <c r="D2121" s="93" t="s">
        <v>918</v>
      </c>
      <c r="E2121" s="94">
        <v>35.76</v>
      </c>
      <c r="F2121" s="93" t="s">
        <v>5</v>
      </c>
      <c r="G2121" s="87">
        <f>Table1[[#This Row],[date]]</f>
        <v>45618</v>
      </c>
      <c r="H2121" s="94">
        <f>SUMIF($A$2:A5756,G2121,$E$2:E5756)</f>
        <v>214.55999999999997</v>
      </c>
      <c r="I2121" s="93" t="str">
        <f t="shared" si="133"/>
        <v>Friday</v>
      </c>
      <c r="J2121" s="93" t="str">
        <f t="shared" si="134"/>
        <v>November</v>
      </c>
      <c r="K2121" s="93" t="str">
        <f t="shared" si="135"/>
        <v>2024</v>
      </c>
      <c r="L2121" s="6"/>
      <c r="M2121" s="6"/>
      <c r="N2121" s="6"/>
    </row>
    <row r="2122" spans="1:14" x14ac:dyDescent="0.3">
      <c r="A2122" s="87">
        <v>45618</v>
      </c>
      <c r="B2122" s="87" t="str">
        <f t="shared" si="132"/>
        <v>Friday</v>
      </c>
      <c r="C2122" s="88" t="s">
        <v>1381</v>
      </c>
      <c r="D2122" s="88" t="s">
        <v>708</v>
      </c>
      <c r="E2122" s="89">
        <v>35.76</v>
      </c>
      <c r="F2122" s="88" t="s">
        <v>41</v>
      </c>
      <c r="G2122" s="87">
        <f>Table1[[#This Row],[date]]</f>
        <v>45618</v>
      </c>
      <c r="H2122" s="94">
        <f>SUMIF($A$2:A5757,G2122,$E$2:E5757)</f>
        <v>214.55999999999997</v>
      </c>
      <c r="I2122" s="93" t="str">
        <f t="shared" si="133"/>
        <v>Friday</v>
      </c>
      <c r="J2122" s="93" t="str">
        <f t="shared" si="134"/>
        <v>November</v>
      </c>
      <c r="K2122" s="93" t="str">
        <f t="shared" si="135"/>
        <v>2024</v>
      </c>
      <c r="L2122" s="6"/>
      <c r="M2122" s="6"/>
      <c r="N2122" s="6"/>
    </row>
    <row r="2123" spans="1:14" x14ac:dyDescent="0.3">
      <c r="A2123" s="92">
        <v>45618</v>
      </c>
      <c r="B2123" s="92" t="str">
        <f t="shared" si="132"/>
        <v>Friday</v>
      </c>
      <c r="C2123" s="93" t="s">
        <v>1381</v>
      </c>
      <c r="D2123" s="93" t="s">
        <v>948</v>
      </c>
      <c r="E2123" s="94">
        <v>35.76</v>
      </c>
      <c r="F2123" s="93" t="s">
        <v>5</v>
      </c>
      <c r="G2123" s="87">
        <f>Table1[[#This Row],[date]]</f>
        <v>45618</v>
      </c>
      <c r="H2123" s="94">
        <f>SUMIF($A$2:A5758,G2123,$E$2:E5758)</f>
        <v>214.55999999999997</v>
      </c>
      <c r="I2123" s="93" t="str">
        <f t="shared" si="133"/>
        <v>Friday</v>
      </c>
      <c r="J2123" s="93" t="str">
        <f t="shared" si="134"/>
        <v>November</v>
      </c>
      <c r="K2123" s="93" t="str">
        <f t="shared" si="135"/>
        <v>2024</v>
      </c>
      <c r="L2123" s="6"/>
      <c r="M2123" s="6"/>
      <c r="N2123" s="6"/>
    </row>
    <row r="2124" spans="1:14" x14ac:dyDescent="0.3">
      <c r="A2124" s="87">
        <v>45618</v>
      </c>
      <c r="B2124" s="87" t="str">
        <f t="shared" si="132"/>
        <v>Friday</v>
      </c>
      <c r="C2124" s="88" t="s">
        <v>1381</v>
      </c>
      <c r="D2124" s="88" t="s">
        <v>949</v>
      </c>
      <c r="E2124" s="89">
        <v>35.76</v>
      </c>
      <c r="F2124" s="88" t="s">
        <v>16</v>
      </c>
      <c r="G2124" s="87">
        <f>Table1[[#This Row],[date]]</f>
        <v>45618</v>
      </c>
      <c r="H2124" s="94">
        <f>SUMIF($A$2:A5759,G2124,$E$2:E5759)</f>
        <v>214.55999999999997</v>
      </c>
      <c r="I2124" s="93" t="str">
        <f t="shared" si="133"/>
        <v>Friday</v>
      </c>
      <c r="J2124" s="93" t="str">
        <f t="shared" si="134"/>
        <v>November</v>
      </c>
      <c r="K2124" s="93" t="str">
        <f t="shared" si="135"/>
        <v>2024</v>
      </c>
      <c r="L2124" s="6"/>
      <c r="M2124" s="6"/>
      <c r="N2124" s="6"/>
    </row>
    <row r="2125" spans="1:14" x14ac:dyDescent="0.3">
      <c r="A2125" s="92">
        <v>45618</v>
      </c>
      <c r="B2125" s="92" t="str">
        <f t="shared" si="132"/>
        <v>Friday</v>
      </c>
      <c r="C2125" s="93" t="s">
        <v>1381</v>
      </c>
      <c r="D2125" s="93" t="s">
        <v>950</v>
      </c>
      <c r="E2125" s="94">
        <v>35.76</v>
      </c>
      <c r="F2125" s="93" t="s">
        <v>7</v>
      </c>
      <c r="G2125" s="87">
        <f>Table1[[#This Row],[date]]</f>
        <v>45618</v>
      </c>
      <c r="H2125" s="94">
        <f>SUMIF($A$2:A5760,G2125,$E$2:E5760)</f>
        <v>214.55999999999997</v>
      </c>
      <c r="I2125" s="93" t="str">
        <f t="shared" si="133"/>
        <v>Friday</v>
      </c>
      <c r="J2125" s="93" t="str">
        <f t="shared" si="134"/>
        <v>November</v>
      </c>
      <c r="K2125" s="93" t="str">
        <f t="shared" si="135"/>
        <v>2024</v>
      </c>
      <c r="L2125" s="6"/>
      <c r="M2125" s="6"/>
      <c r="N2125" s="6"/>
    </row>
    <row r="2126" spans="1:14" x14ac:dyDescent="0.3">
      <c r="A2126" s="87">
        <v>45618</v>
      </c>
      <c r="B2126" s="87" t="str">
        <f t="shared" si="132"/>
        <v>Friday</v>
      </c>
      <c r="C2126" s="88" t="s">
        <v>1381</v>
      </c>
      <c r="D2126" s="88" t="s">
        <v>950</v>
      </c>
      <c r="E2126" s="89">
        <v>35.76</v>
      </c>
      <c r="F2126" s="88" t="s">
        <v>5</v>
      </c>
      <c r="G2126" s="87">
        <f>Table1[[#This Row],[date]]</f>
        <v>45618</v>
      </c>
      <c r="H2126" s="94">
        <f>SUMIF($A$2:A5761,G2126,$E$2:E5761)</f>
        <v>214.55999999999997</v>
      </c>
      <c r="I2126" s="93" t="str">
        <f t="shared" si="133"/>
        <v>Friday</v>
      </c>
      <c r="J2126" s="93" t="str">
        <f t="shared" si="134"/>
        <v>November</v>
      </c>
      <c r="K2126" s="93" t="str">
        <f t="shared" si="135"/>
        <v>2024</v>
      </c>
      <c r="L2126" s="6"/>
      <c r="M2126" s="6"/>
      <c r="N2126" s="6"/>
    </row>
    <row r="2127" spans="1:14" x14ac:dyDescent="0.3">
      <c r="A2127" s="92">
        <v>45619</v>
      </c>
      <c r="B2127" s="92" t="str">
        <f t="shared" si="132"/>
        <v>Saturday</v>
      </c>
      <c r="C2127" s="93" t="s">
        <v>1381</v>
      </c>
      <c r="D2127" s="93" t="s">
        <v>555</v>
      </c>
      <c r="E2127" s="94">
        <v>25.96</v>
      </c>
      <c r="F2127" s="93" t="s">
        <v>26</v>
      </c>
      <c r="G2127" s="87">
        <f>Table1[[#This Row],[date]]</f>
        <v>45619</v>
      </c>
      <c r="H2127" s="94">
        <f>SUMIF($A$2:A5762,G2127,$E$2:E5762)</f>
        <v>194.95999999999998</v>
      </c>
      <c r="I2127" s="93" t="str">
        <f t="shared" si="133"/>
        <v>Saturday</v>
      </c>
      <c r="J2127" s="93" t="str">
        <f t="shared" si="134"/>
        <v>November</v>
      </c>
      <c r="K2127" s="93" t="str">
        <f t="shared" si="135"/>
        <v>2024</v>
      </c>
      <c r="L2127" s="6"/>
      <c r="M2127" s="6"/>
      <c r="N2127" s="6"/>
    </row>
    <row r="2128" spans="1:14" x14ac:dyDescent="0.3">
      <c r="A2128" s="92">
        <v>45619</v>
      </c>
      <c r="B2128" s="92" t="str">
        <f t="shared" si="132"/>
        <v>Saturday</v>
      </c>
      <c r="C2128" s="93" t="s">
        <v>1381</v>
      </c>
      <c r="D2128" s="93" t="s">
        <v>695</v>
      </c>
      <c r="E2128" s="94">
        <v>35.76</v>
      </c>
      <c r="F2128" s="93" t="s">
        <v>5</v>
      </c>
      <c r="G2128" s="87">
        <f>Table1[[#This Row],[date]]</f>
        <v>45619</v>
      </c>
      <c r="H2128" s="94">
        <f>SUMIF($A$2:A5763,G2128,$E$2:E5763)</f>
        <v>194.95999999999998</v>
      </c>
      <c r="I2128" s="93" t="str">
        <f t="shared" si="133"/>
        <v>Saturday</v>
      </c>
      <c r="J2128" s="93" t="str">
        <f t="shared" si="134"/>
        <v>November</v>
      </c>
      <c r="K2128" s="93" t="str">
        <f t="shared" si="135"/>
        <v>2024</v>
      </c>
      <c r="L2128" s="6"/>
      <c r="M2128" s="6"/>
      <c r="N2128" s="6"/>
    </row>
    <row r="2129" spans="1:14" x14ac:dyDescent="0.3">
      <c r="A2129" s="87">
        <v>45619</v>
      </c>
      <c r="B2129" s="87" t="str">
        <f t="shared" si="132"/>
        <v>Saturday</v>
      </c>
      <c r="C2129" s="88" t="s">
        <v>1381</v>
      </c>
      <c r="D2129" s="88" t="s">
        <v>184</v>
      </c>
      <c r="E2129" s="89">
        <v>35.76</v>
      </c>
      <c r="F2129" s="88" t="s">
        <v>41</v>
      </c>
      <c r="G2129" s="87">
        <f>Table1[[#This Row],[date]]</f>
        <v>45619</v>
      </c>
      <c r="H2129" s="94">
        <f>SUMIF($A$2:A5764,G2129,$E$2:E5764)</f>
        <v>194.95999999999998</v>
      </c>
      <c r="I2129" s="93" t="str">
        <f t="shared" si="133"/>
        <v>Saturday</v>
      </c>
      <c r="J2129" s="93" t="str">
        <f t="shared" si="134"/>
        <v>November</v>
      </c>
      <c r="K2129" s="93" t="str">
        <f t="shared" si="135"/>
        <v>2024</v>
      </c>
      <c r="L2129" s="6"/>
      <c r="M2129" s="6"/>
      <c r="N2129" s="6"/>
    </row>
    <row r="2130" spans="1:14" x14ac:dyDescent="0.3">
      <c r="A2130" s="92">
        <v>45619</v>
      </c>
      <c r="B2130" s="92" t="str">
        <f t="shared" si="132"/>
        <v>Saturday</v>
      </c>
      <c r="C2130" s="93" t="s">
        <v>1381</v>
      </c>
      <c r="D2130" s="93" t="s">
        <v>951</v>
      </c>
      <c r="E2130" s="94">
        <v>25.96</v>
      </c>
      <c r="F2130" s="93" t="s">
        <v>9</v>
      </c>
      <c r="G2130" s="87">
        <f>Table1[[#This Row],[date]]</f>
        <v>45619</v>
      </c>
      <c r="H2130" s="94">
        <f>SUMIF($A$2:A5765,G2130,$E$2:E5765)</f>
        <v>194.95999999999998</v>
      </c>
      <c r="I2130" s="93" t="str">
        <f t="shared" si="133"/>
        <v>Saturday</v>
      </c>
      <c r="J2130" s="93" t="str">
        <f t="shared" si="134"/>
        <v>November</v>
      </c>
      <c r="K2130" s="93" t="str">
        <f t="shared" si="135"/>
        <v>2024</v>
      </c>
      <c r="L2130" s="6"/>
      <c r="M2130" s="6"/>
      <c r="N2130" s="6"/>
    </row>
    <row r="2131" spans="1:14" x14ac:dyDescent="0.3">
      <c r="A2131" s="92">
        <v>45619</v>
      </c>
      <c r="B2131" s="92" t="str">
        <f t="shared" si="132"/>
        <v>Saturday</v>
      </c>
      <c r="C2131" s="93" t="s">
        <v>1381</v>
      </c>
      <c r="D2131" s="93" t="s">
        <v>506</v>
      </c>
      <c r="E2131" s="94">
        <v>35.76</v>
      </c>
      <c r="F2131" s="93" t="s">
        <v>7</v>
      </c>
      <c r="G2131" s="87">
        <f>Table1[[#This Row],[date]]</f>
        <v>45619</v>
      </c>
      <c r="H2131" s="94">
        <f>SUMIF($A$2:A5766,G2131,$E$2:E5766)</f>
        <v>194.95999999999998</v>
      </c>
      <c r="I2131" s="93" t="str">
        <f t="shared" si="133"/>
        <v>Saturday</v>
      </c>
      <c r="J2131" s="93" t="str">
        <f t="shared" si="134"/>
        <v>November</v>
      </c>
      <c r="K2131" s="93" t="str">
        <f t="shared" si="135"/>
        <v>2024</v>
      </c>
      <c r="L2131" s="6"/>
      <c r="M2131" s="6"/>
      <c r="N2131" s="6"/>
    </row>
    <row r="2132" spans="1:14" x14ac:dyDescent="0.3">
      <c r="A2132" s="87">
        <v>45619</v>
      </c>
      <c r="B2132" s="87" t="str">
        <f t="shared" si="132"/>
        <v>Saturday</v>
      </c>
      <c r="C2132" s="88" t="s">
        <v>1381</v>
      </c>
      <c r="D2132" s="88" t="s">
        <v>952</v>
      </c>
      <c r="E2132" s="89">
        <v>35.76</v>
      </c>
      <c r="F2132" s="88" t="s">
        <v>5</v>
      </c>
      <c r="G2132" s="87">
        <f>Table1[[#This Row],[date]]</f>
        <v>45619</v>
      </c>
      <c r="H2132" s="94">
        <f>SUMIF($A$2:A5767,G2132,$E$2:E5767)</f>
        <v>194.95999999999998</v>
      </c>
      <c r="I2132" s="93" t="str">
        <f t="shared" si="133"/>
        <v>Saturday</v>
      </c>
      <c r="J2132" s="93" t="str">
        <f t="shared" si="134"/>
        <v>November</v>
      </c>
      <c r="K2132" s="93" t="str">
        <f t="shared" si="135"/>
        <v>2024</v>
      </c>
      <c r="L2132" s="6"/>
      <c r="M2132" s="6"/>
      <c r="N2132" s="6"/>
    </row>
    <row r="2133" spans="1:14" x14ac:dyDescent="0.3">
      <c r="A2133" s="92">
        <v>45620</v>
      </c>
      <c r="B2133" s="92" t="str">
        <f t="shared" si="132"/>
        <v>Sunday</v>
      </c>
      <c r="C2133" s="93" t="s">
        <v>1381</v>
      </c>
      <c r="D2133" s="93" t="s">
        <v>582</v>
      </c>
      <c r="E2133" s="94">
        <v>35.76</v>
      </c>
      <c r="F2133" s="93" t="s">
        <v>5</v>
      </c>
      <c r="G2133" s="87">
        <f>Table1[[#This Row],[date]]</f>
        <v>45620</v>
      </c>
      <c r="H2133" s="94">
        <f>SUMIF($A$2:A5768,G2133,$E$2:E5768)</f>
        <v>35.76</v>
      </c>
      <c r="I2133" s="93" t="str">
        <f t="shared" si="133"/>
        <v>Sunday</v>
      </c>
      <c r="J2133" s="93" t="str">
        <f t="shared" si="134"/>
        <v>November</v>
      </c>
      <c r="K2133" s="93" t="str">
        <f t="shared" si="135"/>
        <v>2024</v>
      </c>
      <c r="L2133" s="6"/>
      <c r="M2133" s="6"/>
      <c r="N2133" s="6"/>
    </row>
    <row r="2134" spans="1:14" x14ac:dyDescent="0.3">
      <c r="A2134" s="87">
        <v>45621</v>
      </c>
      <c r="B2134" s="87" t="str">
        <f t="shared" si="132"/>
        <v>Monday</v>
      </c>
      <c r="C2134" s="88" t="s">
        <v>1381</v>
      </c>
      <c r="D2134" s="88" t="s">
        <v>708</v>
      </c>
      <c r="E2134" s="89">
        <v>35.76</v>
      </c>
      <c r="F2134" s="88" t="s">
        <v>41</v>
      </c>
      <c r="G2134" s="87">
        <f>Table1[[#This Row],[date]]</f>
        <v>45621</v>
      </c>
      <c r="H2134" s="94">
        <f>SUMIF($A$2:A5769,G2134,$E$2:E5769)</f>
        <v>373.75999999999993</v>
      </c>
      <c r="I2134" s="93" t="str">
        <f t="shared" si="133"/>
        <v>Monday</v>
      </c>
      <c r="J2134" s="93" t="str">
        <f t="shared" si="134"/>
        <v>November</v>
      </c>
      <c r="K2134" s="93" t="str">
        <f t="shared" si="135"/>
        <v>2024</v>
      </c>
      <c r="L2134" s="6"/>
      <c r="M2134" s="6"/>
      <c r="N2134" s="6"/>
    </row>
    <row r="2135" spans="1:14" x14ac:dyDescent="0.3">
      <c r="A2135" s="92">
        <v>45621</v>
      </c>
      <c r="B2135" s="92" t="str">
        <f t="shared" si="132"/>
        <v>Monday</v>
      </c>
      <c r="C2135" s="93" t="s">
        <v>1381</v>
      </c>
      <c r="D2135" s="93" t="s">
        <v>953</v>
      </c>
      <c r="E2135" s="94">
        <v>35.76</v>
      </c>
      <c r="F2135" s="93" t="s">
        <v>5</v>
      </c>
      <c r="G2135" s="87">
        <f>Table1[[#This Row],[date]]</f>
        <v>45621</v>
      </c>
      <c r="H2135" s="94">
        <f>SUMIF($A$2:A5770,G2135,$E$2:E5770)</f>
        <v>373.75999999999993</v>
      </c>
      <c r="I2135" s="93" t="str">
        <f t="shared" si="133"/>
        <v>Monday</v>
      </c>
      <c r="J2135" s="93" t="str">
        <f t="shared" si="134"/>
        <v>November</v>
      </c>
      <c r="K2135" s="93" t="str">
        <f t="shared" si="135"/>
        <v>2024</v>
      </c>
      <c r="L2135" s="6"/>
      <c r="M2135" s="6"/>
      <c r="N2135" s="6"/>
    </row>
    <row r="2136" spans="1:14" x14ac:dyDescent="0.3">
      <c r="A2136" s="87">
        <v>45621</v>
      </c>
      <c r="B2136" s="87" t="str">
        <f t="shared" si="132"/>
        <v>Monday</v>
      </c>
      <c r="C2136" s="88" t="s">
        <v>1381</v>
      </c>
      <c r="D2136" s="88" t="s">
        <v>288</v>
      </c>
      <c r="E2136" s="89">
        <v>30.86</v>
      </c>
      <c r="F2136" s="88" t="s">
        <v>12</v>
      </c>
      <c r="G2136" s="87">
        <f>Table1[[#This Row],[date]]</f>
        <v>45621</v>
      </c>
      <c r="H2136" s="94">
        <f>SUMIF($A$2:A5771,G2136,$E$2:E5771)</f>
        <v>373.75999999999993</v>
      </c>
      <c r="I2136" s="93" t="str">
        <f t="shared" si="133"/>
        <v>Monday</v>
      </c>
      <c r="J2136" s="93" t="str">
        <f t="shared" si="134"/>
        <v>November</v>
      </c>
      <c r="K2136" s="93" t="str">
        <f t="shared" si="135"/>
        <v>2024</v>
      </c>
      <c r="L2136" s="6"/>
      <c r="M2136" s="6"/>
      <c r="N2136" s="6"/>
    </row>
    <row r="2137" spans="1:14" x14ac:dyDescent="0.3">
      <c r="A2137" s="92">
        <v>45621</v>
      </c>
      <c r="B2137" s="92" t="str">
        <f t="shared" si="132"/>
        <v>Monday</v>
      </c>
      <c r="C2137" s="93" t="s">
        <v>1381</v>
      </c>
      <c r="D2137" s="93" t="s">
        <v>153</v>
      </c>
      <c r="E2137" s="94">
        <v>25.96</v>
      </c>
      <c r="F2137" s="93" t="s">
        <v>26</v>
      </c>
      <c r="G2137" s="87">
        <f>Table1[[#This Row],[date]]</f>
        <v>45621</v>
      </c>
      <c r="H2137" s="94">
        <f>SUMIF($A$2:A5772,G2137,$E$2:E5772)</f>
        <v>373.75999999999993</v>
      </c>
      <c r="I2137" s="93" t="str">
        <f t="shared" si="133"/>
        <v>Monday</v>
      </c>
      <c r="J2137" s="93" t="str">
        <f t="shared" si="134"/>
        <v>November</v>
      </c>
      <c r="K2137" s="93" t="str">
        <f t="shared" si="135"/>
        <v>2024</v>
      </c>
      <c r="L2137" s="6"/>
      <c r="M2137" s="6"/>
      <c r="N2137" s="6"/>
    </row>
    <row r="2138" spans="1:14" x14ac:dyDescent="0.3">
      <c r="A2138" s="87">
        <v>45621</v>
      </c>
      <c r="B2138" s="87" t="str">
        <f t="shared" si="132"/>
        <v>Monday</v>
      </c>
      <c r="C2138" s="88" t="s">
        <v>1381</v>
      </c>
      <c r="D2138" s="88" t="s">
        <v>954</v>
      </c>
      <c r="E2138" s="89">
        <v>35.76</v>
      </c>
      <c r="F2138" s="88" t="s">
        <v>5</v>
      </c>
      <c r="G2138" s="87">
        <f>Table1[[#This Row],[date]]</f>
        <v>45621</v>
      </c>
      <c r="H2138" s="94">
        <f>SUMIF($A$2:A5773,G2138,$E$2:E5773)</f>
        <v>373.75999999999993</v>
      </c>
      <c r="I2138" s="93" t="str">
        <f t="shared" si="133"/>
        <v>Monday</v>
      </c>
      <c r="J2138" s="93" t="str">
        <f t="shared" si="134"/>
        <v>November</v>
      </c>
      <c r="K2138" s="93" t="str">
        <f t="shared" si="135"/>
        <v>2024</v>
      </c>
      <c r="L2138" s="6"/>
      <c r="M2138" s="6"/>
      <c r="N2138" s="6"/>
    </row>
    <row r="2139" spans="1:14" x14ac:dyDescent="0.3">
      <c r="A2139" s="92">
        <v>45621</v>
      </c>
      <c r="B2139" s="92" t="str">
        <f t="shared" si="132"/>
        <v>Monday</v>
      </c>
      <c r="C2139" s="93" t="s">
        <v>1381</v>
      </c>
      <c r="D2139" s="93" t="s">
        <v>955</v>
      </c>
      <c r="E2139" s="94">
        <v>35.76</v>
      </c>
      <c r="F2139" s="93" t="s">
        <v>5</v>
      </c>
      <c r="G2139" s="87">
        <f>Table1[[#This Row],[date]]</f>
        <v>45621</v>
      </c>
      <c r="H2139" s="94">
        <f>SUMIF($A$2:A5774,G2139,$E$2:E5774)</f>
        <v>373.75999999999993</v>
      </c>
      <c r="I2139" s="93" t="str">
        <f t="shared" si="133"/>
        <v>Monday</v>
      </c>
      <c r="J2139" s="93" t="str">
        <f t="shared" si="134"/>
        <v>November</v>
      </c>
      <c r="K2139" s="93" t="str">
        <f t="shared" si="135"/>
        <v>2024</v>
      </c>
      <c r="L2139" s="6"/>
      <c r="M2139" s="6"/>
      <c r="N2139" s="6"/>
    </row>
    <row r="2140" spans="1:14" x14ac:dyDescent="0.3">
      <c r="A2140" s="87">
        <v>45621</v>
      </c>
      <c r="B2140" s="87" t="str">
        <f t="shared" si="132"/>
        <v>Monday</v>
      </c>
      <c r="C2140" s="88" t="s">
        <v>1381</v>
      </c>
      <c r="D2140" s="88" t="s">
        <v>883</v>
      </c>
      <c r="E2140" s="89">
        <v>35.76</v>
      </c>
      <c r="F2140" s="88" t="s">
        <v>7</v>
      </c>
      <c r="G2140" s="87">
        <f>Table1[[#This Row],[date]]</f>
        <v>45621</v>
      </c>
      <c r="H2140" s="94">
        <f>SUMIF($A$2:A5775,G2140,$E$2:E5775)</f>
        <v>373.75999999999993</v>
      </c>
      <c r="I2140" s="93" t="str">
        <f t="shared" si="133"/>
        <v>Monday</v>
      </c>
      <c r="J2140" s="93" t="str">
        <f t="shared" si="134"/>
        <v>November</v>
      </c>
      <c r="K2140" s="93" t="str">
        <f t="shared" si="135"/>
        <v>2024</v>
      </c>
      <c r="L2140" s="6"/>
      <c r="M2140" s="6"/>
      <c r="N2140" s="6"/>
    </row>
    <row r="2141" spans="1:14" x14ac:dyDescent="0.3">
      <c r="A2141" s="92">
        <v>45621</v>
      </c>
      <c r="B2141" s="92" t="str">
        <f t="shared" si="132"/>
        <v>Monday</v>
      </c>
      <c r="C2141" s="93" t="s">
        <v>1381</v>
      </c>
      <c r="D2141" s="93" t="s">
        <v>956</v>
      </c>
      <c r="E2141" s="94">
        <v>30.86</v>
      </c>
      <c r="F2141" s="93" t="s">
        <v>12</v>
      </c>
      <c r="G2141" s="87">
        <f>Table1[[#This Row],[date]]</f>
        <v>45621</v>
      </c>
      <c r="H2141" s="94">
        <f>SUMIF($A$2:A5776,G2141,$E$2:E5776)</f>
        <v>373.75999999999993</v>
      </c>
      <c r="I2141" s="93" t="str">
        <f t="shared" si="133"/>
        <v>Monday</v>
      </c>
      <c r="J2141" s="93" t="str">
        <f t="shared" si="134"/>
        <v>November</v>
      </c>
      <c r="K2141" s="93" t="str">
        <f t="shared" si="135"/>
        <v>2024</v>
      </c>
      <c r="L2141" s="6"/>
      <c r="M2141" s="6"/>
      <c r="N2141" s="6"/>
    </row>
    <row r="2142" spans="1:14" x14ac:dyDescent="0.3">
      <c r="A2142" s="87">
        <v>45621</v>
      </c>
      <c r="B2142" s="87" t="str">
        <f t="shared" si="132"/>
        <v>Monday</v>
      </c>
      <c r="C2142" s="88" t="s">
        <v>1381</v>
      </c>
      <c r="D2142" s="88" t="s">
        <v>957</v>
      </c>
      <c r="E2142" s="89">
        <v>35.76</v>
      </c>
      <c r="F2142" s="88" t="s">
        <v>7</v>
      </c>
      <c r="G2142" s="87">
        <f>Table1[[#This Row],[date]]</f>
        <v>45621</v>
      </c>
      <c r="H2142" s="94">
        <f>SUMIF($A$2:A5777,G2142,$E$2:E5777)</f>
        <v>373.75999999999993</v>
      </c>
      <c r="I2142" s="93" t="str">
        <f t="shared" si="133"/>
        <v>Monday</v>
      </c>
      <c r="J2142" s="93" t="str">
        <f t="shared" si="134"/>
        <v>November</v>
      </c>
      <c r="K2142" s="93" t="str">
        <f t="shared" si="135"/>
        <v>2024</v>
      </c>
      <c r="L2142" s="6"/>
      <c r="M2142" s="6"/>
      <c r="N2142" s="6"/>
    </row>
    <row r="2143" spans="1:14" x14ac:dyDescent="0.3">
      <c r="A2143" s="92">
        <v>45621</v>
      </c>
      <c r="B2143" s="92" t="str">
        <f t="shared" si="132"/>
        <v>Monday</v>
      </c>
      <c r="C2143" s="93" t="s">
        <v>1381</v>
      </c>
      <c r="D2143" s="93" t="s">
        <v>649</v>
      </c>
      <c r="E2143" s="94">
        <v>35.76</v>
      </c>
      <c r="F2143" s="93" t="s">
        <v>7</v>
      </c>
      <c r="G2143" s="87">
        <f>Table1[[#This Row],[date]]</f>
        <v>45621</v>
      </c>
      <c r="H2143" s="94">
        <f>SUMIF($A$2:A5778,G2143,$E$2:E5778)</f>
        <v>373.75999999999993</v>
      </c>
      <c r="I2143" s="93" t="str">
        <f t="shared" si="133"/>
        <v>Monday</v>
      </c>
      <c r="J2143" s="93" t="str">
        <f t="shared" si="134"/>
        <v>November</v>
      </c>
      <c r="K2143" s="93" t="str">
        <f t="shared" si="135"/>
        <v>2024</v>
      </c>
      <c r="L2143" s="6"/>
      <c r="M2143" s="6"/>
      <c r="N2143" s="6"/>
    </row>
    <row r="2144" spans="1:14" x14ac:dyDescent="0.3">
      <c r="A2144" s="87">
        <v>45621</v>
      </c>
      <c r="B2144" s="87" t="str">
        <f t="shared" si="132"/>
        <v>Monday</v>
      </c>
      <c r="C2144" s="88" t="s">
        <v>1381</v>
      </c>
      <c r="D2144" s="88" t="s">
        <v>649</v>
      </c>
      <c r="E2144" s="89">
        <v>35.76</v>
      </c>
      <c r="F2144" s="88" t="s">
        <v>41</v>
      </c>
      <c r="G2144" s="87">
        <f>Table1[[#This Row],[date]]</f>
        <v>45621</v>
      </c>
      <c r="H2144" s="94">
        <f>SUMIF($A$2:A5779,G2144,$E$2:E5779)</f>
        <v>373.75999999999993</v>
      </c>
      <c r="I2144" s="93" t="str">
        <f t="shared" si="133"/>
        <v>Monday</v>
      </c>
      <c r="J2144" s="93" t="str">
        <f t="shared" si="134"/>
        <v>November</v>
      </c>
      <c r="K2144" s="93" t="str">
        <f t="shared" si="135"/>
        <v>2024</v>
      </c>
      <c r="L2144" s="6"/>
      <c r="M2144" s="6"/>
      <c r="N2144" s="6"/>
    </row>
    <row r="2145" spans="1:14" x14ac:dyDescent="0.3">
      <c r="A2145" s="92">
        <v>45622</v>
      </c>
      <c r="B2145" s="92" t="str">
        <f t="shared" si="132"/>
        <v>Tuesday</v>
      </c>
      <c r="C2145" s="93" t="s">
        <v>1381</v>
      </c>
      <c r="D2145" s="93" t="s">
        <v>582</v>
      </c>
      <c r="E2145" s="94">
        <v>35.76</v>
      </c>
      <c r="F2145" s="93" t="s">
        <v>5</v>
      </c>
      <c r="G2145" s="87">
        <f>Table1[[#This Row],[date]]</f>
        <v>45622</v>
      </c>
      <c r="H2145" s="94">
        <f>SUMIF($A$2:A5780,G2145,$E$2:E5780)</f>
        <v>297.33999999999997</v>
      </c>
      <c r="I2145" s="93" t="str">
        <f t="shared" si="133"/>
        <v>Tuesday</v>
      </c>
      <c r="J2145" s="93" t="str">
        <f t="shared" si="134"/>
        <v>November</v>
      </c>
      <c r="K2145" s="93" t="str">
        <f t="shared" si="135"/>
        <v>2024</v>
      </c>
      <c r="L2145" s="6"/>
      <c r="M2145" s="6"/>
      <c r="N2145" s="6"/>
    </row>
    <row r="2146" spans="1:14" x14ac:dyDescent="0.3">
      <c r="A2146" s="87">
        <v>45622</v>
      </c>
      <c r="B2146" s="87" t="str">
        <f t="shared" si="132"/>
        <v>Tuesday</v>
      </c>
      <c r="C2146" s="88" t="s">
        <v>1381</v>
      </c>
      <c r="D2146" s="88" t="s">
        <v>915</v>
      </c>
      <c r="E2146" s="89">
        <v>35.76</v>
      </c>
      <c r="F2146" s="88" t="s">
        <v>16</v>
      </c>
      <c r="G2146" s="87">
        <f>Table1[[#This Row],[date]]</f>
        <v>45622</v>
      </c>
      <c r="H2146" s="94">
        <f>SUMIF($A$2:A5781,G2146,$E$2:E5781)</f>
        <v>297.33999999999997</v>
      </c>
      <c r="I2146" s="93" t="str">
        <f t="shared" si="133"/>
        <v>Tuesday</v>
      </c>
      <c r="J2146" s="93" t="str">
        <f t="shared" si="134"/>
        <v>November</v>
      </c>
      <c r="K2146" s="93" t="str">
        <f t="shared" si="135"/>
        <v>2024</v>
      </c>
      <c r="L2146" s="6"/>
      <c r="M2146" s="6"/>
      <c r="N2146" s="6"/>
    </row>
    <row r="2147" spans="1:14" x14ac:dyDescent="0.3">
      <c r="A2147" s="92">
        <v>45622</v>
      </c>
      <c r="B2147" s="92" t="str">
        <f t="shared" si="132"/>
        <v>Tuesday</v>
      </c>
      <c r="C2147" s="93" t="s">
        <v>1381</v>
      </c>
      <c r="D2147" s="93" t="s">
        <v>958</v>
      </c>
      <c r="E2147" s="94">
        <v>25.96</v>
      </c>
      <c r="F2147" s="93" t="s">
        <v>9</v>
      </c>
      <c r="G2147" s="87">
        <f>Table1[[#This Row],[date]]</f>
        <v>45622</v>
      </c>
      <c r="H2147" s="94">
        <f>SUMIF($A$2:A5782,G2147,$E$2:E5782)</f>
        <v>297.33999999999997</v>
      </c>
      <c r="I2147" s="93" t="str">
        <f t="shared" si="133"/>
        <v>Tuesday</v>
      </c>
      <c r="J2147" s="93" t="str">
        <f t="shared" si="134"/>
        <v>November</v>
      </c>
      <c r="K2147" s="93" t="str">
        <f t="shared" si="135"/>
        <v>2024</v>
      </c>
      <c r="L2147" s="6"/>
      <c r="M2147" s="6"/>
      <c r="N2147" s="6"/>
    </row>
    <row r="2148" spans="1:14" x14ac:dyDescent="0.3">
      <c r="A2148" s="87">
        <v>45622</v>
      </c>
      <c r="B2148" s="87" t="str">
        <f t="shared" si="132"/>
        <v>Tuesday</v>
      </c>
      <c r="C2148" s="88" t="s">
        <v>1381</v>
      </c>
      <c r="D2148" s="88" t="s">
        <v>959</v>
      </c>
      <c r="E2148" s="89">
        <v>35.76</v>
      </c>
      <c r="F2148" s="88" t="s">
        <v>16</v>
      </c>
      <c r="G2148" s="87">
        <f>Table1[[#This Row],[date]]</f>
        <v>45622</v>
      </c>
      <c r="H2148" s="94">
        <f>SUMIF($A$2:A5783,G2148,$E$2:E5783)</f>
        <v>297.33999999999997</v>
      </c>
      <c r="I2148" s="93" t="str">
        <f t="shared" si="133"/>
        <v>Tuesday</v>
      </c>
      <c r="J2148" s="93" t="str">
        <f t="shared" si="134"/>
        <v>November</v>
      </c>
      <c r="K2148" s="93" t="str">
        <f t="shared" si="135"/>
        <v>2024</v>
      </c>
      <c r="L2148" s="6"/>
      <c r="M2148" s="6"/>
      <c r="N2148" s="6"/>
    </row>
    <row r="2149" spans="1:14" x14ac:dyDescent="0.3">
      <c r="A2149" s="87">
        <v>45622</v>
      </c>
      <c r="B2149" s="87" t="str">
        <f t="shared" si="132"/>
        <v>Tuesday</v>
      </c>
      <c r="C2149" s="88" t="s">
        <v>1381</v>
      </c>
      <c r="D2149" s="88" t="s">
        <v>960</v>
      </c>
      <c r="E2149" s="89">
        <v>35.76</v>
      </c>
      <c r="F2149" s="88" t="s">
        <v>5</v>
      </c>
      <c r="G2149" s="87">
        <f>Table1[[#This Row],[date]]</f>
        <v>45622</v>
      </c>
      <c r="H2149" s="94">
        <f>SUMIF($A$2:A5784,G2149,$E$2:E5784)</f>
        <v>297.33999999999997</v>
      </c>
      <c r="I2149" s="93" t="str">
        <f t="shared" si="133"/>
        <v>Tuesday</v>
      </c>
      <c r="J2149" s="93" t="str">
        <f t="shared" si="134"/>
        <v>November</v>
      </c>
      <c r="K2149" s="93" t="str">
        <f t="shared" si="135"/>
        <v>2024</v>
      </c>
      <c r="L2149" s="6"/>
      <c r="M2149" s="6"/>
      <c r="N2149" s="6"/>
    </row>
    <row r="2150" spans="1:14" x14ac:dyDescent="0.3">
      <c r="A2150" s="92">
        <v>45622</v>
      </c>
      <c r="B2150" s="92" t="str">
        <f t="shared" si="132"/>
        <v>Tuesday</v>
      </c>
      <c r="C2150" s="93" t="s">
        <v>1381</v>
      </c>
      <c r="D2150" s="93" t="s">
        <v>961</v>
      </c>
      <c r="E2150" s="94">
        <v>35.76</v>
      </c>
      <c r="F2150" s="93" t="s">
        <v>5</v>
      </c>
      <c r="G2150" s="87">
        <f>Table1[[#This Row],[date]]</f>
        <v>45622</v>
      </c>
      <c r="H2150" s="94">
        <f>SUMIF($A$2:A5785,G2150,$E$2:E5785)</f>
        <v>297.33999999999997</v>
      </c>
      <c r="I2150" s="93" t="str">
        <f t="shared" si="133"/>
        <v>Tuesday</v>
      </c>
      <c r="J2150" s="93" t="str">
        <f t="shared" si="134"/>
        <v>November</v>
      </c>
      <c r="K2150" s="93" t="str">
        <f t="shared" si="135"/>
        <v>2024</v>
      </c>
      <c r="L2150" s="6"/>
      <c r="M2150" s="6"/>
      <c r="N2150" s="6"/>
    </row>
    <row r="2151" spans="1:14" x14ac:dyDescent="0.3">
      <c r="A2151" s="87">
        <v>45622</v>
      </c>
      <c r="B2151" s="87" t="str">
        <f t="shared" si="132"/>
        <v>Tuesday</v>
      </c>
      <c r="C2151" s="88" t="s">
        <v>1381</v>
      </c>
      <c r="D2151" s="88" t="s">
        <v>962</v>
      </c>
      <c r="E2151" s="89">
        <v>25.96</v>
      </c>
      <c r="F2151" s="88" t="s">
        <v>9</v>
      </c>
      <c r="G2151" s="87">
        <f>Table1[[#This Row],[date]]</f>
        <v>45622</v>
      </c>
      <c r="H2151" s="94">
        <f>SUMIF($A$2:A5786,G2151,$E$2:E5786)</f>
        <v>297.33999999999997</v>
      </c>
      <c r="I2151" s="93" t="str">
        <f t="shared" si="133"/>
        <v>Tuesday</v>
      </c>
      <c r="J2151" s="93" t="str">
        <f t="shared" si="134"/>
        <v>November</v>
      </c>
      <c r="K2151" s="93" t="str">
        <f t="shared" si="135"/>
        <v>2024</v>
      </c>
      <c r="L2151" s="6"/>
      <c r="M2151" s="6"/>
      <c r="N2151" s="6"/>
    </row>
    <row r="2152" spans="1:14" x14ac:dyDescent="0.3">
      <c r="A2152" s="92">
        <v>45622</v>
      </c>
      <c r="B2152" s="92" t="str">
        <f t="shared" si="132"/>
        <v>Tuesday</v>
      </c>
      <c r="C2152" s="93" t="s">
        <v>1381</v>
      </c>
      <c r="D2152" s="93" t="s">
        <v>962</v>
      </c>
      <c r="E2152" s="94">
        <v>30.86</v>
      </c>
      <c r="F2152" s="93" t="s">
        <v>12</v>
      </c>
      <c r="G2152" s="87">
        <f>Table1[[#This Row],[date]]</f>
        <v>45622</v>
      </c>
      <c r="H2152" s="94">
        <f>SUMIF($A$2:A5787,G2152,$E$2:E5787)</f>
        <v>297.33999999999997</v>
      </c>
      <c r="I2152" s="93" t="str">
        <f t="shared" si="133"/>
        <v>Tuesday</v>
      </c>
      <c r="J2152" s="93" t="str">
        <f t="shared" si="134"/>
        <v>November</v>
      </c>
      <c r="K2152" s="93" t="str">
        <f t="shared" si="135"/>
        <v>2024</v>
      </c>
      <c r="L2152" s="6"/>
      <c r="M2152" s="6"/>
      <c r="N2152" s="6"/>
    </row>
    <row r="2153" spans="1:14" x14ac:dyDescent="0.3">
      <c r="A2153" s="87">
        <v>45622</v>
      </c>
      <c r="B2153" s="87" t="str">
        <f t="shared" si="132"/>
        <v>Tuesday</v>
      </c>
      <c r="C2153" s="88" t="s">
        <v>1381</v>
      </c>
      <c r="D2153" s="88" t="s">
        <v>963</v>
      </c>
      <c r="E2153" s="89">
        <v>35.76</v>
      </c>
      <c r="F2153" s="88" t="s">
        <v>16</v>
      </c>
      <c r="G2153" s="87">
        <f>Table1[[#This Row],[date]]</f>
        <v>45622</v>
      </c>
      <c r="H2153" s="94">
        <f>SUMIF($A$2:A5788,G2153,$E$2:E5788)</f>
        <v>297.33999999999997</v>
      </c>
      <c r="I2153" s="93" t="str">
        <f t="shared" si="133"/>
        <v>Tuesday</v>
      </c>
      <c r="J2153" s="93" t="str">
        <f t="shared" si="134"/>
        <v>November</v>
      </c>
      <c r="K2153" s="93" t="str">
        <f t="shared" si="135"/>
        <v>2024</v>
      </c>
      <c r="L2153" s="6"/>
      <c r="M2153" s="6"/>
      <c r="N2153" s="6"/>
    </row>
    <row r="2154" spans="1:14" x14ac:dyDescent="0.3">
      <c r="A2154" s="92">
        <v>45624</v>
      </c>
      <c r="B2154" s="92" t="str">
        <f t="shared" si="132"/>
        <v>Thursday</v>
      </c>
      <c r="C2154" s="93" t="s">
        <v>1381</v>
      </c>
      <c r="D2154" s="93" t="s">
        <v>964</v>
      </c>
      <c r="E2154" s="94">
        <v>35.76</v>
      </c>
      <c r="F2154" s="93" t="s">
        <v>41</v>
      </c>
      <c r="G2154" s="87">
        <f>Table1[[#This Row],[date]]</f>
        <v>45624</v>
      </c>
      <c r="H2154" s="94">
        <f>SUMIF($A$2:A5789,G2154,$E$2:E5789)</f>
        <v>204.76</v>
      </c>
      <c r="I2154" s="93" t="str">
        <f t="shared" si="133"/>
        <v>Thursday</v>
      </c>
      <c r="J2154" s="93" t="str">
        <f t="shared" si="134"/>
        <v>November</v>
      </c>
      <c r="K2154" s="93" t="str">
        <f t="shared" si="135"/>
        <v>2024</v>
      </c>
      <c r="L2154" s="6"/>
      <c r="M2154" s="6"/>
      <c r="N2154" s="6"/>
    </row>
    <row r="2155" spans="1:14" x14ac:dyDescent="0.3">
      <c r="A2155" s="87">
        <v>45624</v>
      </c>
      <c r="B2155" s="87" t="str">
        <f t="shared" si="132"/>
        <v>Thursday</v>
      </c>
      <c r="C2155" s="88" t="s">
        <v>1381</v>
      </c>
      <c r="D2155" s="88" t="s">
        <v>288</v>
      </c>
      <c r="E2155" s="89">
        <v>30.86</v>
      </c>
      <c r="F2155" s="88" t="s">
        <v>12</v>
      </c>
      <c r="G2155" s="87">
        <f>Table1[[#This Row],[date]]</f>
        <v>45624</v>
      </c>
      <c r="H2155" s="94">
        <f>SUMIF($A$2:A5790,G2155,$E$2:E5790)</f>
        <v>204.76</v>
      </c>
      <c r="I2155" s="93" t="str">
        <f t="shared" si="133"/>
        <v>Thursday</v>
      </c>
      <c r="J2155" s="93" t="str">
        <f t="shared" si="134"/>
        <v>November</v>
      </c>
      <c r="K2155" s="93" t="str">
        <f t="shared" si="135"/>
        <v>2024</v>
      </c>
      <c r="L2155" s="6"/>
      <c r="M2155" s="6"/>
      <c r="N2155" s="6"/>
    </row>
    <row r="2156" spans="1:14" x14ac:dyDescent="0.3">
      <c r="A2156" s="92">
        <v>45624</v>
      </c>
      <c r="B2156" s="92" t="str">
        <f t="shared" si="132"/>
        <v>Thursday</v>
      </c>
      <c r="C2156" s="93" t="s">
        <v>1381</v>
      </c>
      <c r="D2156" s="93" t="s">
        <v>21</v>
      </c>
      <c r="E2156" s="94">
        <v>30.86</v>
      </c>
      <c r="F2156" s="93" t="s">
        <v>12</v>
      </c>
      <c r="G2156" s="87">
        <f>Table1[[#This Row],[date]]</f>
        <v>45624</v>
      </c>
      <c r="H2156" s="94">
        <f>SUMIF($A$2:A5791,G2156,$E$2:E5791)</f>
        <v>204.76</v>
      </c>
      <c r="I2156" s="93" t="str">
        <f t="shared" si="133"/>
        <v>Thursday</v>
      </c>
      <c r="J2156" s="93" t="str">
        <f t="shared" si="134"/>
        <v>November</v>
      </c>
      <c r="K2156" s="93" t="str">
        <f t="shared" si="135"/>
        <v>2024</v>
      </c>
      <c r="L2156" s="6"/>
      <c r="M2156" s="6"/>
      <c r="N2156" s="6"/>
    </row>
    <row r="2157" spans="1:14" x14ac:dyDescent="0.3">
      <c r="A2157" s="87">
        <v>45624</v>
      </c>
      <c r="B2157" s="87" t="str">
        <f t="shared" si="132"/>
        <v>Thursday</v>
      </c>
      <c r="C2157" s="88" t="s">
        <v>1381</v>
      </c>
      <c r="D2157" s="88" t="s">
        <v>29</v>
      </c>
      <c r="E2157" s="89">
        <v>35.76</v>
      </c>
      <c r="F2157" s="88" t="s">
        <v>5</v>
      </c>
      <c r="G2157" s="87">
        <f>Table1[[#This Row],[date]]</f>
        <v>45624</v>
      </c>
      <c r="H2157" s="94">
        <f>SUMIF($A$2:A5792,G2157,$E$2:E5792)</f>
        <v>204.76</v>
      </c>
      <c r="I2157" s="93" t="str">
        <f t="shared" si="133"/>
        <v>Thursday</v>
      </c>
      <c r="J2157" s="93" t="str">
        <f t="shared" si="134"/>
        <v>November</v>
      </c>
      <c r="K2157" s="93" t="str">
        <f t="shared" si="135"/>
        <v>2024</v>
      </c>
      <c r="L2157" s="6"/>
      <c r="M2157" s="6"/>
      <c r="N2157" s="6"/>
    </row>
    <row r="2158" spans="1:14" x14ac:dyDescent="0.3">
      <c r="A2158" s="92">
        <v>45624</v>
      </c>
      <c r="B2158" s="92" t="str">
        <f t="shared" si="132"/>
        <v>Thursday</v>
      </c>
      <c r="C2158" s="93" t="s">
        <v>1381</v>
      </c>
      <c r="D2158" s="93" t="s">
        <v>519</v>
      </c>
      <c r="E2158" s="94">
        <v>35.76</v>
      </c>
      <c r="F2158" s="93" t="s">
        <v>5</v>
      </c>
      <c r="G2158" s="87">
        <f>Table1[[#This Row],[date]]</f>
        <v>45624</v>
      </c>
      <c r="H2158" s="94">
        <f>SUMIF($A$2:A5793,G2158,$E$2:E5793)</f>
        <v>204.76</v>
      </c>
      <c r="I2158" s="93" t="str">
        <f t="shared" si="133"/>
        <v>Thursday</v>
      </c>
      <c r="J2158" s="93" t="str">
        <f t="shared" si="134"/>
        <v>November</v>
      </c>
      <c r="K2158" s="93" t="str">
        <f t="shared" si="135"/>
        <v>2024</v>
      </c>
      <c r="L2158" s="6"/>
      <c r="M2158" s="6"/>
      <c r="N2158" s="6"/>
    </row>
    <row r="2159" spans="1:14" x14ac:dyDescent="0.3">
      <c r="A2159" s="87">
        <v>45624</v>
      </c>
      <c r="B2159" s="87" t="str">
        <f t="shared" si="132"/>
        <v>Thursday</v>
      </c>
      <c r="C2159" s="88" t="s">
        <v>1381</v>
      </c>
      <c r="D2159" s="88" t="s">
        <v>760</v>
      </c>
      <c r="E2159" s="89">
        <v>35.76</v>
      </c>
      <c r="F2159" s="88" t="s">
        <v>41</v>
      </c>
      <c r="G2159" s="87">
        <f>Table1[[#This Row],[date]]</f>
        <v>45624</v>
      </c>
      <c r="H2159" s="94">
        <f>SUMIF($A$2:A5794,G2159,$E$2:E5794)</f>
        <v>204.76</v>
      </c>
      <c r="I2159" s="93" t="str">
        <f t="shared" si="133"/>
        <v>Thursday</v>
      </c>
      <c r="J2159" s="93" t="str">
        <f t="shared" si="134"/>
        <v>November</v>
      </c>
      <c r="K2159" s="93" t="str">
        <f t="shared" si="135"/>
        <v>2024</v>
      </c>
      <c r="L2159" s="6"/>
      <c r="M2159" s="6"/>
      <c r="N2159" s="6"/>
    </row>
    <row r="2160" spans="1:14" x14ac:dyDescent="0.3">
      <c r="A2160" s="92">
        <v>45625</v>
      </c>
      <c r="B2160" s="92" t="str">
        <f t="shared" si="132"/>
        <v>Friday</v>
      </c>
      <c r="C2160" s="93" t="s">
        <v>1381</v>
      </c>
      <c r="D2160" s="93" t="s">
        <v>708</v>
      </c>
      <c r="E2160" s="94">
        <v>35.76</v>
      </c>
      <c r="F2160" s="93" t="s">
        <v>16</v>
      </c>
      <c r="G2160" s="87">
        <f>Table1[[#This Row],[date]]</f>
        <v>45625</v>
      </c>
      <c r="H2160" s="94">
        <f>SUMIF($A$2:A5795,G2160,$E$2:E5795)</f>
        <v>204.76</v>
      </c>
      <c r="I2160" s="93" t="str">
        <f t="shared" si="133"/>
        <v>Friday</v>
      </c>
      <c r="J2160" s="93" t="str">
        <f t="shared" si="134"/>
        <v>November</v>
      </c>
      <c r="K2160" s="93" t="str">
        <f t="shared" si="135"/>
        <v>2024</v>
      </c>
      <c r="L2160" s="6"/>
      <c r="M2160" s="6"/>
      <c r="N2160" s="6"/>
    </row>
    <row r="2161" spans="1:14" x14ac:dyDescent="0.3">
      <c r="A2161" s="87">
        <v>45625</v>
      </c>
      <c r="B2161" s="87" t="str">
        <f t="shared" si="132"/>
        <v>Friday</v>
      </c>
      <c r="C2161" s="88" t="s">
        <v>1381</v>
      </c>
      <c r="D2161" s="88" t="s">
        <v>582</v>
      </c>
      <c r="E2161" s="89">
        <v>35.76</v>
      </c>
      <c r="F2161" s="88" t="s">
        <v>5</v>
      </c>
      <c r="G2161" s="87">
        <f>Table1[[#This Row],[date]]</f>
        <v>45625</v>
      </c>
      <c r="H2161" s="94">
        <f>SUMIF($A$2:A5796,G2161,$E$2:E5796)</f>
        <v>204.76</v>
      </c>
      <c r="I2161" s="93" t="str">
        <f t="shared" si="133"/>
        <v>Friday</v>
      </c>
      <c r="J2161" s="93" t="str">
        <f t="shared" si="134"/>
        <v>November</v>
      </c>
      <c r="K2161" s="93" t="str">
        <f t="shared" si="135"/>
        <v>2024</v>
      </c>
      <c r="L2161" s="6"/>
      <c r="M2161" s="6"/>
      <c r="N2161" s="6"/>
    </row>
    <row r="2162" spans="1:14" x14ac:dyDescent="0.3">
      <c r="A2162" s="92">
        <v>45625</v>
      </c>
      <c r="B2162" s="92" t="str">
        <f t="shared" si="132"/>
        <v>Friday</v>
      </c>
      <c r="C2162" s="93" t="s">
        <v>1381</v>
      </c>
      <c r="D2162" s="93" t="s">
        <v>397</v>
      </c>
      <c r="E2162" s="94">
        <v>30.86</v>
      </c>
      <c r="F2162" s="93" t="s">
        <v>12</v>
      </c>
      <c r="G2162" s="87">
        <f>Table1[[#This Row],[date]]</f>
        <v>45625</v>
      </c>
      <c r="H2162" s="94">
        <f>SUMIF($A$2:A5797,G2162,$E$2:E5797)</f>
        <v>204.76</v>
      </c>
      <c r="I2162" s="93" t="str">
        <f t="shared" si="133"/>
        <v>Friday</v>
      </c>
      <c r="J2162" s="93" t="str">
        <f t="shared" si="134"/>
        <v>November</v>
      </c>
      <c r="K2162" s="93" t="str">
        <f t="shared" si="135"/>
        <v>2024</v>
      </c>
      <c r="L2162" s="6"/>
      <c r="M2162" s="6"/>
      <c r="N2162" s="6"/>
    </row>
    <row r="2163" spans="1:14" x14ac:dyDescent="0.3">
      <c r="A2163" s="92">
        <v>45625</v>
      </c>
      <c r="B2163" s="92" t="str">
        <f t="shared" si="132"/>
        <v>Friday</v>
      </c>
      <c r="C2163" s="93" t="s">
        <v>1381</v>
      </c>
      <c r="D2163" s="93" t="s">
        <v>965</v>
      </c>
      <c r="E2163" s="94">
        <v>30.86</v>
      </c>
      <c r="F2163" s="93" t="s">
        <v>12</v>
      </c>
      <c r="G2163" s="87">
        <f>Table1[[#This Row],[date]]</f>
        <v>45625</v>
      </c>
      <c r="H2163" s="94">
        <f>SUMIF($A$2:A5798,G2163,$E$2:E5798)</f>
        <v>204.76</v>
      </c>
      <c r="I2163" s="93" t="str">
        <f t="shared" si="133"/>
        <v>Friday</v>
      </c>
      <c r="J2163" s="93" t="str">
        <f t="shared" si="134"/>
        <v>November</v>
      </c>
      <c r="K2163" s="93" t="str">
        <f t="shared" si="135"/>
        <v>2024</v>
      </c>
      <c r="L2163" s="6"/>
      <c r="M2163" s="6"/>
      <c r="N2163" s="6"/>
    </row>
    <row r="2164" spans="1:14" x14ac:dyDescent="0.3">
      <c r="A2164" s="87">
        <v>45625</v>
      </c>
      <c r="B2164" s="87" t="str">
        <f t="shared" si="132"/>
        <v>Friday</v>
      </c>
      <c r="C2164" s="88" t="s">
        <v>1381</v>
      </c>
      <c r="D2164" s="88" t="s">
        <v>966</v>
      </c>
      <c r="E2164" s="89">
        <v>35.76</v>
      </c>
      <c r="F2164" s="88" t="s">
        <v>5</v>
      </c>
      <c r="G2164" s="87">
        <f>Table1[[#This Row],[date]]</f>
        <v>45625</v>
      </c>
      <c r="H2164" s="94">
        <f>SUMIF($A$2:A5799,G2164,$E$2:E5799)</f>
        <v>204.76</v>
      </c>
      <c r="I2164" s="93" t="str">
        <f t="shared" si="133"/>
        <v>Friday</v>
      </c>
      <c r="J2164" s="93" t="str">
        <f t="shared" si="134"/>
        <v>November</v>
      </c>
      <c r="K2164" s="93" t="str">
        <f t="shared" si="135"/>
        <v>2024</v>
      </c>
      <c r="L2164" s="6"/>
      <c r="M2164" s="6"/>
      <c r="N2164" s="6"/>
    </row>
    <row r="2165" spans="1:14" x14ac:dyDescent="0.3">
      <c r="A2165" s="92">
        <v>45625</v>
      </c>
      <c r="B2165" s="92" t="str">
        <f t="shared" si="132"/>
        <v>Friday</v>
      </c>
      <c r="C2165" s="93" t="s">
        <v>1381</v>
      </c>
      <c r="D2165" s="93" t="s">
        <v>967</v>
      </c>
      <c r="E2165" s="94">
        <v>35.76</v>
      </c>
      <c r="F2165" s="93" t="s">
        <v>16</v>
      </c>
      <c r="G2165" s="87">
        <f>Table1[[#This Row],[date]]</f>
        <v>45625</v>
      </c>
      <c r="H2165" s="94">
        <f>SUMIF($A$2:A5800,G2165,$E$2:E5800)</f>
        <v>204.76</v>
      </c>
      <c r="I2165" s="93" t="str">
        <f t="shared" si="133"/>
        <v>Friday</v>
      </c>
      <c r="J2165" s="93" t="str">
        <f t="shared" si="134"/>
        <v>November</v>
      </c>
      <c r="K2165" s="93" t="str">
        <f t="shared" si="135"/>
        <v>2024</v>
      </c>
      <c r="L2165" s="6"/>
      <c r="M2165" s="6"/>
      <c r="N2165" s="6"/>
    </row>
    <row r="2166" spans="1:14" x14ac:dyDescent="0.3">
      <c r="A2166" s="87">
        <v>45626</v>
      </c>
      <c r="B2166" s="87" t="str">
        <f t="shared" si="132"/>
        <v>Saturday</v>
      </c>
      <c r="C2166" s="88" t="s">
        <v>1381</v>
      </c>
      <c r="D2166" s="88" t="s">
        <v>582</v>
      </c>
      <c r="E2166" s="89">
        <v>35.76</v>
      </c>
      <c r="F2166" s="88" t="s">
        <v>16</v>
      </c>
      <c r="G2166" s="87">
        <f>Table1[[#This Row],[date]]</f>
        <v>45626</v>
      </c>
      <c r="H2166" s="94">
        <f>SUMIF($A$2:A5801,G2166,$E$2:E5801)</f>
        <v>194.95999999999998</v>
      </c>
      <c r="I2166" s="93" t="str">
        <f t="shared" si="133"/>
        <v>Saturday</v>
      </c>
      <c r="J2166" s="93" t="str">
        <f t="shared" si="134"/>
        <v>November</v>
      </c>
      <c r="K2166" s="93" t="str">
        <f t="shared" si="135"/>
        <v>2024</v>
      </c>
      <c r="L2166" s="6"/>
      <c r="M2166" s="6"/>
      <c r="N2166" s="6"/>
    </row>
    <row r="2167" spans="1:14" x14ac:dyDescent="0.3">
      <c r="A2167" s="92">
        <v>45626</v>
      </c>
      <c r="B2167" s="92" t="str">
        <f t="shared" si="132"/>
        <v>Saturday</v>
      </c>
      <c r="C2167" s="93" t="s">
        <v>1381</v>
      </c>
      <c r="D2167" s="93" t="s">
        <v>968</v>
      </c>
      <c r="E2167" s="94">
        <v>25.96</v>
      </c>
      <c r="F2167" s="93" t="s">
        <v>9</v>
      </c>
      <c r="G2167" s="87">
        <f>Table1[[#This Row],[date]]</f>
        <v>45626</v>
      </c>
      <c r="H2167" s="94">
        <f>SUMIF($A$2:A5802,G2167,$E$2:E5802)</f>
        <v>194.95999999999998</v>
      </c>
      <c r="I2167" s="93" t="str">
        <f t="shared" si="133"/>
        <v>Saturday</v>
      </c>
      <c r="J2167" s="93" t="str">
        <f t="shared" si="134"/>
        <v>November</v>
      </c>
      <c r="K2167" s="93" t="str">
        <f t="shared" si="135"/>
        <v>2024</v>
      </c>
      <c r="L2167" s="6"/>
      <c r="M2167" s="6"/>
      <c r="N2167" s="6"/>
    </row>
    <row r="2168" spans="1:14" x14ac:dyDescent="0.3">
      <c r="A2168" s="87">
        <v>45626</v>
      </c>
      <c r="B2168" s="87" t="str">
        <f t="shared" si="132"/>
        <v>Saturday</v>
      </c>
      <c r="C2168" s="88" t="s">
        <v>1381</v>
      </c>
      <c r="D2168" s="88" t="s">
        <v>968</v>
      </c>
      <c r="E2168" s="89">
        <v>35.76</v>
      </c>
      <c r="F2168" s="88" t="s">
        <v>7</v>
      </c>
      <c r="G2168" s="87">
        <f>Table1[[#This Row],[date]]</f>
        <v>45626</v>
      </c>
      <c r="H2168" s="94">
        <f>SUMIF($A$2:A5803,G2168,$E$2:E5803)</f>
        <v>194.95999999999998</v>
      </c>
      <c r="I2168" s="93" t="str">
        <f t="shared" si="133"/>
        <v>Saturday</v>
      </c>
      <c r="J2168" s="93" t="str">
        <f t="shared" si="134"/>
        <v>November</v>
      </c>
      <c r="K2168" s="93" t="str">
        <f t="shared" si="135"/>
        <v>2024</v>
      </c>
      <c r="L2168" s="6"/>
      <c r="M2168" s="6"/>
      <c r="N2168" s="6"/>
    </row>
    <row r="2169" spans="1:14" x14ac:dyDescent="0.3">
      <c r="A2169" s="92">
        <v>45626</v>
      </c>
      <c r="B2169" s="92" t="str">
        <f t="shared" si="132"/>
        <v>Saturday</v>
      </c>
      <c r="C2169" s="93" t="s">
        <v>1381</v>
      </c>
      <c r="D2169" s="93" t="s">
        <v>506</v>
      </c>
      <c r="E2169" s="94">
        <v>35.76</v>
      </c>
      <c r="F2169" s="93" t="s">
        <v>16</v>
      </c>
      <c r="G2169" s="87">
        <f>Table1[[#This Row],[date]]</f>
        <v>45626</v>
      </c>
      <c r="H2169" s="94">
        <f>SUMIF($A$2:A5804,G2169,$E$2:E5804)</f>
        <v>194.95999999999998</v>
      </c>
      <c r="I2169" s="93" t="str">
        <f t="shared" si="133"/>
        <v>Saturday</v>
      </c>
      <c r="J2169" s="93" t="str">
        <f t="shared" si="134"/>
        <v>November</v>
      </c>
      <c r="K2169" s="93" t="str">
        <f t="shared" si="135"/>
        <v>2024</v>
      </c>
      <c r="L2169" s="6"/>
      <c r="M2169" s="6"/>
      <c r="N2169" s="6"/>
    </row>
    <row r="2170" spans="1:14" x14ac:dyDescent="0.3">
      <c r="A2170" s="87">
        <v>45626</v>
      </c>
      <c r="B2170" s="87" t="str">
        <f t="shared" si="132"/>
        <v>Saturday</v>
      </c>
      <c r="C2170" s="88" t="s">
        <v>1381</v>
      </c>
      <c r="D2170" s="88" t="s">
        <v>109</v>
      </c>
      <c r="E2170" s="89">
        <v>30.86</v>
      </c>
      <c r="F2170" s="88" t="s">
        <v>12</v>
      </c>
      <c r="G2170" s="87">
        <f>Table1[[#This Row],[date]]</f>
        <v>45626</v>
      </c>
      <c r="H2170" s="94">
        <f>SUMIF($A$2:A5805,G2170,$E$2:E5805)</f>
        <v>194.95999999999998</v>
      </c>
      <c r="I2170" s="93" t="str">
        <f t="shared" si="133"/>
        <v>Saturday</v>
      </c>
      <c r="J2170" s="93" t="str">
        <f t="shared" si="134"/>
        <v>November</v>
      </c>
      <c r="K2170" s="93" t="str">
        <f t="shared" si="135"/>
        <v>2024</v>
      </c>
      <c r="L2170" s="6"/>
      <c r="M2170" s="6"/>
      <c r="N2170" s="6"/>
    </row>
    <row r="2171" spans="1:14" x14ac:dyDescent="0.3">
      <c r="A2171" s="92">
        <v>45626</v>
      </c>
      <c r="B2171" s="92" t="str">
        <f t="shared" si="132"/>
        <v>Saturday</v>
      </c>
      <c r="C2171" s="93" t="s">
        <v>1381</v>
      </c>
      <c r="D2171" s="93" t="s">
        <v>969</v>
      </c>
      <c r="E2171" s="94">
        <v>30.86</v>
      </c>
      <c r="F2171" s="93" t="s">
        <v>12</v>
      </c>
      <c r="G2171" s="87">
        <f>Table1[[#This Row],[date]]</f>
        <v>45626</v>
      </c>
      <c r="H2171" s="94">
        <f>SUMIF($A$2:A5806,G2171,$E$2:E5806)</f>
        <v>194.95999999999998</v>
      </c>
      <c r="I2171" s="93" t="str">
        <f t="shared" si="133"/>
        <v>Saturday</v>
      </c>
      <c r="J2171" s="93" t="str">
        <f t="shared" si="134"/>
        <v>November</v>
      </c>
      <c r="K2171" s="93" t="str">
        <f t="shared" si="135"/>
        <v>2024</v>
      </c>
      <c r="L2171" s="6"/>
      <c r="M2171" s="6"/>
      <c r="N2171" s="6"/>
    </row>
    <row r="2172" spans="1:14" x14ac:dyDescent="0.3">
      <c r="A2172" s="87">
        <v>45627</v>
      </c>
      <c r="B2172" s="87" t="str">
        <f t="shared" si="132"/>
        <v>Sunday</v>
      </c>
      <c r="C2172" s="88" t="s">
        <v>1381</v>
      </c>
      <c r="D2172" s="88" t="s">
        <v>52</v>
      </c>
      <c r="E2172" s="89">
        <v>30.86</v>
      </c>
      <c r="F2172" s="88" t="s">
        <v>12</v>
      </c>
      <c r="G2172" s="87">
        <f>Table1[[#This Row],[date]]</f>
        <v>45627</v>
      </c>
      <c r="H2172" s="94">
        <f>SUMIF($A$2:A5807,G2172,$E$2:E5807)</f>
        <v>368.86</v>
      </c>
      <c r="I2172" s="93" t="str">
        <f t="shared" si="133"/>
        <v>Sunday</v>
      </c>
      <c r="J2172" s="93" t="str">
        <f t="shared" si="134"/>
        <v>December</v>
      </c>
      <c r="K2172" s="93" t="str">
        <f t="shared" si="135"/>
        <v>2024</v>
      </c>
      <c r="L2172" s="6"/>
      <c r="M2172" s="6"/>
      <c r="N2172" s="6"/>
    </row>
    <row r="2173" spans="1:14" x14ac:dyDescent="0.3">
      <c r="A2173" s="87">
        <v>45627</v>
      </c>
      <c r="B2173" s="87" t="str">
        <f t="shared" si="132"/>
        <v>Sunday</v>
      </c>
      <c r="C2173" s="88" t="s">
        <v>1381</v>
      </c>
      <c r="D2173" s="88" t="s">
        <v>397</v>
      </c>
      <c r="E2173" s="89">
        <v>30.86</v>
      </c>
      <c r="F2173" s="88" t="s">
        <v>12</v>
      </c>
      <c r="G2173" s="87">
        <f>Table1[[#This Row],[date]]</f>
        <v>45627</v>
      </c>
      <c r="H2173" s="94">
        <f>SUMIF($A$2:A5808,G2173,$E$2:E5808)</f>
        <v>368.86</v>
      </c>
      <c r="I2173" s="93" t="str">
        <f t="shared" si="133"/>
        <v>Sunday</v>
      </c>
      <c r="J2173" s="93" t="str">
        <f t="shared" si="134"/>
        <v>December</v>
      </c>
      <c r="K2173" s="93" t="str">
        <f t="shared" si="135"/>
        <v>2024</v>
      </c>
      <c r="L2173" s="6"/>
      <c r="M2173" s="6"/>
      <c r="N2173" s="6"/>
    </row>
    <row r="2174" spans="1:14" x14ac:dyDescent="0.3">
      <c r="A2174" s="92">
        <v>45627</v>
      </c>
      <c r="B2174" s="92" t="str">
        <f t="shared" si="132"/>
        <v>Sunday</v>
      </c>
      <c r="C2174" s="93" t="s">
        <v>1381</v>
      </c>
      <c r="D2174" s="93" t="s">
        <v>970</v>
      </c>
      <c r="E2174" s="94">
        <v>30.86</v>
      </c>
      <c r="F2174" s="93" t="s">
        <v>12</v>
      </c>
      <c r="G2174" s="87">
        <f>Table1[[#This Row],[date]]</f>
        <v>45627</v>
      </c>
      <c r="H2174" s="94">
        <f>SUMIF($A$2:A5809,G2174,$E$2:E5809)</f>
        <v>368.86</v>
      </c>
      <c r="I2174" s="93" t="str">
        <f t="shared" si="133"/>
        <v>Sunday</v>
      </c>
      <c r="J2174" s="93" t="str">
        <f t="shared" si="134"/>
        <v>December</v>
      </c>
      <c r="K2174" s="93" t="str">
        <f t="shared" si="135"/>
        <v>2024</v>
      </c>
      <c r="L2174" s="6"/>
      <c r="M2174" s="6"/>
      <c r="N2174" s="6"/>
    </row>
    <row r="2175" spans="1:14" x14ac:dyDescent="0.3">
      <c r="A2175" s="87">
        <v>45627</v>
      </c>
      <c r="B2175" s="87" t="str">
        <f t="shared" si="132"/>
        <v>Sunday</v>
      </c>
      <c r="C2175" s="88" t="s">
        <v>1381</v>
      </c>
      <c r="D2175" s="88" t="s">
        <v>971</v>
      </c>
      <c r="E2175" s="89">
        <v>35.76</v>
      </c>
      <c r="F2175" s="88" t="s">
        <v>16</v>
      </c>
      <c r="G2175" s="87">
        <f>Table1[[#This Row],[date]]</f>
        <v>45627</v>
      </c>
      <c r="H2175" s="94">
        <f>SUMIF($A$2:A5810,G2175,$E$2:E5810)</f>
        <v>368.86</v>
      </c>
      <c r="I2175" s="93" t="str">
        <f t="shared" si="133"/>
        <v>Sunday</v>
      </c>
      <c r="J2175" s="93" t="str">
        <f t="shared" si="134"/>
        <v>December</v>
      </c>
      <c r="K2175" s="93" t="str">
        <f t="shared" si="135"/>
        <v>2024</v>
      </c>
      <c r="L2175" s="6"/>
      <c r="M2175" s="6"/>
      <c r="N2175" s="6"/>
    </row>
    <row r="2176" spans="1:14" x14ac:dyDescent="0.3">
      <c r="A2176" s="87">
        <v>45627</v>
      </c>
      <c r="B2176" s="87" t="str">
        <f t="shared" si="132"/>
        <v>Sunday</v>
      </c>
      <c r="C2176" s="88" t="s">
        <v>1381</v>
      </c>
      <c r="D2176" s="88" t="s">
        <v>972</v>
      </c>
      <c r="E2176" s="89">
        <v>35.76</v>
      </c>
      <c r="F2176" s="88" t="s">
        <v>41</v>
      </c>
      <c r="G2176" s="87">
        <f>Table1[[#This Row],[date]]</f>
        <v>45627</v>
      </c>
      <c r="H2176" s="94">
        <f>SUMIF($A$2:A5811,G2176,$E$2:E5811)</f>
        <v>368.86</v>
      </c>
      <c r="I2176" s="93" t="str">
        <f t="shared" si="133"/>
        <v>Sunday</v>
      </c>
      <c r="J2176" s="93" t="str">
        <f t="shared" si="134"/>
        <v>December</v>
      </c>
      <c r="K2176" s="93" t="str">
        <f t="shared" si="135"/>
        <v>2024</v>
      </c>
      <c r="L2176" s="6"/>
      <c r="M2176" s="6"/>
      <c r="N2176" s="6"/>
    </row>
    <row r="2177" spans="1:14" x14ac:dyDescent="0.3">
      <c r="A2177" s="92">
        <v>45627</v>
      </c>
      <c r="B2177" s="92" t="str">
        <f t="shared" si="132"/>
        <v>Sunday</v>
      </c>
      <c r="C2177" s="93" t="s">
        <v>1381</v>
      </c>
      <c r="D2177" s="93" t="s">
        <v>973</v>
      </c>
      <c r="E2177" s="94">
        <v>35.76</v>
      </c>
      <c r="F2177" s="93" t="s">
        <v>5</v>
      </c>
      <c r="G2177" s="87">
        <f>Table1[[#This Row],[date]]</f>
        <v>45627</v>
      </c>
      <c r="H2177" s="94">
        <f>SUMIF($A$2:A5812,G2177,$E$2:E5812)</f>
        <v>368.86</v>
      </c>
      <c r="I2177" s="93" t="str">
        <f t="shared" si="133"/>
        <v>Sunday</v>
      </c>
      <c r="J2177" s="93" t="str">
        <f t="shared" si="134"/>
        <v>December</v>
      </c>
      <c r="K2177" s="93" t="str">
        <f t="shared" si="135"/>
        <v>2024</v>
      </c>
      <c r="L2177" s="6"/>
      <c r="M2177" s="6"/>
      <c r="N2177" s="6"/>
    </row>
    <row r="2178" spans="1:14" x14ac:dyDescent="0.3">
      <c r="A2178" s="87">
        <v>45627</v>
      </c>
      <c r="B2178" s="87" t="str">
        <f t="shared" ref="B2178:B2241" si="136">TEXT(A2178,"dddd")</f>
        <v>Sunday</v>
      </c>
      <c r="C2178" s="88" t="s">
        <v>1381</v>
      </c>
      <c r="D2178" s="88" t="s">
        <v>974</v>
      </c>
      <c r="E2178" s="89">
        <v>35.76</v>
      </c>
      <c r="F2178" s="88" t="s">
        <v>5</v>
      </c>
      <c r="G2178" s="87">
        <f>Table1[[#This Row],[date]]</f>
        <v>45627</v>
      </c>
      <c r="H2178" s="94">
        <f>SUMIF($A$2:A5813,G2178,$E$2:E5813)</f>
        <v>368.86</v>
      </c>
      <c r="I2178" s="93" t="str">
        <f t="shared" si="133"/>
        <v>Sunday</v>
      </c>
      <c r="J2178" s="93" t="str">
        <f t="shared" si="134"/>
        <v>December</v>
      </c>
      <c r="K2178" s="93" t="str">
        <f t="shared" si="135"/>
        <v>2024</v>
      </c>
      <c r="L2178" s="6"/>
      <c r="M2178" s="6"/>
      <c r="N2178" s="6"/>
    </row>
    <row r="2179" spans="1:14" x14ac:dyDescent="0.3">
      <c r="A2179" s="92">
        <v>45627</v>
      </c>
      <c r="B2179" s="92" t="str">
        <f t="shared" si="136"/>
        <v>Sunday</v>
      </c>
      <c r="C2179" s="93" t="s">
        <v>1381</v>
      </c>
      <c r="D2179" s="93" t="s">
        <v>975</v>
      </c>
      <c r="E2179" s="94">
        <v>35.76</v>
      </c>
      <c r="F2179" s="93" t="s">
        <v>5</v>
      </c>
      <c r="G2179" s="87">
        <f>Table1[[#This Row],[date]]</f>
        <v>45627</v>
      </c>
      <c r="H2179" s="94">
        <f>SUMIF($A$2:A5814,G2179,$E$2:E5814)</f>
        <v>368.86</v>
      </c>
      <c r="I2179" s="93" t="str">
        <f t="shared" si="133"/>
        <v>Sunday</v>
      </c>
      <c r="J2179" s="93" t="str">
        <f t="shared" si="134"/>
        <v>December</v>
      </c>
      <c r="K2179" s="93" t="str">
        <f t="shared" si="135"/>
        <v>2024</v>
      </c>
      <c r="L2179" s="6"/>
      <c r="M2179" s="6"/>
      <c r="N2179" s="6"/>
    </row>
    <row r="2180" spans="1:14" x14ac:dyDescent="0.3">
      <c r="A2180" s="87">
        <v>45627</v>
      </c>
      <c r="B2180" s="87" t="str">
        <f t="shared" si="136"/>
        <v>Sunday</v>
      </c>
      <c r="C2180" s="88" t="s">
        <v>1381</v>
      </c>
      <c r="D2180" s="88" t="s">
        <v>976</v>
      </c>
      <c r="E2180" s="89">
        <v>35.76</v>
      </c>
      <c r="F2180" s="88" t="s">
        <v>5</v>
      </c>
      <c r="G2180" s="87">
        <f>Table1[[#This Row],[date]]</f>
        <v>45627</v>
      </c>
      <c r="H2180" s="94">
        <f>SUMIF($A$2:A5815,G2180,$E$2:E5815)</f>
        <v>368.86</v>
      </c>
      <c r="I2180" s="93" t="str">
        <f t="shared" si="133"/>
        <v>Sunday</v>
      </c>
      <c r="J2180" s="93" t="str">
        <f t="shared" si="134"/>
        <v>December</v>
      </c>
      <c r="K2180" s="93" t="str">
        <f t="shared" si="135"/>
        <v>2024</v>
      </c>
      <c r="L2180" s="6"/>
      <c r="M2180" s="6"/>
      <c r="N2180" s="6"/>
    </row>
    <row r="2181" spans="1:14" x14ac:dyDescent="0.3">
      <c r="A2181" s="92">
        <v>45627</v>
      </c>
      <c r="B2181" s="92" t="str">
        <f t="shared" si="136"/>
        <v>Sunday</v>
      </c>
      <c r="C2181" s="93" t="s">
        <v>1381</v>
      </c>
      <c r="D2181" s="93" t="s">
        <v>977</v>
      </c>
      <c r="E2181" s="94">
        <v>30.86</v>
      </c>
      <c r="F2181" s="93" t="s">
        <v>12</v>
      </c>
      <c r="G2181" s="87">
        <f>Table1[[#This Row],[date]]</f>
        <v>45627</v>
      </c>
      <c r="H2181" s="94">
        <f>SUMIF($A$2:A5816,G2181,$E$2:E5816)</f>
        <v>368.86</v>
      </c>
      <c r="I2181" s="93" t="str">
        <f t="shared" si="133"/>
        <v>Sunday</v>
      </c>
      <c r="J2181" s="93" t="str">
        <f t="shared" si="134"/>
        <v>December</v>
      </c>
      <c r="K2181" s="93" t="str">
        <f t="shared" si="135"/>
        <v>2024</v>
      </c>
      <c r="L2181" s="6"/>
      <c r="M2181" s="6"/>
      <c r="N2181" s="6"/>
    </row>
    <row r="2182" spans="1:14" x14ac:dyDescent="0.3">
      <c r="A2182" s="92">
        <v>45627</v>
      </c>
      <c r="B2182" s="92" t="str">
        <f t="shared" si="136"/>
        <v>Sunday</v>
      </c>
      <c r="C2182" s="93" t="s">
        <v>1381</v>
      </c>
      <c r="D2182" s="93" t="s">
        <v>978</v>
      </c>
      <c r="E2182" s="94">
        <v>30.86</v>
      </c>
      <c r="F2182" s="93" t="s">
        <v>12</v>
      </c>
      <c r="G2182" s="87">
        <f>Table1[[#This Row],[date]]</f>
        <v>45627</v>
      </c>
      <c r="H2182" s="94">
        <f>SUMIF($A$2:A5817,G2182,$E$2:E5817)</f>
        <v>368.86</v>
      </c>
      <c r="I2182" s="93" t="str">
        <f t="shared" ref="I2182:I2245" si="137">TEXT(G2182,"dddd")</f>
        <v>Sunday</v>
      </c>
      <c r="J2182" s="93" t="str">
        <f t="shared" si="134"/>
        <v>December</v>
      </c>
      <c r="K2182" s="93" t="str">
        <f t="shared" si="135"/>
        <v>2024</v>
      </c>
      <c r="L2182" s="6"/>
      <c r="M2182" s="6"/>
      <c r="N2182" s="6"/>
    </row>
    <row r="2183" spans="1:14" x14ac:dyDescent="0.3">
      <c r="A2183" s="87">
        <v>45628</v>
      </c>
      <c r="B2183" s="87" t="str">
        <f t="shared" si="136"/>
        <v>Monday</v>
      </c>
      <c r="C2183" s="88" t="s">
        <v>1381</v>
      </c>
      <c r="D2183" s="88" t="s">
        <v>708</v>
      </c>
      <c r="E2183" s="89">
        <v>35.76</v>
      </c>
      <c r="F2183" s="88" t="s">
        <v>5</v>
      </c>
      <c r="G2183" s="87">
        <f>Table1[[#This Row],[date]]</f>
        <v>45628</v>
      </c>
      <c r="H2183" s="94">
        <f>SUMIF($A$2:A5818,G2183,$E$2:E5818)</f>
        <v>272.84000000000003</v>
      </c>
      <c r="I2183" s="93" t="str">
        <f t="shared" si="137"/>
        <v>Monday</v>
      </c>
      <c r="J2183" s="93" t="str">
        <f t="shared" ref="J2183:J2246" si="138">TEXT(G2183,"mmmm")</f>
        <v>December</v>
      </c>
      <c r="K2183" s="93" t="str">
        <f t="shared" ref="K2183:K2246" si="139">TEXT(G2183,"yyyy")</f>
        <v>2024</v>
      </c>
      <c r="L2183" s="6"/>
      <c r="M2183" s="6"/>
      <c r="N2183" s="6"/>
    </row>
    <row r="2184" spans="1:14" x14ac:dyDescent="0.3">
      <c r="A2184" s="92">
        <v>45628</v>
      </c>
      <c r="B2184" s="92" t="str">
        <f t="shared" si="136"/>
        <v>Monday</v>
      </c>
      <c r="C2184" s="93" t="s">
        <v>1381</v>
      </c>
      <c r="D2184" s="93" t="s">
        <v>979</v>
      </c>
      <c r="E2184" s="94">
        <v>25.96</v>
      </c>
      <c r="F2184" s="93" t="s">
        <v>9</v>
      </c>
      <c r="G2184" s="87">
        <f>Table1[[#This Row],[date]]</f>
        <v>45628</v>
      </c>
      <c r="H2184" s="94">
        <f>SUMIF($A$2:A5819,G2184,$E$2:E5819)</f>
        <v>272.84000000000003</v>
      </c>
      <c r="I2184" s="93" t="str">
        <f t="shared" si="137"/>
        <v>Monday</v>
      </c>
      <c r="J2184" s="93" t="str">
        <f t="shared" si="138"/>
        <v>December</v>
      </c>
      <c r="K2184" s="93" t="str">
        <f t="shared" si="139"/>
        <v>2024</v>
      </c>
      <c r="L2184" s="6"/>
      <c r="M2184" s="6"/>
      <c r="N2184" s="6"/>
    </row>
    <row r="2185" spans="1:14" x14ac:dyDescent="0.3">
      <c r="A2185" s="87">
        <v>45628</v>
      </c>
      <c r="B2185" s="87" t="str">
        <f t="shared" si="136"/>
        <v>Monday</v>
      </c>
      <c r="C2185" s="88" t="s">
        <v>1381</v>
      </c>
      <c r="D2185" s="88" t="s">
        <v>288</v>
      </c>
      <c r="E2185" s="89">
        <v>30.86</v>
      </c>
      <c r="F2185" s="88" t="s">
        <v>12</v>
      </c>
      <c r="G2185" s="87">
        <f>Table1[[#This Row],[date]]</f>
        <v>45628</v>
      </c>
      <c r="H2185" s="94">
        <f>SUMIF($A$2:A5820,G2185,$E$2:E5820)</f>
        <v>272.84000000000003</v>
      </c>
      <c r="I2185" s="93" t="str">
        <f t="shared" si="137"/>
        <v>Monday</v>
      </c>
      <c r="J2185" s="93" t="str">
        <f t="shared" si="138"/>
        <v>December</v>
      </c>
      <c r="K2185" s="93" t="str">
        <f t="shared" si="139"/>
        <v>2024</v>
      </c>
      <c r="L2185" s="6"/>
      <c r="M2185" s="6"/>
      <c r="N2185" s="6"/>
    </row>
    <row r="2186" spans="1:14" x14ac:dyDescent="0.3">
      <c r="A2186" s="92">
        <v>45628</v>
      </c>
      <c r="B2186" s="92" t="str">
        <f t="shared" si="136"/>
        <v>Monday</v>
      </c>
      <c r="C2186" s="93" t="s">
        <v>1381</v>
      </c>
      <c r="D2186" s="93" t="s">
        <v>980</v>
      </c>
      <c r="E2186" s="94">
        <v>35.76</v>
      </c>
      <c r="F2186" s="93" t="s">
        <v>16</v>
      </c>
      <c r="G2186" s="87">
        <f>Table1[[#This Row],[date]]</f>
        <v>45628</v>
      </c>
      <c r="H2186" s="94">
        <f>SUMIF($A$2:A5821,G2186,$E$2:E5821)</f>
        <v>272.84000000000003</v>
      </c>
      <c r="I2186" s="93" t="str">
        <f t="shared" si="137"/>
        <v>Monday</v>
      </c>
      <c r="J2186" s="93" t="str">
        <f t="shared" si="138"/>
        <v>December</v>
      </c>
      <c r="K2186" s="93" t="str">
        <f t="shared" si="139"/>
        <v>2024</v>
      </c>
      <c r="L2186" s="6"/>
      <c r="M2186" s="6"/>
      <c r="N2186" s="6"/>
    </row>
    <row r="2187" spans="1:14" x14ac:dyDescent="0.3">
      <c r="A2187" s="87">
        <v>45628</v>
      </c>
      <c r="B2187" s="87" t="str">
        <f t="shared" si="136"/>
        <v>Monday</v>
      </c>
      <c r="C2187" s="88" t="s">
        <v>1381</v>
      </c>
      <c r="D2187" s="88" t="s">
        <v>153</v>
      </c>
      <c r="E2187" s="89">
        <v>25.96</v>
      </c>
      <c r="F2187" s="88" t="s">
        <v>26</v>
      </c>
      <c r="G2187" s="87">
        <f>Table1[[#This Row],[date]]</f>
        <v>45628</v>
      </c>
      <c r="H2187" s="94">
        <f>SUMIF($A$2:A5822,G2187,$E$2:E5822)</f>
        <v>272.84000000000003</v>
      </c>
      <c r="I2187" s="93" t="str">
        <f t="shared" si="137"/>
        <v>Monday</v>
      </c>
      <c r="J2187" s="93" t="str">
        <f t="shared" si="138"/>
        <v>December</v>
      </c>
      <c r="K2187" s="93" t="str">
        <f t="shared" si="139"/>
        <v>2024</v>
      </c>
      <c r="L2187" s="6"/>
      <c r="M2187" s="6"/>
      <c r="N2187" s="6"/>
    </row>
    <row r="2188" spans="1:14" x14ac:dyDescent="0.3">
      <c r="A2188" s="92">
        <v>45628</v>
      </c>
      <c r="B2188" s="92" t="str">
        <f t="shared" si="136"/>
        <v>Monday</v>
      </c>
      <c r="C2188" s="93" t="s">
        <v>1381</v>
      </c>
      <c r="D2188" s="93" t="s">
        <v>981</v>
      </c>
      <c r="E2188" s="94">
        <v>21.06</v>
      </c>
      <c r="F2188" s="93" t="s">
        <v>33</v>
      </c>
      <c r="G2188" s="87">
        <f>Table1[[#This Row],[date]]</f>
        <v>45628</v>
      </c>
      <c r="H2188" s="94">
        <f>SUMIF($A$2:A5823,G2188,$E$2:E5823)</f>
        <v>272.84000000000003</v>
      </c>
      <c r="I2188" s="93" t="str">
        <f t="shared" si="137"/>
        <v>Monday</v>
      </c>
      <c r="J2188" s="93" t="str">
        <f t="shared" si="138"/>
        <v>December</v>
      </c>
      <c r="K2188" s="93" t="str">
        <f t="shared" si="139"/>
        <v>2024</v>
      </c>
      <c r="L2188" s="6"/>
      <c r="M2188" s="6"/>
      <c r="N2188" s="6"/>
    </row>
    <row r="2189" spans="1:14" x14ac:dyDescent="0.3">
      <c r="A2189" s="87">
        <v>45628</v>
      </c>
      <c r="B2189" s="87" t="str">
        <f t="shared" si="136"/>
        <v>Monday</v>
      </c>
      <c r="C2189" s="88" t="s">
        <v>1381</v>
      </c>
      <c r="D2189" s="88" t="s">
        <v>982</v>
      </c>
      <c r="E2189" s="89">
        <v>35.76</v>
      </c>
      <c r="F2189" s="88" t="s">
        <v>41</v>
      </c>
      <c r="G2189" s="87">
        <f>Table1[[#This Row],[date]]</f>
        <v>45628</v>
      </c>
      <c r="H2189" s="94">
        <f>SUMIF($A$2:A5824,G2189,$E$2:E5824)</f>
        <v>272.84000000000003</v>
      </c>
      <c r="I2189" s="93" t="str">
        <f t="shared" si="137"/>
        <v>Monday</v>
      </c>
      <c r="J2189" s="93" t="str">
        <f t="shared" si="138"/>
        <v>December</v>
      </c>
      <c r="K2189" s="93" t="str">
        <f t="shared" si="139"/>
        <v>2024</v>
      </c>
      <c r="L2189" s="6"/>
      <c r="M2189" s="6"/>
      <c r="N2189" s="6"/>
    </row>
    <row r="2190" spans="1:14" x14ac:dyDescent="0.3">
      <c r="A2190" s="92">
        <v>45628</v>
      </c>
      <c r="B2190" s="92" t="str">
        <f t="shared" si="136"/>
        <v>Monday</v>
      </c>
      <c r="C2190" s="93" t="s">
        <v>1381</v>
      </c>
      <c r="D2190" s="93" t="s">
        <v>983</v>
      </c>
      <c r="E2190" s="94">
        <v>25.96</v>
      </c>
      <c r="F2190" s="93" t="s">
        <v>9</v>
      </c>
      <c r="G2190" s="87">
        <f>Table1[[#This Row],[date]]</f>
        <v>45628</v>
      </c>
      <c r="H2190" s="94">
        <f>SUMIF($A$2:A5825,G2190,$E$2:E5825)</f>
        <v>272.84000000000003</v>
      </c>
      <c r="I2190" s="93" t="str">
        <f t="shared" si="137"/>
        <v>Monday</v>
      </c>
      <c r="J2190" s="93" t="str">
        <f t="shared" si="138"/>
        <v>December</v>
      </c>
      <c r="K2190" s="93" t="str">
        <f t="shared" si="139"/>
        <v>2024</v>
      </c>
      <c r="L2190" s="6"/>
      <c r="M2190" s="6"/>
      <c r="N2190" s="6"/>
    </row>
    <row r="2191" spans="1:14" x14ac:dyDescent="0.3">
      <c r="A2191" s="87">
        <v>45628</v>
      </c>
      <c r="B2191" s="87" t="str">
        <f t="shared" si="136"/>
        <v>Monday</v>
      </c>
      <c r="C2191" s="88" t="s">
        <v>1381</v>
      </c>
      <c r="D2191" s="88" t="s">
        <v>984</v>
      </c>
      <c r="E2191" s="89">
        <v>35.76</v>
      </c>
      <c r="F2191" s="88" t="s">
        <v>41</v>
      </c>
      <c r="G2191" s="87">
        <f>Table1[[#This Row],[date]]</f>
        <v>45628</v>
      </c>
      <c r="H2191" s="94">
        <f>SUMIF($A$2:A5826,G2191,$E$2:E5826)</f>
        <v>272.84000000000003</v>
      </c>
      <c r="I2191" s="93" t="str">
        <f t="shared" si="137"/>
        <v>Monday</v>
      </c>
      <c r="J2191" s="93" t="str">
        <f t="shared" si="138"/>
        <v>December</v>
      </c>
      <c r="K2191" s="93" t="str">
        <f t="shared" si="139"/>
        <v>2024</v>
      </c>
      <c r="L2191" s="6"/>
      <c r="M2191" s="6"/>
      <c r="N2191" s="6"/>
    </row>
    <row r="2192" spans="1:14" x14ac:dyDescent="0.3">
      <c r="A2192" s="92">
        <v>45629</v>
      </c>
      <c r="B2192" s="92" t="str">
        <f t="shared" si="136"/>
        <v>Tuesday</v>
      </c>
      <c r="C2192" s="93" t="s">
        <v>1381</v>
      </c>
      <c r="D2192" s="93" t="s">
        <v>582</v>
      </c>
      <c r="E2192" s="94">
        <v>35.76</v>
      </c>
      <c r="F2192" s="93" t="s">
        <v>5</v>
      </c>
      <c r="G2192" s="87">
        <f>Table1[[#This Row],[date]]</f>
        <v>45629</v>
      </c>
      <c r="H2192" s="94">
        <f>SUMIF($A$2:A5827,G2192,$E$2:E5827)</f>
        <v>363.96</v>
      </c>
      <c r="I2192" s="93" t="str">
        <f t="shared" si="137"/>
        <v>Tuesday</v>
      </c>
      <c r="J2192" s="93" t="str">
        <f t="shared" si="138"/>
        <v>December</v>
      </c>
      <c r="K2192" s="93" t="str">
        <f t="shared" si="139"/>
        <v>2024</v>
      </c>
      <c r="L2192" s="6"/>
      <c r="M2192" s="6"/>
      <c r="N2192" s="6"/>
    </row>
    <row r="2193" spans="1:14" x14ac:dyDescent="0.3">
      <c r="A2193" s="87">
        <v>45629</v>
      </c>
      <c r="B2193" s="87" t="str">
        <f t="shared" si="136"/>
        <v>Tuesday</v>
      </c>
      <c r="C2193" s="88" t="s">
        <v>1381</v>
      </c>
      <c r="D2193" s="88" t="s">
        <v>288</v>
      </c>
      <c r="E2193" s="89">
        <v>30.86</v>
      </c>
      <c r="F2193" s="88" t="s">
        <v>12</v>
      </c>
      <c r="G2193" s="87">
        <f>Table1[[#This Row],[date]]</f>
        <v>45629</v>
      </c>
      <c r="H2193" s="94">
        <f>SUMIF($A$2:A5828,G2193,$E$2:E5828)</f>
        <v>363.96</v>
      </c>
      <c r="I2193" s="93" t="str">
        <f t="shared" si="137"/>
        <v>Tuesday</v>
      </c>
      <c r="J2193" s="93" t="str">
        <f t="shared" si="138"/>
        <v>December</v>
      </c>
      <c r="K2193" s="93" t="str">
        <f t="shared" si="139"/>
        <v>2024</v>
      </c>
      <c r="L2193" s="6"/>
      <c r="M2193" s="6"/>
      <c r="N2193" s="6"/>
    </row>
    <row r="2194" spans="1:14" x14ac:dyDescent="0.3">
      <c r="A2194" s="87">
        <v>45629</v>
      </c>
      <c r="B2194" s="87" t="str">
        <f t="shared" si="136"/>
        <v>Tuesday</v>
      </c>
      <c r="C2194" s="88" t="s">
        <v>1381</v>
      </c>
      <c r="D2194" s="88" t="s">
        <v>985</v>
      </c>
      <c r="E2194" s="89">
        <v>25.96</v>
      </c>
      <c r="F2194" s="88" t="s">
        <v>9</v>
      </c>
      <c r="G2194" s="87">
        <f>Table1[[#This Row],[date]]</f>
        <v>45629</v>
      </c>
      <c r="H2194" s="94">
        <f>SUMIF($A$2:A5829,G2194,$E$2:E5829)</f>
        <v>363.96</v>
      </c>
      <c r="I2194" s="93" t="str">
        <f t="shared" si="137"/>
        <v>Tuesday</v>
      </c>
      <c r="J2194" s="93" t="str">
        <f t="shared" si="138"/>
        <v>December</v>
      </c>
      <c r="K2194" s="93" t="str">
        <f t="shared" si="139"/>
        <v>2024</v>
      </c>
      <c r="L2194" s="6"/>
      <c r="M2194" s="6"/>
      <c r="N2194" s="6"/>
    </row>
    <row r="2195" spans="1:14" x14ac:dyDescent="0.3">
      <c r="A2195" s="92">
        <v>45629</v>
      </c>
      <c r="B2195" s="92" t="str">
        <f t="shared" si="136"/>
        <v>Tuesday</v>
      </c>
      <c r="C2195" s="93" t="s">
        <v>1381</v>
      </c>
      <c r="D2195" s="93" t="s">
        <v>986</v>
      </c>
      <c r="E2195" s="94">
        <v>30.86</v>
      </c>
      <c r="F2195" s="93" t="s">
        <v>12</v>
      </c>
      <c r="G2195" s="87">
        <f>Table1[[#This Row],[date]]</f>
        <v>45629</v>
      </c>
      <c r="H2195" s="94">
        <f>SUMIF($A$2:A5830,G2195,$E$2:E5830)</f>
        <v>363.96</v>
      </c>
      <c r="I2195" s="93" t="str">
        <f t="shared" si="137"/>
        <v>Tuesday</v>
      </c>
      <c r="J2195" s="93" t="str">
        <f t="shared" si="138"/>
        <v>December</v>
      </c>
      <c r="K2195" s="93" t="str">
        <f t="shared" si="139"/>
        <v>2024</v>
      </c>
      <c r="L2195" s="6"/>
      <c r="M2195" s="6"/>
      <c r="N2195" s="6"/>
    </row>
    <row r="2196" spans="1:14" x14ac:dyDescent="0.3">
      <c r="A2196" s="87">
        <v>45629</v>
      </c>
      <c r="B2196" s="87" t="str">
        <f t="shared" si="136"/>
        <v>Tuesday</v>
      </c>
      <c r="C2196" s="88" t="s">
        <v>1381</v>
      </c>
      <c r="D2196" s="88" t="s">
        <v>831</v>
      </c>
      <c r="E2196" s="89">
        <v>30.86</v>
      </c>
      <c r="F2196" s="88" t="s">
        <v>12</v>
      </c>
      <c r="G2196" s="87">
        <f>Table1[[#This Row],[date]]</f>
        <v>45629</v>
      </c>
      <c r="H2196" s="94">
        <f>SUMIF($A$2:A5831,G2196,$E$2:E5831)</f>
        <v>363.96</v>
      </c>
      <c r="I2196" s="93" t="str">
        <f t="shared" si="137"/>
        <v>Tuesday</v>
      </c>
      <c r="J2196" s="93" t="str">
        <f t="shared" si="138"/>
        <v>December</v>
      </c>
      <c r="K2196" s="93" t="str">
        <f t="shared" si="139"/>
        <v>2024</v>
      </c>
      <c r="L2196" s="6"/>
      <c r="M2196" s="6"/>
      <c r="N2196" s="6"/>
    </row>
    <row r="2197" spans="1:14" x14ac:dyDescent="0.3">
      <c r="A2197" s="87">
        <v>45629</v>
      </c>
      <c r="B2197" s="87" t="str">
        <f t="shared" si="136"/>
        <v>Tuesday</v>
      </c>
      <c r="C2197" s="88" t="s">
        <v>1381</v>
      </c>
      <c r="D2197" s="88" t="s">
        <v>987</v>
      </c>
      <c r="E2197" s="89">
        <v>35.76</v>
      </c>
      <c r="F2197" s="88" t="s">
        <v>16</v>
      </c>
      <c r="G2197" s="87">
        <f>Table1[[#This Row],[date]]</f>
        <v>45629</v>
      </c>
      <c r="H2197" s="94">
        <f>SUMIF($A$2:A5832,G2197,$E$2:E5832)</f>
        <v>363.96</v>
      </c>
      <c r="I2197" s="93" t="str">
        <f t="shared" si="137"/>
        <v>Tuesday</v>
      </c>
      <c r="J2197" s="93" t="str">
        <f t="shared" si="138"/>
        <v>December</v>
      </c>
      <c r="K2197" s="93" t="str">
        <f t="shared" si="139"/>
        <v>2024</v>
      </c>
      <c r="L2197" s="6"/>
      <c r="M2197" s="6"/>
      <c r="N2197" s="6"/>
    </row>
    <row r="2198" spans="1:14" x14ac:dyDescent="0.3">
      <c r="A2198" s="92">
        <v>45629</v>
      </c>
      <c r="B2198" s="92" t="str">
        <f t="shared" si="136"/>
        <v>Tuesday</v>
      </c>
      <c r="C2198" s="93" t="s">
        <v>1381</v>
      </c>
      <c r="D2198" s="93" t="s">
        <v>697</v>
      </c>
      <c r="E2198" s="94">
        <v>35.76</v>
      </c>
      <c r="F2198" s="93" t="s">
        <v>5</v>
      </c>
      <c r="G2198" s="87">
        <f>Table1[[#This Row],[date]]</f>
        <v>45629</v>
      </c>
      <c r="H2198" s="94">
        <f>SUMIF($A$2:A5833,G2198,$E$2:E5833)</f>
        <v>363.96</v>
      </c>
      <c r="I2198" s="93" t="str">
        <f t="shared" si="137"/>
        <v>Tuesday</v>
      </c>
      <c r="J2198" s="93" t="str">
        <f t="shared" si="138"/>
        <v>December</v>
      </c>
      <c r="K2198" s="93" t="str">
        <f t="shared" si="139"/>
        <v>2024</v>
      </c>
      <c r="L2198" s="6"/>
      <c r="M2198" s="6"/>
      <c r="N2198" s="6"/>
    </row>
    <row r="2199" spans="1:14" x14ac:dyDescent="0.3">
      <c r="A2199" s="87">
        <v>45629</v>
      </c>
      <c r="B2199" s="87" t="str">
        <f t="shared" si="136"/>
        <v>Tuesday</v>
      </c>
      <c r="C2199" s="88" t="s">
        <v>1381</v>
      </c>
      <c r="D2199" s="88" t="s">
        <v>697</v>
      </c>
      <c r="E2199" s="89">
        <v>35.76</v>
      </c>
      <c r="F2199" s="88" t="s">
        <v>41</v>
      </c>
      <c r="G2199" s="87">
        <f>Table1[[#This Row],[date]]</f>
        <v>45629</v>
      </c>
      <c r="H2199" s="94">
        <f>SUMIF($A$2:A5834,G2199,$E$2:E5834)</f>
        <v>363.96</v>
      </c>
      <c r="I2199" s="93" t="str">
        <f t="shared" si="137"/>
        <v>Tuesday</v>
      </c>
      <c r="J2199" s="93" t="str">
        <f t="shared" si="138"/>
        <v>December</v>
      </c>
      <c r="K2199" s="93" t="str">
        <f t="shared" si="139"/>
        <v>2024</v>
      </c>
      <c r="L2199" s="6"/>
      <c r="M2199" s="6"/>
      <c r="N2199" s="6"/>
    </row>
    <row r="2200" spans="1:14" x14ac:dyDescent="0.3">
      <c r="A2200" s="92">
        <v>45629</v>
      </c>
      <c r="B2200" s="92" t="str">
        <f t="shared" si="136"/>
        <v>Tuesday</v>
      </c>
      <c r="C2200" s="93" t="s">
        <v>1381</v>
      </c>
      <c r="D2200" s="93" t="s">
        <v>697</v>
      </c>
      <c r="E2200" s="94">
        <v>35.76</v>
      </c>
      <c r="F2200" s="93" t="s">
        <v>7</v>
      </c>
      <c r="G2200" s="87">
        <f>Table1[[#This Row],[date]]</f>
        <v>45629</v>
      </c>
      <c r="H2200" s="94">
        <f>SUMIF($A$2:A5835,G2200,$E$2:E5835)</f>
        <v>363.96</v>
      </c>
      <c r="I2200" s="93" t="str">
        <f t="shared" si="137"/>
        <v>Tuesday</v>
      </c>
      <c r="J2200" s="93" t="str">
        <f t="shared" si="138"/>
        <v>December</v>
      </c>
      <c r="K2200" s="93" t="str">
        <f t="shared" si="139"/>
        <v>2024</v>
      </c>
      <c r="L2200" s="6"/>
      <c r="M2200" s="6"/>
      <c r="N2200" s="6"/>
    </row>
    <row r="2201" spans="1:14" x14ac:dyDescent="0.3">
      <c r="A2201" s="87">
        <v>45629</v>
      </c>
      <c r="B2201" s="87" t="str">
        <f t="shared" si="136"/>
        <v>Tuesday</v>
      </c>
      <c r="C2201" s="88" t="s">
        <v>1381</v>
      </c>
      <c r="D2201" s="88" t="s">
        <v>988</v>
      </c>
      <c r="E2201" s="89">
        <v>30.86</v>
      </c>
      <c r="F2201" s="88" t="s">
        <v>12</v>
      </c>
      <c r="G2201" s="87">
        <f>Table1[[#This Row],[date]]</f>
        <v>45629</v>
      </c>
      <c r="H2201" s="94">
        <f>SUMIF($A$2:A5836,G2201,$E$2:E5836)</f>
        <v>363.96</v>
      </c>
      <c r="I2201" s="93" t="str">
        <f t="shared" si="137"/>
        <v>Tuesday</v>
      </c>
      <c r="J2201" s="93" t="str">
        <f t="shared" si="138"/>
        <v>December</v>
      </c>
      <c r="K2201" s="93" t="str">
        <f t="shared" si="139"/>
        <v>2024</v>
      </c>
      <c r="L2201" s="6"/>
      <c r="M2201" s="6"/>
      <c r="N2201" s="6"/>
    </row>
    <row r="2202" spans="1:14" x14ac:dyDescent="0.3">
      <c r="A2202" s="92">
        <v>45629</v>
      </c>
      <c r="B2202" s="92" t="str">
        <f t="shared" si="136"/>
        <v>Tuesday</v>
      </c>
      <c r="C2202" s="93" t="s">
        <v>1381</v>
      </c>
      <c r="D2202" s="93" t="s">
        <v>218</v>
      </c>
      <c r="E2202" s="94">
        <v>35.76</v>
      </c>
      <c r="F2202" s="93" t="s">
        <v>41</v>
      </c>
      <c r="G2202" s="87">
        <f>Table1[[#This Row],[date]]</f>
        <v>45629</v>
      </c>
      <c r="H2202" s="94">
        <f>SUMIF($A$2:A5837,G2202,$E$2:E5837)</f>
        <v>363.96</v>
      </c>
      <c r="I2202" s="93" t="str">
        <f t="shared" si="137"/>
        <v>Tuesday</v>
      </c>
      <c r="J2202" s="93" t="str">
        <f t="shared" si="138"/>
        <v>December</v>
      </c>
      <c r="K2202" s="93" t="str">
        <f t="shared" si="139"/>
        <v>2024</v>
      </c>
      <c r="L2202" s="6"/>
      <c r="M2202" s="6"/>
      <c r="N2202" s="6"/>
    </row>
    <row r="2203" spans="1:14" x14ac:dyDescent="0.3">
      <c r="A2203" s="87">
        <v>45630</v>
      </c>
      <c r="B2203" s="87" t="str">
        <f t="shared" si="136"/>
        <v>Wednesday</v>
      </c>
      <c r="C2203" s="88" t="s">
        <v>1381</v>
      </c>
      <c r="D2203" s="88" t="s">
        <v>153</v>
      </c>
      <c r="E2203" s="89">
        <v>25.96</v>
      </c>
      <c r="F2203" s="88" t="s">
        <v>26</v>
      </c>
      <c r="G2203" s="87">
        <f>Table1[[#This Row],[date]]</f>
        <v>45630</v>
      </c>
      <c r="H2203" s="94">
        <f>SUMIF($A$2:A5838,G2203,$E$2:E5838)</f>
        <v>287.54000000000002</v>
      </c>
      <c r="I2203" s="93" t="str">
        <f t="shared" si="137"/>
        <v>Wednesday</v>
      </c>
      <c r="J2203" s="93" t="str">
        <f t="shared" si="138"/>
        <v>December</v>
      </c>
      <c r="K2203" s="93" t="str">
        <f t="shared" si="139"/>
        <v>2024</v>
      </c>
      <c r="L2203" s="6"/>
      <c r="M2203" s="6"/>
      <c r="N2203" s="6"/>
    </row>
    <row r="2204" spans="1:14" x14ac:dyDescent="0.3">
      <c r="A2204" s="92">
        <v>45630</v>
      </c>
      <c r="B2204" s="92" t="str">
        <f t="shared" si="136"/>
        <v>Wednesday</v>
      </c>
      <c r="C2204" s="93" t="s">
        <v>1381</v>
      </c>
      <c r="D2204" s="93" t="s">
        <v>989</v>
      </c>
      <c r="E2204" s="94">
        <v>35.76</v>
      </c>
      <c r="F2204" s="93" t="s">
        <v>5</v>
      </c>
      <c r="G2204" s="87">
        <f>Table1[[#This Row],[date]]</f>
        <v>45630</v>
      </c>
      <c r="H2204" s="94">
        <f>SUMIF($A$2:A5839,G2204,$E$2:E5839)</f>
        <v>287.54000000000002</v>
      </c>
      <c r="I2204" s="93" t="str">
        <f t="shared" si="137"/>
        <v>Wednesday</v>
      </c>
      <c r="J2204" s="93" t="str">
        <f t="shared" si="138"/>
        <v>December</v>
      </c>
      <c r="K2204" s="93" t="str">
        <f t="shared" si="139"/>
        <v>2024</v>
      </c>
      <c r="L2204" s="6"/>
      <c r="M2204" s="6"/>
      <c r="N2204" s="6"/>
    </row>
    <row r="2205" spans="1:14" x14ac:dyDescent="0.3">
      <c r="A2205" s="87">
        <v>45630</v>
      </c>
      <c r="B2205" s="87" t="str">
        <f t="shared" si="136"/>
        <v>Wednesday</v>
      </c>
      <c r="C2205" s="88" t="s">
        <v>1381</v>
      </c>
      <c r="D2205" s="88" t="s">
        <v>990</v>
      </c>
      <c r="E2205" s="89">
        <v>35.76</v>
      </c>
      <c r="F2205" s="88" t="s">
        <v>5</v>
      </c>
      <c r="G2205" s="87">
        <f>Table1[[#This Row],[date]]</f>
        <v>45630</v>
      </c>
      <c r="H2205" s="94">
        <f>SUMIF($A$2:A5840,G2205,$E$2:E5840)</f>
        <v>287.54000000000002</v>
      </c>
      <c r="I2205" s="93" t="str">
        <f t="shared" si="137"/>
        <v>Wednesday</v>
      </c>
      <c r="J2205" s="93" t="str">
        <f t="shared" si="138"/>
        <v>December</v>
      </c>
      <c r="K2205" s="93" t="str">
        <f t="shared" si="139"/>
        <v>2024</v>
      </c>
      <c r="L2205" s="6"/>
      <c r="M2205" s="6"/>
      <c r="N2205" s="6"/>
    </row>
    <row r="2206" spans="1:14" x14ac:dyDescent="0.3">
      <c r="A2206" s="92">
        <v>45630</v>
      </c>
      <c r="B2206" s="92" t="str">
        <f t="shared" si="136"/>
        <v>Wednesday</v>
      </c>
      <c r="C2206" s="93" t="s">
        <v>1381</v>
      </c>
      <c r="D2206" s="93" t="s">
        <v>991</v>
      </c>
      <c r="E2206" s="94">
        <v>25.96</v>
      </c>
      <c r="F2206" s="93" t="s">
        <v>9</v>
      </c>
      <c r="G2206" s="87">
        <f>Table1[[#This Row],[date]]</f>
        <v>45630</v>
      </c>
      <c r="H2206" s="94">
        <f>SUMIF($A$2:A5841,G2206,$E$2:E5841)</f>
        <v>287.54000000000002</v>
      </c>
      <c r="I2206" s="93" t="str">
        <f t="shared" si="137"/>
        <v>Wednesday</v>
      </c>
      <c r="J2206" s="93" t="str">
        <f t="shared" si="138"/>
        <v>December</v>
      </c>
      <c r="K2206" s="93" t="str">
        <f t="shared" si="139"/>
        <v>2024</v>
      </c>
      <c r="L2206" s="6"/>
      <c r="M2206" s="6"/>
      <c r="N2206" s="6"/>
    </row>
    <row r="2207" spans="1:14" x14ac:dyDescent="0.3">
      <c r="A2207" s="87">
        <v>45630</v>
      </c>
      <c r="B2207" s="87" t="str">
        <f t="shared" si="136"/>
        <v>Wednesday</v>
      </c>
      <c r="C2207" s="88" t="s">
        <v>1381</v>
      </c>
      <c r="D2207" s="88" t="s">
        <v>288</v>
      </c>
      <c r="E2207" s="89">
        <v>30.86</v>
      </c>
      <c r="F2207" s="88" t="s">
        <v>12</v>
      </c>
      <c r="G2207" s="87">
        <f>Table1[[#This Row],[date]]</f>
        <v>45630</v>
      </c>
      <c r="H2207" s="94">
        <f>SUMIF($A$2:A5842,G2207,$E$2:E5842)</f>
        <v>287.54000000000002</v>
      </c>
      <c r="I2207" s="93" t="str">
        <f t="shared" si="137"/>
        <v>Wednesday</v>
      </c>
      <c r="J2207" s="93" t="str">
        <f t="shared" si="138"/>
        <v>December</v>
      </c>
      <c r="K2207" s="93" t="str">
        <f t="shared" si="139"/>
        <v>2024</v>
      </c>
      <c r="L2207" s="6"/>
      <c r="M2207" s="6"/>
      <c r="N2207" s="6"/>
    </row>
    <row r="2208" spans="1:14" x14ac:dyDescent="0.3">
      <c r="A2208" s="87">
        <v>45630</v>
      </c>
      <c r="B2208" s="87" t="str">
        <f t="shared" si="136"/>
        <v>Wednesday</v>
      </c>
      <c r="C2208" s="88" t="s">
        <v>1381</v>
      </c>
      <c r="D2208" s="88" t="s">
        <v>992</v>
      </c>
      <c r="E2208" s="89">
        <v>30.86</v>
      </c>
      <c r="F2208" s="88" t="s">
        <v>12</v>
      </c>
      <c r="G2208" s="87">
        <f>Table1[[#This Row],[date]]</f>
        <v>45630</v>
      </c>
      <c r="H2208" s="94">
        <f>SUMIF($A$2:A5843,G2208,$E$2:E5843)</f>
        <v>287.54000000000002</v>
      </c>
      <c r="I2208" s="93" t="str">
        <f t="shared" si="137"/>
        <v>Wednesday</v>
      </c>
      <c r="J2208" s="93" t="str">
        <f t="shared" si="138"/>
        <v>December</v>
      </c>
      <c r="K2208" s="93" t="str">
        <f t="shared" si="139"/>
        <v>2024</v>
      </c>
      <c r="L2208" s="6"/>
      <c r="M2208" s="6"/>
      <c r="N2208" s="6"/>
    </row>
    <row r="2209" spans="1:14" x14ac:dyDescent="0.3">
      <c r="A2209" s="92">
        <v>45630</v>
      </c>
      <c r="B2209" s="92" t="str">
        <f t="shared" si="136"/>
        <v>Wednesday</v>
      </c>
      <c r="C2209" s="93" t="s">
        <v>1381</v>
      </c>
      <c r="D2209" s="93" t="s">
        <v>795</v>
      </c>
      <c r="E2209" s="94">
        <v>35.76</v>
      </c>
      <c r="F2209" s="93" t="s">
        <v>7</v>
      </c>
      <c r="G2209" s="87">
        <f>Table1[[#This Row],[date]]</f>
        <v>45630</v>
      </c>
      <c r="H2209" s="94">
        <f>SUMIF($A$2:A5844,G2209,$E$2:E5844)</f>
        <v>287.54000000000002</v>
      </c>
      <c r="I2209" s="93" t="str">
        <f t="shared" si="137"/>
        <v>Wednesday</v>
      </c>
      <c r="J2209" s="93" t="str">
        <f t="shared" si="138"/>
        <v>December</v>
      </c>
      <c r="K2209" s="93" t="str">
        <f t="shared" si="139"/>
        <v>2024</v>
      </c>
      <c r="L2209" s="6"/>
      <c r="M2209" s="6"/>
      <c r="N2209" s="6"/>
    </row>
    <row r="2210" spans="1:14" x14ac:dyDescent="0.3">
      <c r="A2210" s="87">
        <v>45630</v>
      </c>
      <c r="B2210" s="87" t="str">
        <f t="shared" si="136"/>
        <v>Wednesday</v>
      </c>
      <c r="C2210" s="88" t="s">
        <v>1381</v>
      </c>
      <c r="D2210" s="88" t="s">
        <v>993</v>
      </c>
      <c r="E2210" s="89">
        <v>30.86</v>
      </c>
      <c r="F2210" s="88" t="s">
        <v>12</v>
      </c>
      <c r="G2210" s="87">
        <f>Table1[[#This Row],[date]]</f>
        <v>45630</v>
      </c>
      <c r="H2210" s="94">
        <f>SUMIF($A$2:A5845,G2210,$E$2:E5845)</f>
        <v>287.54000000000002</v>
      </c>
      <c r="I2210" s="93" t="str">
        <f t="shared" si="137"/>
        <v>Wednesday</v>
      </c>
      <c r="J2210" s="93" t="str">
        <f t="shared" si="138"/>
        <v>December</v>
      </c>
      <c r="K2210" s="93" t="str">
        <f t="shared" si="139"/>
        <v>2024</v>
      </c>
      <c r="L2210" s="6"/>
      <c r="M2210" s="6"/>
      <c r="N2210" s="6"/>
    </row>
    <row r="2211" spans="1:14" x14ac:dyDescent="0.3">
      <c r="A2211" s="92">
        <v>45630</v>
      </c>
      <c r="B2211" s="92" t="str">
        <f t="shared" si="136"/>
        <v>Wednesday</v>
      </c>
      <c r="C2211" s="93" t="s">
        <v>1381</v>
      </c>
      <c r="D2211" s="93" t="s">
        <v>994</v>
      </c>
      <c r="E2211" s="94">
        <v>35.76</v>
      </c>
      <c r="F2211" s="93" t="s">
        <v>7</v>
      </c>
      <c r="G2211" s="87">
        <f>Table1[[#This Row],[date]]</f>
        <v>45630</v>
      </c>
      <c r="H2211" s="94">
        <f>SUMIF($A$2:A5846,G2211,$E$2:E5846)</f>
        <v>287.54000000000002</v>
      </c>
      <c r="I2211" s="93" t="str">
        <f t="shared" si="137"/>
        <v>Wednesday</v>
      </c>
      <c r="J2211" s="93" t="str">
        <f t="shared" si="138"/>
        <v>December</v>
      </c>
      <c r="K2211" s="93" t="str">
        <f t="shared" si="139"/>
        <v>2024</v>
      </c>
      <c r="L2211" s="6"/>
      <c r="M2211" s="6"/>
      <c r="N2211" s="6"/>
    </row>
    <row r="2212" spans="1:14" x14ac:dyDescent="0.3">
      <c r="A2212" s="87">
        <v>45631</v>
      </c>
      <c r="B2212" s="87" t="str">
        <f t="shared" si="136"/>
        <v>Thursday</v>
      </c>
      <c r="C2212" s="88" t="s">
        <v>1381</v>
      </c>
      <c r="D2212" s="88" t="s">
        <v>995</v>
      </c>
      <c r="E2212" s="89">
        <v>25.96</v>
      </c>
      <c r="F2212" s="88" t="s">
        <v>9</v>
      </c>
      <c r="G2212" s="87">
        <f>Table1[[#This Row],[date]]</f>
        <v>45631</v>
      </c>
      <c r="H2212" s="94">
        <f>SUMIF($A$2:A5847,G2212,$E$2:E5847)</f>
        <v>251.77999999999997</v>
      </c>
      <c r="I2212" s="93" t="str">
        <f t="shared" si="137"/>
        <v>Thursday</v>
      </c>
      <c r="J2212" s="93" t="str">
        <f t="shared" si="138"/>
        <v>December</v>
      </c>
      <c r="K2212" s="93" t="str">
        <f t="shared" si="139"/>
        <v>2024</v>
      </c>
      <c r="L2212" s="6"/>
      <c r="M2212" s="6"/>
      <c r="N2212" s="6"/>
    </row>
    <row r="2213" spans="1:14" x14ac:dyDescent="0.3">
      <c r="A2213" s="92">
        <v>45631</v>
      </c>
      <c r="B2213" s="92" t="str">
        <f t="shared" si="136"/>
        <v>Thursday</v>
      </c>
      <c r="C2213" s="93" t="s">
        <v>1381</v>
      </c>
      <c r="D2213" s="93" t="s">
        <v>153</v>
      </c>
      <c r="E2213" s="94">
        <v>25.96</v>
      </c>
      <c r="F2213" s="93" t="s">
        <v>26</v>
      </c>
      <c r="G2213" s="87">
        <f>Table1[[#This Row],[date]]</f>
        <v>45631</v>
      </c>
      <c r="H2213" s="94">
        <f>SUMIF($A$2:A5848,G2213,$E$2:E5848)</f>
        <v>251.77999999999997</v>
      </c>
      <c r="I2213" s="93" t="str">
        <f t="shared" si="137"/>
        <v>Thursday</v>
      </c>
      <c r="J2213" s="93" t="str">
        <f t="shared" si="138"/>
        <v>December</v>
      </c>
      <c r="K2213" s="93" t="str">
        <f t="shared" si="139"/>
        <v>2024</v>
      </c>
      <c r="L2213" s="6"/>
      <c r="M2213" s="6"/>
      <c r="N2213" s="6"/>
    </row>
    <row r="2214" spans="1:14" x14ac:dyDescent="0.3">
      <c r="A2214" s="87">
        <v>45631</v>
      </c>
      <c r="B2214" s="87" t="str">
        <f t="shared" si="136"/>
        <v>Thursday</v>
      </c>
      <c r="C2214" s="88" t="s">
        <v>1381</v>
      </c>
      <c r="D2214" s="88" t="s">
        <v>288</v>
      </c>
      <c r="E2214" s="89">
        <v>30.86</v>
      </c>
      <c r="F2214" s="88" t="s">
        <v>12</v>
      </c>
      <c r="G2214" s="87">
        <f>Table1[[#This Row],[date]]</f>
        <v>45631</v>
      </c>
      <c r="H2214" s="94">
        <f>SUMIF($A$2:A5849,G2214,$E$2:E5849)</f>
        <v>251.77999999999997</v>
      </c>
      <c r="I2214" s="93" t="str">
        <f t="shared" si="137"/>
        <v>Thursday</v>
      </c>
      <c r="J2214" s="93" t="str">
        <f t="shared" si="138"/>
        <v>December</v>
      </c>
      <c r="K2214" s="93" t="str">
        <f t="shared" si="139"/>
        <v>2024</v>
      </c>
      <c r="L2214" s="6"/>
      <c r="M2214" s="6"/>
      <c r="N2214" s="6"/>
    </row>
    <row r="2215" spans="1:14" x14ac:dyDescent="0.3">
      <c r="A2215" s="87">
        <v>45631</v>
      </c>
      <c r="B2215" s="87" t="str">
        <f t="shared" si="136"/>
        <v>Thursday</v>
      </c>
      <c r="C2215" s="88" t="s">
        <v>1381</v>
      </c>
      <c r="D2215" s="88" t="s">
        <v>591</v>
      </c>
      <c r="E2215" s="89">
        <v>35.76</v>
      </c>
      <c r="F2215" s="88" t="s">
        <v>5</v>
      </c>
      <c r="G2215" s="87">
        <f>Table1[[#This Row],[date]]</f>
        <v>45631</v>
      </c>
      <c r="H2215" s="94">
        <f>SUMIF($A$2:A5850,G2215,$E$2:E5850)</f>
        <v>251.77999999999997</v>
      </c>
      <c r="I2215" s="93" t="str">
        <f t="shared" si="137"/>
        <v>Thursday</v>
      </c>
      <c r="J2215" s="93" t="str">
        <f t="shared" si="138"/>
        <v>December</v>
      </c>
      <c r="K2215" s="93" t="str">
        <f t="shared" si="139"/>
        <v>2024</v>
      </c>
      <c r="L2215" s="6"/>
      <c r="M2215" s="6"/>
      <c r="N2215" s="6"/>
    </row>
    <row r="2216" spans="1:14" x14ac:dyDescent="0.3">
      <c r="A2216" s="92">
        <v>45631</v>
      </c>
      <c r="B2216" s="92" t="str">
        <f t="shared" si="136"/>
        <v>Thursday</v>
      </c>
      <c r="C2216" s="93" t="s">
        <v>1381</v>
      </c>
      <c r="D2216" s="93" t="s">
        <v>996</v>
      </c>
      <c r="E2216" s="94">
        <v>25.96</v>
      </c>
      <c r="F2216" s="93" t="s">
        <v>9</v>
      </c>
      <c r="G2216" s="87">
        <f>Table1[[#This Row],[date]]</f>
        <v>45631</v>
      </c>
      <c r="H2216" s="94">
        <f>SUMIF($A$2:A5851,G2216,$E$2:E5851)</f>
        <v>251.77999999999997</v>
      </c>
      <c r="I2216" s="93" t="str">
        <f t="shared" si="137"/>
        <v>Thursday</v>
      </c>
      <c r="J2216" s="93" t="str">
        <f t="shared" si="138"/>
        <v>December</v>
      </c>
      <c r="K2216" s="93" t="str">
        <f t="shared" si="139"/>
        <v>2024</v>
      </c>
      <c r="L2216" s="6"/>
      <c r="M2216" s="6"/>
      <c r="N2216" s="6"/>
    </row>
    <row r="2217" spans="1:14" x14ac:dyDescent="0.3">
      <c r="A2217" s="87">
        <v>45631</v>
      </c>
      <c r="B2217" s="87" t="str">
        <f t="shared" si="136"/>
        <v>Thursday</v>
      </c>
      <c r="C2217" s="88" t="s">
        <v>1381</v>
      </c>
      <c r="D2217" s="88" t="s">
        <v>997</v>
      </c>
      <c r="E2217" s="89">
        <v>35.76</v>
      </c>
      <c r="F2217" s="88" t="s">
        <v>41</v>
      </c>
      <c r="G2217" s="87">
        <f>Table1[[#This Row],[date]]</f>
        <v>45631</v>
      </c>
      <c r="H2217" s="94">
        <f>SUMIF($A$2:A5852,G2217,$E$2:E5852)</f>
        <v>251.77999999999997</v>
      </c>
      <c r="I2217" s="93" t="str">
        <f t="shared" si="137"/>
        <v>Thursday</v>
      </c>
      <c r="J2217" s="93" t="str">
        <f t="shared" si="138"/>
        <v>December</v>
      </c>
      <c r="K2217" s="93" t="str">
        <f t="shared" si="139"/>
        <v>2024</v>
      </c>
      <c r="L2217" s="6"/>
      <c r="M2217" s="6"/>
      <c r="N2217" s="6"/>
    </row>
    <row r="2218" spans="1:14" x14ac:dyDescent="0.3">
      <c r="A2218" s="92">
        <v>45631</v>
      </c>
      <c r="B2218" s="92" t="str">
        <f t="shared" si="136"/>
        <v>Thursday</v>
      </c>
      <c r="C2218" s="93" t="s">
        <v>1381</v>
      </c>
      <c r="D2218" s="93" t="s">
        <v>918</v>
      </c>
      <c r="E2218" s="94">
        <v>35.76</v>
      </c>
      <c r="F2218" s="93" t="s">
        <v>5</v>
      </c>
      <c r="G2218" s="87">
        <f>Table1[[#This Row],[date]]</f>
        <v>45631</v>
      </c>
      <c r="H2218" s="94">
        <f>SUMIF($A$2:A5853,G2218,$E$2:E5853)</f>
        <v>251.77999999999997</v>
      </c>
      <c r="I2218" s="93" t="str">
        <f t="shared" si="137"/>
        <v>Thursday</v>
      </c>
      <c r="J2218" s="93" t="str">
        <f t="shared" si="138"/>
        <v>December</v>
      </c>
      <c r="K2218" s="93" t="str">
        <f t="shared" si="139"/>
        <v>2024</v>
      </c>
      <c r="L2218" s="6"/>
      <c r="M2218" s="6"/>
      <c r="N2218" s="6"/>
    </row>
    <row r="2219" spans="1:14" x14ac:dyDescent="0.3">
      <c r="A2219" s="87">
        <v>45631</v>
      </c>
      <c r="B2219" s="87" t="str">
        <f t="shared" si="136"/>
        <v>Thursday</v>
      </c>
      <c r="C2219" s="88" t="s">
        <v>1381</v>
      </c>
      <c r="D2219" s="88" t="s">
        <v>783</v>
      </c>
      <c r="E2219" s="89">
        <v>35.76</v>
      </c>
      <c r="F2219" s="88" t="s">
        <v>5</v>
      </c>
      <c r="G2219" s="87">
        <f>Table1[[#This Row],[date]]</f>
        <v>45631</v>
      </c>
      <c r="H2219" s="94">
        <f>SUMIF($A$2:A5854,G2219,$E$2:E5854)</f>
        <v>251.77999999999997</v>
      </c>
      <c r="I2219" s="93" t="str">
        <f t="shared" si="137"/>
        <v>Thursday</v>
      </c>
      <c r="J2219" s="93" t="str">
        <f t="shared" si="138"/>
        <v>December</v>
      </c>
      <c r="K2219" s="93" t="str">
        <f t="shared" si="139"/>
        <v>2024</v>
      </c>
      <c r="L2219" s="6"/>
      <c r="M2219" s="6"/>
      <c r="N2219" s="6"/>
    </row>
    <row r="2220" spans="1:14" x14ac:dyDescent="0.3">
      <c r="A2220" s="92">
        <v>45632</v>
      </c>
      <c r="B2220" s="92" t="str">
        <f t="shared" si="136"/>
        <v>Friday</v>
      </c>
      <c r="C2220" s="93" t="s">
        <v>1381</v>
      </c>
      <c r="D2220" s="93" t="s">
        <v>918</v>
      </c>
      <c r="E2220" s="94">
        <v>35.76</v>
      </c>
      <c r="F2220" s="93" t="s">
        <v>5</v>
      </c>
      <c r="G2220" s="87">
        <f>Table1[[#This Row],[date]]</f>
        <v>45632</v>
      </c>
      <c r="H2220" s="94">
        <f>SUMIF($A$2:A5855,G2220,$E$2:E5855)</f>
        <v>143.04</v>
      </c>
      <c r="I2220" s="93" t="str">
        <f t="shared" si="137"/>
        <v>Friday</v>
      </c>
      <c r="J2220" s="93" t="str">
        <f t="shared" si="138"/>
        <v>December</v>
      </c>
      <c r="K2220" s="93" t="str">
        <f t="shared" si="139"/>
        <v>2024</v>
      </c>
      <c r="L2220" s="6"/>
      <c r="M2220" s="6"/>
      <c r="N2220" s="6"/>
    </row>
    <row r="2221" spans="1:14" x14ac:dyDescent="0.3">
      <c r="A2221" s="87">
        <v>45632</v>
      </c>
      <c r="B2221" s="87" t="str">
        <f t="shared" si="136"/>
        <v>Friday</v>
      </c>
      <c r="C2221" s="88" t="s">
        <v>1381</v>
      </c>
      <c r="D2221" s="88" t="s">
        <v>950</v>
      </c>
      <c r="E2221" s="89">
        <v>35.76</v>
      </c>
      <c r="F2221" s="88" t="s">
        <v>7</v>
      </c>
      <c r="G2221" s="87">
        <f>Table1[[#This Row],[date]]</f>
        <v>45632</v>
      </c>
      <c r="H2221" s="94">
        <f>SUMIF($A$2:A5856,G2221,$E$2:E5856)</f>
        <v>143.04</v>
      </c>
      <c r="I2221" s="93" t="str">
        <f t="shared" si="137"/>
        <v>Friday</v>
      </c>
      <c r="J2221" s="93" t="str">
        <f t="shared" si="138"/>
        <v>December</v>
      </c>
      <c r="K2221" s="93" t="str">
        <f t="shared" si="139"/>
        <v>2024</v>
      </c>
      <c r="L2221" s="6"/>
      <c r="M2221" s="6"/>
      <c r="N2221" s="6"/>
    </row>
    <row r="2222" spans="1:14" x14ac:dyDescent="0.3">
      <c r="A2222" s="92">
        <v>45632</v>
      </c>
      <c r="B2222" s="92" t="str">
        <f t="shared" si="136"/>
        <v>Friday</v>
      </c>
      <c r="C2222" s="93" t="s">
        <v>1381</v>
      </c>
      <c r="D2222" s="93" t="s">
        <v>743</v>
      </c>
      <c r="E2222" s="94">
        <v>35.76</v>
      </c>
      <c r="F2222" s="93" t="s">
        <v>5</v>
      </c>
      <c r="G2222" s="87">
        <f>Table1[[#This Row],[date]]</f>
        <v>45632</v>
      </c>
      <c r="H2222" s="94">
        <f>SUMIF($A$2:A5857,G2222,$E$2:E5857)</f>
        <v>143.04</v>
      </c>
      <c r="I2222" s="93" t="str">
        <f t="shared" si="137"/>
        <v>Friday</v>
      </c>
      <c r="J2222" s="93" t="str">
        <f t="shared" si="138"/>
        <v>December</v>
      </c>
      <c r="K2222" s="93" t="str">
        <f t="shared" si="139"/>
        <v>2024</v>
      </c>
      <c r="L2222" s="6"/>
      <c r="M2222" s="6"/>
      <c r="N2222" s="6"/>
    </row>
    <row r="2223" spans="1:14" x14ac:dyDescent="0.3">
      <c r="A2223" s="87">
        <v>45632</v>
      </c>
      <c r="B2223" s="87" t="str">
        <f t="shared" si="136"/>
        <v>Friday</v>
      </c>
      <c r="C2223" s="88" t="s">
        <v>1381</v>
      </c>
      <c r="D2223" s="88" t="s">
        <v>743</v>
      </c>
      <c r="E2223" s="89">
        <v>35.76</v>
      </c>
      <c r="F2223" s="88" t="s">
        <v>7</v>
      </c>
      <c r="G2223" s="87">
        <f>Table1[[#This Row],[date]]</f>
        <v>45632</v>
      </c>
      <c r="H2223" s="94">
        <f>SUMIF($A$2:A5858,G2223,$E$2:E5858)</f>
        <v>143.04</v>
      </c>
      <c r="I2223" s="93" t="str">
        <f t="shared" si="137"/>
        <v>Friday</v>
      </c>
      <c r="J2223" s="93" t="str">
        <f t="shared" si="138"/>
        <v>December</v>
      </c>
      <c r="K2223" s="93" t="str">
        <f t="shared" si="139"/>
        <v>2024</v>
      </c>
      <c r="L2223" s="6"/>
      <c r="M2223" s="6"/>
      <c r="N2223" s="6"/>
    </row>
    <row r="2224" spans="1:14" x14ac:dyDescent="0.3">
      <c r="A2224" s="92">
        <v>45633</v>
      </c>
      <c r="B2224" s="92" t="str">
        <f t="shared" si="136"/>
        <v>Saturday</v>
      </c>
      <c r="C2224" s="93" t="s">
        <v>1381</v>
      </c>
      <c r="D2224" s="93" t="s">
        <v>998</v>
      </c>
      <c r="E2224" s="94">
        <v>30.86</v>
      </c>
      <c r="F2224" s="93" t="s">
        <v>12</v>
      </c>
      <c r="G2224" s="87">
        <f>Table1[[#This Row],[date]]</f>
        <v>45633</v>
      </c>
      <c r="H2224" s="94">
        <f>SUMIF($A$2:A5859,G2224,$E$2:E5859)</f>
        <v>185.16</v>
      </c>
      <c r="I2224" s="93" t="str">
        <f t="shared" si="137"/>
        <v>Saturday</v>
      </c>
      <c r="J2224" s="93" t="str">
        <f t="shared" si="138"/>
        <v>December</v>
      </c>
      <c r="K2224" s="93" t="str">
        <f t="shared" si="139"/>
        <v>2024</v>
      </c>
      <c r="L2224" s="6"/>
      <c r="M2224" s="6"/>
      <c r="N2224" s="6"/>
    </row>
    <row r="2225" spans="1:14" x14ac:dyDescent="0.3">
      <c r="A2225" s="87">
        <v>45633</v>
      </c>
      <c r="B2225" s="87" t="str">
        <f t="shared" si="136"/>
        <v>Saturday</v>
      </c>
      <c r="C2225" s="88" t="s">
        <v>1381</v>
      </c>
      <c r="D2225" s="88" t="s">
        <v>999</v>
      </c>
      <c r="E2225" s="89">
        <v>25.96</v>
      </c>
      <c r="F2225" s="88" t="s">
        <v>9</v>
      </c>
      <c r="G2225" s="87">
        <f>Table1[[#This Row],[date]]</f>
        <v>45633</v>
      </c>
      <c r="H2225" s="94">
        <f>SUMIF($A$2:A5860,G2225,$E$2:E5860)</f>
        <v>185.16</v>
      </c>
      <c r="I2225" s="93" t="str">
        <f t="shared" si="137"/>
        <v>Saturday</v>
      </c>
      <c r="J2225" s="93" t="str">
        <f t="shared" si="138"/>
        <v>December</v>
      </c>
      <c r="K2225" s="93" t="str">
        <f t="shared" si="139"/>
        <v>2024</v>
      </c>
      <c r="L2225" s="6"/>
      <c r="M2225" s="6"/>
      <c r="N2225" s="6"/>
    </row>
    <row r="2226" spans="1:14" x14ac:dyDescent="0.3">
      <c r="A2226" s="92">
        <v>45633</v>
      </c>
      <c r="B2226" s="92" t="str">
        <f t="shared" si="136"/>
        <v>Saturday</v>
      </c>
      <c r="C2226" s="93" t="s">
        <v>1381</v>
      </c>
      <c r="D2226" s="93" t="s">
        <v>421</v>
      </c>
      <c r="E2226" s="94">
        <v>35.76</v>
      </c>
      <c r="F2226" s="93" t="s">
        <v>5</v>
      </c>
      <c r="G2226" s="87">
        <f>Table1[[#This Row],[date]]</f>
        <v>45633</v>
      </c>
      <c r="H2226" s="94">
        <f>SUMIF($A$2:A5861,G2226,$E$2:E5861)</f>
        <v>185.16</v>
      </c>
      <c r="I2226" s="93" t="str">
        <f t="shared" si="137"/>
        <v>Saturday</v>
      </c>
      <c r="J2226" s="93" t="str">
        <f t="shared" si="138"/>
        <v>December</v>
      </c>
      <c r="K2226" s="93" t="str">
        <f t="shared" si="139"/>
        <v>2024</v>
      </c>
      <c r="L2226" s="6"/>
      <c r="M2226" s="6"/>
      <c r="N2226" s="6"/>
    </row>
    <row r="2227" spans="1:14" x14ac:dyDescent="0.3">
      <c r="A2227" s="87">
        <v>45633</v>
      </c>
      <c r="B2227" s="87" t="str">
        <f t="shared" si="136"/>
        <v>Saturday</v>
      </c>
      <c r="C2227" s="88" t="s">
        <v>1381</v>
      </c>
      <c r="D2227" s="88" t="s">
        <v>218</v>
      </c>
      <c r="E2227" s="89">
        <v>35.76</v>
      </c>
      <c r="F2227" s="88" t="s">
        <v>41</v>
      </c>
      <c r="G2227" s="87">
        <f>Table1[[#This Row],[date]]</f>
        <v>45633</v>
      </c>
      <c r="H2227" s="94">
        <f>SUMIF($A$2:A5862,G2227,$E$2:E5862)</f>
        <v>185.16</v>
      </c>
      <c r="I2227" s="93" t="str">
        <f t="shared" si="137"/>
        <v>Saturday</v>
      </c>
      <c r="J2227" s="93" t="str">
        <f t="shared" si="138"/>
        <v>December</v>
      </c>
      <c r="K2227" s="93" t="str">
        <f t="shared" si="139"/>
        <v>2024</v>
      </c>
      <c r="L2227" s="6"/>
      <c r="M2227" s="6"/>
      <c r="N2227" s="6"/>
    </row>
    <row r="2228" spans="1:14" x14ac:dyDescent="0.3">
      <c r="A2228" s="92">
        <v>45633</v>
      </c>
      <c r="B2228" s="92" t="str">
        <f t="shared" si="136"/>
        <v>Saturday</v>
      </c>
      <c r="C2228" s="93" t="s">
        <v>1381</v>
      </c>
      <c r="D2228" s="93" t="s">
        <v>1000</v>
      </c>
      <c r="E2228" s="94">
        <v>30.86</v>
      </c>
      <c r="F2228" s="93" t="s">
        <v>12</v>
      </c>
      <c r="G2228" s="87">
        <f>Table1[[#This Row],[date]]</f>
        <v>45633</v>
      </c>
      <c r="H2228" s="94">
        <f>SUMIF($A$2:A5863,G2228,$E$2:E5863)</f>
        <v>185.16</v>
      </c>
      <c r="I2228" s="93" t="str">
        <f t="shared" si="137"/>
        <v>Saturday</v>
      </c>
      <c r="J2228" s="93" t="str">
        <f t="shared" si="138"/>
        <v>December</v>
      </c>
      <c r="K2228" s="93" t="str">
        <f t="shared" si="139"/>
        <v>2024</v>
      </c>
      <c r="L2228" s="6"/>
      <c r="M2228" s="6"/>
      <c r="N2228" s="6"/>
    </row>
    <row r="2229" spans="1:14" x14ac:dyDescent="0.3">
      <c r="A2229" s="87">
        <v>45633</v>
      </c>
      <c r="B2229" s="87" t="str">
        <f t="shared" si="136"/>
        <v>Saturday</v>
      </c>
      <c r="C2229" s="88" t="s">
        <v>1381</v>
      </c>
      <c r="D2229" s="88" t="s">
        <v>1001</v>
      </c>
      <c r="E2229" s="89">
        <v>25.96</v>
      </c>
      <c r="F2229" s="88" t="s">
        <v>9</v>
      </c>
      <c r="G2229" s="87">
        <f>Table1[[#This Row],[date]]</f>
        <v>45633</v>
      </c>
      <c r="H2229" s="94">
        <f>SUMIF($A$2:A5864,G2229,$E$2:E5864)</f>
        <v>185.16</v>
      </c>
      <c r="I2229" s="93" t="str">
        <f t="shared" si="137"/>
        <v>Saturday</v>
      </c>
      <c r="J2229" s="93" t="str">
        <f t="shared" si="138"/>
        <v>December</v>
      </c>
      <c r="K2229" s="93" t="str">
        <f t="shared" si="139"/>
        <v>2024</v>
      </c>
      <c r="L2229" s="6"/>
      <c r="M2229" s="6"/>
      <c r="N2229" s="6"/>
    </row>
    <row r="2230" spans="1:14" x14ac:dyDescent="0.3">
      <c r="A2230" s="92">
        <v>45634</v>
      </c>
      <c r="B2230" s="92" t="str">
        <f t="shared" si="136"/>
        <v>Sunday</v>
      </c>
      <c r="C2230" s="93" t="s">
        <v>1381</v>
      </c>
      <c r="D2230" s="93" t="s">
        <v>153</v>
      </c>
      <c r="E2230" s="94">
        <v>25.96</v>
      </c>
      <c r="F2230" s="93" t="s">
        <v>26</v>
      </c>
      <c r="G2230" s="87">
        <f>Table1[[#This Row],[date]]</f>
        <v>45634</v>
      </c>
      <c r="H2230" s="94">
        <f>SUMIF($A$2:A5865,G2230,$E$2:E5865)</f>
        <v>308.60000000000002</v>
      </c>
      <c r="I2230" s="93" t="str">
        <f t="shared" si="137"/>
        <v>Sunday</v>
      </c>
      <c r="J2230" s="93" t="str">
        <f t="shared" si="138"/>
        <v>December</v>
      </c>
      <c r="K2230" s="93" t="str">
        <f t="shared" si="139"/>
        <v>2024</v>
      </c>
      <c r="L2230" s="6"/>
      <c r="M2230" s="6"/>
      <c r="N2230" s="6"/>
    </row>
    <row r="2231" spans="1:14" x14ac:dyDescent="0.3">
      <c r="A2231" s="87">
        <v>45634</v>
      </c>
      <c r="B2231" s="87" t="str">
        <f t="shared" si="136"/>
        <v>Sunday</v>
      </c>
      <c r="C2231" s="88" t="s">
        <v>1381</v>
      </c>
      <c r="D2231" s="88" t="s">
        <v>799</v>
      </c>
      <c r="E2231" s="89">
        <v>35.76</v>
      </c>
      <c r="F2231" s="88" t="s">
        <v>5</v>
      </c>
      <c r="G2231" s="87">
        <f>Table1[[#This Row],[date]]</f>
        <v>45634</v>
      </c>
      <c r="H2231" s="94">
        <f>SUMIF($A$2:A5866,G2231,$E$2:E5866)</f>
        <v>308.60000000000002</v>
      </c>
      <c r="I2231" s="93" t="str">
        <f t="shared" si="137"/>
        <v>Sunday</v>
      </c>
      <c r="J2231" s="93" t="str">
        <f t="shared" si="138"/>
        <v>December</v>
      </c>
      <c r="K2231" s="93" t="str">
        <f t="shared" si="139"/>
        <v>2024</v>
      </c>
      <c r="L2231" s="6"/>
      <c r="M2231" s="6"/>
      <c r="N2231" s="6"/>
    </row>
    <row r="2232" spans="1:14" x14ac:dyDescent="0.3">
      <c r="A2232" s="92">
        <v>45634</v>
      </c>
      <c r="B2232" s="92" t="str">
        <f t="shared" si="136"/>
        <v>Sunday</v>
      </c>
      <c r="C2232" s="93" t="s">
        <v>1381</v>
      </c>
      <c r="D2232" s="93" t="s">
        <v>799</v>
      </c>
      <c r="E2232" s="94">
        <v>35.76</v>
      </c>
      <c r="F2232" s="93" t="s">
        <v>41</v>
      </c>
      <c r="G2232" s="87">
        <f>Table1[[#This Row],[date]]</f>
        <v>45634</v>
      </c>
      <c r="H2232" s="94">
        <f>SUMIF($A$2:A5867,G2232,$E$2:E5867)</f>
        <v>308.60000000000002</v>
      </c>
      <c r="I2232" s="93" t="str">
        <f t="shared" si="137"/>
        <v>Sunday</v>
      </c>
      <c r="J2232" s="93" t="str">
        <f t="shared" si="138"/>
        <v>December</v>
      </c>
      <c r="K2232" s="93" t="str">
        <f t="shared" si="139"/>
        <v>2024</v>
      </c>
      <c r="L2232" s="6"/>
      <c r="M2232" s="6"/>
      <c r="N2232" s="6"/>
    </row>
    <row r="2233" spans="1:14" x14ac:dyDescent="0.3">
      <c r="A2233" s="87">
        <v>45634</v>
      </c>
      <c r="B2233" s="87" t="str">
        <f t="shared" si="136"/>
        <v>Sunday</v>
      </c>
      <c r="C2233" s="88" t="s">
        <v>1381</v>
      </c>
      <c r="D2233" s="88" t="s">
        <v>1002</v>
      </c>
      <c r="E2233" s="89">
        <v>25.96</v>
      </c>
      <c r="F2233" s="88" t="s">
        <v>26</v>
      </c>
      <c r="G2233" s="87">
        <f>Table1[[#This Row],[date]]</f>
        <v>45634</v>
      </c>
      <c r="H2233" s="94">
        <f>SUMIF($A$2:A5868,G2233,$E$2:E5868)</f>
        <v>308.60000000000002</v>
      </c>
      <c r="I2233" s="93" t="str">
        <f t="shared" si="137"/>
        <v>Sunday</v>
      </c>
      <c r="J2233" s="93" t="str">
        <f t="shared" si="138"/>
        <v>December</v>
      </c>
      <c r="K2233" s="93" t="str">
        <f t="shared" si="139"/>
        <v>2024</v>
      </c>
      <c r="L2233" s="6"/>
      <c r="M2233" s="6"/>
      <c r="N2233" s="6"/>
    </row>
    <row r="2234" spans="1:14" x14ac:dyDescent="0.3">
      <c r="A2234" s="92">
        <v>45634</v>
      </c>
      <c r="B2234" s="92" t="str">
        <f t="shared" si="136"/>
        <v>Sunday</v>
      </c>
      <c r="C2234" s="93" t="s">
        <v>1381</v>
      </c>
      <c r="D2234" s="93" t="s">
        <v>1003</v>
      </c>
      <c r="E2234" s="94">
        <v>30.86</v>
      </c>
      <c r="F2234" s="93" t="s">
        <v>12</v>
      </c>
      <c r="G2234" s="87">
        <f>Table1[[#This Row],[date]]</f>
        <v>45634</v>
      </c>
      <c r="H2234" s="94">
        <f>SUMIF($A$2:A5869,G2234,$E$2:E5869)</f>
        <v>308.60000000000002</v>
      </c>
      <c r="I2234" s="93" t="str">
        <f t="shared" si="137"/>
        <v>Sunday</v>
      </c>
      <c r="J2234" s="93" t="str">
        <f t="shared" si="138"/>
        <v>December</v>
      </c>
      <c r="K2234" s="93" t="str">
        <f t="shared" si="139"/>
        <v>2024</v>
      </c>
      <c r="L2234" s="6"/>
      <c r="M2234" s="6"/>
      <c r="N2234" s="6"/>
    </row>
    <row r="2235" spans="1:14" x14ac:dyDescent="0.3">
      <c r="A2235" s="92">
        <v>45634</v>
      </c>
      <c r="B2235" s="92" t="str">
        <f t="shared" si="136"/>
        <v>Sunday</v>
      </c>
      <c r="C2235" s="93" t="s">
        <v>1381</v>
      </c>
      <c r="D2235" s="93" t="s">
        <v>218</v>
      </c>
      <c r="E2235" s="94">
        <v>35.76</v>
      </c>
      <c r="F2235" s="93" t="s">
        <v>41</v>
      </c>
      <c r="G2235" s="87">
        <f>Table1[[#This Row],[date]]</f>
        <v>45634</v>
      </c>
      <c r="H2235" s="94">
        <f>SUMIF($A$2:A5870,G2235,$E$2:E5870)</f>
        <v>308.60000000000002</v>
      </c>
      <c r="I2235" s="93" t="str">
        <f t="shared" si="137"/>
        <v>Sunday</v>
      </c>
      <c r="J2235" s="93" t="str">
        <f t="shared" si="138"/>
        <v>December</v>
      </c>
      <c r="K2235" s="93" t="str">
        <f t="shared" si="139"/>
        <v>2024</v>
      </c>
      <c r="L2235" s="6"/>
      <c r="M2235" s="6"/>
      <c r="N2235" s="6"/>
    </row>
    <row r="2236" spans="1:14" x14ac:dyDescent="0.3">
      <c r="A2236" s="87">
        <v>45634</v>
      </c>
      <c r="B2236" s="87" t="str">
        <f t="shared" si="136"/>
        <v>Sunday</v>
      </c>
      <c r="C2236" s="88" t="s">
        <v>1381</v>
      </c>
      <c r="D2236" s="88" t="s">
        <v>1004</v>
      </c>
      <c r="E2236" s="89">
        <v>21.06</v>
      </c>
      <c r="F2236" s="88" t="s">
        <v>33</v>
      </c>
      <c r="G2236" s="87">
        <f>Table1[[#This Row],[date]]</f>
        <v>45634</v>
      </c>
      <c r="H2236" s="94">
        <f>SUMIF($A$2:A5871,G2236,$E$2:E5871)</f>
        <v>308.60000000000002</v>
      </c>
      <c r="I2236" s="93" t="str">
        <f t="shared" si="137"/>
        <v>Sunday</v>
      </c>
      <c r="J2236" s="93" t="str">
        <f t="shared" si="138"/>
        <v>December</v>
      </c>
      <c r="K2236" s="93" t="str">
        <f t="shared" si="139"/>
        <v>2024</v>
      </c>
      <c r="L2236" s="6"/>
      <c r="M2236" s="6"/>
      <c r="N2236" s="6"/>
    </row>
    <row r="2237" spans="1:14" x14ac:dyDescent="0.3">
      <c r="A2237" s="92">
        <v>45634</v>
      </c>
      <c r="B2237" s="92" t="str">
        <f t="shared" si="136"/>
        <v>Sunday</v>
      </c>
      <c r="C2237" s="93" t="s">
        <v>1381</v>
      </c>
      <c r="D2237" s="93" t="s">
        <v>109</v>
      </c>
      <c r="E2237" s="94">
        <v>35.76</v>
      </c>
      <c r="F2237" s="93" t="s">
        <v>41</v>
      </c>
      <c r="G2237" s="87">
        <f>Table1[[#This Row],[date]]</f>
        <v>45634</v>
      </c>
      <c r="H2237" s="94">
        <f>SUMIF($A$2:A5872,G2237,$E$2:E5872)</f>
        <v>308.60000000000002</v>
      </c>
      <c r="I2237" s="93" t="str">
        <f t="shared" si="137"/>
        <v>Sunday</v>
      </c>
      <c r="J2237" s="93" t="str">
        <f t="shared" si="138"/>
        <v>December</v>
      </c>
      <c r="K2237" s="93" t="str">
        <f t="shared" si="139"/>
        <v>2024</v>
      </c>
      <c r="L2237" s="6"/>
      <c r="M2237" s="6"/>
      <c r="N2237" s="6"/>
    </row>
    <row r="2238" spans="1:14" x14ac:dyDescent="0.3">
      <c r="A2238" s="87">
        <v>45634</v>
      </c>
      <c r="B2238" s="87" t="str">
        <f t="shared" si="136"/>
        <v>Sunday</v>
      </c>
      <c r="C2238" s="88" t="s">
        <v>1381</v>
      </c>
      <c r="D2238" s="88" t="s">
        <v>1005</v>
      </c>
      <c r="E2238" s="89">
        <v>30.86</v>
      </c>
      <c r="F2238" s="88" t="s">
        <v>12</v>
      </c>
      <c r="G2238" s="87">
        <f>Table1[[#This Row],[date]]</f>
        <v>45634</v>
      </c>
      <c r="H2238" s="94">
        <f>SUMIF($A$2:A5873,G2238,$E$2:E5873)</f>
        <v>308.60000000000002</v>
      </c>
      <c r="I2238" s="93" t="str">
        <f t="shared" si="137"/>
        <v>Sunday</v>
      </c>
      <c r="J2238" s="93" t="str">
        <f t="shared" si="138"/>
        <v>December</v>
      </c>
      <c r="K2238" s="93" t="str">
        <f t="shared" si="139"/>
        <v>2024</v>
      </c>
      <c r="L2238" s="6"/>
      <c r="M2238" s="6"/>
      <c r="N2238" s="6"/>
    </row>
    <row r="2239" spans="1:14" x14ac:dyDescent="0.3">
      <c r="A2239" s="92">
        <v>45634</v>
      </c>
      <c r="B2239" s="92" t="str">
        <f t="shared" si="136"/>
        <v>Sunday</v>
      </c>
      <c r="C2239" s="93" t="s">
        <v>1381</v>
      </c>
      <c r="D2239" s="93" t="s">
        <v>988</v>
      </c>
      <c r="E2239" s="94">
        <v>30.86</v>
      </c>
      <c r="F2239" s="93" t="s">
        <v>12</v>
      </c>
      <c r="G2239" s="87">
        <f>Table1[[#This Row],[date]]</f>
        <v>45634</v>
      </c>
      <c r="H2239" s="94">
        <f>SUMIF($A$2:A5874,G2239,$E$2:E5874)</f>
        <v>308.60000000000002</v>
      </c>
      <c r="I2239" s="93" t="str">
        <f t="shared" si="137"/>
        <v>Sunday</v>
      </c>
      <c r="J2239" s="93" t="str">
        <f t="shared" si="138"/>
        <v>December</v>
      </c>
      <c r="K2239" s="93" t="str">
        <f t="shared" si="139"/>
        <v>2024</v>
      </c>
      <c r="L2239" s="6"/>
      <c r="M2239" s="6"/>
      <c r="N2239" s="6"/>
    </row>
    <row r="2240" spans="1:14" x14ac:dyDescent="0.3">
      <c r="A2240" s="87">
        <v>45635</v>
      </c>
      <c r="B2240" s="87" t="str">
        <f t="shared" si="136"/>
        <v>Monday</v>
      </c>
      <c r="C2240" s="88" t="s">
        <v>1381</v>
      </c>
      <c r="D2240" s="88" t="s">
        <v>1006</v>
      </c>
      <c r="E2240" s="89">
        <v>35.76</v>
      </c>
      <c r="F2240" s="88" t="s">
        <v>41</v>
      </c>
      <c r="G2240" s="87">
        <f>Table1[[#This Row],[date]]</f>
        <v>45635</v>
      </c>
      <c r="H2240" s="94">
        <f>SUMIF($A$2:A5875,G2240,$E$2:E5875)</f>
        <v>154.29999999999998</v>
      </c>
      <c r="I2240" s="93" t="str">
        <f t="shared" si="137"/>
        <v>Monday</v>
      </c>
      <c r="J2240" s="93" t="str">
        <f t="shared" si="138"/>
        <v>December</v>
      </c>
      <c r="K2240" s="93" t="str">
        <f t="shared" si="139"/>
        <v>2024</v>
      </c>
      <c r="L2240" s="6"/>
      <c r="M2240" s="6"/>
      <c r="N2240" s="6"/>
    </row>
    <row r="2241" spans="1:14" x14ac:dyDescent="0.3">
      <c r="A2241" s="92">
        <v>45635</v>
      </c>
      <c r="B2241" s="92" t="str">
        <f t="shared" si="136"/>
        <v>Monday</v>
      </c>
      <c r="C2241" s="93" t="s">
        <v>1381</v>
      </c>
      <c r="D2241" s="93" t="s">
        <v>1007</v>
      </c>
      <c r="E2241" s="94">
        <v>25.96</v>
      </c>
      <c r="F2241" s="93" t="s">
        <v>9</v>
      </c>
      <c r="G2241" s="87">
        <f>Table1[[#This Row],[date]]</f>
        <v>45635</v>
      </c>
      <c r="H2241" s="94">
        <f>SUMIF($A$2:A5876,G2241,$E$2:E5876)</f>
        <v>154.29999999999998</v>
      </c>
      <c r="I2241" s="93" t="str">
        <f t="shared" si="137"/>
        <v>Monday</v>
      </c>
      <c r="J2241" s="93" t="str">
        <f t="shared" si="138"/>
        <v>December</v>
      </c>
      <c r="K2241" s="93" t="str">
        <f t="shared" si="139"/>
        <v>2024</v>
      </c>
      <c r="L2241" s="6"/>
      <c r="M2241" s="6"/>
      <c r="N2241" s="6"/>
    </row>
    <row r="2242" spans="1:14" x14ac:dyDescent="0.3">
      <c r="A2242" s="87">
        <v>45635</v>
      </c>
      <c r="B2242" s="87" t="str">
        <f t="shared" ref="B2242:B2305" si="140">TEXT(A2242,"dddd")</f>
        <v>Monday</v>
      </c>
      <c r="C2242" s="88" t="s">
        <v>1381</v>
      </c>
      <c r="D2242" s="88" t="s">
        <v>288</v>
      </c>
      <c r="E2242" s="89">
        <v>30.86</v>
      </c>
      <c r="F2242" s="88" t="s">
        <v>12</v>
      </c>
      <c r="G2242" s="87">
        <f>Table1[[#This Row],[date]]</f>
        <v>45635</v>
      </c>
      <c r="H2242" s="94">
        <f>SUMIF($A$2:A5877,G2242,$E$2:E5877)</f>
        <v>154.29999999999998</v>
      </c>
      <c r="I2242" s="93" t="str">
        <f t="shared" si="137"/>
        <v>Monday</v>
      </c>
      <c r="J2242" s="93" t="str">
        <f t="shared" si="138"/>
        <v>December</v>
      </c>
      <c r="K2242" s="93" t="str">
        <f t="shared" si="139"/>
        <v>2024</v>
      </c>
      <c r="L2242" s="6"/>
      <c r="M2242" s="6"/>
      <c r="N2242" s="6"/>
    </row>
    <row r="2243" spans="1:14" x14ac:dyDescent="0.3">
      <c r="A2243" s="92">
        <v>45635</v>
      </c>
      <c r="B2243" s="92" t="str">
        <f t="shared" si="140"/>
        <v>Monday</v>
      </c>
      <c r="C2243" s="93" t="s">
        <v>1381</v>
      </c>
      <c r="D2243" s="93" t="s">
        <v>814</v>
      </c>
      <c r="E2243" s="94">
        <v>25.96</v>
      </c>
      <c r="F2243" s="93" t="s">
        <v>26</v>
      </c>
      <c r="G2243" s="87">
        <f>Table1[[#This Row],[date]]</f>
        <v>45635</v>
      </c>
      <c r="H2243" s="94">
        <f>SUMIF($A$2:A5878,G2243,$E$2:E5878)</f>
        <v>154.29999999999998</v>
      </c>
      <c r="I2243" s="93" t="str">
        <f t="shared" si="137"/>
        <v>Monday</v>
      </c>
      <c r="J2243" s="93" t="str">
        <f t="shared" si="138"/>
        <v>December</v>
      </c>
      <c r="K2243" s="93" t="str">
        <f t="shared" si="139"/>
        <v>2024</v>
      </c>
      <c r="L2243" s="6"/>
      <c r="M2243" s="6"/>
      <c r="N2243" s="6"/>
    </row>
    <row r="2244" spans="1:14" x14ac:dyDescent="0.3">
      <c r="A2244" s="87">
        <v>45635</v>
      </c>
      <c r="B2244" s="87" t="str">
        <f t="shared" si="140"/>
        <v>Monday</v>
      </c>
      <c r="C2244" s="88" t="s">
        <v>1381</v>
      </c>
      <c r="D2244" s="88" t="s">
        <v>1008</v>
      </c>
      <c r="E2244" s="89">
        <v>35.76</v>
      </c>
      <c r="F2244" s="88" t="s">
        <v>16</v>
      </c>
      <c r="G2244" s="87">
        <f>Table1[[#This Row],[date]]</f>
        <v>45635</v>
      </c>
      <c r="H2244" s="94">
        <f>SUMIF($A$2:A5879,G2244,$E$2:E5879)</f>
        <v>154.29999999999998</v>
      </c>
      <c r="I2244" s="93" t="str">
        <f t="shared" si="137"/>
        <v>Monday</v>
      </c>
      <c r="J2244" s="93" t="str">
        <f t="shared" si="138"/>
        <v>December</v>
      </c>
      <c r="K2244" s="93" t="str">
        <f t="shared" si="139"/>
        <v>2024</v>
      </c>
      <c r="L2244" s="6"/>
      <c r="M2244" s="6"/>
      <c r="N2244" s="6"/>
    </row>
    <row r="2245" spans="1:14" x14ac:dyDescent="0.3">
      <c r="A2245" s="92">
        <v>45636</v>
      </c>
      <c r="B2245" s="92" t="str">
        <f t="shared" si="140"/>
        <v>Tuesday</v>
      </c>
      <c r="C2245" s="93" t="s">
        <v>1381</v>
      </c>
      <c r="D2245" s="93" t="s">
        <v>153</v>
      </c>
      <c r="E2245" s="94">
        <v>25.96</v>
      </c>
      <c r="F2245" s="93" t="s">
        <v>26</v>
      </c>
      <c r="G2245" s="87">
        <f>Table1[[#This Row],[date]]</f>
        <v>45636</v>
      </c>
      <c r="H2245" s="94">
        <f>SUMIF($A$2:A5880,G2245,$E$2:E5880)</f>
        <v>61.72</v>
      </c>
      <c r="I2245" s="93" t="str">
        <f t="shared" si="137"/>
        <v>Tuesday</v>
      </c>
      <c r="J2245" s="93" t="str">
        <f t="shared" si="138"/>
        <v>December</v>
      </c>
      <c r="K2245" s="93" t="str">
        <f t="shared" si="139"/>
        <v>2024</v>
      </c>
      <c r="L2245" s="6"/>
      <c r="M2245" s="6"/>
      <c r="N2245" s="6"/>
    </row>
    <row r="2246" spans="1:14" x14ac:dyDescent="0.3">
      <c r="A2246" s="87">
        <v>45636</v>
      </c>
      <c r="B2246" s="87" t="str">
        <f t="shared" si="140"/>
        <v>Tuesday</v>
      </c>
      <c r="C2246" s="88" t="s">
        <v>1381</v>
      </c>
      <c r="D2246" s="88" t="s">
        <v>950</v>
      </c>
      <c r="E2246" s="89">
        <v>35.76</v>
      </c>
      <c r="F2246" s="88" t="s">
        <v>7</v>
      </c>
      <c r="G2246" s="87">
        <f>Table1[[#This Row],[date]]</f>
        <v>45636</v>
      </c>
      <c r="H2246" s="94">
        <f>SUMIF($A$2:A5881,G2246,$E$2:E5881)</f>
        <v>61.72</v>
      </c>
      <c r="I2246" s="93" t="str">
        <f t="shared" ref="I2246:I2309" si="141">TEXT(G2246,"dddd")</f>
        <v>Tuesday</v>
      </c>
      <c r="J2246" s="93" t="str">
        <f t="shared" si="138"/>
        <v>December</v>
      </c>
      <c r="K2246" s="93" t="str">
        <f t="shared" si="139"/>
        <v>2024</v>
      </c>
      <c r="L2246" s="6"/>
      <c r="M2246" s="6"/>
      <c r="N2246" s="6"/>
    </row>
    <row r="2247" spans="1:14" x14ac:dyDescent="0.3">
      <c r="A2247" s="92">
        <v>45637</v>
      </c>
      <c r="B2247" s="92" t="str">
        <f t="shared" si="140"/>
        <v>Wednesday</v>
      </c>
      <c r="C2247" s="93" t="s">
        <v>1381</v>
      </c>
      <c r="D2247" s="93" t="s">
        <v>582</v>
      </c>
      <c r="E2247" s="94">
        <v>35.76</v>
      </c>
      <c r="F2247" s="93" t="s">
        <v>5</v>
      </c>
      <c r="G2247" s="87">
        <f>Table1[[#This Row],[date]]</f>
        <v>45637</v>
      </c>
      <c r="H2247" s="94">
        <f>SUMIF($A$2:A5882,G2247,$E$2:E5882)</f>
        <v>225.81999999999996</v>
      </c>
      <c r="I2247" s="93" t="str">
        <f t="shared" si="141"/>
        <v>Wednesday</v>
      </c>
      <c r="J2247" s="93" t="str">
        <f t="shared" ref="J2247:J2310" si="142">TEXT(G2247,"mmmm")</f>
        <v>December</v>
      </c>
      <c r="K2247" s="93" t="str">
        <f t="shared" ref="K2247:K2310" si="143">TEXT(G2247,"yyyy")</f>
        <v>2024</v>
      </c>
      <c r="L2247" s="6"/>
      <c r="M2247" s="6"/>
      <c r="N2247" s="6"/>
    </row>
    <row r="2248" spans="1:14" x14ac:dyDescent="0.3">
      <c r="A2248" s="87">
        <v>45637</v>
      </c>
      <c r="B2248" s="87" t="str">
        <f t="shared" si="140"/>
        <v>Wednesday</v>
      </c>
      <c r="C2248" s="88" t="s">
        <v>1381</v>
      </c>
      <c r="D2248" s="88" t="s">
        <v>153</v>
      </c>
      <c r="E2248" s="89">
        <v>25.96</v>
      </c>
      <c r="F2248" s="88" t="s">
        <v>26</v>
      </c>
      <c r="G2248" s="87">
        <f>Table1[[#This Row],[date]]</f>
        <v>45637</v>
      </c>
      <c r="H2248" s="94">
        <f>SUMIF($A$2:A5883,G2248,$E$2:E5883)</f>
        <v>225.81999999999996</v>
      </c>
      <c r="I2248" s="93" t="str">
        <f t="shared" si="141"/>
        <v>Wednesday</v>
      </c>
      <c r="J2248" s="93" t="str">
        <f t="shared" si="142"/>
        <v>December</v>
      </c>
      <c r="K2248" s="93" t="str">
        <f t="shared" si="143"/>
        <v>2024</v>
      </c>
      <c r="L2248" s="6"/>
      <c r="M2248" s="6"/>
      <c r="N2248" s="6"/>
    </row>
    <row r="2249" spans="1:14" x14ac:dyDescent="0.3">
      <c r="A2249" s="92">
        <v>45637</v>
      </c>
      <c r="B2249" s="92" t="str">
        <f t="shared" si="140"/>
        <v>Wednesday</v>
      </c>
      <c r="C2249" s="93" t="s">
        <v>1381</v>
      </c>
      <c r="D2249" s="93" t="s">
        <v>1009</v>
      </c>
      <c r="E2249" s="94">
        <v>35.76</v>
      </c>
      <c r="F2249" s="93" t="s">
        <v>7</v>
      </c>
      <c r="G2249" s="87">
        <f>Table1[[#This Row],[date]]</f>
        <v>45637</v>
      </c>
      <c r="H2249" s="94">
        <f>SUMIF($A$2:A5884,G2249,$E$2:E5884)</f>
        <v>225.81999999999996</v>
      </c>
      <c r="I2249" s="93" t="str">
        <f t="shared" si="141"/>
        <v>Wednesday</v>
      </c>
      <c r="J2249" s="93" t="str">
        <f t="shared" si="142"/>
        <v>December</v>
      </c>
      <c r="K2249" s="93" t="str">
        <f t="shared" si="143"/>
        <v>2024</v>
      </c>
      <c r="L2249" s="6"/>
      <c r="M2249" s="6"/>
      <c r="N2249" s="6"/>
    </row>
    <row r="2250" spans="1:14" x14ac:dyDescent="0.3">
      <c r="A2250" s="87">
        <v>45637</v>
      </c>
      <c r="B2250" s="87" t="str">
        <f t="shared" si="140"/>
        <v>Wednesday</v>
      </c>
      <c r="C2250" s="88" t="s">
        <v>1381</v>
      </c>
      <c r="D2250" s="88" t="s">
        <v>1010</v>
      </c>
      <c r="E2250" s="89">
        <v>21.06</v>
      </c>
      <c r="F2250" s="88" t="s">
        <v>33</v>
      </c>
      <c r="G2250" s="87">
        <f>Table1[[#This Row],[date]]</f>
        <v>45637</v>
      </c>
      <c r="H2250" s="94">
        <f>SUMIF($A$2:A5885,G2250,$E$2:E5885)</f>
        <v>225.81999999999996</v>
      </c>
      <c r="I2250" s="93" t="str">
        <f t="shared" si="141"/>
        <v>Wednesday</v>
      </c>
      <c r="J2250" s="93" t="str">
        <f t="shared" si="142"/>
        <v>December</v>
      </c>
      <c r="K2250" s="93" t="str">
        <f t="shared" si="143"/>
        <v>2024</v>
      </c>
      <c r="L2250" s="6"/>
      <c r="M2250" s="6"/>
      <c r="N2250" s="6"/>
    </row>
    <row r="2251" spans="1:14" x14ac:dyDescent="0.3">
      <c r="A2251" s="92">
        <v>45637</v>
      </c>
      <c r="B2251" s="92" t="str">
        <f t="shared" si="140"/>
        <v>Wednesday</v>
      </c>
      <c r="C2251" s="93" t="s">
        <v>1381</v>
      </c>
      <c r="D2251" s="93" t="s">
        <v>1011</v>
      </c>
      <c r="E2251" s="94">
        <v>35.76</v>
      </c>
      <c r="F2251" s="93" t="s">
        <v>16</v>
      </c>
      <c r="G2251" s="87">
        <f>Table1[[#This Row],[date]]</f>
        <v>45637</v>
      </c>
      <c r="H2251" s="94">
        <f>SUMIF($A$2:A5886,G2251,$E$2:E5886)</f>
        <v>225.81999999999996</v>
      </c>
      <c r="I2251" s="93" t="str">
        <f t="shared" si="141"/>
        <v>Wednesday</v>
      </c>
      <c r="J2251" s="93" t="str">
        <f t="shared" si="142"/>
        <v>December</v>
      </c>
      <c r="K2251" s="93" t="str">
        <f t="shared" si="143"/>
        <v>2024</v>
      </c>
      <c r="L2251" s="6"/>
      <c r="M2251" s="6"/>
      <c r="N2251" s="6"/>
    </row>
    <row r="2252" spans="1:14" x14ac:dyDescent="0.3">
      <c r="A2252" s="87">
        <v>45637</v>
      </c>
      <c r="B2252" s="87" t="str">
        <f t="shared" si="140"/>
        <v>Wednesday</v>
      </c>
      <c r="C2252" s="88" t="s">
        <v>1381</v>
      </c>
      <c r="D2252" s="88" t="s">
        <v>702</v>
      </c>
      <c r="E2252" s="89">
        <v>35.76</v>
      </c>
      <c r="F2252" s="88" t="s">
        <v>5</v>
      </c>
      <c r="G2252" s="87">
        <f>Table1[[#This Row],[date]]</f>
        <v>45637</v>
      </c>
      <c r="H2252" s="94">
        <f>SUMIF($A$2:A5887,G2252,$E$2:E5887)</f>
        <v>225.81999999999996</v>
      </c>
      <c r="I2252" s="93" t="str">
        <f t="shared" si="141"/>
        <v>Wednesday</v>
      </c>
      <c r="J2252" s="93" t="str">
        <f t="shared" si="142"/>
        <v>December</v>
      </c>
      <c r="K2252" s="93" t="str">
        <f t="shared" si="143"/>
        <v>2024</v>
      </c>
      <c r="L2252" s="6"/>
      <c r="M2252" s="6"/>
      <c r="N2252" s="6"/>
    </row>
    <row r="2253" spans="1:14" x14ac:dyDescent="0.3">
      <c r="A2253" s="92">
        <v>45637</v>
      </c>
      <c r="B2253" s="92" t="str">
        <f t="shared" si="140"/>
        <v>Wednesday</v>
      </c>
      <c r="C2253" s="93" t="s">
        <v>1381</v>
      </c>
      <c r="D2253" s="93" t="s">
        <v>1012</v>
      </c>
      <c r="E2253" s="94">
        <v>35.76</v>
      </c>
      <c r="F2253" s="93" t="s">
        <v>5</v>
      </c>
      <c r="G2253" s="87">
        <f>Table1[[#This Row],[date]]</f>
        <v>45637</v>
      </c>
      <c r="H2253" s="94">
        <f>SUMIF($A$2:A5888,G2253,$E$2:E5888)</f>
        <v>225.81999999999996</v>
      </c>
      <c r="I2253" s="93" t="str">
        <f t="shared" si="141"/>
        <v>Wednesday</v>
      </c>
      <c r="J2253" s="93" t="str">
        <f t="shared" si="142"/>
        <v>December</v>
      </c>
      <c r="K2253" s="93" t="str">
        <f t="shared" si="143"/>
        <v>2024</v>
      </c>
      <c r="L2253" s="6"/>
      <c r="M2253" s="6"/>
      <c r="N2253" s="6"/>
    </row>
    <row r="2254" spans="1:14" x14ac:dyDescent="0.3">
      <c r="A2254" s="87">
        <v>45638</v>
      </c>
      <c r="B2254" s="87" t="str">
        <f t="shared" si="140"/>
        <v>Thursday</v>
      </c>
      <c r="C2254" s="88" t="s">
        <v>1381</v>
      </c>
      <c r="D2254" s="88" t="s">
        <v>1013</v>
      </c>
      <c r="E2254" s="89">
        <v>30.86</v>
      </c>
      <c r="F2254" s="88" t="s">
        <v>12</v>
      </c>
      <c r="G2254" s="87">
        <f>Table1[[#This Row],[date]]</f>
        <v>45638</v>
      </c>
      <c r="H2254" s="94">
        <f>SUMIF($A$2:A5889,G2254,$E$2:E5889)</f>
        <v>139.6</v>
      </c>
      <c r="I2254" s="93" t="str">
        <f t="shared" si="141"/>
        <v>Thursday</v>
      </c>
      <c r="J2254" s="93" t="str">
        <f t="shared" si="142"/>
        <v>December</v>
      </c>
      <c r="K2254" s="93" t="str">
        <f t="shared" si="143"/>
        <v>2024</v>
      </c>
      <c r="L2254" s="6"/>
      <c r="M2254" s="6"/>
      <c r="N2254" s="6"/>
    </row>
    <row r="2255" spans="1:14" x14ac:dyDescent="0.3">
      <c r="A2255" s="92">
        <v>45638</v>
      </c>
      <c r="B2255" s="92" t="str">
        <f t="shared" si="140"/>
        <v>Thursday</v>
      </c>
      <c r="C2255" s="93" t="s">
        <v>1381</v>
      </c>
      <c r="D2255" s="93" t="s">
        <v>1014</v>
      </c>
      <c r="E2255" s="94">
        <v>25.96</v>
      </c>
      <c r="F2255" s="93" t="s">
        <v>9</v>
      </c>
      <c r="G2255" s="87">
        <f>Table1[[#This Row],[date]]</f>
        <v>45638</v>
      </c>
      <c r="H2255" s="94">
        <f>SUMIF($A$2:A5890,G2255,$E$2:E5890)</f>
        <v>139.6</v>
      </c>
      <c r="I2255" s="93" t="str">
        <f t="shared" si="141"/>
        <v>Thursday</v>
      </c>
      <c r="J2255" s="93" t="str">
        <f t="shared" si="142"/>
        <v>December</v>
      </c>
      <c r="K2255" s="93" t="str">
        <f t="shared" si="143"/>
        <v>2024</v>
      </c>
      <c r="L2255" s="6"/>
      <c r="M2255" s="6"/>
      <c r="N2255" s="6"/>
    </row>
    <row r="2256" spans="1:14" x14ac:dyDescent="0.3">
      <c r="A2256" s="87">
        <v>45638</v>
      </c>
      <c r="B2256" s="87" t="str">
        <f t="shared" si="140"/>
        <v>Thursday</v>
      </c>
      <c r="C2256" s="88" t="s">
        <v>1381</v>
      </c>
      <c r="D2256" s="88" t="s">
        <v>1015</v>
      </c>
      <c r="E2256" s="89">
        <v>21.06</v>
      </c>
      <c r="F2256" s="88" t="s">
        <v>33</v>
      </c>
      <c r="G2256" s="87">
        <f>Table1[[#This Row],[date]]</f>
        <v>45638</v>
      </c>
      <c r="H2256" s="94">
        <f>SUMIF($A$2:A5891,G2256,$E$2:E5891)</f>
        <v>139.6</v>
      </c>
      <c r="I2256" s="93" t="str">
        <f t="shared" si="141"/>
        <v>Thursday</v>
      </c>
      <c r="J2256" s="93" t="str">
        <f t="shared" si="142"/>
        <v>December</v>
      </c>
      <c r="K2256" s="93" t="str">
        <f t="shared" si="143"/>
        <v>2024</v>
      </c>
      <c r="L2256" s="6"/>
      <c r="M2256" s="6"/>
      <c r="N2256" s="6"/>
    </row>
    <row r="2257" spans="1:14" x14ac:dyDescent="0.3">
      <c r="A2257" s="87">
        <v>45638</v>
      </c>
      <c r="B2257" s="87" t="str">
        <f t="shared" si="140"/>
        <v>Thursday</v>
      </c>
      <c r="C2257" s="88" t="s">
        <v>1381</v>
      </c>
      <c r="D2257" s="88" t="s">
        <v>1015</v>
      </c>
      <c r="E2257" s="89">
        <v>25.96</v>
      </c>
      <c r="F2257" s="88" t="s">
        <v>9</v>
      </c>
      <c r="G2257" s="87">
        <f>Table1[[#This Row],[date]]</f>
        <v>45638</v>
      </c>
      <c r="H2257" s="94">
        <f>SUMIF($A$2:A5892,G2257,$E$2:E5892)</f>
        <v>139.6</v>
      </c>
      <c r="I2257" s="93" t="str">
        <f t="shared" si="141"/>
        <v>Thursday</v>
      </c>
      <c r="J2257" s="93" t="str">
        <f t="shared" si="142"/>
        <v>December</v>
      </c>
      <c r="K2257" s="93" t="str">
        <f t="shared" si="143"/>
        <v>2024</v>
      </c>
      <c r="L2257" s="6"/>
      <c r="M2257" s="6"/>
      <c r="N2257" s="6"/>
    </row>
    <row r="2258" spans="1:14" x14ac:dyDescent="0.3">
      <c r="A2258" s="92">
        <v>45638</v>
      </c>
      <c r="B2258" s="92" t="str">
        <f t="shared" si="140"/>
        <v>Thursday</v>
      </c>
      <c r="C2258" s="93" t="s">
        <v>1381</v>
      </c>
      <c r="D2258" s="93" t="s">
        <v>934</v>
      </c>
      <c r="E2258" s="94">
        <v>35.76</v>
      </c>
      <c r="F2258" s="93" t="s">
        <v>16</v>
      </c>
      <c r="G2258" s="87">
        <f>Table1[[#This Row],[date]]</f>
        <v>45638</v>
      </c>
      <c r="H2258" s="94">
        <f>SUMIF($A$2:A5893,G2258,$E$2:E5893)</f>
        <v>139.6</v>
      </c>
      <c r="I2258" s="93" t="str">
        <f t="shared" si="141"/>
        <v>Thursday</v>
      </c>
      <c r="J2258" s="93" t="str">
        <f t="shared" si="142"/>
        <v>December</v>
      </c>
      <c r="K2258" s="93" t="str">
        <f t="shared" si="143"/>
        <v>2024</v>
      </c>
      <c r="L2258" s="6"/>
      <c r="M2258" s="6"/>
      <c r="N2258" s="6"/>
    </row>
    <row r="2259" spans="1:14" x14ac:dyDescent="0.3">
      <c r="A2259" s="92">
        <v>45639</v>
      </c>
      <c r="B2259" s="92" t="str">
        <f t="shared" si="140"/>
        <v>Friday</v>
      </c>
      <c r="C2259" s="93" t="s">
        <v>1381</v>
      </c>
      <c r="D2259" s="93" t="s">
        <v>1016</v>
      </c>
      <c r="E2259" s="94">
        <v>25.96</v>
      </c>
      <c r="F2259" s="93" t="s">
        <v>9</v>
      </c>
      <c r="G2259" s="87">
        <f>Table1[[#This Row],[date]]</f>
        <v>45639</v>
      </c>
      <c r="H2259" s="94">
        <f>SUMIF($A$2:A5894,G2259,$E$2:E5894)</f>
        <v>230.71999999999997</v>
      </c>
      <c r="I2259" s="93" t="str">
        <f t="shared" si="141"/>
        <v>Friday</v>
      </c>
      <c r="J2259" s="93" t="str">
        <f t="shared" si="142"/>
        <v>December</v>
      </c>
      <c r="K2259" s="93" t="str">
        <f t="shared" si="143"/>
        <v>2024</v>
      </c>
      <c r="L2259" s="6"/>
      <c r="M2259" s="6"/>
      <c r="N2259" s="6"/>
    </row>
    <row r="2260" spans="1:14" x14ac:dyDescent="0.3">
      <c r="A2260" s="87">
        <v>45639</v>
      </c>
      <c r="B2260" s="87" t="str">
        <f t="shared" si="140"/>
        <v>Friday</v>
      </c>
      <c r="C2260" s="88" t="s">
        <v>1381</v>
      </c>
      <c r="D2260" s="88" t="s">
        <v>1015</v>
      </c>
      <c r="E2260" s="89">
        <v>25.96</v>
      </c>
      <c r="F2260" s="88" t="s">
        <v>9</v>
      </c>
      <c r="G2260" s="87">
        <f>Table1[[#This Row],[date]]</f>
        <v>45639</v>
      </c>
      <c r="H2260" s="94">
        <f>SUMIF($A$2:A5895,G2260,$E$2:E5895)</f>
        <v>230.71999999999997</v>
      </c>
      <c r="I2260" s="93" t="str">
        <f t="shared" si="141"/>
        <v>Friday</v>
      </c>
      <c r="J2260" s="93" t="str">
        <f t="shared" si="142"/>
        <v>December</v>
      </c>
      <c r="K2260" s="93" t="str">
        <f t="shared" si="143"/>
        <v>2024</v>
      </c>
      <c r="L2260" s="6"/>
      <c r="M2260" s="6"/>
      <c r="N2260" s="6"/>
    </row>
    <row r="2261" spans="1:14" x14ac:dyDescent="0.3">
      <c r="A2261" s="92">
        <v>45639</v>
      </c>
      <c r="B2261" s="92" t="str">
        <f t="shared" si="140"/>
        <v>Friday</v>
      </c>
      <c r="C2261" s="93" t="s">
        <v>1381</v>
      </c>
      <c r="D2261" s="93" t="s">
        <v>1015</v>
      </c>
      <c r="E2261" s="94">
        <v>35.76</v>
      </c>
      <c r="F2261" s="93" t="s">
        <v>7</v>
      </c>
      <c r="G2261" s="87">
        <f>Table1[[#This Row],[date]]</f>
        <v>45639</v>
      </c>
      <c r="H2261" s="94">
        <f>SUMIF($A$2:A5896,G2261,$E$2:E5896)</f>
        <v>230.71999999999997</v>
      </c>
      <c r="I2261" s="93" t="str">
        <f t="shared" si="141"/>
        <v>Friday</v>
      </c>
      <c r="J2261" s="93" t="str">
        <f t="shared" si="142"/>
        <v>December</v>
      </c>
      <c r="K2261" s="93" t="str">
        <f t="shared" si="143"/>
        <v>2024</v>
      </c>
      <c r="L2261" s="6"/>
      <c r="M2261" s="6"/>
      <c r="N2261" s="6"/>
    </row>
    <row r="2262" spans="1:14" x14ac:dyDescent="0.3">
      <c r="A2262" s="87">
        <v>45639</v>
      </c>
      <c r="B2262" s="87" t="str">
        <f t="shared" si="140"/>
        <v>Friday</v>
      </c>
      <c r="C2262" s="88" t="s">
        <v>1381</v>
      </c>
      <c r="D2262" s="88" t="s">
        <v>1017</v>
      </c>
      <c r="E2262" s="89">
        <v>35.76</v>
      </c>
      <c r="F2262" s="88" t="s">
        <v>7</v>
      </c>
      <c r="G2262" s="87">
        <f>Table1[[#This Row],[date]]</f>
        <v>45639</v>
      </c>
      <c r="H2262" s="94">
        <f>SUMIF($A$2:A5897,G2262,$E$2:E5897)</f>
        <v>230.71999999999997</v>
      </c>
      <c r="I2262" s="93" t="str">
        <f t="shared" si="141"/>
        <v>Friday</v>
      </c>
      <c r="J2262" s="93" t="str">
        <f t="shared" si="142"/>
        <v>December</v>
      </c>
      <c r="K2262" s="93" t="str">
        <f t="shared" si="143"/>
        <v>2024</v>
      </c>
      <c r="L2262" s="6"/>
      <c r="M2262" s="6"/>
      <c r="N2262" s="6"/>
    </row>
    <row r="2263" spans="1:14" x14ac:dyDescent="0.3">
      <c r="A2263" s="92">
        <v>45639</v>
      </c>
      <c r="B2263" s="92" t="str">
        <f t="shared" si="140"/>
        <v>Friday</v>
      </c>
      <c r="C2263" s="93" t="s">
        <v>1381</v>
      </c>
      <c r="D2263" s="93" t="s">
        <v>506</v>
      </c>
      <c r="E2263" s="94">
        <v>35.76</v>
      </c>
      <c r="F2263" s="93" t="s">
        <v>16</v>
      </c>
      <c r="G2263" s="87">
        <f>Table1[[#This Row],[date]]</f>
        <v>45639</v>
      </c>
      <c r="H2263" s="94">
        <f>SUMIF($A$2:A5898,G2263,$E$2:E5898)</f>
        <v>230.71999999999997</v>
      </c>
      <c r="I2263" s="93" t="str">
        <f t="shared" si="141"/>
        <v>Friday</v>
      </c>
      <c r="J2263" s="93" t="str">
        <f t="shared" si="142"/>
        <v>December</v>
      </c>
      <c r="K2263" s="93" t="str">
        <f t="shared" si="143"/>
        <v>2024</v>
      </c>
      <c r="L2263" s="6"/>
      <c r="M2263" s="6"/>
      <c r="N2263" s="6"/>
    </row>
    <row r="2264" spans="1:14" x14ac:dyDescent="0.3">
      <c r="A2264" s="87">
        <v>45639</v>
      </c>
      <c r="B2264" s="87" t="str">
        <f t="shared" si="140"/>
        <v>Friday</v>
      </c>
      <c r="C2264" s="88" t="s">
        <v>1381</v>
      </c>
      <c r="D2264" s="88" t="s">
        <v>888</v>
      </c>
      <c r="E2264" s="89">
        <v>35.76</v>
      </c>
      <c r="F2264" s="88" t="s">
        <v>41</v>
      </c>
      <c r="G2264" s="87">
        <f>Table1[[#This Row],[date]]</f>
        <v>45639</v>
      </c>
      <c r="H2264" s="94">
        <f>SUMIF($A$2:A5899,G2264,$E$2:E5899)</f>
        <v>230.71999999999997</v>
      </c>
      <c r="I2264" s="93" t="str">
        <f t="shared" si="141"/>
        <v>Friday</v>
      </c>
      <c r="J2264" s="93" t="str">
        <f t="shared" si="142"/>
        <v>December</v>
      </c>
      <c r="K2264" s="93" t="str">
        <f t="shared" si="143"/>
        <v>2024</v>
      </c>
      <c r="L2264" s="6"/>
      <c r="M2264" s="6"/>
      <c r="N2264" s="6"/>
    </row>
    <row r="2265" spans="1:14" x14ac:dyDescent="0.3">
      <c r="A2265" s="87">
        <v>45639</v>
      </c>
      <c r="B2265" s="87" t="str">
        <f t="shared" si="140"/>
        <v>Friday</v>
      </c>
      <c r="C2265" s="88" t="s">
        <v>1381</v>
      </c>
      <c r="D2265" s="88" t="s">
        <v>760</v>
      </c>
      <c r="E2265" s="89">
        <v>35.76</v>
      </c>
      <c r="F2265" s="88" t="s">
        <v>5</v>
      </c>
      <c r="G2265" s="87">
        <f>Table1[[#This Row],[date]]</f>
        <v>45639</v>
      </c>
      <c r="H2265" s="94">
        <f>SUMIF($A$2:A5900,G2265,$E$2:E5900)</f>
        <v>230.71999999999997</v>
      </c>
      <c r="I2265" s="93" t="str">
        <f t="shared" si="141"/>
        <v>Friday</v>
      </c>
      <c r="J2265" s="93" t="str">
        <f t="shared" si="142"/>
        <v>December</v>
      </c>
      <c r="K2265" s="93" t="str">
        <f t="shared" si="143"/>
        <v>2024</v>
      </c>
      <c r="L2265" s="6"/>
      <c r="M2265" s="6"/>
      <c r="N2265" s="6"/>
    </row>
    <row r="2266" spans="1:14" x14ac:dyDescent="0.3">
      <c r="A2266" s="92">
        <v>45640</v>
      </c>
      <c r="B2266" s="92" t="str">
        <f t="shared" si="140"/>
        <v>Saturday</v>
      </c>
      <c r="C2266" s="93" t="s">
        <v>1381</v>
      </c>
      <c r="D2266" s="93" t="s">
        <v>1018</v>
      </c>
      <c r="E2266" s="94">
        <v>30.86</v>
      </c>
      <c r="F2266" s="93" t="s">
        <v>12</v>
      </c>
      <c r="G2266" s="87">
        <f>Table1[[#This Row],[date]]</f>
        <v>45640</v>
      </c>
      <c r="H2266" s="94">
        <f>SUMIF($A$2:A5901,G2266,$E$2:E5901)</f>
        <v>282.64</v>
      </c>
      <c r="I2266" s="93" t="str">
        <f t="shared" si="141"/>
        <v>Saturday</v>
      </c>
      <c r="J2266" s="93" t="str">
        <f t="shared" si="142"/>
        <v>December</v>
      </c>
      <c r="K2266" s="93" t="str">
        <f t="shared" si="143"/>
        <v>2024</v>
      </c>
      <c r="L2266" s="6"/>
      <c r="M2266" s="6"/>
      <c r="N2266" s="6"/>
    </row>
    <row r="2267" spans="1:14" x14ac:dyDescent="0.3">
      <c r="A2267" s="87">
        <v>45640</v>
      </c>
      <c r="B2267" s="87" t="str">
        <f t="shared" si="140"/>
        <v>Saturday</v>
      </c>
      <c r="C2267" s="88" t="s">
        <v>1381</v>
      </c>
      <c r="D2267" s="88" t="s">
        <v>1019</v>
      </c>
      <c r="E2267" s="89">
        <v>35.76</v>
      </c>
      <c r="F2267" s="88" t="s">
        <v>16</v>
      </c>
      <c r="G2267" s="87">
        <f>Table1[[#This Row],[date]]</f>
        <v>45640</v>
      </c>
      <c r="H2267" s="94">
        <f>SUMIF($A$2:A5902,G2267,$E$2:E5902)</f>
        <v>282.64</v>
      </c>
      <c r="I2267" s="93" t="str">
        <f t="shared" si="141"/>
        <v>Saturday</v>
      </c>
      <c r="J2267" s="93" t="str">
        <f t="shared" si="142"/>
        <v>December</v>
      </c>
      <c r="K2267" s="93" t="str">
        <f t="shared" si="143"/>
        <v>2024</v>
      </c>
      <c r="L2267" s="6"/>
      <c r="M2267" s="6"/>
      <c r="N2267" s="6"/>
    </row>
    <row r="2268" spans="1:14" x14ac:dyDescent="0.3">
      <c r="A2268" s="92">
        <v>45640</v>
      </c>
      <c r="B2268" s="92" t="str">
        <f t="shared" si="140"/>
        <v>Saturday</v>
      </c>
      <c r="C2268" s="93" t="s">
        <v>1381</v>
      </c>
      <c r="D2268" s="93" t="s">
        <v>676</v>
      </c>
      <c r="E2268" s="94">
        <v>35.76</v>
      </c>
      <c r="F2268" s="93" t="s">
        <v>41</v>
      </c>
      <c r="G2268" s="87">
        <f>Table1[[#This Row],[date]]</f>
        <v>45640</v>
      </c>
      <c r="H2268" s="94">
        <f>SUMIF($A$2:A5903,G2268,$E$2:E5903)</f>
        <v>282.64</v>
      </c>
      <c r="I2268" s="93" t="str">
        <f t="shared" si="141"/>
        <v>Saturday</v>
      </c>
      <c r="J2268" s="93" t="str">
        <f t="shared" si="142"/>
        <v>December</v>
      </c>
      <c r="K2268" s="93" t="str">
        <f t="shared" si="143"/>
        <v>2024</v>
      </c>
      <c r="L2268" s="6"/>
      <c r="M2268" s="6"/>
      <c r="N2268" s="6"/>
    </row>
    <row r="2269" spans="1:14" x14ac:dyDescent="0.3">
      <c r="A2269" s="87">
        <v>45640</v>
      </c>
      <c r="B2269" s="87" t="str">
        <f t="shared" si="140"/>
        <v>Saturday</v>
      </c>
      <c r="C2269" s="88" t="s">
        <v>1381</v>
      </c>
      <c r="D2269" s="88" t="s">
        <v>1020</v>
      </c>
      <c r="E2269" s="89">
        <v>25.96</v>
      </c>
      <c r="F2269" s="88" t="s">
        <v>9</v>
      </c>
      <c r="G2269" s="87">
        <f>Table1[[#This Row],[date]]</f>
        <v>45640</v>
      </c>
      <c r="H2269" s="94">
        <f>SUMIF($A$2:A5904,G2269,$E$2:E5904)</f>
        <v>282.64</v>
      </c>
      <c r="I2269" s="93" t="str">
        <f t="shared" si="141"/>
        <v>Saturday</v>
      </c>
      <c r="J2269" s="93" t="str">
        <f t="shared" si="142"/>
        <v>December</v>
      </c>
      <c r="K2269" s="93" t="str">
        <f t="shared" si="143"/>
        <v>2024</v>
      </c>
      <c r="L2269" s="6"/>
      <c r="M2269" s="6"/>
      <c r="N2269" s="6"/>
    </row>
    <row r="2270" spans="1:14" x14ac:dyDescent="0.3">
      <c r="A2270" s="92">
        <v>45640</v>
      </c>
      <c r="B2270" s="92" t="str">
        <f t="shared" si="140"/>
        <v>Saturday</v>
      </c>
      <c r="C2270" s="93" t="s">
        <v>1381</v>
      </c>
      <c r="D2270" s="93" t="s">
        <v>1020</v>
      </c>
      <c r="E2270" s="94">
        <v>35.76</v>
      </c>
      <c r="F2270" s="93" t="s">
        <v>5</v>
      </c>
      <c r="G2270" s="87">
        <f>Table1[[#This Row],[date]]</f>
        <v>45640</v>
      </c>
      <c r="H2270" s="94">
        <f>SUMIF($A$2:A5905,G2270,$E$2:E5905)</f>
        <v>282.64</v>
      </c>
      <c r="I2270" s="93" t="str">
        <f t="shared" si="141"/>
        <v>Saturday</v>
      </c>
      <c r="J2270" s="93" t="str">
        <f t="shared" si="142"/>
        <v>December</v>
      </c>
      <c r="K2270" s="93" t="str">
        <f t="shared" si="143"/>
        <v>2024</v>
      </c>
      <c r="L2270" s="6"/>
      <c r="M2270" s="6"/>
      <c r="N2270" s="6"/>
    </row>
    <row r="2271" spans="1:14" x14ac:dyDescent="0.3">
      <c r="A2271" s="87">
        <v>45640</v>
      </c>
      <c r="B2271" s="87" t="str">
        <f t="shared" si="140"/>
        <v>Saturday</v>
      </c>
      <c r="C2271" s="88" t="s">
        <v>1381</v>
      </c>
      <c r="D2271" s="88" t="s">
        <v>624</v>
      </c>
      <c r="E2271" s="89">
        <v>35.76</v>
      </c>
      <c r="F2271" s="88" t="s">
        <v>16</v>
      </c>
      <c r="G2271" s="87">
        <f>Table1[[#This Row],[date]]</f>
        <v>45640</v>
      </c>
      <c r="H2271" s="94">
        <f>SUMIF($A$2:A5906,G2271,$E$2:E5906)</f>
        <v>282.64</v>
      </c>
      <c r="I2271" s="93" t="str">
        <f t="shared" si="141"/>
        <v>Saturday</v>
      </c>
      <c r="J2271" s="93" t="str">
        <f t="shared" si="142"/>
        <v>December</v>
      </c>
      <c r="K2271" s="93" t="str">
        <f t="shared" si="143"/>
        <v>2024</v>
      </c>
      <c r="L2271" s="6"/>
      <c r="M2271" s="6"/>
      <c r="N2271" s="6"/>
    </row>
    <row r="2272" spans="1:14" x14ac:dyDescent="0.3">
      <c r="A2272" s="92">
        <v>45640</v>
      </c>
      <c r="B2272" s="92" t="str">
        <f t="shared" si="140"/>
        <v>Saturday</v>
      </c>
      <c r="C2272" s="93" t="s">
        <v>1381</v>
      </c>
      <c r="D2272" s="93" t="s">
        <v>52</v>
      </c>
      <c r="E2272" s="94">
        <v>25.96</v>
      </c>
      <c r="F2272" s="93" t="s">
        <v>9</v>
      </c>
      <c r="G2272" s="87">
        <f>Table1[[#This Row],[date]]</f>
        <v>45640</v>
      </c>
      <c r="H2272" s="94">
        <f>SUMIF($A$2:A5907,G2272,$E$2:E5907)</f>
        <v>282.64</v>
      </c>
      <c r="I2272" s="93" t="str">
        <f t="shared" si="141"/>
        <v>Saturday</v>
      </c>
      <c r="J2272" s="93" t="str">
        <f t="shared" si="142"/>
        <v>December</v>
      </c>
      <c r="K2272" s="93" t="str">
        <f t="shared" si="143"/>
        <v>2024</v>
      </c>
      <c r="L2272" s="6"/>
      <c r="M2272" s="6"/>
      <c r="N2272" s="6"/>
    </row>
    <row r="2273" spans="1:14" x14ac:dyDescent="0.3">
      <c r="A2273" s="92">
        <v>45640</v>
      </c>
      <c r="B2273" s="92" t="str">
        <f t="shared" si="140"/>
        <v>Saturday</v>
      </c>
      <c r="C2273" s="93" t="s">
        <v>1381</v>
      </c>
      <c r="D2273" s="93" t="s">
        <v>1015</v>
      </c>
      <c r="E2273" s="94">
        <v>25.96</v>
      </c>
      <c r="F2273" s="93" t="s">
        <v>9</v>
      </c>
      <c r="G2273" s="87">
        <f>Table1[[#This Row],[date]]</f>
        <v>45640</v>
      </c>
      <c r="H2273" s="94">
        <f>SUMIF($A$2:A5908,G2273,$E$2:E5908)</f>
        <v>282.64</v>
      </c>
      <c r="I2273" s="93" t="str">
        <f t="shared" si="141"/>
        <v>Saturday</v>
      </c>
      <c r="J2273" s="93" t="str">
        <f t="shared" si="142"/>
        <v>December</v>
      </c>
      <c r="K2273" s="93" t="str">
        <f t="shared" si="143"/>
        <v>2024</v>
      </c>
      <c r="L2273" s="6"/>
      <c r="M2273" s="6"/>
      <c r="N2273" s="6"/>
    </row>
    <row r="2274" spans="1:14" x14ac:dyDescent="0.3">
      <c r="A2274" s="92">
        <v>45640</v>
      </c>
      <c r="B2274" s="92" t="str">
        <f t="shared" si="140"/>
        <v>Saturday</v>
      </c>
      <c r="C2274" s="93" t="s">
        <v>1381</v>
      </c>
      <c r="D2274" s="93" t="s">
        <v>1021</v>
      </c>
      <c r="E2274" s="94">
        <v>30.86</v>
      </c>
      <c r="F2274" s="93" t="s">
        <v>12</v>
      </c>
      <c r="G2274" s="87">
        <f>Table1[[#This Row],[date]]</f>
        <v>45640</v>
      </c>
      <c r="H2274" s="94">
        <f>SUMIF($A$2:A5909,G2274,$E$2:E5909)</f>
        <v>282.64</v>
      </c>
      <c r="I2274" s="93" t="str">
        <f t="shared" si="141"/>
        <v>Saturday</v>
      </c>
      <c r="J2274" s="93" t="str">
        <f t="shared" si="142"/>
        <v>December</v>
      </c>
      <c r="K2274" s="93" t="str">
        <f t="shared" si="143"/>
        <v>2024</v>
      </c>
      <c r="L2274" s="6"/>
      <c r="M2274" s="6"/>
      <c r="N2274" s="6"/>
    </row>
    <row r="2275" spans="1:14" x14ac:dyDescent="0.3">
      <c r="A2275" s="87">
        <v>45641</v>
      </c>
      <c r="B2275" s="87" t="str">
        <f t="shared" si="140"/>
        <v>Sunday</v>
      </c>
      <c r="C2275" s="88" t="s">
        <v>1381</v>
      </c>
      <c r="D2275" s="88" t="s">
        <v>582</v>
      </c>
      <c r="E2275" s="89">
        <v>35.76</v>
      </c>
      <c r="F2275" s="88" t="s">
        <v>5</v>
      </c>
      <c r="G2275" s="87">
        <f>Table1[[#This Row],[date]]</f>
        <v>45641</v>
      </c>
      <c r="H2275" s="94">
        <f>SUMIF($A$2:A5910,G2275,$E$2:E5910)</f>
        <v>107.28</v>
      </c>
      <c r="I2275" s="93" t="str">
        <f t="shared" si="141"/>
        <v>Sunday</v>
      </c>
      <c r="J2275" s="93" t="str">
        <f t="shared" si="142"/>
        <v>December</v>
      </c>
      <c r="K2275" s="93" t="str">
        <f t="shared" si="143"/>
        <v>2024</v>
      </c>
      <c r="L2275" s="6"/>
      <c r="M2275" s="6"/>
      <c r="N2275" s="6"/>
    </row>
    <row r="2276" spans="1:14" x14ac:dyDescent="0.3">
      <c r="A2276" s="92">
        <v>45641</v>
      </c>
      <c r="B2276" s="92" t="str">
        <f t="shared" si="140"/>
        <v>Sunday</v>
      </c>
      <c r="C2276" s="93" t="s">
        <v>1381</v>
      </c>
      <c r="D2276" s="93" t="s">
        <v>582</v>
      </c>
      <c r="E2276" s="94">
        <v>35.76</v>
      </c>
      <c r="F2276" s="93" t="s">
        <v>16</v>
      </c>
      <c r="G2276" s="87">
        <f>Table1[[#This Row],[date]]</f>
        <v>45641</v>
      </c>
      <c r="H2276" s="94">
        <f>SUMIF($A$2:A5911,G2276,$E$2:E5911)</f>
        <v>107.28</v>
      </c>
      <c r="I2276" s="93" t="str">
        <f t="shared" si="141"/>
        <v>Sunday</v>
      </c>
      <c r="J2276" s="93" t="str">
        <f t="shared" si="142"/>
        <v>December</v>
      </c>
      <c r="K2276" s="93" t="str">
        <f t="shared" si="143"/>
        <v>2024</v>
      </c>
      <c r="L2276" s="6"/>
      <c r="M2276" s="6"/>
      <c r="N2276" s="6"/>
    </row>
    <row r="2277" spans="1:14" x14ac:dyDescent="0.3">
      <c r="A2277" s="87">
        <v>45641</v>
      </c>
      <c r="B2277" s="87" t="str">
        <f t="shared" si="140"/>
        <v>Sunday</v>
      </c>
      <c r="C2277" s="88" t="s">
        <v>1381</v>
      </c>
      <c r="D2277" s="88" t="s">
        <v>810</v>
      </c>
      <c r="E2277" s="89">
        <v>35.76</v>
      </c>
      <c r="F2277" s="88" t="s">
        <v>7</v>
      </c>
      <c r="G2277" s="87">
        <f>Table1[[#This Row],[date]]</f>
        <v>45641</v>
      </c>
      <c r="H2277" s="94">
        <f>SUMIF($A$2:A5912,G2277,$E$2:E5912)</f>
        <v>107.28</v>
      </c>
      <c r="I2277" s="93" t="str">
        <f t="shared" si="141"/>
        <v>Sunday</v>
      </c>
      <c r="J2277" s="93" t="str">
        <f t="shared" si="142"/>
        <v>December</v>
      </c>
      <c r="K2277" s="93" t="str">
        <f t="shared" si="143"/>
        <v>2024</v>
      </c>
      <c r="L2277" s="6"/>
      <c r="M2277" s="6"/>
      <c r="N2277" s="6"/>
    </row>
    <row r="2278" spans="1:14" x14ac:dyDescent="0.3">
      <c r="A2278" s="92">
        <v>45642</v>
      </c>
      <c r="B2278" s="92" t="str">
        <f t="shared" si="140"/>
        <v>Monday</v>
      </c>
      <c r="C2278" s="93" t="s">
        <v>1381</v>
      </c>
      <c r="D2278" s="93" t="s">
        <v>582</v>
      </c>
      <c r="E2278" s="94">
        <v>35.76</v>
      </c>
      <c r="F2278" s="93" t="s">
        <v>5</v>
      </c>
      <c r="G2278" s="87">
        <f>Table1[[#This Row],[date]]</f>
        <v>45642</v>
      </c>
      <c r="H2278" s="94">
        <f>SUMIF($A$2:A5913,G2278,$E$2:E5913)</f>
        <v>276.27999999999997</v>
      </c>
      <c r="I2278" s="93" t="str">
        <f t="shared" si="141"/>
        <v>Monday</v>
      </c>
      <c r="J2278" s="93" t="str">
        <f t="shared" si="142"/>
        <v>December</v>
      </c>
      <c r="K2278" s="93" t="str">
        <f t="shared" si="143"/>
        <v>2024</v>
      </c>
      <c r="L2278" s="6"/>
      <c r="M2278" s="6"/>
      <c r="N2278" s="6"/>
    </row>
    <row r="2279" spans="1:14" x14ac:dyDescent="0.3">
      <c r="A2279" s="87">
        <v>45642</v>
      </c>
      <c r="B2279" s="87" t="str">
        <f t="shared" si="140"/>
        <v>Monday</v>
      </c>
      <c r="C2279" s="88" t="s">
        <v>1381</v>
      </c>
      <c r="D2279" s="88" t="s">
        <v>1022</v>
      </c>
      <c r="E2279" s="89">
        <v>35.76</v>
      </c>
      <c r="F2279" s="88" t="s">
        <v>7</v>
      </c>
      <c r="G2279" s="87">
        <f>Table1[[#This Row],[date]]</f>
        <v>45642</v>
      </c>
      <c r="H2279" s="94">
        <f>SUMIF($A$2:A5914,G2279,$E$2:E5914)</f>
        <v>276.27999999999997</v>
      </c>
      <c r="I2279" s="93" t="str">
        <f t="shared" si="141"/>
        <v>Monday</v>
      </c>
      <c r="J2279" s="93" t="str">
        <f t="shared" si="142"/>
        <v>December</v>
      </c>
      <c r="K2279" s="93" t="str">
        <f t="shared" si="143"/>
        <v>2024</v>
      </c>
      <c r="L2279" s="6"/>
      <c r="M2279" s="6"/>
      <c r="N2279" s="6"/>
    </row>
    <row r="2280" spans="1:14" x14ac:dyDescent="0.3">
      <c r="A2280" s="92">
        <v>45642</v>
      </c>
      <c r="B2280" s="92" t="str">
        <f t="shared" si="140"/>
        <v>Monday</v>
      </c>
      <c r="C2280" s="93" t="s">
        <v>1381</v>
      </c>
      <c r="D2280" s="93" t="s">
        <v>726</v>
      </c>
      <c r="E2280" s="94">
        <v>35.76</v>
      </c>
      <c r="F2280" s="93" t="s">
        <v>16</v>
      </c>
      <c r="G2280" s="87">
        <f>Table1[[#This Row],[date]]</f>
        <v>45642</v>
      </c>
      <c r="H2280" s="94">
        <f>SUMIF($A$2:A5915,G2280,$E$2:E5915)</f>
        <v>276.27999999999997</v>
      </c>
      <c r="I2280" s="93" t="str">
        <f t="shared" si="141"/>
        <v>Monday</v>
      </c>
      <c r="J2280" s="93" t="str">
        <f t="shared" si="142"/>
        <v>December</v>
      </c>
      <c r="K2280" s="93" t="str">
        <f t="shared" si="143"/>
        <v>2024</v>
      </c>
      <c r="L2280" s="6"/>
      <c r="M2280" s="6"/>
      <c r="N2280" s="6"/>
    </row>
    <row r="2281" spans="1:14" x14ac:dyDescent="0.3">
      <c r="A2281" s="87">
        <v>45642</v>
      </c>
      <c r="B2281" s="87" t="str">
        <f t="shared" si="140"/>
        <v>Monday</v>
      </c>
      <c r="C2281" s="88" t="s">
        <v>1381</v>
      </c>
      <c r="D2281" s="88" t="s">
        <v>1023</v>
      </c>
      <c r="E2281" s="89">
        <v>30.86</v>
      </c>
      <c r="F2281" s="88" t="s">
        <v>12</v>
      </c>
      <c r="G2281" s="87">
        <f>Table1[[#This Row],[date]]</f>
        <v>45642</v>
      </c>
      <c r="H2281" s="94">
        <f>SUMIF($A$2:A5916,G2281,$E$2:E5916)</f>
        <v>276.27999999999997</v>
      </c>
      <c r="I2281" s="93" t="str">
        <f t="shared" si="141"/>
        <v>Monday</v>
      </c>
      <c r="J2281" s="93" t="str">
        <f t="shared" si="142"/>
        <v>December</v>
      </c>
      <c r="K2281" s="93" t="str">
        <f t="shared" si="143"/>
        <v>2024</v>
      </c>
      <c r="L2281" s="6"/>
      <c r="M2281" s="6"/>
      <c r="N2281" s="6"/>
    </row>
    <row r="2282" spans="1:14" x14ac:dyDescent="0.3">
      <c r="A2282" s="92">
        <v>45642</v>
      </c>
      <c r="B2282" s="92" t="str">
        <f t="shared" si="140"/>
        <v>Monday</v>
      </c>
      <c r="C2282" s="93" t="s">
        <v>1381</v>
      </c>
      <c r="D2282" s="93" t="s">
        <v>898</v>
      </c>
      <c r="E2282" s="94">
        <v>35.76</v>
      </c>
      <c r="F2282" s="93" t="s">
        <v>5</v>
      </c>
      <c r="G2282" s="87">
        <f>Table1[[#This Row],[date]]</f>
        <v>45642</v>
      </c>
      <c r="H2282" s="94">
        <f>SUMIF($A$2:A5917,G2282,$E$2:E5917)</f>
        <v>276.27999999999997</v>
      </c>
      <c r="I2282" s="93" t="str">
        <f t="shared" si="141"/>
        <v>Monday</v>
      </c>
      <c r="J2282" s="93" t="str">
        <f t="shared" si="142"/>
        <v>December</v>
      </c>
      <c r="K2282" s="93" t="str">
        <f t="shared" si="143"/>
        <v>2024</v>
      </c>
      <c r="L2282" s="6"/>
      <c r="M2282" s="6"/>
      <c r="N2282" s="6"/>
    </row>
    <row r="2283" spans="1:14" x14ac:dyDescent="0.3">
      <c r="A2283" s="87">
        <v>45642</v>
      </c>
      <c r="B2283" s="87" t="str">
        <f t="shared" si="140"/>
        <v>Monday</v>
      </c>
      <c r="C2283" s="88" t="s">
        <v>1381</v>
      </c>
      <c r="D2283" s="88" t="s">
        <v>908</v>
      </c>
      <c r="E2283" s="89">
        <v>35.76</v>
      </c>
      <c r="F2283" s="88" t="s">
        <v>7</v>
      </c>
      <c r="G2283" s="87">
        <f>Table1[[#This Row],[date]]</f>
        <v>45642</v>
      </c>
      <c r="H2283" s="94">
        <f>SUMIF($A$2:A5918,G2283,$E$2:E5918)</f>
        <v>276.27999999999997</v>
      </c>
      <c r="I2283" s="93" t="str">
        <f t="shared" si="141"/>
        <v>Monday</v>
      </c>
      <c r="J2283" s="93" t="str">
        <f t="shared" si="142"/>
        <v>December</v>
      </c>
      <c r="K2283" s="93" t="str">
        <f t="shared" si="143"/>
        <v>2024</v>
      </c>
      <c r="L2283" s="6"/>
      <c r="M2283" s="6"/>
      <c r="N2283" s="6"/>
    </row>
    <row r="2284" spans="1:14" x14ac:dyDescent="0.3">
      <c r="A2284" s="92">
        <v>45642</v>
      </c>
      <c r="B2284" s="92" t="str">
        <f t="shared" si="140"/>
        <v>Monday</v>
      </c>
      <c r="C2284" s="93" t="s">
        <v>1381</v>
      </c>
      <c r="D2284" s="93" t="s">
        <v>21</v>
      </c>
      <c r="E2284" s="94">
        <v>35.76</v>
      </c>
      <c r="F2284" s="93" t="s">
        <v>5</v>
      </c>
      <c r="G2284" s="87">
        <f>Table1[[#This Row],[date]]</f>
        <v>45642</v>
      </c>
      <c r="H2284" s="94">
        <f>SUMIF($A$2:A5919,G2284,$E$2:E5919)</f>
        <v>276.27999999999997</v>
      </c>
      <c r="I2284" s="93" t="str">
        <f t="shared" si="141"/>
        <v>Monday</v>
      </c>
      <c r="J2284" s="93" t="str">
        <f t="shared" si="142"/>
        <v>December</v>
      </c>
      <c r="K2284" s="93" t="str">
        <f t="shared" si="143"/>
        <v>2024</v>
      </c>
      <c r="L2284" s="6"/>
      <c r="M2284" s="6"/>
      <c r="N2284" s="6"/>
    </row>
    <row r="2285" spans="1:14" x14ac:dyDescent="0.3">
      <c r="A2285" s="87">
        <v>45642</v>
      </c>
      <c r="B2285" s="87" t="str">
        <f t="shared" si="140"/>
        <v>Monday</v>
      </c>
      <c r="C2285" s="88" t="s">
        <v>1381</v>
      </c>
      <c r="D2285" s="88" t="s">
        <v>21</v>
      </c>
      <c r="E2285" s="89">
        <v>30.86</v>
      </c>
      <c r="F2285" s="88" t="s">
        <v>12</v>
      </c>
      <c r="G2285" s="87">
        <f>Table1[[#This Row],[date]]</f>
        <v>45642</v>
      </c>
      <c r="H2285" s="94">
        <f>SUMIF($A$2:A5920,G2285,$E$2:E5920)</f>
        <v>276.27999999999997</v>
      </c>
      <c r="I2285" s="93" t="str">
        <f t="shared" si="141"/>
        <v>Monday</v>
      </c>
      <c r="J2285" s="93" t="str">
        <f t="shared" si="142"/>
        <v>December</v>
      </c>
      <c r="K2285" s="93" t="str">
        <f t="shared" si="143"/>
        <v>2024</v>
      </c>
      <c r="L2285" s="6"/>
      <c r="M2285" s="6"/>
      <c r="N2285" s="6"/>
    </row>
    <row r="2286" spans="1:14" x14ac:dyDescent="0.3">
      <c r="A2286" s="92">
        <v>45643</v>
      </c>
      <c r="B2286" s="92" t="str">
        <f t="shared" si="140"/>
        <v>Tuesday</v>
      </c>
      <c r="C2286" s="93" t="s">
        <v>1381</v>
      </c>
      <c r="D2286" s="93" t="s">
        <v>1024</v>
      </c>
      <c r="E2286" s="94">
        <v>25.96</v>
      </c>
      <c r="F2286" s="93" t="s">
        <v>26</v>
      </c>
      <c r="G2286" s="87">
        <f>Table1[[#This Row],[date]]</f>
        <v>45643</v>
      </c>
      <c r="H2286" s="94">
        <f>SUMIF($A$2:A5921,G2286,$E$2:E5921)</f>
        <v>225.81999999999996</v>
      </c>
      <c r="I2286" s="93" t="str">
        <f t="shared" si="141"/>
        <v>Tuesday</v>
      </c>
      <c r="J2286" s="93" t="str">
        <f t="shared" si="142"/>
        <v>December</v>
      </c>
      <c r="K2286" s="93" t="str">
        <f t="shared" si="143"/>
        <v>2024</v>
      </c>
      <c r="L2286" s="6"/>
      <c r="M2286" s="6"/>
      <c r="N2286" s="6"/>
    </row>
    <row r="2287" spans="1:14" x14ac:dyDescent="0.3">
      <c r="A2287" s="87">
        <v>45643</v>
      </c>
      <c r="B2287" s="87" t="str">
        <f t="shared" si="140"/>
        <v>Tuesday</v>
      </c>
      <c r="C2287" s="88" t="s">
        <v>1381</v>
      </c>
      <c r="D2287" s="88" t="s">
        <v>1025</v>
      </c>
      <c r="E2287" s="89">
        <v>35.76</v>
      </c>
      <c r="F2287" s="88" t="s">
        <v>41</v>
      </c>
      <c r="G2287" s="87">
        <f>Table1[[#This Row],[date]]</f>
        <v>45643</v>
      </c>
      <c r="H2287" s="94">
        <f>SUMIF($A$2:A5922,G2287,$E$2:E5922)</f>
        <v>225.81999999999996</v>
      </c>
      <c r="I2287" s="93" t="str">
        <f t="shared" si="141"/>
        <v>Tuesday</v>
      </c>
      <c r="J2287" s="93" t="str">
        <f t="shared" si="142"/>
        <v>December</v>
      </c>
      <c r="K2287" s="93" t="str">
        <f t="shared" si="143"/>
        <v>2024</v>
      </c>
      <c r="L2287" s="6"/>
      <c r="M2287" s="6"/>
      <c r="N2287" s="6"/>
    </row>
    <row r="2288" spans="1:14" x14ac:dyDescent="0.3">
      <c r="A2288" s="92">
        <v>45643</v>
      </c>
      <c r="B2288" s="92" t="str">
        <f t="shared" si="140"/>
        <v>Tuesday</v>
      </c>
      <c r="C2288" s="93" t="s">
        <v>1381</v>
      </c>
      <c r="D2288" s="93" t="s">
        <v>288</v>
      </c>
      <c r="E2288" s="94">
        <v>30.86</v>
      </c>
      <c r="F2288" s="93" t="s">
        <v>12</v>
      </c>
      <c r="G2288" s="87">
        <f>Table1[[#This Row],[date]]</f>
        <v>45643</v>
      </c>
      <c r="H2288" s="94">
        <f>SUMIF($A$2:A5923,G2288,$E$2:E5923)</f>
        <v>225.81999999999996</v>
      </c>
      <c r="I2288" s="93" t="str">
        <f t="shared" si="141"/>
        <v>Tuesday</v>
      </c>
      <c r="J2288" s="93" t="str">
        <f t="shared" si="142"/>
        <v>December</v>
      </c>
      <c r="K2288" s="93" t="str">
        <f t="shared" si="143"/>
        <v>2024</v>
      </c>
      <c r="L2288" s="6"/>
      <c r="M2288" s="6"/>
      <c r="N2288" s="6"/>
    </row>
    <row r="2289" spans="1:14" x14ac:dyDescent="0.3">
      <c r="A2289" s="87">
        <v>45643</v>
      </c>
      <c r="B2289" s="87" t="str">
        <f t="shared" si="140"/>
        <v>Tuesday</v>
      </c>
      <c r="C2289" s="88" t="s">
        <v>1381</v>
      </c>
      <c r="D2289" s="88" t="s">
        <v>1026</v>
      </c>
      <c r="E2289" s="89">
        <v>25.96</v>
      </c>
      <c r="F2289" s="88" t="s">
        <v>9</v>
      </c>
      <c r="G2289" s="87">
        <f>Table1[[#This Row],[date]]</f>
        <v>45643</v>
      </c>
      <c r="H2289" s="94">
        <f>SUMIF($A$2:A5924,G2289,$E$2:E5924)</f>
        <v>225.81999999999996</v>
      </c>
      <c r="I2289" s="93" t="str">
        <f t="shared" si="141"/>
        <v>Tuesday</v>
      </c>
      <c r="J2289" s="93" t="str">
        <f t="shared" si="142"/>
        <v>December</v>
      </c>
      <c r="K2289" s="93" t="str">
        <f t="shared" si="143"/>
        <v>2024</v>
      </c>
      <c r="L2289" s="6"/>
      <c r="M2289" s="6"/>
      <c r="N2289" s="6"/>
    </row>
    <row r="2290" spans="1:14" x14ac:dyDescent="0.3">
      <c r="A2290" s="92">
        <v>45643</v>
      </c>
      <c r="B2290" s="92" t="str">
        <f t="shared" si="140"/>
        <v>Tuesday</v>
      </c>
      <c r="C2290" s="93" t="s">
        <v>1381</v>
      </c>
      <c r="D2290" s="93" t="s">
        <v>1026</v>
      </c>
      <c r="E2290" s="94">
        <v>35.76</v>
      </c>
      <c r="F2290" s="93" t="s">
        <v>16</v>
      </c>
      <c r="G2290" s="87">
        <f>Table1[[#This Row],[date]]</f>
        <v>45643</v>
      </c>
      <c r="H2290" s="94">
        <f>SUMIF($A$2:A5925,G2290,$E$2:E5925)</f>
        <v>225.81999999999996</v>
      </c>
      <c r="I2290" s="93" t="str">
        <f t="shared" si="141"/>
        <v>Tuesday</v>
      </c>
      <c r="J2290" s="93" t="str">
        <f t="shared" si="142"/>
        <v>December</v>
      </c>
      <c r="K2290" s="93" t="str">
        <f t="shared" si="143"/>
        <v>2024</v>
      </c>
      <c r="L2290" s="6"/>
      <c r="M2290" s="6"/>
      <c r="N2290" s="6"/>
    </row>
    <row r="2291" spans="1:14" x14ac:dyDescent="0.3">
      <c r="A2291" s="87">
        <v>45643</v>
      </c>
      <c r="B2291" s="87" t="str">
        <f t="shared" si="140"/>
        <v>Tuesday</v>
      </c>
      <c r="C2291" s="88" t="s">
        <v>1381</v>
      </c>
      <c r="D2291" s="88" t="s">
        <v>676</v>
      </c>
      <c r="E2291" s="89">
        <v>35.76</v>
      </c>
      <c r="F2291" s="88" t="s">
        <v>41</v>
      </c>
      <c r="G2291" s="87">
        <f>Table1[[#This Row],[date]]</f>
        <v>45643</v>
      </c>
      <c r="H2291" s="94">
        <f>SUMIF($A$2:A5926,G2291,$E$2:E5926)</f>
        <v>225.81999999999996</v>
      </c>
      <c r="I2291" s="93" t="str">
        <f t="shared" si="141"/>
        <v>Tuesday</v>
      </c>
      <c r="J2291" s="93" t="str">
        <f t="shared" si="142"/>
        <v>December</v>
      </c>
      <c r="K2291" s="93" t="str">
        <f t="shared" si="143"/>
        <v>2024</v>
      </c>
      <c r="L2291" s="6"/>
      <c r="M2291" s="6"/>
      <c r="N2291" s="6"/>
    </row>
    <row r="2292" spans="1:14" x14ac:dyDescent="0.3">
      <c r="A2292" s="92">
        <v>45643</v>
      </c>
      <c r="B2292" s="92" t="str">
        <f t="shared" si="140"/>
        <v>Tuesday</v>
      </c>
      <c r="C2292" s="93" t="s">
        <v>1381</v>
      </c>
      <c r="D2292" s="93" t="s">
        <v>919</v>
      </c>
      <c r="E2292" s="94">
        <v>35.76</v>
      </c>
      <c r="F2292" s="93" t="s">
        <v>16</v>
      </c>
      <c r="G2292" s="87">
        <f>Table1[[#This Row],[date]]</f>
        <v>45643</v>
      </c>
      <c r="H2292" s="94">
        <f>SUMIF($A$2:A5927,G2292,$E$2:E5927)</f>
        <v>225.81999999999996</v>
      </c>
      <c r="I2292" s="93" t="str">
        <f t="shared" si="141"/>
        <v>Tuesday</v>
      </c>
      <c r="J2292" s="93" t="str">
        <f t="shared" si="142"/>
        <v>December</v>
      </c>
      <c r="K2292" s="93" t="str">
        <f t="shared" si="143"/>
        <v>2024</v>
      </c>
      <c r="L2292" s="6"/>
      <c r="M2292" s="6"/>
      <c r="N2292" s="6"/>
    </row>
    <row r="2293" spans="1:14" x14ac:dyDescent="0.3">
      <c r="A2293" s="87">
        <v>45644</v>
      </c>
      <c r="B2293" s="87" t="str">
        <f t="shared" si="140"/>
        <v>Wednesday</v>
      </c>
      <c r="C2293" s="88" t="s">
        <v>1381</v>
      </c>
      <c r="D2293" s="88" t="s">
        <v>1027</v>
      </c>
      <c r="E2293" s="89">
        <v>35.76</v>
      </c>
      <c r="F2293" s="88" t="s">
        <v>5</v>
      </c>
      <c r="G2293" s="87">
        <f>Table1[[#This Row],[date]]</f>
        <v>45644</v>
      </c>
      <c r="H2293" s="94">
        <f>SUMIF($A$2:A5928,G2293,$E$2:E5928)</f>
        <v>138.13999999999999</v>
      </c>
      <c r="I2293" s="93" t="str">
        <f t="shared" si="141"/>
        <v>Wednesday</v>
      </c>
      <c r="J2293" s="93" t="str">
        <f t="shared" si="142"/>
        <v>December</v>
      </c>
      <c r="K2293" s="93" t="str">
        <f t="shared" si="143"/>
        <v>2024</v>
      </c>
      <c r="L2293" s="6"/>
      <c r="M2293" s="6"/>
      <c r="N2293" s="6"/>
    </row>
    <row r="2294" spans="1:14" x14ac:dyDescent="0.3">
      <c r="A2294" s="92">
        <v>45644</v>
      </c>
      <c r="B2294" s="92" t="str">
        <f t="shared" si="140"/>
        <v>Wednesday</v>
      </c>
      <c r="C2294" s="93" t="s">
        <v>1381</v>
      </c>
      <c r="D2294" s="93" t="s">
        <v>1028</v>
      </c>
      <c r="E2294" s="94">
        <v>30.86</v>
      </c>
      <c r="F2294" s="93" t="s">
        <v>12</v>
      </c>
      <c r="G2294" s="87">
        <f>Table1[[#This Row],[date]]</f>
        <v>45644</v>
      </c>
      <c r="H2294" s="94">
        <f>SUMIF($A$2:A5929,G2294,$E$2:E5929)</f>
        <v>138.13999999999999</v>
      </c>
      <c r="I2294" s="93" t="str">
        <f t="shared" si="141"/>
        <v>Wednesday</v>
      </c>
      <c r="J2294" s="93" t="str">
        <f t="shared" si="142"/>
        <v>December</v>
      </c>
      <c r="K2294" s="93" t="str">
        <f t="shared" si="143"/>
        <v>2024</v>
      </c>
      <c r="L2294" s="6"/>
      <c r="M2294" s="6"/>
      <c r="N2294" s="6"/>
    </row>
    <row r="2295" spans="1:14" x14ac:dyDescent="0.3">
      <c r="A2295" s="87">
        <v>45644</v>
      </c>
      <c r="B2295" s="87" t="str">
        <f t="shared" si="140"/>
        <v>Wednesday</v>
      </c>
      <c r="C2295" s="88" t="s">
        <v>1381</v>
      </c>
      <c r="D2295" s="88" t="s">
        <v>1028</v>
      </c>
      <c r="E2295" s="89">
        <v>35.76</v>
      </c>
      <c r="F2295" s="88" t="s">
        <v>5</v>
      </c>
      <c r="G2295" s="87">
        <f>Table1[[#This Row],[date]]</f>
        <v>45644</v>
      </c>
      <c r="H2295" s="94">
        <f>SUMIF($A$2:A5930,G2295,$E$2:E5930)</f>
        <v>138.13999999999999</v>
      </c>
      <c r="I2295" s="93" t="str">
        <f t="shared" si="141"/>
        <v>Wednesday</v>
      </c>
      <c r="J2295" s="93" t="str">
        <f t="shared" si="142"/>
        <v>December</v>
      </c>
      <c r="K2295" s="93" t="str">
        <f t="shared" si="143"/>
        <v>2024</v>
      </c>
      <c r="L2295" s="6"/>
      <c r="M2295" s="6"/>
      <c r="N2295" s="6"/>
    </row>
    <row r="2296" spans="1:14" x14ac:dyDescent="0.3">
      <c r="A2296" s="92">
        <v>45644</v>
      </c>
      <c r="B2296" s="92" t="str">
        <f t="shared" si="140"/>
        <v>Wednesday</v>
      </c>
      <c r="C2296" s="93" t="s">
        <v>1381</v>
      </c>
      <c r="D2296" s="93" t="s">
        <v>1028</v>
      </c>
      <c r="E2296" s="94">
        <v>35.76</v>
      </c>
      <c r="F2296" s="93" t="s">
        <v>41</v>
      </c>
      <c r="G2296" s="87">
        <f>Table1[[#This Row],[date]]</f>
        <v>45644</v>
      </c>
      <c r="H2296" s="94">
        <f>SUMIF($A$2:A5931,G2296,$E$2:E5931)</f>
        <v>138.13999999999999</v>
      </c>
      <c r="I2296" s="93" t="str">
        <f t="shared" si="141"/>
        <v>Wednesday</v>
      </c>
      <c r="J2296" s="93" t="str">
        <f t="shared" si="142"/>
        <v>December</v>
      </c>
      <c r="K2296" s="93" t="str">
        <f t="shared" si="143"/>
        <v>2024</v>
      </c>
      <c r="L2296" s="6"/>
      <c r="M2296" s="6"/>
      <c r="N2296" s="6"/>
    </row>
    <row r="2297" spans="1:14" x14ac:dyDescent="0.3">
      <c r="A2297" s="87">
        <v>45645</v>
      </c>
      <c r="B2297" s="87" t="str">
        <f t="shared" si="140"/>
        <v>Thursday</v>
      </c>
      <c r="C2297" s="88" t="s">
        <v>1381</v>
      </c>
      <c r="D2297" s="88" t="s">
        <v>1029</v>
      </c>
      <c r="E2297" s="89">
        <v>35.76</v>
      </c>
      <c r="F2297" s="88" t="s">
        <v>7</v>
      </c>
      <c r="G2297" s="87">
        <f>Table1[[#This Row],[date]]</f>
        <v>45645</v>
      </c>
      <c r="H2297" s="94">
        <f>SUMIF($A$2:A5932,G2297,$E$2:E5932)</f>
        <v>333.09999999999997</v>
      </c>
      <c r="I2297" s="93" t="str">
        <f t="shared" si="141"/>
        <v>Thursday</v>
      </c>
      <c r="J2297" s="93" t="str">
        <f t="shared" si="142"/>
        <v>December</v>
      </c>
      <c r="K2297" s="93" t="str">
        <f t="shared" si="143"/>
        <v>2024</v>
      </c>
      <c r="L2297" s="6"/>
      <c r="M2297" s="6"/>
      <c r="N2297" s="6"/>
    </row>
    <row r="2298" spans="1:14" x14ac:dyDescent="0.3">
      <c r="A2298" s="92">
        <v>45645</v>
      </c>
      <c r="B2298" s="92" t="str">
        <f t="shared" si="140"/>
        <v>Thursday</v>
      </c>
      <c r="C2298" s="93" t="s">
        <v>1381</v>
      </c>
      <c r="D2298" s="93" t="s">
        <v>288</v>
      </c>
      <c r="E2298" s="94">
        <v>30.86</v>
      </c>
      <c r="F2298" s="93" t="s">
        <v>12</v>
      </c>
      <c r="G2298" s="87">
        <f>Table1[[#This Row],[date]]</f>
        <v>45645</v>
      </c>
      <c r="H2298" s="94">
        <f>SUMIF($A$2:A5933,G2298,$E$2:E5933)</f>
        <v>333.09999999999997</v>
      </c>
      <c r="I2298" s="93" t="str">
        <f t="shared" si="141"/>
        <v>Thursday</v>
      </c>
      <c r="J2298" s="93" t="str">
        <f t="shared" si="142"/>
        <v>December</v>
      </c>
      <c r="K2298" s="93" t="str">
        <f t="shared" si="143"/>
        <v>2024</v>
      </c>
      <c r="L2298" s="6"/>
      <c r="M2298" s="6"/>
      <c r="N2298" s="6"/>
    </row>
    <row r="2299" spans="1:14" x14ac:dyDescent="0.3">
      <c r="A2299" s="87">
        <v>45645</v>
      </c>
      <c r="B2299" s="87" t="str">
        <f t="shared" si="140"/>
        <v>Thursday</v>
      </c>
      <c r="C2299" s="88" t="s">
        <v>1381</v>
      </c>
      <c r="D2299" s="88" t="s">
        <v>1030</v>
      </c>
      <c r="E2299" s="89">
        <v>21.06</v>
      </c>
      <c r="F2299" s="88" t="s">
        <v>33</v>
      </c>
      <c r="G2299" s="87">
        <f>Table1[[#This Row],[date]]</f>
        <v>45645</v>
      </c>
      <c r="H2299" s="94">
        <f>SUMIF($A$2:A5934,G2299,$E$2:E5934)</f>
        <v>333.09999999999997</v>
      </c>
      <c r="I2299" s="93" t="str">
        <f t="shared" si="141"/>
        <v>Thursday</v>
      </c>
      <c r="J2299" s="93" t="str">
        <f t="shared" si="142"/>
        <v>December</v>
      </c>
      <c r="K2299" s="93" t="str">
        <f t="shared" si="143"/>
        <v>2024</v>
      </c>
      <c r="L2299" s="6"/>
      <c r="M2299" s="6"/>
      <c r="N2299" s="6"/>
    </row>
    <row r="2300" spans="1:14" x14ac:dyDescent="0.3">
      <c r="A2300" s="92">
        <v>45645</v>
      </c>
      <c r="B2300" s="92" t="str">
        <f t="shared" si="140"/>
        <v>Thursday</v>
      </c>
      <c r="C2300" s="93" t="s">
        <v>1381</v>
      </c>
      <c r="D2300" s="93" t="s">
        <v>1031</v>
      </c>
      <c r="E2300" s="94">
        <v>35.76</v>
      </c>
      <c r="F2300" s="93" t="s">
        <v>7</v>
      </c>
      <c r="G2300" s="87">
        <f>Table1[[#This Row],[date]]</f>
        <v>45645</v>
      </c>
      <c r="H2300" s="94">
        <f>SUMIF($A$2:A5935,G2300,$E$2:E5935)</f>
        <v>333.09999999999997</v>
      </c>
      <c r="I2300" s="93" t="str">
        <f t="shared" si="141"/>
        <v>Thursday</v>
      </c>
      <c r="J2300" s="93" t="str">
        <f t="shared" si="142"/>
        <v>December</v>
      </c>
      <c r="K2300" s="93" t="str">
        <f t="shared" si="143"/>
        <v>2024</v>
      </c>
      <c r="L2300" s="6"/>
      <c r="M2300" s="6"/>
      <c r="N2300" s="6"/>
    </row>
    <row r="2301" spans="1:14" x14ac:dyDescent="0.3">
      <c r="A2301" s="87">
        <v>45645</v>
      </c>
      <c r="B2301" s="87" t="str">
        <f t="shared" si="140"/>
        <v>Thursday</v>
      </c>
      <c r="C2301" s="88" t="s">
        <v>1381</v>
      </c>
      <c r="D2301" s="88" t="s">
        <v>218</v>
      </c>
      <c r="E2301" s="89">
        <v>35.76</v>
      </c>
      <c r="F2301" s="88" t="s">
        <v>41</v>
      </c>
      <c r="G2301" s="87">
        <f>Table1[[#This Row],[date]]</f>
        <v>45645</v>
      </c>
      <c r="H2301" s="94">
        <f>SUMIF($A$2:A5936,G2301,$E$2:E5936)</f>
        <v>333.09999999999997</v>
      </c>
      <c r="I2301" s="93" t="str">
        <f t="shared" si="141"/>
        <v>Thursday</v>
      </c>
      <c r="J2301" s="93" t="str">
        <f t="shared" si="142"/>
        <v>December</v>
      </c>
      <c r="K2301" s="93" t="str">
        <f t="shared" si="143"/>
        <v>2024</v>
      </c>
      <c r="L2301" s="6"/>
      <c r="M2301" s="6"/>
      <c r="N2301" s="6"/>
    </row>
    <row r="2302" spans="1:14" x14ac:dyDescent="0.3">
      <c r="A2302" s="92">
        <v>45645</v>
      </c>
      <c r="B2302" s="92" t="str">
        <f t="shared" si="140"/>
        <v>Thursday</v>
      </c>
      <c r="C2302" s="93" t="s">
        <v>1381</v>
      </c>
      <c r="D2302" s="93" t="s">
        <v>52</v>
      </c>
      <c r="E2302" s="94">
        <v>35.76</v>
      </c>
      <c r="F2302" s="93" t="s">
        <v>41</v>
      </c>
      <c r="G2302" s="87">
        <f>Table1[[#This Row],[date]]</f>
        <v>45645</v>
      </c>
      <c r="H2302" s="94">
        <f>SUMIF($A$2:A5937,G2302,$E$2:E5937)</f>
        <v>333.09999999999997</v>
      </c>
      <c r="I2302" s="93" t="str">
        <f t="shared" si="141"/>
        <v>Thursday</v>
      </c>
      <c r="J2302" s="93" t="str">
        <f t="shared" si="142"/>
        <v>December</v>
      </c>
      <c r="K2302" s="93" t="str">
        <f t="shared" si="143"/>
        <v>2024</v>
      </c>
      <c r="L2302" s="6"/>
      <c r="M2302" s="6"/>
      <c r="N2302" s="6"/>
    </row>
    <row r="2303" spans="1:14" x14ac:dyDescent="0.3">
      <c r="A2303" s="87">
        <v>45645</v>
      </c>
      <c r="B2303" s="87" t="str">
        <f t="shared" si="140"/>
        <v>Thursday</v>
      </c>
      <c r="C2303" s="88" t="s">
        <v>1381</v>
      </c>
      <c r="D2303" s="88" t="s">
        <v>1032</v>
      </c>
      <c r="E2303" s="89">
        <v>30.86</v>
      </c>
      <c r="F2303" s="88" t="s">
        <v>12</v>
      </c>
      <c r="G2303" s="87">
        <f>Table1[[#This Row],[date]]</f>
        <v>45645</v>
      </c>
      <c r="H2303" s="94">
        <f>SUMIF($A$2:A5938,G2303,$E$2:E5938)</f>
        <v>333.09999999999997</v>
      </c>
      <c r="I2303" s="93" t="str">
        <f t="shared" si="141"/>
        <v>Thursday</v>
      </c>
      <c r="J2303" s="93" t="str">
        <f t="shared" si="142"/>
        <v>December</v>
      </c>
      <c r="K2303" s="93" t="str">
        <f t="shared" si="143"/>
        <v>2024</v>
      </c>
      <c r="L2303" s="6"/>
      <c r="M2303" s="6"/>
      <c r="N2303" s="6"/>
    </row>
    <row r="2304" spans="1:14" x14ac:dyDescent="0.3">
      <c r="A2304" s="92">
        <v>45645</v>
      </c>
      <c r="B2304" s="92" t="str">
        <f t="shared" si="140"/>
        <v>Thursday</v>
      </c>
      <c r="C2304" s="93" t="s">
        <v>1381</v>
      </c>
      <c r="D2304" s="93" t="s">
        <v>1032</v>
      </c>
      <c r="E2304" s="94">
        <v>35.76</v>
      </c>
      <c r="F2304" s="93" t="s">
        <v>7</v>
      </c>
      <c r="G2304" s="87">
        <f>Table1[[#This Row],[date]]</f>
        <v>45645</v>
      </c>
      <c r="H2304" s="94">
        <f>SUMIF($A$2:A5939,G2304,$E$2:E5939)</f>
        <v>333.09999999999997</v>
      </c>
      <c r="I2304" s="93" t="str">
        <f t="shared" si="141"/>
        <v>Thursday</v>
      </c>
      <c r="J2304" s="93" t="str">
        <f t="shared" si="142"/>
        <v>December</v>
      </c>
      <c r="K2304" s="93" t="str">
        <f t="shared" si="143"/>
        <v>2024</v>
      </c>
      <c r="L2304" s="6"/>
      <c r="M2304" s="6"/>
      <c r="N2304" s="6"/>
    </row>
    <row r="2305" spans="1:14" x14ac:dyDescent="0.3">
      <c r="A2305" s="87">
        <v>45645</v>
      </c>
      <c r="B2305" s="87" t="str">
        <f t="shared" si="140"/>
        <v>Thursday</v>
      </c>
      <c r="C2305" s="88" t="s">
        <v>1381</v>
      </c>
      <c r="D2305" s="88" t="s">
        <v>1033</v>
      </c>
      <c r="E2305" s="89">
        <v>35.76</v>
      </c>
      <c r="F2305" s="88" t="s">
        <v>5</v>
      </c>
      <c r="G2305" s="87">
        <f>Table1[[#This Row],[date]]</f>
        <v>45645</v>
      </c>
      <c r="H2305" s="94">
        <f>SUMIF($A$2:A5940,G2305,$E$2:E5940)</f>
        <v>333.09999999999997</v>
      </c>
      <c r="I2305" s="93" t="str">
        <f t="shared" si="141"/>
        <v>Thursday</v>
      </c>
      <c r="J2305" s="93" t="str">
        <f t="shared" si="142"/>
        <v>December</v>
      </c>
      <c r="K2305" s="93" t="str">
        <f t="shared" si="143"/>
        <v>2024</v>
      </c>
      <c r="L2305" s="6"/>
      <c r="M2305" s="6"/>
      <c r="N2305" s="6"/>
    </row>
    <row r="2306" spans="1:14" x14ac:dyDescent="0.3">
      <c r="A2306" s="92">
        <v>45645</v>
      </c>
      <c r="B2306" s="92" t="str">
        <f t="shared" ref="B2306:B2369" si="144">TEXT(A2306,"dddd")</f>
        <v>Thursday</v>
      </c>
      <c r="C2306" s="93" t="s">
        <v>1381</v>
      </c>
      <c r="D2306" s="93" t="s">
        <v>1033</v>
      </c>
      <c r="E2306" s="94">
        <v>35.76</v>
      </c>
      <c r="F2306" s="93" t="s">
        <v>41</v>
      </c>
      <c r="G2306" s="87">
        <f>Table1[[#This Row],[date]]</f>
        <v>45645</v>
      </c>
      <c r="H2306" s="94">
        <f>SUMIF($A$2:A5941,G2306,$E$2:E5941)</f>
        <v>333.09999999999997</v>
      </c>
      <c r="I2306" s="93" t="str">
        <f t="shared" si="141"/>
        <v>Thursday</v>
      </c>
      <c r="J2306" s="93" t="str">
        <f t="shared" si="142"/>
        <v>December</v>
      </c>
      <c r="K2306" s="93" t="str">
        <f t="shared" si="143"/>
        <v>2024</v>
      </c>
      <c r="L2306" s="6"/>
      <c r="M2306" s="6"/>
      <c r="N2306" s="6"/>
    </row>
    <row r="2307" spans="1:14" x14ac:dyDescent="0.3">
      <c r="A2307" s="87">
        <v>45646</v>
      </c>
      <c r="B2307" s="87" t="str">
        <f t="shared" si="144"/>
        <v>Friday</v>
      </c>
      <c r="C2307" s="88" t="s">
        <v>1381</v>
      </c>
      <c r="D2307" s="88" t="s">
        <v>153</v>
      </c>
      <c r="E2307" s="89">
        <v>25.96</v>
      </c>
      <c r="F2307" s="88" t="s">
        <v>26</v>
      </c>
      <c r="G2307" s="87">
        <f>Table1[[#This Row],[date]]</f>
        <v>45646</v>
      </c>
      <c r="H2307" s="94">
        <f>SUMIF($A$2:A5942,G2307,$E$2:E5942)</f>
        <v>241.98</v>
      </c>
      <c r="I2307" s="93" t="str">
        <f t="shared" si="141"/>
        <v>Friday</v>
      </c>
      <c r="J2307" s="93" t="str">
        <f t="shared" si="142"/>
        <v>December</v>
      </c>
      <c r="K2307" s="93" t="str">
        <f t="shared" si="143"/>
        <v>2024</v>
      </c>
      <c r="L2307" s="6"/>
      <c r="M2307" s="6"/>
      <c r="N2307" s="6"/>
    </row>
    <row r="2308" spans="1:14" x14ac:dyDescent="0.3">
      <c r="A2308" s="92">
        <v>45646</v>
      </c>
      <c r="B2308" s="92" t="str">
        <f t="shared" si="144"/>
        <v>Friday</v>
      </c>
      <c r="C2308" s="93" t="s">
        <v>1381</v>
      </c>
      <c r="D2308" s="93" t="s">
        <v>288</v>
      </c>
      <c r="E2308" s="94">
        <v>30.86</v>
      </c>
      <c r="F2308" s="93" t="s">
        <v>12</v>
      </c>
      <c r="G2308" s="87">
        <f>Table1[[#This Row],[date]]</f>
        <v>45646</v>
      </c>
      <c r="H2308" s="94">
        <f>SUMIF($A$2:A5943,G2308,$E$2:E5943)</f>
        <v>241.98</v>
      </c>
      <c r="I2308" s="93" t="str">
        <f t="shared" si="141"/>
        <v>Friday</v>
      </c>
      <c r="J2308" s="93" t="str">
        <f t="shared" si="142"/>
        <v>December</v>
      </c>
      <c r="K2308" s="93" t="str">
        <f t="shared" si="143"/>
        <v>2024</v>
      </c>
      <c r="L2308" s="6"/>
      <c r="M2308" s="6"/>
      <c r="N2308" s="6"/>
    </row>
    <row r="2309" spans="1:14" x14ac:dyDescent="0.3">
      <c r="A2309" s="87">
        <v>45646</v>
      </c>
      <c r="B2309" s="87" t="str">
        <f t="shared" si="144"/>
        <v>Friday</v>
      </c>
      <c r="C2309" s="88" t="s">
        <v>1381</v>
      </c>
      <c r="D2309" s="88" t="s">
        <v>1034</v>
      </c>
      <c r="E2309" s="89">
        <v>35.76</v>
      </c>
      <c r="F2309" s="88" t="s">
        <v>41</v>
      </c>
      <c r="G2309" s="87">
        <f>Table1[[#This Row],[date]]</f>
        <v>45646</v>
      </c>
      <c r="H2309" s="94">
        <f>SUMIF($A$2:A5944,G2309,$E$2:E5944)</f>
        <v>241.98</v>
      </c>
      <c r="I2309" s="93" t="str">
        <f t="shared" si="141"/>
        <v>Friday</v>
      </c>
      <c r="J2309" s="93" t="str">
        <f t="shared" si="142"/>
        <v>December</v>
      </c>
      <c r="K2309" s="93" t="str">
        <f t="shared" si="143"/>
        <v>2024</v>
      </c>
      <c r="L2309" s="6"/>
      <c r="M2309" s="6"/>
      <c r="N2309" s="6"/>
    </row>
    <row r="2310" spans="1:14" x14ac:dyDescent="0.3">
      <c r="A2310" s="87">
        <v>45646</v>
      </c>
      <c r="B2310" s="87" t="str">
        <f t="shared" si="144"/>
        <v>Friday</v>
      </c>
      <c r="C2310" s="88" t="s">
        <v>1381</v>
      </c>
      <c r="D2310" s="88" t="s">
        <v>831</v>
      </c>
      <c r="E2310" s="89">
        <v>21.06</v>
      </c>
      <c r="F2310" s="88" t="s">
        <v>33</v>
      </c>
      <c r="G2310" s="87">
        <f>Table1[[#This Row],[date]]</f>
        <v>45646</v>
      </c>
      <c r="H2310" s="94">
        <f>SUMIF($A$2:A5945,G2310,$E$2:E5945)</f>
        <v>241.98</v>
      </c>
      <c r="I2310" s="93" t="str">
        <f t="shared" ref="I2310:I2373" si="145">TEXT(G2310,"dddd")</f>
        <v>Friday</v>
      </c>
      <c r="J2310" s="93" t="str">
        <f t="shared" si="142"/>
        <v>December</v>
      </c>
      <c r="K2310" s="93" t="str">
        <f t="shared" si="143"/>
        <v>2024</v>
      </c>
      <c r="L2310" s="6"/>
      <c r="M2310" s="6"/>
      <c r="N2310" s="6"/>
    </row>
    <row r="2311" spans="1:14" x14ac:dyDescent="0.3">
      <c r="A2311" s="92">
        <v>45646</v>
      </c>
      <c r="B2311" s="92" t="str">
        <f t="shared" si="144"/>
        <v>Friday</v>
      </c>
      <c r="C2311" s="93" t="s">
        <v>1381</v>
      </c>
      <c r="D2311" s="93" t="s">
        <v>831</v>
      </c>
      <c r="E2311" s="94">
        <v>30.86</v>
      </c>
      <c r="F2311" s="93" t="s">
        <v>12</v>
      </c>
      <c r="G2311" s="87">
        <f>Table1[[#This Row],[date]]</f>
        <v>45646</v>
      </c>
      <c r="H2311" s="94">
        <f>SUMIF($A$2:A5946,G2311,$E$2:E5946)</f>
        <v>241.98</v>
      </c>
      <c r="I2311" s="93" t="str">
        <f t="shared" si="145"/>
        <v>Friday</v>
      </c>
      <c r="J2311" s="93" t="str">
        <f t="shared" ref="J2311:J2374" si="146">TEXT(G2311,"mmmm")</f>
        <v>December</v>
      </c>
      <c r="K2311" s="93" t="str">
        <f t="shared" ref="K2311:K2374" si="147">TEXT(G2311,"yyyy")</f>
        <v>2024</v>
      </c>
      <c r="L2311" s="6"/>
      <c r="M2311" s="6"/>
      <c r="N2311" s="6"/>
    </row>
    <row r="2312" spans="1:14" x14ac:dyDescent="0.3">
      <c r="A2312" s="87">
        <v>45646</v>
      </c>
      <c r="B2312" s="87" t="str">
        <f t="shared" si="144"/>
        <v>Friday</v>
      </c>
      <c r="C2312" s="88" t="s">
        <v>1381</v>
      </c>
      <c r="D2312" s="88" t="s">
        <v>1035</v>
      </c>
      <c r="E2312" s="89">
        <v>25.96</v>
      </c>
      <c r="F2312" s="88" t="s">
        <v>26</v>
      </c>
      <c r="G2312" s="87">
        <f>Table1[[#This Row],[date]]</f>
        <v>45646</v>
      </c>
      <c r="H2312" s="94">
        <f>SUMIF($A$2:A5947,G2312,$E$2:E5947)</f>
        <v>241.98</v>
      </c>
      <c r="I2312" s="93" t="str">
        <f t="shared" si="145"/>
        <v>Friday</v>
      </c>
      <c r="J2312" s="93" t="str">
        <f t="shared" si="146"/>
        <v>December</v>
      </c>
      <c r="K2312" s="93" t="str">
        <f t="shared" si="147"/>
        <v>2024</v>
      </c>
      <c r="L2312" s="6"/>
      <c r="M2312" s="6"/>
      <c r="N2312" s="6"/>
    </row>
    <row r="2313" spans="1:14" x14ac:dyDescent="0.3">
      <c r="A2313" s="92">
        <v>45646</v>
      </c>
      <c r="B2313" s="92" t="str">
        <f t="shared" si="144"/>
        <v>Friday</v>
      </c>
      <c r="C2313" s="93" t="s">
        <v>1381</v>
      </c>
      <c r="D2313" s="93" t="s">
        <v>1036</v>
      </c>
      <c r="E2313" s="94">
        <v>35.76</v>
      </c>
      <c r="F2313" s="93" t="s">
        <v>41</v>
      </c>
      <c r="G2313" s="87">
        <f>Table1[[#This Row],[date]]</f>
        <v>45646</v>
      </c>
      <c r="H2313" s="94">
        <f>SUMIF($A$2:A5948,G2313,$E$2:E5948)</f>
        <v>241.98</v>
      </c>
      <c r="I2313" s="93" t="str">
        <f t="shared" si="145"/>
        <v>Friday</v>
      </c>
      <c r="J2313" s="93" t="str">
        <f t="shared" si="146"/>
        <v>December</v>
      </c>
      <c r="K2313" s="93" t="str">
        <f t="shared" si="147"/>
        <v>2024</v>
      </c>
      <c r="L2313" s="6"/>
      <c r="M2313" s="6"/>
      <c r="N2313" s="6"/>
    </row>
    <row r="2314" spans="1:14" x14ac:dyDescent="0.3">
      <c r="A2314" s="87">
        <v>45646</v>
      </c>
      <c r="B2314" s="87" t="str">
        <f t="shared" si="144"/>
        <v>Friday</v>
      </c>
      <c r="C2314" s="88" t="s">
        <v>1381</v>
      </c>
      <c r="D2314" s="88" t="s">
        <v>218</v>
      </c>
      <c r="E2314" s="89">
        <v>35.76</v>
      </c>
      <c r="F2314" s="88" t="s">
        <v>41</v>
      </c>
      <c r="G2314" s="87">
        <f>Table1[[#This Row],[date]]</f>
        <v>45646</v>
      </c>
      <c r="H2314" s="94">
        <f>SUMIF($A$2:A5949,G2314,$E$2:E5949)</f>
        <v>241.98</v>
      </c>
      <c r="I2314" s="93" t="str">
        <f t="shared" si="145"/>
        <v>Friday</v>
      </c>
      <c r="J2314" s="93" t="str">
        <f t="shared" si="146"/>
        <v>December</v>
      </c>
      <c r="K2314" s="93" t="str">
        <f t="shared" si="147"/>
        <v>2024</v>
      </c>
      <c r="L2314" s="6"/>
      <c r="M2314" s="6"/>
      <c r="N2314" s="6"/>
    </row>
    <row r="2315" spans="1:14" x14ac:dyDescent="0.3">
      <c r="A2315" s="92">
        <v>45647</v>
      </c>
      <c r="B2315" s="92" t="str">
        <f t="shared" si="144"/>
        <v>Saturday</v>
      </c>
      <c r="C2315" s="93" t="s">
        <v>1381</v>
      </c>
      <c r="D2315" s="93" t="s">
        <v>1037</v>
      </c>
      <c r="E2315" s="94">
        <v>35.76</v>
      </c>
      <c r="F2315" s="93" t="s">
        <v>41</v>
      </c>
      <c r="G2315" s="87">
        <f>Table1[[#This Row],[date]]</f>
        <v>45647</v>
      </c>
      <c r="H2315" s="94">
        <f>SUMIF($A$2:A5950,G2315,$E$2:E5950)</f>
        <v>425.67999999999989</v>
      </c>
      <c r="I2315" s="93" t="str">
        <f t="shared" si="145"/>
        <v>Saturday</v>
      </c>
      <c r="J2315" s="93" t="str">
        <f t="shared" si="146"/>
        <v>December</v>
      </c>
      <c r="K2315" s="93" t="str">
        <f t="shared" si="147"/>
        <v>2024</v>
      </c>
      <c r="L2315" s="6"/>
      <c r="M2315" s="6"/>
      <c r="N2315" s="6"/>
    </row>
    <row r="2316" spans="1:14" x14ac:dyDescent="0.3">
      <c r="A2316" s="87">
        <v>45647</v>
      </c>
      <c r="B2316" s="87" t="str">
        <f t="shared" si="144"/>
        <v>Saturday</v>
      </c>
      <c r="C2316" s="88" t="s">
        <v>1381</v>
      </c>
      <c r="D2316" s="88" t="s">
        <v>1037</v>
      </c>
      <c r="E2316" s="89">
        <v>35.76</v>
      </c>
      <c r="F2316" s="88" t="s">
        <v>5</v>
      </c>
      <c r="G2316" s="87">
        <f>Table1[[#This Row],[date]]</f>
        <v>45647</v>
      </c>
      <c r="H2316" s="94">
        <f>SUMIF($A$2:A5951,G2316,$E$2:E5951)</f>
        <v>425.67999999999989</v>
      </c>
      <c r="I2316" s="93" t="str">
        <f t="shared" si="145"/>
        <v>Saturday</v>
      </c>
      <c r="J2316" s="93" t="str">
        <f t="shared" si="146"/>
        <v>December</v>
      </c>
      <c r="K2316" s="93" t="str">
        <f t="shared" si="147"/>
        <v>2024</v>
      </c>
      <c r="L2316" s="6"/>
      <c r="M2316" s="6"/>
      <c r="N2316" s="6"/>
    </row>
    <row r="2317" spans="1:14" x14ac:dyDescent="0.3">
      <c r="A2317" s="92">
        <v>45647</v>
      </c>
      <c r="B2317" s="92" t="str">
        <f t="shared" si="144"/>
        <v>Saturday</v>
      </c>
      <c r="C2317" s="93" t="s">
        <v>1381</v>
      </c>
      <c r="D2317" s="93" t="s">
        <v>1038</v>
      </c>
      <c r="E2317" s="94">
        <v>25.96</v>
      </c>
      <c r="F2317" s="93" t="s">
        <v>9</v>
      </c>
      <c r="G2317" s="87">
        <f>Table1[[#This Row],[date]]</f>
        <v>45647</v>
      </c>
      <c r="H2317" s="94">
        <f>SUMIF($A$2:A5952,G2317,$E$2:E5952)</f>
        <v>425.67999999999989</v>
      </c>
      <c r="I2317" s="93" t="str">
        <f t="shared" si="145"/>
        <v>Saturday</v>
      </c>
      <c r="J2317" s="93" t="str">
        <f t="shared" si="146"/>
        <v>December</v>
      </c>
      <c r="K2317" s="93" t="str">
        <f t="shared" si="147"/>
        <v>2024</v>
      </c>
      <c r="L2317" s="6"/>
      <c r="M2317" s="6"/>
      <c r="N2317" s="6"/>
    </row>
    <row r="2318" spans="1:14" x14ac:dyDescent="0.3">
      <c r="A2318" s="87">
        <v>45647</v>
      </c>
      <c r="B2318" s="87" t="str">
        <f t="shared" si="144"/>
        <v>Saturday</v>
      </c>
      <c r="C2318" s="88" t="s">
        <v>1381</v>
      </c>
      <c r="D2318" s="88" t="s">
        <v>519</v>
      </c>
      <c r="E2318" s="89">
        <v>35.76</v>
      </c>
      <c r="F2318" s="88" t="s">
        <v>7</v>
      </c>
      <c r="G2318" s="87">
        <f>Table1[[#This Row],[date]]</f>
        <v>45647</v>
      </c>
      <c r="H2318" s="94">
        <f>SUMIF($A$2:A5953,G2318,$E$2:E5953)</f>
        <v>425.67999999999989</v>
      </c>
      <c r="I2318" s="93" t="str">
        <f t="shared" si="145"/>
        <v>Saturday</v>
      </c>
      <c r="J2318" s="93" t="str">
        <f t="shared" si="146"/>
        <v>December</v>
      </c>
      <c r="K2318" s="93" t="str">
        <f t="shared" si="147"/>
        <v>2024</v>
      </c>
      <c r="L2318" s="6"/>
      <c r="M2318" s="6"/>
      <c r="N2318" s="6"/>
    </row>
    <row r="2319" spans="1:14" x14ac:dyDescent="0.3">
      <c r="A2319" s="92">
        <v>45647</v>
      </c>
      <c r="B2319" s="92" t="str">
        <f t="shared" si="144"/>
        <v>Saturday</v>
      </c>
      <c r="C2319" s="93" t="s">
        <v>1381</v>
      </c>
      <c r="D2319" s="93" t="s">
        <v>519</v>
      </c>
      <c r="E2319" s="94">
        <v>35.76</v>
      </c>
      <c r="F2319" s="93" t="s">
        <v>5</v>
      </c>
      <c r="G2319" s="87">
        <f>Table1[[#This Row],[date]]</f>
        <v>45647</v>
      </c>
      <c r="H2319" s="94">
        <f>SUMIF($A$2:A5954,G2319,$E$2:E5954)</f>
        <v>425.67999999999989</v>
      </c>
      <c r="I2319" s="93" t="str">
        <f t="shared" si="145"/>
        <v>Saturday</v>
      </c>
      <c r="J2319" s="93" t="str">
        <f t="shared" si="146"/>
        <v>December</v>
      </c>
      <c r="K2319" s="93" t="str">
        <f t="shared" si="147"/>
        <v>2024</v>
      </c>
      <c r="L2319" s="6"/>
      <c r="M2319" s="6"/>
      <c r="N2319" s="6"/>
    </row>
    <row r="2320" spans="1:14" x14ac:dyDescent="0.3">
      <c r="A2320" s="87">
        <v>45647</v>
      </c>
      <c r="B2320" s="87" t="str">
        <f t="shared" si="144"/>
        <v>Saturday</v>
      </c>
      <c r="C2320" s="88" t="s">
        <v>1381</v>
      </c>
      <c r="D2320" s="88" t="s">
        <v>854</v>
      </c>
      <c r="E2320" s="89">
        <v>30.86</v>
      </c>
      <c r="F2320" s="88" t="s">
        <v>12</v>
      </c>
      <c r="G2320" s="87">
        <f>Table1[[#This Row],[date]]</f>
        <v>45647</v>
      </c>
      <c r="H2320" s="94">
        <f>SUMIF($A$2:A5955,G2320,$E$2:E5955)</f>
        <v>425.67999999999989</v>
      </c>
      <c r="I2320" s="93" t="str">
        <f t="shared" si="145"/>
        <v>Saturday</v>
      </c>
      <c r="J2320" s="93" t="str">
        <f t="shared" si="146"/>
        <v>December</v>
      </c>
      <c r="K2320" s="93" t="str">
        <f t="shared" si="147"/>
        <v>2024</v>
      </c>
      <c r="L2320" s="6"/>
      <c r="M2320" s="6"/>
      <c r="N2320" s="6"/>
    </row>
    <row r="2321" spans="1:14" x14ac:dyDescent="0.3">
      <c r="A2321" s="92">
        <v>45647</v>
      </c>
      <c r="B2321" s="92" t="str">
        <f t="shared" si="144"/>
        <v>Saturday</v>
      </c>
      <c r="C2321" s="93" t="s">
        <v>1381</v>
      </c>
      <c r="D2321" s="93" t="s">
        <v>1039</v>
      </c>
      <c r="E2321" s="94">
        <v>35.76</v>
      </c>
      <c r="F2321" s="93" t="s">
        <v>5</v>
      </c>
      <c r="G2321" s="87">
        <f>Table1[[#This Row],[date]]</f>
        <v>45647</v>
      </c>
      <c r="H2321" s="94">
        <f>SUMIF($A$2:A5956,G2321,$E$2:E5956)</f>
        <v>425.67999999999989</v>
      </c>
      <c r="I2321" s="93" t="str">
        <f t="shared" si="145"/>
        <v>Saturday</v>
      </c>
      <c r="J2321" s="93" t="str">
        <f t="shared" si="146"/>
        <v>December</v>
      </c>
      <c r="K2321" s="93" t="str">
        <f t="shared" si="147"/>
        <v>2024</v>
      </c>
      <c r="L2321" s="6"/>
      <c r="M2321" s="6"/>
      <c r="N2321" s="6"/>
    </row>
    <row r="2322" spans="1:14" x14ac:dyDescent="0.3">
      <c r="A2322" s="87">
        <v>45647</v>
      </c>
      <c r="B2322" s="87" t="str">
        <f t="shared" si="144"/>
        <v>Saturday</v>
      </c>
      <c r="C2322" s="88" t="s">
        <v>1381</v>
      </c>
      <c r="D2322" s="88" t="s">
        <v>1032</v>
      </c>
      <c r="E2322" s="89">
        <v>35.76</v>
      </c>
      <c r="F2322" s="88" t="s">
        <v>16</v>
      </c>
      <c r="G2322" s="87">
        <f>Table1[[#This Row],[date]]</f>
        <v>45647</v>
      </c>
      <c r="H2322" s="94">
        <f>SUMIF($A$2:A5957,G2322,$E$2:E5957)</f>
        <v>425.67999999999989</v>
      </c>
      <c r="I2322" s="93" t="str">
        <f t="shared" si="145"/>
        <v>Saturday</v>
      </c>
      <c r="J2322" s="93" t="str">
        <f t="shared" si="146"/>
        <v>December</v>
      </c>
      <c r="K2322" s="93" t="str">
        <f t="shared" si="147"/>
        <v>2024</v>
      </c>
      <c r="L2322" s="6"/>
      <c r="M2322" s="6"/>
      <c r="N2322" s="6"/>
    </row>
    <row r="2323" spans="1:14" x14ac:dyDescent="0.3">
      <c r="A2323" s="92">
        <v>45647</v>
      </c>
      <c r="B2323" s="92" t="str">
        <f t="shared" si="144"/>
        <v>Saturday</v>
      </c>
      <c r="C2323" s="93" t="s">
        <v>1381</v>
      </c>
      <c r="D2323" s="93" t="s">
        <v>1040</v>
      </c>
      <c r="E2323" s="94">
        <v>35.76</v>
      </c>
      <c r="F2323" s="93" t="s">
        <v>7</v>
      </c>
      <c r="G2323" s="87">
        <f>Table1[[#This Row],[date]]</f>
        <v>45647</v>
      </c>
      <c r="H2323" s="94">
        <f>SUMIF($A$2:A5958,G2323,$E$2:E5958)</f>
        <v>425.67999999999989</v>
      </c>
      <c r="I2323" s="93" t="str">
        <f t="shared" si="145"/>
        <v>Saturday</v>
      </c>
      <c r="J2323" s="93" t="str">
        <f t="shared" si="146"/>
        <v>December</v>
      </c>
      <c r="K2323" s="93" t="str">
        <f t="shared" si="147"/>
        <v>2024</v>
      </c>
      <c r="L2323" s="6"/>
      <c r="M2323" s="6"/>
      <c r="N2323" s="6"/>
    </row>
    <row r="2324" spans="1:14" x14ac:dyDescent="0.3">
      <c r="A2324" s="87">
        <v>45647</v>
      </c>
      <c r="B2324" s="87" t="str">
        <f t="shared" si="144"/>
        <v>Saturday</v>
      </c>
      <c r="C2324" s="88" t="s">
        <v>1381</v>
      </c>
      <c r="D2324" s="88" t="s">
        <v>1041</v>
      </c>
      <c r="E2324" s="89">
        <v>25.96</v>
      </c>
      <c r="F2324" s="88" t="s">
        <v>26</v>
      </c>
      <c r="G2324" s="87">
        <f>Table1[[#This Row],[date]]</f>
        <v>45647</v>
      </c>
      <c r="H2324" s="94">
        <f>SUMIF($A$2:A5959,G2324,$E$2:E5959)</f>
        <v>425.67999999999989</v>
      </c>
      <c r="I2324" s="93" t="str">
        <f t="shared" si="145"/>
        <v>Saturday</v>
      </c>
      <c r="J2324" s="93" t="str">
        <f t="shared" si="146"/>
        <v>December</v>
      </c>
      <c r="K2324" s="93" t="str">
        <f t="shared" si="147"/>
        <v>2024</v>
      </c>
      <c r="L2324" s="6"/>
      <c r="M2324" s="6"/>
      <c r="N2324" s="6"/>
    </row>
    <row r="2325" spans="1:14" x14ac:dyDescent="0.3">
      <c r="A2325" s="92">
        <v>45647</v>
      </c>
      <c r="B2325" s="92" t="str">
        <f t="shared" si="144"/>
        <v>Saturday</v>
      </c>
      <c r="C2325" s="93" t="s">
        <v>1381</v>
      </c>
      <c r="D2325" s="93" t="s">
        <v>1042</v>
      </c>
      <c r="E2325" s="94">
        <v>30.86</v>
      </c>
      <c r="F2325" s="93" t="s">
        <v>12</v>
      </c>
      <c r="G2325" s="87">
        <f>Table1[[#This Row],[date]]</f>
        <v>45647</v>
      </c>
      <c r="H2325" s="94">
        <f>SUMIF($A$2:A5960,G2325,$E$2:E5960)</f>
        <v>425.67999999999989</v>
      </c>
      <c r="I2325" s="93" t="str">
        <f t="shared" si="145"/>
        <v>Saturday</v>
      </c>
      <c r="J2325" s="93" t="str">
        <f t="shared" si="146"/>
        <v>December</v>
      </c>
      <c r="K2325" s="93" t="str">
        <f t="shared" si="147"/>
        <v>2024</v>
      </c>
      <c r="L2325" s="6"/>
      <c r="M2325" s="6"/>
      <c r="N2325" s="6"/>
    </row>
    <row r="2326" spans="1:14" x14ac:dyDescent="0.3">
      <c r="A2326" s="87">
        <v>45647</v>
      </c>
      <c r="B2326" s="87" t="str">
        <f t="shared" si="144"/>
        <v>Saturday</v>
      </c>
      <c r="C2326" s="88" t="s">
        <v>1381</v>
      </c>
      <c r="D2326" s="88" t="s">
        <v>1042</v>
      </c>
      <c r="E2326" s="89">
        <v>25.96</v>
      </c>
      <c r="F2326" s="88" t="s">
        <v>26</v>
      </c>
      <c r="G2326" s="87">
        <f>Table1[[#This Row],[date]]</f>
        <v>45647</v>
      </c>
      <c r="H2326" s="94">
        <f>SUMIF($A$2:A5961,G2326,$E$2:E5961)</f>
        <v>425.67999999999989</v>
      </c>
      <c r="I2326" s="93" t="str">
        <f t="shared" si="145"/>
        <v>Saturday</v>
      </c>
      <c r="J2326" s="93" t="str">
        <f t="shared" si="146"/>
        <v>December</v>
      </c>
      <c r="K2326" s="93" t="str">
        <f t="shared" si="147"/>
        <v>2024</v>
      </c>
      <c r="L2326" s="6"/>
      <c r="M2326" s="6"/>
      <c r="N2326" s="6"/>
    </row>
    <row r="2327" spans="1:14" x14ac:dyDescent="0.3">
      <c r="A2327" s="87">
        <v>45647</v>
      </c>
      <c r="B2327" s="87" t="str">
        <f t="shared" si="144"/>
        <v>Saturday</v>
      </c>
      <c r="C2327" s="88" t="s">
        <v>1381</v>
      </c>
      <c r="D2327" s="88" t="s">
        <v>1043</v>
      </c>
      <c r="E2327" s="89">
        <v>35.76</v>
      </c>
      <c r="F2327" s="88" t="s">
        <v>5</v>
      </c>
      <c r="G2327" s="87">
        <f>Table1[[#This Row],[date]]</f>
        <v>45647</v>
      </c>
      <c r="H2327" s="94">
        <f>SUMIF($A$2:A5962,G2327,$E$2:E5962)</f>
        <v>425.67999999999989</v>
      </c>
      <c r="I2327" s="93" t="str">
        <f t="shared" si="145"/>
        <v>Saturday</v>
      </c>
      <c r="J2327" s="93" t="str">
        <f t="shared" si="146"/>
        <v>December</v>
      </c>
      <c r="K2327" s="93" t="str">
        <f t="shared" si="147"/>
        <v>2024</v>
      </c>
      <c r="L2327" s="6"/>
      <c r="M2327" s="6"/>
      <c r="N2327" s="6"/>
    </row>
    <row r="2328" spans="1:14" x14ac:dyDescent="0.3">
      <c r="A2328" s="87">
        <v>45648</v>
      </c>
      <c r="B2328" s="87" t="str">
        <f t="shared" si="144"/>
        <v>Sunday</v>
      </c>
      <c r="C2328" s="88" t="s">
        <v>1381</v>
      </c>
      <c r="D2328" s="88" t="s">
        <v>345</v>
      </c>
      <c r="E2328" s="89">
        <v>35.76</v>
      </c>
      <c r="F2328" s="88" t="s">
        <v>41</v>
      </c>
      <c r="G2328" s="87">
        <f>Table1[[#This Row],[date]]</f>
        <v>45648</v>
      </c>
      <c r="H2328" s="94">
        <f>SUMIF($A$2:A5963,G2328,$E$2:E5963)</f>
        <v>204.76</v>
      </c>
      <c r="I2328" s="93" t="str">
        <f t="shared" si="145"/>
        <v>Sunday</v>
      </c>
      <c r="J2328" s="93" t="str">
        <f t="shared" si="146"/>
        <v>December</v>
      </c>
      <c r="K2328" s="93" t="str">
        <f t="shared" si="147"/>
        <v>2024</v>
      </c>
      <c r="L2328" s="6"/>
      <c r="M2328" s="6"/>
      <c r="N2328" s="6"/>
    </row>
    <row r="2329" spans="1:14" x14ac:dyDescent="0.3">
      <c r="A2329" s="92">
        <v>45648</v>
      </c>
      <c r="B2329" s="92" t="str">
        <f t="shared" si="144"/>
        <v>Sunday</v>
      </c>
      <c r="C2329" s="93" t="s">
        <v>1381</v>
      </c>
      <c r="D2329" s="93" t="s">
        <v>218</v>
      </c>
      <c r="E2329" s="94">
        <v>35.76</v>
      </c>
      <c r="F2329" s="93" t="s">
        <v>41</v>
      </c>
      <c r="G2329" s="87">
        <f>Table1[[#This Row],[date]]</f>
        <v>45648</v>
      </c>
      <c r="H2329" s="94">
        <f>SUMIF($A$2:A5964,G2329,$E$2:E5964)</f>
        <v>204.76</v>
      </c>
      <c r="I2329" s="93" t="str">
        <f t="shared" si="145"/>
        <v>Sunday</v>
      </c>
      <c r="J2329" s="93" t="str">
        <f t="shared" si="146"/>
        <v>December</v>
      </c>
      <c r="K2329" s="93" t="str">
        <f t="shared" si="147"/>
        <v>2024</v>
      </c>
      <c r="L2329" s="6"/>
      <c r="M2329" s="6"/>
      <c r="N2329" s="6"/>
    </row>
    <row r="2330" spans="1:14" x14ac:dyDescent="0.3">
      <c r="A2330" s="87">
        <v>45648</v>
      </c>
      <c r="B2330" s="87" t="str">
        <f t="shared" si="144"/>
        <v>Sunday</v>
      </c>
      <c r="C2330" s="88" t="s">
        <v>1381</v>
      </c>
      <c r="D2330" s="88" t="s">
        <v>1044</v>
      </c>
      <c r="E2330" s="89">
        <v>35.76</v>
      </c>
      <c r="F2330" s="88" t="s">
        <v>7</v>
      </c>
      <c r="G2330" s="87">
        <f>Table1[[#This Row],[date]]</f>
        <v>45648</v>
      </c>
      <c r="H2330" s="94">
        <f>SUMIF($A$2:A5965,G2330,$E$2:E5965)</f>
        <v>204.76</v>
      </c>
      <c r="I2330" s="93" t="str">
        <f t="shared" si="145"/>
        <v>Sunday</v>
      </c>
      <c r="J2330" s="93" t="str">
        <f t="shared" si="146"/>
        <v>December</v>
      </c>
      <c r="K2330" s="93" t="str">
        <f t="shared" si="147"/>
        <v>2024</v>
      </c>
      <c r="L2330" s="6"/>
      <c r="M2330" s="6"/>
      <c r="N2330" s="6"/>
    </row>
    <row r="2331" spans="1:14" x14ac:dyDescent="0.3">
      <c r="A2331" s="87">
        <v>45648</v>
      </c>
      <c r="B2331" s="87" t="str">
        <f t="shared" si="144"/>
        <v>Sunday</v>
      </c>
      <c r="C2331" s="88" t="s">
        <v>1381</v>
      </c>
      <c r="D2331" s="88" t="s">
        <v>648</v>
      </c>
      <c r="E2331" s="89">
        <v>35.76</v>
      </c>
      <c r="F2331" s="88" t="s">
        <v>7</v>
      </c>
      <c r="G2331" s="87">
        <f>Table1[[#This Row],[date]]</f>
        <v>45648</v>
      </c>
      <c r="H2331" s="94">
        <f>SUMIF($A$2:A5966,G2331,$E$2:E5966)</f>
        <v>204.76</v>
      </c>
      <c r="I2331" s="93" t="str">
        <f t="shared" si="145"/>
        <v>Sunday</v>
      </c>
      <c r="J2331" s="93" t="str">
        <f t="shared" si="146"/>
        <v>December</v>
      </c>
      <c r="K2331" s="93" t="str">
        <f t="shared" si="147"/>
        <v>2024</v>
      </c>
      <c r="L2331" s="6"/>
      <c r="M2331" s="6"/>
      <c r="N2331" s="6"/>
    </row>
    <row r="2332" spans="1:14" x14ac:dyDescent="0.3">
      <c r="A2332" s="92">
        <v>45648</v>
      </c>
      <c r="B2332" s="92" t="str">
        <f t="shared" si="144"/>
        <v>Sunday</v>
      </c>
      <c r="C2332" s="93" t="s">
        <v>1381</v>
      </c>
      <c r="D2332" s="93" t="s">
        <v>1045</v>
      </c>
      <c r="E2332" s="94">
        <v>35.76</v>
      </c>
      <c r="F2332" s="93" t="s">
        <v>16</v>
      </c>
      <c r="G2332" s="87">
        <f>Table1[[#This Row],[date]]</f>
        <v>45648</v>
      </c>
      <c r="H2332" s="94">
        <f>SUMIF($A$2:A5967,G2332,$E$2:E5967)</f>
        <v>204.76</v>
      </c>
      <c r="I2332" s="93" t="str">
        <f t="shared" si="145"/>
        <v>Sunday</v>
      </c>
      <c r="J2332" s="93" t="str">
        <f t="shared" si="146"/>
        <v>December</v>
      </c>
      <c r="K2332" s="93" t="str">
        <f t="shared" si="147"/>
        <v>2024</v>
      </c>
      <c r="L2332" s="6"/>
      <c r="M2332" s="6"/>
      <c r="N2332" s="6"/>
    </row>
    <row r="2333" spans="1:14" x14ac:dyDescent="0.3">
      <c r="A2333" s="87">
        <v>45648</v>
      </c>
      <c r="B2333" s="87" t="str">
        <f t="shared" si="144"/>
        <v>Sunday</v>
      </c>
      <c r="C2333" s="88" t="s">
        <v>1381</v>
      </c>
      <c r="D2333" s="88" t="s">
        <v>1046</v>
      </c>
      <c r="E2333" s="89">
        <v>25.96</v>
      </c>
      <c r="F2333" s="88" t="s">
        <v>26</v>
      </c>
      <c r="G2333" s="87">
        <f>Table1[[#This Row],[date]]</f>
        <v>45648</v>
      </c>
      <c r="H2333" s="94">
        <f>SUMIF($A$2:A5968,G2333,$E$2:E5968)</f>
        <v>204.76</v>
      </c>
      <c r="I2333" s="93" t="str">
        <f t="shared" si="145"/>
        <v>Sunday</v>
      </c>
      <c r="J2333" s="93" t="str">
        <f t="shared" si="146"/>
        <v>December</v>
      </c>
      <c r="K2333" s="93" t="str">
        <f t="shared" si="147"/>
        <v>2024</v>
      </c>
      <c r="L2333" s="6"/>
      <c r="M2333" s="6"/>
      <c r="N2333" s="6"/>
    </row>
    <row r="2334" spans="1:14" x14ac:dyDescent="0.3">
      <c r="A2334" s="92">
        <v>45649</v>
      </c>
      <c r="B2334" s="92" t="str">
        <f t="shared" si="144"/>
        <v>Monday</v>
      </c>
      <c r="C2334" s="93" t="s">
        <v>1381</v>
      </c>
      <c r="D2334" s="93" t="s">
        <v>1041</v>
      </c>
      <c r="E2334" s="94">
        <v>25.96</v>
      </c>
      <c r="F2334" s="93" t="s">
        <v>26</v>
      </c>
      <c r="G2334" s="87">
        <f>Table1[[#This Row],[date]]</f>
        <v>45649</v>
      </c>
      <c r="H2334" s="94">
        <f>SUMIF($A$2:A5969,G2334,$E$2:E5969)</f>
        <v>287.54000000000002</v>
      </c>
      <c r="I2334" s="93" t="str">
        <f t="shared" si="145"/>
        <v>Monday</v>
      </c>
      <c r="J2334" s="93" t="str">
        <f t="shared" si="146"/>
        <v>December</v>
      </c>
      <c r="K2334" s="93" t="str">
        <f t="shared" si="147"/>
        <v>2024</v>
      </c>
      <c r="L2334" s="6"/>
      <c r="M2334" s="6"/>
      <c r="N2334" s="6"/>
    </row>
    <row r="2335" spans="1:14" x14ac:dyDescent="0.3">
      <c r="A2335" s="87">
        <v>45649</v>
      </c>
      <c r="B2335" s="87" t="str">
        <f t="shared" si="144"/>
        <v>Monday</v>
      </c>
      <c r="C2335" s="88" t="s">
        <v>1381</v>
      </c>
      <c r="D2335" s="88" t="s">
        <v>288</v>
      </c>
      <c r="E2335" s="89">
        <v>30.86</v>
      </c>
      <c r="F2335" s="88" t="s">
        <v>12</v>
      </c>
      <c r="G2335" s="87">
        <f>Table1[[#This Row],[date]]</f>
        <v>45649</v>
      </c>
      <c r="H2335" s="94">
        <f>SUMIF($A$2:A5970,G2335,$E$2:E5970)</f>
        <v>287.54000000000002</v>
      </c>
      <c r="I2335" s="93" t="str">
        <f t="shared" si="145"/>
        <v>Monday</v>
      </c>
      <c r="J2335" s="93" t="str">
        <f t="shared" si="146"/>
        <v>December</v>
      </c>
      <c r="K2335" s="93" t="str">
        <f t="shared" si="147"/>
        <v>2024</v>
      </c>
      <c r="L2335" s="6"/>
      <c r="M2335" s="6"/>
      <c r="N2335" s="6"/>
    </row>
    <row r="2336" spans="1:14" x14ac:dyDescent="0.3">
      <c r="A2336" s="92">
        <v>45649</v>
      </c>
      <c r="B2336" s="92" t="str">
        <f t="shared" si="144"/>
        <v>Monday</v>
      </c>
      <c r="C2336" s="93" t="s">
        <v>1381</v>
      </c>
      <c r="D2336" s="93" t="s">
        <v>54</v>
      </c>
      <c r="E2336" s="94">
        <v>30.86</v>
      </c>
      <c r="F2336" s="93" t="s">
        <v>12</v>
      </c>
      <c r="G2336" s="87">
        <f>Table1[[#This Row],[date]]</f>
        <v>45649</v>
      </c>
      <c r="H2336" s="94">
        <f>SUMIF($A$2:A5971,G2336,$E$2:E5971)</f>
        <v>287.54000000000002</v>
      </c>
      <c r="I2336" s="93" t="str">
        <f t="shared" si="145"/>
        <v>Monday</v>
      </c>
      <c r="J2336" s="93" t="str">
        <f t="shared" si="146"/>
        <v>December</v>
      </c>
      <c r="K2336" s="93" t="str">
        <f t="shared" si="147"/>
        <v>2024</v>
      </c>
      <c r="L2336" s="6"/>
      <c r="M2336" s="6"/>
      <c r="N2336" s="6"/>
    </row>
    <row r="2337" spans="1:14" x14ac:dyDescent="0.3">
      <c r="A2337" s="87">
        <v>45649</v>
      </c>
      <c r="B2337" s="87" t="str">
        <f t="shared" si="144"/>
        <v>Monday</v>
      </c>
      <c r="C2337" s="88" t="s">
        <v>1381</v>
      </c>
      <c r="D2337" s="88" t="s">
        <v>582</v>
      </c>
      <c r="E2337" s="89">
        <v>35.76</v>
      </c>
      <c r="F2337" s="88" t="s">
        <v>41</v>
      </c>
      <c r="G2337" s="87">
        <f>Table1[[#This Row],[date]]</f>
        <v>45649</v>
      </c>
      <c r="H2337" s="94">
        <f>SUMIF($A$2:A5972,G2337,$E$2:E5972)</f>
        <v>287.54000000000002</v>
      </c>
      <c r="I2337" s="93" t="str">
        <f t="shared" si="145"/>
        <v>Monday</v>
      </c>
      <c r="J2337" s="93" t="str">
        <f t="shared" si="146"/>
        <v>December</v>
      </c>
      <c r="K2337" s="93" t="str">
        <f t="shared" si="147"/>
        <v>2024</v>
      </c>
      <c r="L2337" s="6"/>
      <c r="M2337" s="6"/>
      <c r="N2337" s="6"/>
    </row>
    <row r="2338" spans="1:14" x14ac:dyDescent="0.3">
      <c r="A2338" s="92">
        <v>45649</v>
      </c>
      <c r="B2338" s="92" t="str">
        <f t="shared" si="144"/>
        <v>Monday</v>
      </c>
      <c r="C2338" s="93" t="s">
        <v>1381</v>
      </c>
      <c r="D2338" s="93" t="s">
        <v>1047</v>
      </c>
      <c r="E2338" s="94">
        <v>35.76</v>
      </c>
      <c r="F2338" s="93" t="s">
        <v>5</v>
      </c>
      <c r="G2338" s="87">
        <f>Table1[[#This Row],[date]]</f>
        <v>45649</v>
      </c>
      <c r="H2338" s="94">
        <f>SUMIF($A$2:A5973,G2338,$E$2:E5973)</f>
        <v>287.54000000000002</v>
      </c>
      <c r="I2338" s="93" t="str">
        <f t="shared" si="145"/>
        <v>Monday</v>
      </c>
      <c r="J2338" s="93" t="str">
        <f t="shared" si="146"/>
        <v>December</v>
      </c>
      <c r="K2338" s="93" t="str">
        <f t="shared" si="147"/>
        <v>2024</v>
      </c>
      <c r="L2338" s="6"/>
      <c r="M2338" s="6"/>
      <c r="N2338" s="6"/>
    </row>
    <row r="2339" spans="1:14" x14ac:dyDescent="0.3">
      <c r="A2339" s="87">
        <v>45649</v>
      </c>
      <c r="B2339" s="87" t="str">
        <f t="shared" si="144"/>
        <v>Monday</v>
      </c>
      <c r="C2339" s="88" t="s">
        <v>1381</v>
      </c>
      <c r="D2339" s="88" t="s">
        <v>1048</v>
      </c>
      <c r="E2339" s="89">
        <v>30.86</v>
      </c>
      <c r="F2339" s="88" t="s">
        <v>12</v>
      </c>
      <c r="G2339" s="87">
        <f>Table1[[#This Row],[date]]</f>
        <v>45649</v>
      </c>
      <c r="H2339" s="94">
        <f>SUMIF($A$2:A5974,G2339,$E$2:E5974)</f>
        <v>287.54000000000002</v>
      </c>
      <c r="I2339" s="93" t="str">
        <f t="shared" si="145"/>
        <v>Monday</v>
      </c>
      <c r="J2339" s="93" t="str">
        <f t="shared" si="146"/>
        <v>December</v>
      </c>
      <c r="K2339" s="93" t="str">
        <f t="shared" si="147"/>
        <v>2024</v>
      </c>
      <c r="L2339" s="6"/>
      <c r="M2339" s="6"/>
      <c r="N2339" s="6"/>
    </row>
    <row r="2340" spans="1:14" x14ac:dyDescent="0.3">
      <c r="A2340" s="92">
        <v>45649</v>
      </c>
      <c r="B2340" s="92" t="str">
        <f t="shared" si="144"/>
        <v>Monday</v>
      </c>
      <c r="C2340" s="93" t="s">
        <v>1381</v>
      </c>
      <c r="D2340" s="93" t="s">
        <v>918</v>
      </c>
      <c r="E2340" s="94">
        <v>35.76</v>
      </c>
      <c r="F2340" s="93" t="s">
        <v>5</v>
      </c>
      <c r="G2340" s="87">
        <f>Table1[[#This Row],[date]]</f>
        <v>45649</v>
      </c>
      <c r="H2340" s="94">
        <f>SUMIF($A$2:A5975,G2340,$E$2:E5975)</f>
        <v>287.54000000000002</v>
      </c>
      <c r="I2340" s="93" t="str">
        <f t="shared" si="145"/>
        <v>Monday</v>
      </c>
      <c r="J2340" s="93" t="str">
        <f t="shared" si="146"/>
        <v>December</v>
      </c>
      <c r="K2340" s="93" t="str">
        <f t="shared" si="147"/>
        <v>2024</v>
      </c>
      <c r="L2340" s="6"/>
      <c r="M2340" s="6"/>
      <c r="N2340" s="6"/>
    </row>
    <row r="2341" spans="1:14" x14ac:dyDescent="0.3">
      <c r="A2341" s="87">
        <v>45649</v>
      </c>
      <c r="B2341" s="87" t="str">
        <f t="shared" si="144"/>
        <v>Monday</v>
      </c>
      <c r="C2341" s="88" t="s">
        <v>1381</v>
      </c>
      <c r="D2341" s="88" t="s">
        <v>1049</v>
      </c>
      <c r="E2341" s="89">
        <v>25.96</v>
      </c>
      <c r="F2341" s="88" t="s">
        <v>26</v>
      </c>
      <c r="G2341" s="87">
        <f>Table1[[#This Row],[date]]</f>
        <v>45649</v>
      </c>
      <c r="H2341" s="94">
        <f>SUMIF($A$2:A5976,G2341,$E$2:E5976)</f>
        <v>287.54000000000002</v>
      </c>
      <c r="I2341" s="93" t="str">
        <f t="shared" si="145"/>
        <v>Monday</v>
      </c>
      <c r="J2341" s="93" t="str">
        <f t="shared" si="146"/>
        <v>December</v>
      </c>
      <c r="K2341" s="93" t="str">
        <f t="shared" si="147"/>
        <v>2024</v>
      </c>
      <c r="L2341" s="6"/>
      <c r="M2341" s="6"/>
      <c r="N2341" s="6"/>
    </row>
    <row r="2342" spans="1:14" x14ac:dyDescent="0.3">
      <c r="A2342" s="92">
        <v>45649</v>
      </c>
      <c r="B2342" s="92" t="str">
        <f t="shared" si="144"/>
        <v>Monday</v>
      </c>
      <c r="C2342" s="93" t="s">
        <v>1381</v>
      </c>
      <c r="D2342" s="93" t="s">
        <v>1049</v>
      </c>
      <c r="E2342" s="94">
        <v>35.76</v>
      </c>
      <c r="F2342" s="93" t="s">
        <v>5</v>
      </c>
      <c r="G2342" s="87">
        <f>Table1[[#This Row],[date]]</f>
        <v>45649</v>
      </c>
      <c r="H2342" s="94">
        <f>SUMIF($A$2:A5977,G2342,$E$2:E5977)</f>
        <v>287.54000000000002</v>
      </c>
      <c r="I2342" s="93" t="str">
        <f t="shared" si="145"/>
        <v>Monday</v>
      </c>
      <c r="J2342" s="93" t="str">
        <f t="shared" si="146"/>
        <v>December</v>
      </c>
      <c r="K2342" s="93" t="str">
        <f t="shared" si="147"/>
        <v>2024</v>
      </c>
      <c r="L2342" s="6"/>
      <c r="M2342" s="6"/>
      <c r="N2342" s="6"/>
    </row>
    <row r="2343" spans="1:14" x14ac:dyDescent="0.3">
      <c r="A2343" s="92">
        <v>45650</v>
      </c>
      <c r="B2343" s="92" t="str">
        <f t="shared" si="144"/>
        <v>Tuesday</v>
      </c>
      <c r="C2343" s="93" t="s">
        <v>1381</v>
      </c>
      <c r="D2343" s="93" t="s">
        <v>1050</v>
      </c>
      <c r="E2343" s="94">
        <v>30.86</v>
      </c>
      <c r="F2343" s="93" t="s">
        <v>12</v>
      </c>
      <c r="G2343" s="87">
        <f>Table1[[#This Row],[date]]</f>
        <v>45650</v>
      </c>
      <c r="H2343" s="94">
        <f>SUMIF($A$2:A5978,G2343,$E$2:E5978)</f>
        <v>185.16</v>
      </c>
      <c r="I2343" s="93" t="str">
        <f t="shared" si="145"/>
        <v>Tuesday</v>
      </c>
      <c r="J2343" s="93" t="str">
        <f t="shared" si="146"/>
        <v>December</v>
      </c>
      <c r="K2343" s="93" t="str">
        <f t="shared" si="147"/>
        <v>2024</v>
      </c>
      <c r="L2343" s="6"/>
      <c r="M2343" s="6"/>
      <c r="N2343" s="6"/>
    </row>
    <row r="2344" spans="1:14" x14ac:dyDescent="0.3">
      <c r="A2344" s="87">
        <v>45650</v>
      </c>
      <c r="B2344" s="87" t="str">
        <f t="shared" si="144"/>
        <v>Tuesday</v>
      </c>
      <c r="C2344" s="88" t="s">
        <v>1381</v>
      </c>
      <c r="D2344" s="88" t="s">
        <v>1051</v>
      </c>
      <c r="E2344" s="89">
        <v>35.76</v>
      </c>
      <c r="F2344" s="88" t="s">
        <v>7</v>
      </c>
      <c r="G2344" s="87">
        <f>Table1[[#This Row],[date]]</f>
        <v>45650</v>
      </c>
      <c r="H2344" s="94">
        <f>SUMIF($A$2:A5979,G2344,$E$2:E5979)</f>
        <v>185.16</v>
      </c>
      <c r="I2344" s="93" t="str">
        <f t="shared" si="145"/>
        <v>Tuesday</v>
      </c>
      <c r="J2344" s="93" t="str">
        <f t="shared" si="146"/>
        <v>December</v>
      </c>
      <c r="K2344" s="93" t="str">
        <f t="shared" si="147"/>
        <v>2024</v>
      </c>
      <c r="L2344" s="6"/>
      <c r="M2344" s="6"/>
      <c r="N2344" s="6"/>
    </row>
    <row r="2345" spans="1:14" x14ac:dyDescent="0.3">
      <c r="A2345" s="92">
        <v>45650</v>
      </c>
      <c r="B2345" s="92" t="str">
        <f t="shared" si="144"/>
        <v>Tuesday</v>
      </c>
      <c r="C2345" s="93" t="s">
        <v>1381</v>
      </c>
      <c r="D2345" s="93" t="s">
        <v>1041</v>
      </c>
      <c r="E2345" s="94">
        <v>25.96</v>
      </c>
      <c r="F2345" s="93" t="s">
        <v>26</v>
      </c>
      <c r="G2345" s="87">
        <f>Table1[[#This Row],[date]]</f>
        <v>45650</v>
      </c>
      <c r="H2345" s="94">
        <f>SUMIF($A$2:A5980,G2345,$E$2:E5980)</f>
        <v>185.16</v>
      </c>
      <c r="I2345" s="93" t="str">
        <f t="shared" si="145"/>
        <v>Tuesday</v>
      </c>
      <c r="J2345" s="93" t="str">
        <f t="shared" si="146"/>
        <v>December</v>
      </c>
      <c r="K2345" s="93" t="str">
        <f t="shared" si="147"/>
        <v>2024</v>
      </c>
      <c r="L2345" s="6"/>
      <c r="M2345" s="6"/>
      <c r="N2345" s="6"/>
    </row>
    <row r="2346" spans="1:14" x14ac:dyDescent="0.3">
      <c r="A2346" s="92">
        <v>45650</v>
      </c>
      <c r="B2346" s="92" t="str">
        <f t="shared" si="144"/>
        <v>Tuesday</v>
      </c>
      <c r="C2346" s="93" t="s">
        <v>1381</v>
      </c>
      <c r="D2346" s="93" t="s">
        <v>1052</v>
      </c>
      <c r="E2346" s="94">
        <v>35.76</v>
      </c>
      <c r="F2346" s="93" t="s">
        <v>5</v>
      </c>
      <c r="G2346" s="87">
        <f>Table1[[#This Row],[date]]</f>
        <v>45650</v>
      </c>
      <c r="H2346" s="94">
        <f>SUMIF($A$2:A5981,G2346,$E$2:E5981)</f>
        <v>185.16</v>
      </c>
      <c r="I2346" s="93" t="str">
        <f t="shared" si="145"/>
        <v>Tuesday</v>
      </c>
      <c r="J2346" s="93" t="str">
        <f t="shared" si="146"/>
        <v>December</v>
      </c>
      <c r="K2346" s="93" t="str">
        <f t="shared" si="147"/>
        <v>2024</v>
      </c>
      <c r="L2346" s="6"/>
      <c r="M2346" s="6"/>
      <c r="N2346" s="6"/>
    </row>
    <row r="2347" spans="1:14" x14ac:dyDescent="0.3">
      <c r="A2347" s="87">
        <v>45650</v>
      </c>
      <c r="B2347" s="87" t="str">
        <f t="shared" si="144"/>
        <v>Tuesday</v>
      </c>
      <c r="C2347" s="88" t="s">
        <v>1381</v>
      </c>
      <c r="D2347" s="88" t="s">
        <v>1051</v>
      </c>
      <c r="E2347" s="89">
        <v>21.06</v>
      </c>
      <c r="F2347" s="88" t="s">
        <v>33</v>
      </c>
      <c r="G2347" s="87">
        <f>Table1[[#This Row],[date]]</f>
        <v>45650</v>
      </c>
      <c r="H2347" s="94">
        <f>SUMIF($A$2:A5982,G2347,$E$2:E5982)</f>
        <v>185.16</v>
      </c>
      <c r="I2347" s="93" t="str">
        <f t="shared" si="145"/>
        <v>Tuesday</v>
      </c>
      <c r="J2347" s="93" t="str">
        <f t="shared" si="146"/>
        <v>December</v>
      </c>
      <c r="K2347" s="93" t="str">
        <f t="shared" si="147"/>
        <v>2024</v>
      </c>
      <c r="L2347" s="6"/>
      <c r="M2347" s="6"/>
      <c r="N2347" s="6"/>
    </row>
    <row r="2348" spans="1:14" x14ac:dyDescent="0.3">
      <c r="A2348" s="92">
        <v>45650</v>
      </c>
      <c r="B2348" s="92" t="str">
        <f t="shared" si="144"/>
        <v>Tuesday</v>
      </c>
      <c r="C2348" s="93" t="s">
        <v>1381</v>
      </c>
      <c r="D2348" s="93" t="s">
        <v>109</v>
      </c>
      <c r="E2348" s="94">
        <v>35.76</v>
      </c>
      <c r="F2348" s="93" t="s">
        <v>41</v>
      </c>
      <c r="G2348" s="87">
        <f>Table1[[#This Row],[date]]</f>
        <v>45650</v>
      </c>
      <c r="H2348" s="94">
        <f>SUMIF($A$2:A5983,G2348,$E$2:E5983)</f>
        <v>185.16</v>
      </c>
      <c r="I2348" s="93" t="str">
        <f t="shared" si="145"/>
        <v>Tuesday</v>
      </c>
      <c r="J2348" s="93" t="str">
        <f t="shared" si="146"/>
        <v>December</v>
      </c>
      <c r="K2348" s="93" t="str">
        <f t="shared" si="147"/>
        <v>2024</v>
      </c>
      <c r="L2348" s="6"/>
      <c r="M2348" s="6"/>
      <c r="N2348" s="6"/>
    </row>
    <row r="2349" spans="1:14" x14ac:dyDescent="0.3">
      <c r="A2349" s="87">
        <v>45651</v>
      </c>
      <c r="B2349" s="87" t="str">
        <f t="shared" si="144"/>
        <v>Wednesday</v>
      </c>
      <c r="C2349" s="88" t="s">
        <v>1381</v>
      </c>
      <c r="D2349" s="88" t="s">
        <v>1053</v>
      </c>
      <c r="E2349" s="89">
        <v>35.76</v>
      </c>
      <c r="F2349" s="88" t="s">
        <v>5</v>
      </c>
      <c r="G2349" s="87">
        <f>Table1[[#This Row],[date]]</f>
        <v>45651</v>
      </c>
      <c r="H2349" s="94">
        <f>SUMIF($A$2:A5984,G2349,$E$2:E5984)</f>
        <v>323.3</v>
      </c>
      <c r="I2349" s="93" t="str">
        <f t="shared" si="145"/>
        <v>Wednesday</v>
      </c>
      <c r="J2349" s="93" t="str">
        <f t="shared" si="146"/>
        <v>December</v>
      </c>
      <c r="K2349" s="93" t="str">
        <f t="shared" si="147"/>
        <v>2024</v>
      </c>
      <c r="L2349" s="6"/>
      <c r="M2349" s="6"/>
      <c r="N2349" s="6"/>
    </row>
    <row r="2350" spans="1:14" x14ac:dyDescent="0.3">
      <c r="A2350" s="87">
        <v>45651</v>
      </c>
      <c r="B2350" s="87" t="str">
        <f t="shared" si="144"/>
        <v>Wednesday</v>
      </c>
      <c r="C2350" s="88" t="s">
        <v>1381</v>
      </c>
      <c r="D2350" s="88" t="s">
        <v>1054</v>
      </c>
      <c r="E2350" s="89">
        <v>30.86</v>
      </c>
      <c r="F2350" s="88" t="s">
        <v>12</v>
      </c>
      <c r="G2350" s="87">
        <f>Table1[[#This Row],[date]]</f>
        <v>45651</v>
      </c>
      <c r="H2350" s="94">
        <f>SUMIF($A$2:A5985,G2350,$E$2:E5985)</f>
        <v>323.3</v>
      </c>
      <c r="I2350" s="93" t="str">
        <f t="shared" si="145"/>
        <v>Wednesday</v>
      </c>
      <c r="J2350" s="93" t="str">
        <f t="shared" si="146"/>
        <v>December</v>
      </c>
      <c r="K2350" s="93" t="str">
        <f t="shared" si="147"/>
        <v>2024</v>
      </c>
      <c r="L2350" s="6"/>
      <c r="M2350" s="6"/>
      <c r="N2350" s="6"/>
    </row>
    <row r="2351" spans="1:14" x14ac:dyDescent="0.3">
      <c r="A2351" s="92">
        <v>45651</v>
      </c>
      <c r="B2351" s="92" t="str">
        <f t="shared" si="144"/>
        <v>Wednesday</v>
      </c>
      <c r="C2351" s="93" t="s">
        <v>1381</v>
      </c>
      <c r="D2351" s="93" t="s">
        <v>1054</v>
      </c>
      <c r="E2351" s="94">
        <v>25.96</v>
      </c>
      <c r="F2351" s="93" t="s">
        <v>9</v>
      </c>
      <c r="G2351" s="87">
        <f>Table1[[#This Row],[date]]</f>
        <v>45651</v>
      </c>
      <c r="H2351" s="94">
        <f>SUMIF($A$2:A5986,G2351,$E$2:E5986)</f>
        <v>323.3</v>
      </c>
      <c r="I2351" s="93" t="str">
        <f t="shared" si="145"/>
        <v>Wednesday</v>
      </c>
      <c r="J2351" s="93" t="str">
        <f t="shared" si="146"/>
        <v>December</v>
      </c>
      <c r="K2351" s="93" t="str">
        <f t="shared" si="147"/>
        <v>2024</v>
      </c>
      <c r="L2351" s="6"/>
      <c r="M2351" s="6"/>
      <c r="N2351" s="6"/>
    </row>
    <row r="2352" spans="1:14" x14ac:dyDescent="0.3">
      <c r="A2352" s="87">
        <v>45651</v>
      </c>
      <c r="B2352" s="87" t="str">
        <f t="shared" si="144"/>
        <v>Wednesday</v>
      </c>
      <c r="C2352" s="88" t="s">
        <v>1381</v>
      </c>
      <c r="D2352" s="88" t="s">
        <v>1055</v>
      </c>
      <c r="E2352" s="89">
        <v>30.86</v>
      </c>
      <c r="F2352" s="88" t="s">
        <v>12</v>
      </c>
      <c r="G2352" s="87">
        <f>Table1[[#This Row],[date]]</f>
        <v>45651</v>
      </c>
      <c r="H2352" s="94">
        <f>SUMIF($A$2:A5987,G2352,$E$2:E5987)</f>
        <v>323.3</v>
      </c>
      <c r="I2352" s="93" t="str">
        <f t="shared" si="145"/>
        <v>Wednesday</v>
      </c>
      <c r="J2352" s="93" t="str">
        <f t="shared" si="146"/>
        <v>December</v>
      </c>
      <c r="K2352" s="93" t="str">
        <f t="shared" si="147"/>
        <v>2024</v>
      </c>
      <c r="L2352" s="6"/>
      <c r="M2352" s="6"/>
      <c r="N2352" s="6"/>
    </row>
    <row r="2353" spans="1:14" x14ac:dyDescent="0.3">
      <c r="A2353" s="92">
        <v>45651</v>
      </c>
      <c r="B2353" s="92" t="str">
        <f t="shared" si="144"/>
        <v>Wednesday</v>
      </c>
      <c r="C2353" s="93" t="s">
        <v>1381</v>
      </c>
      <c r="D2353" s="93" t="s">
        <v>1056</v>
      </c>
      <c r="E2353" s="94">
        <v>25.96</v>
      </c>
      <c r="F2353" s="93" t="s">
        <v>9</v>
      </c>
      <c r="G2353" s="87">
        <f>Table1[[#This Row],[date]]</f>
        <v>45651</v>
      </c>
      <c r="H2353" s="94">
        <f>SUMIF($A$2:A5988,G2353,$E$2:E5988)</f>
        <v>323.3</v>
      </c>
      <c r="I2353" s="93" t="str">
        <f t="shared" si="145"/>
        <v>Wednesday</v>
      </c>
      <c r="J2353" s="93" t="str">
        <f t="shared" si="146"/>
        <v>December</v>
      </c>
      <c r="K2353" s="93" t="str">
        <f t="shared" si="147"/>
        <v>2024</v>
      </c>
      <c r="L2353" s="6"/>
      <c r="M2353" s="6"/>
      <c r="N2353" s="6"/>
    </row>
    <row r="2354" spans="1:14" x14ac:dyDescent="0.3">
      <c r="A2354" s="87">
        <v>45651</v>
      </c>
      <c r="B2354" s="87" t="str">
        <f t="shared" si="144"/>
        <v>Wednesday</v>
      </c>
      <c r="C2354" s="88" t="s">
        <v>1381</v>
      </c>
      <c r="D2354" s="88" t="s">
        <v>109</v>
      </c>
      <c r="E2354" s="89">
        <v>35.76</v>
      </c>
      <c r="F2354" s="88" t="s">
        <v>41</v>
      </c>
      <c r="G2354" s="87">
        <f>Table1[[#This Row],[date]]</f>
        <v>45651</v>
      </c>
      <c r="H2354" s="94">
        <f>SUMIF($A$2:A5989,G2354,$E$2:E5989)</f>
        <v>323.3</v>
      </c>
      <c r="I2354" s="93" t="str">
        <f t="shared" si="145"/>
        <v>Wednesday</v>
      </c>
      <c r="J2354" s="93" t="str">
        <f t="shared" si="146"/>
        <v>December</v>
      </c>
      <c r="K2354" s="93" t="str">
        <f t="shared" si="147"/>
        <v>2024</v>
      </c>
      <c r="L2354" s="6"/>
      <c r="M2354" s="6"/>
      <c r="N2354" s="6"/>
    </row>
    <row r="2355" spans="1:14" x14ac:dyDescent="0.3">
      <c r="A2355" s="92">
        <v>45651</v>
      </c>
      <c r="B2355" s="92" t="str">
        <f t="shared" si="144"/>
        <v>Wednesday</v>
      </c>
      <c r="C2355" s="93" t="s">
        <v>1381</v>
      </c>
      <c r="D2355" s="93" t="s">
        <v>1057</v>
      </c>
      <c r="E2355" s="94">
        <v>35.76</v>
      </c>
      <c r="F2355" s="93" t="s">
        <v>16</v>
      </c>
      <c r="G2355" s="87">
        <f>Table1[[#This Row],[date]]</f>
        <v>45651</v>
      </c>
      <c r="H2355" s="94">
        <f>SUMIF($A$2:A5990,G2355,$E$2:E5990)</f>
        <v>323.3</v>
      </c>
      <c r="I2355" s="93" t="str">
        <f t="shared" si="145"/>
        <v>Wednesday</v>
      </c>
      <c r="J2355" s="93" t="str">
        <f t="shared" si="146"/>
        <v>December</v>
      </c>
      <c r="K2355" s="93" t="str">
        <f t="shared" si="147"/>
        <v>2024</v>
      </c>
      <c r="L2355" s="6"/>
      <c r="M2355" s="6"/>
      <c r="N2355" s="6"/>
    </row>
    <row r="2356" spans="1:14" x14ac:dyDescent="0.3">
      <c r="A2356" s="92">
        <v>45651</v>
      </c>
      <c r="B2356" s="92" t="str">
        <f t="shared" si="144"/>
        <v>Wednesday</v>
      </c>
      <c r="C2356" s="93" t="s">
        <v>1381</v>
      </c>
      <c r="D2356" s="93" t="s">
        <v>1058</v>
      </c>
      <c r="E2356" s="94">
        <v>35.76</v>
      </c>
      <c r="F2356" s="93" t="s">
        <v>5</v>
      </c>
      <c r="G2356" s="87">
        <f>Table1[[#This Row],[date]]</f>
        <v>45651</v>
      </c>
      <c r="H2356" s="94">
        <f>SUMIF($A$2:A5991,G2356,$E$2:E5991)</f>
        <v>323.3</v>
      </c>
      <c r="I2356" s="93" t="str">
        <f t="shared" si="145"/>
        <v>Wednesday</v>
      </c>
      <c r="J2356" s="93" t="str">
        <f t="shared" si="146"/>
        <v>December</v>
      </c>
      <c r="K2356" s="93" t="str">
        <f t="shared" si="147"/>
        <v>2024</v>
      </c>
      <c r="L2356" s="6"/>
      <c r="M2356" s="6"/>
      <c r="N2356" s="6"/>
    </row>
    <row r="2357" spans="1:14" x14ac:dyDescent="0.3">
      <c r="A2357" s="87">
        <v>45651</v>
      </c>
      <c r="B2357" s="87" t="str">
        <f t="shared" si="144"/>
        <v>Wednesday</v>
      </c>
      <c r="C2357" s="88" t="s">
        <v>1381</v>
      </c>
      <c r="D2357" s="88" t="s">
        <v>166</v>
      </c>
      <c r="E2357" s="89">
        <v>35.76</v>
      </c>
      <c r="F2357" s="88" t="s">
        <v>41</v>
      </c>
      <c r="G2357" s="87">
        <f>Table1[[#This Row],[date]]</f>
        <v>45651</v>
      </c>
      <c r="H2357" s="94">
        <f>SUMIF($A$2:A5992,G2357,$E$2:E5992)</f>
        <v>323.3</v>
      </c>
      <c r="I2357" s="93" t="str">
        <f t="shared" si="145"/>
        <v>Wednesday</v>
      </c>
      <c r="J2357" s="93" t="str">
        <f t="shared" si="146"/>
        <v>December</v>
      </c>
      <c r="K2357" s="93" t="str">
        <f t="shared" si="147"/>
        <v>2024</v>
      </c>
      <c r="L2357" s="6"/>
      <c r="M2357" s="6"/>
      <c r="N2357" s="6"/>
    </row>
    <row r="2358" spans="1:14" x14ac:dyDescent="0.3">
      <c r="A2358" s="92">
        <v>45651</v>
      </c>
      <c r="B2358" s="92" t="str">
        <f t="shared" si="144"/>
        <v>Wednesday</v>
      </c>
      <c r="C2358" s="93" t="s">
        <v>1381</v>
      </c>
      <c r="D2358" s="93" t="s">
        <v>166</v>
      </c>
      <c r="E2358" s="94">
        <v>30.86</v>
      </c>
      <c r="F2358" s="93" t="s">
        <v>12</v>
      </c>
      <c r="G2358" s="87">
        <f>Table1[[#This Row],[date]]</f>
        <v>45651</v>
      </c>
      <c r="H2358" s="94">
        <f>SUMIF($A$2:A5993,G2358,$E$2:E5993)</f>
        <v>323.3</v>
      </c>
      <c r="I2358" s="93" t="str">
        <f t="shared" si="145"/>
        <v>Wednesday</v>
      </c>
      <c r="J2358" s="93" t="str">
        <f t="shared" si="146"/>
        <v>December</v>
      </c>
      <c r="K2358" s="93" t="str">
        <f t="shared" si="147"/>
        <v>2024</v>
      </c>
      <c r="L2358" s="6"/>
      <c r="M2358" s="6"/>
      <c r="N2358" s="6"/>
    </row>
    <row r="2359" spans="1:14" x14ac:dyDescent="0.3">
      <c r="A2359" s="87">
        <v>45652</v>
      </c>
      <c r="B2359" s="87" t="str">
        <f t="shared" si="144"/>
        <v>Thursday</v>
      </c>
      <c r="C2359" s="88" t="s">
        <v>1381</v>
      </c>
      <c r="D2359" s="88" t="s">
        <v>1059</v>
      </c>
      <c r="E2359" s="89">
        <v>35.76</v>
      </c>
      <c r="F2359" s="88" t="s">
        <v>41</v>
      </c>
      <c r="G2359" s="87">
        <f>Table1[[#This Row],[date]]</f>
        <v>45652</v>
      </c>
      <c r="H2359" s="94">
        <f>SUMIF($A$2:A5994,G2359,$E$2:E5994)</f>
        <v>56.819999999999993</v>
      </c>
      <c r="I2359" s="93" t="str">
        <f t="shared" si="145"/>
        <v>Thursday</v>
      </c>
      <c r="J2359" s="93" t="str">
        <f t="shared" si="146"/>
        <v>December</v>
      </c>
      <c r="K2359" s="93" t="str">
        <f t="shared" si="147"/>
        <v>2024</v>
      </c>
      <c r="L2359" s="6"/>
      <c r="M2359" s="6"/>
      <c r="N2359" s="6"/>
    </row>
    <row r="2360" spans="1:14" x14ac:dyDescent="0.3">
      <c r="A2360" s="92">
        <v>45652</v>
      </c>
      <c r="B2360" s="92" t="str">
        <f t="shared" si="144"/>
        <v>Thursday</v>
      </c>
      <c r="C2360" s="93" t="s">
        <v>1381</v>
      </c>
      <c r="D2360" s="93" t="s">
        <v>1060</v>
      </c>
      <c r="E2360" s="94">
        <v>21.06</v>
      </c>
      <c r="F2360" s="93" t="s">
        <v>33</v>
      </c>
      <c r="G2360" s="87">
        <f>Table1[[#This Row],[date]]</f>
        <v>45652</v>
      </c>
      <c r="H2360" s="94">
        <f>SUMIF($A$2:A5995,G2360,$E$2:E5995)</f>
        <v>56.819999999999993</v>
      </c>
      <c r="I2360" s="93" t="str">
        <f t="shared" si="145"/>
        <v>Thursday</v>
      </c>
      <c r="J2360" s="93" t="str">
        <f t="shared" si="146"/>
        <v>December</v>
      </c>
      <c r="K2360" s="93" t="str">
        <f t="shared" si="147"/>
        <v>2024</v>
      </c>
      <c r="L2360" s="6"/>
      <c r="M2360" s="6"/>
      <c r="N2360" s="6"/>
    </row>
    <row r="2361" spans="1:14" x14ac:dyDescent="0.3">
      <c r="A2361" s="87">
        <v>45653</v>
      </c>
      <c r="B2361" s="87" t="str">
        <f t="shared" si="144"/>
        <v>Friday</v>
      </c>
      <c r="C2361" s="88" t="s">
        <v>1381</v>
      </c>
      <c r="D2361" s="88" t="s">
        <v>1061</v>
      </c>
      <c r="E2361" s="89">
        <v>25.96</v>
      </c>
      <c r="F2361" s="88" t="s">
        <v>9</v>
      </c>
      <c r="G2361" s="87">
        <f>Table1[[#This Row],[date]]</f>
        <v>45653</v>
      </c>
      <c r="H2361" s="94">
        <f>SUMIF($A$2:A5996,G2361,$E$2:E5996)</f>
        <v>237.07999999999998</v>
      </c>
      <c r="I2361" s="93" t="str">
        <f t="shared" si="145"/>
        <v>Friday</v>
      </c>
      <c r="J2361" s="93" t="str">
        <f t="shared" si="146"/>
        <v>December</v>
      </c>
      <c r="K2361" s="93" t="str">
        <f t="shared" si="147"/>
        <v>2024</v>
      </c>
      <c r="L2361" s="6"/>
      <c r="M2361" s="6"/>
      <c r="N2361" s="6"/>
    </row>
    <row r="2362" spans="1:14" x14ac:dyDescent="0.3">
      <c r="A2362" s="92">
        <v>45653</v>
      </c>
      <c r="B2362" s="92" t="str">
        <f t="shared" si="144"/>
        <v>Friday</v>
      </c>
      <c r="C2362" s="93" t="s">
        <v>1381</v>
      </c>
      <c r="D2362" s="93" t="s">
        <v>1041</v>
      </c>
      <c r="E2362" s="94">
        <v>25.96</v>
      </c>
      <c r="F2362" s="93" t="s">
        <v>26</v>
      </c>
      <c r="G2362" s="87">
        <f>Table1[[#This Row],[date]]</f>
        <v>45653</v>
      </c>
      <c r="H2362" s="94">
        <f>SUMIF($A$2:A5997,G2362,$E$2:E5997)</f>
        <v>237.07999999999998</v>
      </c>
      <c r="I2362" s="93" t="str">
        <f t="shared" si="145"/>
        <v>Friday</v>
      </c>
      <c r="J2362" s="93" t="str">
        <f t="shared" si="146"/>
        <v>December</v>
      </c>
      <c r="K2362" s="93" t="str">
        <f t="shared" si="147"/>
        <v>2024</v>
      </c>
      <c r="L2362" s="6"/>
      <c r="M2362" s="6"/>
      <c r="N2362" s="6"/>
    </row>
    <row r="2363" spans="1:14" x14ac:dyDescent="0.3">
      <c r="A2363" s="87">
        <v>45653</v>
      </c>
      <c r="B2363" s="87" t="str">
        <f t="shared" si="144"/>
        <v>Friday</v>
      </c>
      <c r="C2363" s="88" t="s">
        <v>1381</v>
      </c>
      <c r="D2363" s="88" t="s">
        <v>153</v>
      </c>
      <c r="E2363" s="89">
        <v>25.96</v>
      </c>
      <c r="F2363" s="88" t="s">
        <v>26</v>
      </c>
      <c r="G2363" s="87">
        <f>Table1[[#This Row],[date]]</f>
        <v>45653</v>
      </c>
      <c r="H2363" s="94">
        <f>SUMIF($A$2:A5998,G2363,$E$2:E5998)</f>
        <v>237.07999999999998</v>
      </c>
      <c r="I2363" s="93" t="str">
        <f t="shared" si="145"/>
        <v>Friday</v>
      </c>
      <c r="J2363" s="93" t="str">
        <f t="shared" si="146"/>
        <v>December</v>
      </c>
      <c r="K2363" s="93" t="str">
        <f t="shared" si="147"/>
        <v>2024</v>
      </c>
      <c r="L2363" s="6"/>
      <c r="M2363" s="6"/>
      <c r="N2363" s="6"/>
    </row>
    <row r="2364" spans="1:14" x14ac:dyDescent="0.3">
      <c r="A2364" s="92">
        <v>45653</v>
      </c>
      <c r="B2364" s="92" t="str">
        <f t="shared" si="144"/>
        <v>Friday</v>
      </c>
      <c r="C2364" s="93" t="s">
        <v>1381</v>
      </c>
      <c r="D2364" s="93" t="s">
        <v>288</v>
      </c>
      <c r="E2364" s="94">
        <v>30.86</v>
      </c>
      <c r="F2364" s="93" t="s">
        <v>12</v>
      </c>
      <c r="G2364" s="87">
        <f>Table1[[#This Row],[date]]</f>
        <v>45653</v>
      </c>
      <c r="H2364" s="94">
        <f>SUMIF($A$2:A5999,G2364,$E$2:E5999)</f>
        <v>237.07999999999998</v>
      </c>
      <c r="I2364" s="93" t="str">
        <f t="shared" si="145"/>
        <v>Friday</v>
      </c>
      <c r="J2364" s="93" t="str">
        <f t="shared" si="146"/>
        <v>December</v>
      </c>
      <c r="K2364" s="93" t="str">
        <f t="shared" si="147"/>
        <v>2024</v>
      </c>
      <c r="L2364" s="6"/>
      <c r="M2364" s="6"/>
      <c r="N2364" s="6"/>
    </row>
    <row r="2365" spans="1:14" x14ac:dyDescent="0.3">
      <c r="A2365" s="87">
        <v>45653</v>
      </c>
      <c r="B2365" s="87" t="str">
        <f t="shared" si="144"/>
        <v>Friday</v>
      </c>
      <c r="C2365" s="88" t="s">
        <v>1381</v>
      </c>
      <c r="D2365" s="88" t="s">
        <v>1062</v>
      </c>
      <c r="E2365" s="89">
        <v>35.76</v>
      </c>
      <c r="F2365" s="88" t="s">
        <v>5</v>
      </c>
      <c r="G2365" s="87">
        <f>Table1[[#This Row],[date]]</f>
        <v>45653</v>
      </c>
      <c r="H2365" s="94">
        <f>SUMIF($A$2:A6000,G2365,$E$2:E6000)</f>
        <v>237.07999999999998</v>
      </c>
      <c r="I2365" s="93" t="str">
        <f t="shared" si="145"/>
        <v>Friday</v>
      </c>
      <c r="J2365" s="93" t="str">
        <f t="shared" si="146"/>
        <v>December</v>
      </c>
      <c r="K2365" s="93" t="str">
        <f t="shared" si="147"/>
        <v>2024</v>
      </c>
      <c r="L2365" s="6"/>
      <c r="M2365" s="6"/>
      <c r="N2365" s="6"/>
    </row>
    <row r="2366" spans="1:14" x14ac:dyDescent="0.3">
      <c r="A2366" s="92">
        <v>45653</v>
      </c>
      <c r="B2366" s="92" t="str">
        <f t="shared" si="144"/>
        <v>Friday</v>
      </c>
      <c r="C2366" s="93" t="s">
        <v>1381</v>
      </c>
      <c r="D2366" s="93" t="s">
        <v>1063</v>
      </c>
      <c r="E2366" s="94">
        <v>25.96</v>
      </c>
      <c r="F2366" s="93" t="s">
        <v>9</v>
      </c>
      <c r="G2366" s="87">
        <f>Table1[[#This Row],[date]]</f>
        <v>45653</v>
      </c>
      <c r="H2366" s="94">
        <f>SUMIF($A$2:A6001,G2366,$E$2:E6001)</f>
        <v>237.07999999999998</v>
      </c>
      <c r="I2366" s="93" t="str">
        <f t="shared" si="145"/>
        <v>Friday</v>
      </c>
      <c r="J2366" s="93" t="str">
        <f t="shared" si="146"/>
        <v>December</v>
      </c>
      <c r="K2366" s="93" t="str">
        <f t="shared" si="147"/>
        <v>2024</v>
      </c>
      <c r="L2366" s="6"/>
      <c r="M2366" s="6"/>
      <c r="N2366" s="6"/>
    </row>
    <row r="2367" spans="1:14" x14ac:dyDescent="0.3">
      <c r="A2367" s="87">
        <v>45653</v>
      </c>
      <c r="B2367" s="87" t="str">
        <f t="shared" si="144"/>
        <v>Friday</v>
      </c>
      <c r="C2367" s="88" t="s">
        <v>1381</v>
      </c>
      <c r="D2367" s="88" t="s">
        <v>1063</v>
      </c>
      <c r="E2367" s="89">
        <v>30.86</v>
      </c>
      <c r="F2367" s="88" t="s">
        <v>12</v>
      </c>
      <c r="G2367" s="87">
        <f>Table1[[#This Row],[date]]</f>
        <v>45653</v>
      </c>
      <c r="H2367" s="94">
        <f>SUMIF($A$2:A6002,G2367,$E$2:E6002)</f>
        <v>237.07999999999998</v>
      </c>
      <c r="I2367" s="93" t="str">
        <f t="shared" si="145"/>
        <v>Friday</v>
      </c>
      <c r="J2367" s="93" t="str">
        <f t="shared" si="146"/>
        <v>December</v>
      </c>
      <c r="K2367" s="93" t="str">
        <f t="shared" si="147"/>
        <v>2024</v>
      </c>
      <c r="L2367" s="6"/>
      <c r="M2367" s="6"/>
      <c r="N2367" s="6"/>
    </row>
    <row r="2368" spans="1:14" x14ac:dyDescent="0.3">
      <c r="A2368" s="92">
        <v>45653</v>
      </c>
      <c r="B2368" s="92" t="str">
        <f t="shared" si="144"/>
        <v>Friday</v>
      </c>
      <c r="C2368" s="93" t="s">
        <v>1381</v>
      </c>
      <c r="D2368" s="93" t="s">
        <v>713</v>
      </c>
      <c r="E2368" s="94">
        <v>35.76</v>
      </c>
      <c r="F2368" s="93" t="s">
        <v>16</v>
      </c>
      <c r="G2368" s="87">
        <f>Table1[[#This Row],[date]]</f>
        <v>45653</v>
      </c>
      <c r="H2368" s="94">
        <f>SUMIF($A$2:A6003,G2368,$E$2:E6003)</f>
        <v>237.07999999999998</v>
      </c>
      <c r="I2368" s="93" t="str">
        <f t="shared" si="145"/>
        <v>Friday</v>
      </c>
      <c r="J2368" s="93" t="str">
        <f t="shared" si="146"/>
        <v>December</v>
      </c>
      <c r="K2368" s="93" t="str">
        <f t="shared" si="147"/>
        <v>2024</v>
      </c>
      <c r="L2368" s="6"/>
      <c r="M2368" s="6"/>
      <c r="N2368" s="6"/>
    </row>
    <row r="2369" spans="1:14" x14ac:dyDescent="0.3">
      <c r="A2369" s="87">
        <v>45654</v>
      </c>
      <c r="B2369" s="87" t="str">
        <f t="shared" si="144"/>
        <v>Saturday</v>
      </c>
      <c r="C2369" s="88" t="s">
        <v>1381</v>
      </c>
      <c r="D2369" s="88" t="s">
        <v>1041</v>
      </c>
      <c r="E2369" s="89">
        <v>25.96</v>
      </c>
      <c r="F2369" s="88" t="s">
        <v>26</v>
      </c>
      <c r="G2369" s="87">
        <f>Table1[[#This Row],[date]]</f>
        <v>45654</v>
      </c>
      <c r="H2369" s="94">
        <f>SUMIF($A$2:A6004,G2369,$E$2:E6004)</f>
        <v>261.58</v>
      </c>
      <c r="I2369" s="93" t="str">
        <f t="shared" si="145"/>
        <v>Saturday</v>
      </c>
      <c r="J2369" s="93" t="str">
        <f t="shared" si="146"/>
        <v>December</v>
      </c>
      <c r="K2369" s="93" t="str">
        <f t="shared" si="147"/>
        <v>2024</v>
      </c>
      <c r="L2369" s="6"/>
      <c r="M2369" s="6"/>
      <c r="N2369" s="6"/>
    </row>
    <row r="2370" spans="1:14" x14ac:dyDescent="0.3">
      <c r="A2370" s="92">
        <v>45654</v>
      </c>
      <c r="B2370" s="92" t="str">
        <f t="shared" ref="B2370:B2433" si="148">TEXT(A2370,"dddd")</f>
        <v>Saturday</v>
      </c>
      <c r="C2370" s="93" t="s">
        <v>1381</v>
      </c>
      <c r="D2370" s="93" t="s">
        <v>153</v>
      </c>
      <c r="E2370" s="94">
        <v>25.96</v>
      </c>
      <c r="F2370" s="93" t="s">
        <v>26</v>
      </c>
      <c r="G2370" s="87">
        <f>Table1[[#This Row],[date]]</f>
        <v>45654</v>
      </c>
      <c r="H2370" s="94">
        <f>SUMIF($A$2:A6005,G2370,$E$2:E6005)</f>
        <v>261.58</v>
      </c>
      <c r="I2370" s="93" t="str">
        <f t="shared" si="145"/>
        <v>Saturday</v>
      </c>
      <c r="J2370" s="93" t="str">
        <f t="shared" si="146"/>
        <v>December</v>
      </c>
      <c r="K2370" s="93" t="str">
        <f t="shared" si="147"/>
        <v>2024</v>
      </c>
      <c r="L2370" s="6"/>
      <c r="M2370" s="6"/>
      <c r="N2370" s="6"/>
    </row>
    <row r="2371" spans="1:14" x14ac:dyDescent="0.3">
      <c r="A2371" s="87">
        <v>45654</v>
      </c>
      <c r="B2371" s="87" t="str">
        <f t="shared" si="148"/>
        <v>Saturday</v>
      </c>
      <c r="C2371" s="88" t="s">
        <v>1381</v>
      </c>
      <c r="D2371" s="88" t="s">
        <v>739</v>
      </c>
      <c r="E2371" s="89">
        <v>30.86</v>
      </c>
      <c r="F2371" s="88" t="s">
        <v>12</v>
      </c>
      <c r="G2371" s="87">
        <f>Table1[[#This Row],[date]]</f>
        <v>45654</v>
      </c>
      <c r="H2371" s="94">
        <f>SUMIF($A$2:A6006,G2371,$E$2:E6006)</f>
        <v>261.58</v>
      </c>
      <c r="I2371" s="93" t="str">
        <f t="shared" si="145"/>
        <v>Saturday</v>
      </c>
      <c r="J2371" s="93" t="str">
        <f t="shared" si="146"/>
        <v>December</v>
      </c>
      <c r="K2371" s="93" t="str">
        <f t="shared" si="147"/>
        <v>2024</v>
      </c>
      <c r="L2371" s="6"/>
      <c r="M2371" s="6"/>
      <c r="N2371" s="6"/>
    </row>
    <row r="2372" spans="1:14" x14ac:dyDescent="0.3">
      <c r="A2372" s="92">
        <v>45654</v>
      </c>
      <c r="B2372" s="92" t="str">
        <f t="shared" si="148"/>
        <v>Saturday</v>
      </c>
      <c r="C2372" s="93" t="s">
        <v>1381</v>
      </c>
      <c r="D2372" s="93" t="s">
        <v>582</v>
      </c>
      <c r="E2372" s="94">
        <v>35.76</v>
      </c>
      <c r="F2372" s="93" t="s">
        <v>5</v>
      </c>
      <c r="G2372" s="87">
        <f>Table1[[#This Row],[date]]</f>
        <v>45654</v>
      </c>
      <c r="H2372" s="94">
        <f>SUMIF($A$2:A6007,G2372,$E$2:E6007)</f>
        <v>261.58</v>
      </c>
      <c r="I2372" s="93" t="str">
        <f t="shared" si="145"/>
        <v>Saturday</v>
      </c>
      <c r="J2372" s="93" t="str">
        <f t="shared" si="146"/>
        <v>December</v>
      </c>
      <c r="K2372" s="93" t="str">
        <f t="shared" si="147"/>
        <v>2024</v>
      </c>
      <c r="L2372" s="6"/>
      <c r="M2372" s="6"/>
      <c r="N2372" s="6"/>
    </row>
    <row r="2373" spans="1:14" x14ac:dyDescent="0.3">
      <c r="A2373" s="87">
        <v>45654</v>
      </c>
      <c r="B2373" s="87" t="str">
        <f t="shared" si="148"/>
        <v>Saturday</v>
      </c>
      <c r="C2373" s="88" t="s">
        <v>1381</v>
      </c>
      <c r="D2373" s="88" t="s">
        <v>1064</v>
      </c>
      <c r="E2373" s="89">
        <v>35.76</v>
      </c>
      <c r="F2373" s="88" t="s">
        <v>41</v>
      </c>
      <c r="G2373" s="87">
        <f>Table1[[#This Row],[date]]</f>
        <v>45654</v>
      </c>
      <c r="H2373" s="94">
        <f>SUMIF($A$2:A6008,G2373,$E$2:E6008)</f>
        <v>261.58</v>
      </c>
      <c r="I2373" s="93" t="str">
        <f t="shared" si="145"/>
        <v>Saturday</v>
      </c>
      <c r="J2373" s="93" t="str">
        <f t="shared" si="146"/>
        <v>December</v>
      </c>
      <c r="K2373" s="93" t="str">
        <f t="shared" si="147"/>
        <v>2024</v>
      </c>
      <c r="L2373" s="6"/>
      <c r="M2373" s="6"/>
      <c r="N2373" s="6"/>
    </row>
    <row r="2374" spans="1:14" x14ac:dyDescent="0.3">
      <c r="A2374" s="92">
        <v>45654</v>
      </c>
      <c r="B2374" s="92" t="str">
        <f t="shared" si="148"/>
        <v>Saturday</v>
      </c>
      <c r="C2374" s="93" t="s">
        <v>1381</v>
      </c>
      <c r="D2374" s="93" t="s">
        <v>1065</v>
      </c>
      <c r="E2374" s="94">
        <v>35.76</v>
      </c>
      <c r="F2374" s="93" t="s">
        <v>7</v>
      </c>
      <c r="G2374" s="87">
        <f>Table1[[#This Row],[date]]</f>
        <v>45654</v>
      </c>
      <c r="H2374" s="94">
        <f>SUMIF($A$2:A6009,G2374,$E$2:E6009)</f>
        <v>261.58</v>
      </c>
      <c r="I2374" s="93" t="str">
        <f t="shared" ref="I2374:I2437" si="149">TEXT(G2374,"dddd")</f>
        <v>Saturday</v>
      </c>
      <c r="J2374" s="93" t="str">
        <f t="shared" si="146"/>
        <v>December</v>
      </c>
      <c r="K2374" s="93" t="str">
        <f t="shared" si="147"/>
        <v>2024</v>
      </c>
      <c r="L2374" s="6"/>
      <c r="M2374" s="6"/>
      <c r="N2374" s="6"/>
    </row>
    <row r="2375" spans="1:14" x14ac:dyDescent="0.3">
      <c r="A2375" s="87">
        <v>45654</v>
      </c>
      <c r="B2375" s="87" t="str">
        <f t="shared" si="148"/>
        <v>Saturday</v>
      </c>
      <c r="C2375" s="88" t="s">
        <v>1381</v>
      </c>
      <c r="D2375" s="88" t="s">
        <v>519</v>
      </c>
      <c r="E2375" s="89">
        <v>35.76</v>
      </c>
      <c r="F2375" s="88" t="s">
        <v>5</v>
      </c>
      <c r="G2375" s="87">
        <f>Table1[[#This Row],[date]]</f>
        <v>45654</v>
      </c>
      <c r="H2375" s="94">
        <f>SUMIF($A$2:A6010,G2375,$E$2:E6010)</f>
        <v>261.58</v>
      </c>
      <c r="I2375" s="93" t="str">
        <f t="shared" si="149"/>
        <v>Saturday</v>
      </c>
      <c r="J2375" s="93" t="str">
        <f t="shared" ref="J2375:J2438" si="150">TEXT(G2375,"mmmm")</f>
        <v>December</v>
      </c>
      <c r="K2375" s="93" t="str">
        <f t="shared" ref="K2375:K2438" si="151">TEXT(G2375,"yyyy")</f>
        <v>2024</v>
      </c>
      <c r="L2375" s="6"/>
      <c r="M2375" s="6"/>
      <c r="N2375" s="6"/>
    </row>
    <row r="2376" spans="1:14" x14ac:dyDescent="0.3">
      <c r="A2376" s="92">
        <v>45654</v>
      </c>
      <c r="B2376" s="92" t="str">
        <f t="shared" si="148"/>
        <v>Saturday</v>
      </c>
      <c r="C2376" s="93" t="s">
        <v>1381</v>
      </c>
      <c r="D2376" s="93" t="s">
        <v>1066</v>
      </c>
      <c r="E2376" s="94">
        <v>35.76</v>
      </c>
      <c r="F2376" s="93" t="s">
        <v>41</v>
      </c>
      <c r="G2376" s="87">
        <f>Table1[[#This Row],[date]]</f>
        <v>45654</v>
      </c>
      <c r="H2376" s="94">
        <f>SUMIF($A$2:A6011,G2376,$E$2:E6011)</f>
        <v>261.58</v>
      </c>
      <c r="I2376" s="93" t="str">
        <f t="shared" si="149"/>
        <v>Saturday</v>
      </c>
      <c r="J2376" s="93" t="str">
        <f t="shared" si="150"/>
        <v>December</v>
      </c>
      <c r="K2376" s="93" t="str">
        <f t="shared" si="151"/>
        <v>2024</v>
      </c>
      <c r="L2376" s="6"/>
      <c r="M2376" s="6"/>
      <c r="N2376" s="6"/>
    </row>
    <row r="2377" spans="1:14" x14ac:dyDescent="0.3">
      <c r="A2377" s="87">
        <v>45655</v>
      </c>
      <c r="B2377" s="87" t="str">
        <f t="shared" si="148"/>
        <v>Sunday</v>
      </c>
      <c r="C2377" s="88" t="s">
        <v>1381</v>
      </c>
      <c r="D2377" s="88" t="s">
        <v>1041</v>
      </c>
      <c r="E2377" s="89">
        <v>25.96</v>
      </c>
      <c r="F2377" s="88" t="s">
        <v>26</v>
      </c>
      <c r="G2377" s="87">
        <f>Table1[[#This Row],[date]]</f>
        <v>45655</v>
      </c>
      <c r="H2377" s="94">
        <f>SUMIF($A$2:A6012,G2377,$E$2:E6012)</f>
        <v>191.51999999999998</v>
      </c>
      <c r="I2377" s="93" t="str">
        <f t="shared" si="149"/>
        <v>Sunday</v>
      </c>
      <c r="J2377" s="93" t="str">
        <f t="shared" si="150"/>
        <v>December</v>
      </c>
      <c r="K2377" s="93" t="str">
        <f t="shared" si="151"/>
        <v>2024</v>
      </c>
      <c r="L2377" s="6"/>
      <c r="M2377" s="6"/>
      <c r="N2377" s="6"/>
    </row>
    <row r="2378" spans="1:14" x14ac:dyDescent="0.3">
      <c r="A2378" s="92">
        <v>45655</v>
      </c>
      <c r="B2378" s="92" t="str">
        <f t="shared" si="148"/>
        <v>Sunday</v>
      </c>
      <c r="C2378" s="93" t="s">
        <v>1381</v>
      </c>
      <c r="D2378" s="93" t="s">
        <v>1067</v>
      </c>
      <c r="E2378" s="94">
        <v>21.06</v>
      </c>
      <c r="F2378" s="93" t="s">
        <v>33</v>
      </c>
      <c r="G2378" s="87">
        <f>Table1[[#This Row],[date]]</f>
        <v>45655</v>
      </c>
      <c r="H2378" s="94">
        <f>SUMIF($A$2:A6013,G2378,$E$2:E6013)</f>
        <v>191.51999999999998</v>
      </c>
      <c r="I2378" s="93" t="str">
        <f t="shared" si="149"/>
        <v>Sunday</v>
      </c>
      <c r="J2378" s="93" t="str">
        <f t="shared" si="150"/>
        <v>December</v>
      </c>
      <c r="K2378" s="93" t="str">
        <f t="shared" si="151"/>
        <v>2024</v>
      </c>
      <c r="L2378" s="6"/>
      <c r="M2378" s="6"/>
      <c r="N2378" s="6"/>
    </row>
    <row r="2379" spans="1:14" x14ac:dyDescent="0.3">
      <c r="A2379" s="87">
        <v>45655</v>
      </c>
      <c r="B2379" s="87" t="str">
        <f t="shared" si="148"/>
        <v>Sunday</v>
      </c>
      <c r="C2379" s="88" t="s">
        <v>1381</v>
      </c>
      <c r="D2379" s="88" t="s">
        <v>1067</v>
      </c>
      <c r="E2379" s="89">
        <v>25.96</v>
      </c>
      <c r="F2379" s="88" t="s">
        <v>9</v>
      </c>
      <c r="G2379" s="87">
        <f>Table1[[#This Row],[date]]</f>
        <v>45655</v>
      </c>
      <c r="H2379" s="94">
        <f>SUMIF($A$2:A6014,G2379,$E$2:E6014)</f>
        <v>191.51999999999998</v>
      </c>
      <c r="I2379" s="93" t="str">
        <f t="shared" si="149"/>
        <v>Sunday</v>
      </c>
      <c r="J2379" s="93" t="str">
        <f t="shared" si="150"/>
        <v>December</v>
      </c>
      <c r="K2379" s="93" t="str">
        <f t="shared" si="151"/>
        <v>2024</v>
      </c>
      <c r="L2379" s="6"/>
      <c r="M2379" s="6"/>
      <c r="N2379" s="6"/>
    </row>
    <row r="2380" spans="1:14" x14ac:dyDescent="0.3">
      <c r="A2380" s="92">
        <v>45655</v>
      </c>
      <c r="B2380" s="92" t="str">
        <f t="shared" si="148"/>
        <v>Sunday</v>
      </c>
      <c r="C2380" s="93" t="s">
        <v>1381</v>
      </c>
      <c r="D2380" s="93" t="s">
        <v>1068</v>
      </c>
      <c r="E2380" s="94">
        <v>25.96</v>
      </c>
      <c r="F2380" s="93" t="s">
        <v>26</v>
      </c>
      <c r="G2380" s="87">
        <f>Table1[[#This Row],[date]]</f>
        <v>45655</v>
      </c>
      <c r="H2380" s="94">
        <f>SUMIF($A$2:A6015,G2380,$E$2:E6015)</f>
        <v>191.51999999999998</v>
      </c>
      <c r="I2380" s="93" t="str">
        <f t="shared" si="149"/>
        <v>Sunday</v>
      </c>
      <c r="J2380" s="93" t="str">
        <f t="shared" si="150"/>
        <v>December</v>
      </c>
      <c r="K2380" s="93" t="str">
        <f t="shared" si="151"/>
        <v>2024</v>
      </c>
      <c r="L2380" s="6"/>
      <c r="M2380" s="6"/>
      <c r="N2380" s="6"/>
    </row>
    <row r="2381" spans="1:14" x14ac:dyDescent="0.3">
      <c r="A2381" s="87">
        <v>45655</v>
      </c>
      <c r="B2381" s="87" t="str">
        <f t="shared" si="148"/>
        <v>Sunday</v>
      </c>
      <c r="C2381" s="88" t="s">
        <v>1381</v>
      </c>
      <c r="D2381" s="88" t="s">
        <v>1069</v>
      </c>
      <c r="E2381" s="89">
        <v>21.06</v>
      </c>
      <c r="F2381" s="88" t="s">
        <v>33</v>
      </c>
      <c r="G2381" s="87">
        <f>Table1[[#This Row],[date]]</f>
        <v>45655</v>
      </c>
      <c r="H2381" s="94">
        <f>SUMIF($A$2:A6016,G2381,$E$2:E6016)</f>
        <v>191.51999999999998</v>
      </c>
      <c r="I2381" s="93" t="str">
        <f t="shared" si="149"/>
        <v>Sunday</v>
      </c>
      <c r="J2381" s="93" t="str">
        <f t="shared" si="150"/>
        <v>December</v>
      </c>
      <c r="K2381" s="93" t="str">
        <f t="shared" si="151"/>
        <v>2024</v>
      </c>
      <c r="L2381" s="6"/>
      <c r="M2381" s="6"/>
      <c r="N2381" s="6"/>
    </row>
    <row r="2382" spans="1:14" x14ac:dyDescent="0.3">
      <c r="A2382" s="87">
        <v>45655</v>
      </c>
      <c r="B2382" s="87" t="str">
        <f t="shared" si="148"/>
        <v>Sunday</v>
      </c>
      <c r="C2382" s="88" t="s">
        <v>1381</v>
      </c>
      <c r="D2382" s="88" t="s">
        <v>1070</v>
      </c>
      <c r="E2382" s="89">
        <v>35.76</v>
      </c>
      <c r="F2382" s="88" t="s">
        <v>7</v>
      </c>
      <c r="G2382" s="87">
        <f>Table1[[#This Row],[date]]</f>
        <v>45655</v>
      </c>
      <c r="H2382" s="94">
        <f>SUMIF($A$2:A6017,G2382,$E$2:E6017)</f>
        <v>191.51999999999998</v>
      </c>
      <c r="I2382" s="93" t="str">
        <f t="shared" si="149"/>
        <v>Sunday</v>
      </c>
      <c r="J2382" s="93" t="str">
        <f t="shared" si="150"/>
        <v>December</v>
      </c>
      <c r="K2382" s="93" t="str">
        <f t="shared" si="151"/>
        <v>2024</v>
      </c>
      <c r="L2382" s="6"/>
      <c r="M2382" s="6"/>
      <c r="N2382" s="6"/>
    </row>
    <row r="2383" spans="1:14" x14ac:dyDescent="0.3">
      <c r="A2383" s="92">
        <v>45655</v>
      </c>
      <c r="B2383" s="92" t="str">
        <f t="shared" si="148"/>
        <v>Sunday</v>
      </c>
      <c r="C2383" s="93" t="s">
        <v>1381</v>
      </c>
      <c r="D2383" s="93" t="s">
        <v>741</v>
      </c>
      <c r="E2383" s="94">
        <v>35.76</v>
      </c>
      <c r="F2383" s="93" t="s">
        <v>5</v>
      </c>
      <c r="G2383" s="87">
        <f>Table1[[#This Row],[date]]</f>
        <v>45655</v>
      </c>
      <c r="H2383" s="94">
        <f>SUMIF($A$2:A6018,G2383,$E$2:E6018)</f>
        <v>191.51999999999998</v>
      </c>
      <c r="I2383" s="93" t="str">
        <f t="shared" si="149"/>
        <v>Sunday</v>
      </c>
      <c r="J2383" s="93" t="str">
        <f t="shared" si="150"/>
        <v>December</v>
      </c>
      <c r="K2383" s="93" t="str">
        <f t="shared" si="151"/>
        <v>2024</v>
      </c>
      <c r="L2383" s="6"/>
      <c r="M2383" s="6"/>
      <c r="N2383" s="6"/>
    </row>
    <row r="2384" spans="1:14" x14ac:dyDescent="0.3">
      <c r="A2384" s="87">
        <v>45656</v>
      </c>
      <c r="B2384" s="87" t="str">
        <f t="shared" si="148"/>
        <v>Monday</v>
      </c>
      <c r="C2384" s="88" t="s">
        <v>1381</v>
      </c>
      <c r="D2384" s="88" t="s">
        <v>1041</v>
      </c>
      <c r="E2384" s="89">
        <v>25.96</v>
      </c>
      <c r="F2384" s="88" t="s">
        <v>26</v>
      </c>
      <c r="G2384" s="87">
        <f>Table1[[#This Row],[date]]</f>
        <v>45656</v>
      </c>
      <c r="H2384" s="94">
        <f>SUMIF($A$2:A6019,G2384,$E$2:E6019)</f>
        <v>287.54000000000002</v>
      </c>
      <c r="I2384" s="93" t="str">
        <f t="shared" si="149"/>
        <v>Monday</v>
      </c>
      <c r="J2384" s="93" t="str">
        <f t="shared" si="150"/>
        <v>December</v>
      </c>
      <c r="K2384" s="93" t="str">
        <f t="shared" si="151"/>
        <v>2024</v>
      </c>
      <c r="L2384" s="6"/>
      <c r="M2384" s="6"/>
      <c r="N2384" s="6"/>
    </row>
    <row r="2385" spans="1:14" x14ac:dyDescent="0.3">
      <c r="A2385" s="92">
        <v>45656</v>
      </c>
      <c r="B2385" s="92" t="str">
        <f t="shared" si="148"/>
        <v>Monday</v>
      </c>
      <c r="C2385" s="93" t="s">
        <v>1381</v>
      </c>
      <c r="D2385" s="93" t="s">
        <v>288</v>
      </c>
      <c r="E2385" s="94">
        <v>30.86</v>
      </c>
      <c r="F2385" s="93" t="s">
        <v>12</v>
      </c>
      <c r="G2385" s="87">
        <f>Table1[[#This Row],[date]]</f>
        <v>45656</v>
      </c>
      <c r="H2385" s="94">
        <f>SUMIF($A$2:A6020,G2385,$E$2:E6020)</f>
        <v>287.54000000000002</v>
      </c>
      <c r="I2385" s="93" t="str">
        <f t="shared" si="149"/>
        <v>Monday</v>
      </c>
      <c r="J2385" s="93" t="str">
        <f t="shared" si="150"/>
        <v>December</v>
      </c>
      <c r="K2385" s="93" t="str">
        <f t="shared" si="151"/>
        <v>2024</v>
      </c>
      <c r="L2385" s="6"/>
      <c r="M2385" s="6"/>
      <c r="N2385" s="6"/>
    </row>
    <row r="2386" spans="1:14" x14ac:dyDescent="0.3">
      <c r="A2386" s="87">
        <v>45656</v>
      </c>
      <c r="B2386" s="87" t="str">
        <f t="shared" si="148"/>
        <v>Monday</v>
      </c>
      <c r="C2386" s="88" t="s">
        <v>1381</v>
      </c>
      <c r="D2386" s="88" t="s">
        <v>1071</v>
      </c>
      <c r="E2386" s="89">
        <v>35.76</v>
      </c>
      <c r="F2386" s="88" t="s">
        <v>5</v>
      </c>
      <c r="G2386" s="87">
        <f>Table1[[#This Row],[date]]</f>
        <v>45656</v>
      </c>
      <c r="H2386" s="94">
        <f>SUMIF($A$2:A6021,G2386,$E$2:E6021)</f>
        <v>287.54000000000002</v>
      </c>
      <c r="I2386" s="93" t="str">
        <f t="shared" si="149"/>
        <v>Monday</v>
      </c>
      <c r="J2386" s="93" t="str">
        <f t="shared" si="150"/>
        <v>December</v>
      </c>
      <c r="K2386" s="93" t="str">
        <f t="shared" si="151"/>
        <v>2024</v>
      </c>
      <c r="L2386" s="6"/>
      <c r="M2386" s="6"/>
      <c r="N2386" s="6"/>
    </row>
    <row r="2387" spans="1:14" x14ac:dyDescent="0.3">
      <c r="A2387" s="92">
        <v>45656</v>
      </c>
      <c r="B2387" s="92" t="str">
        <f t="shared" si="148"/>
        <v>Monday</v>
      </c>
      <c r="C2387" s="93" t="s">
        <v>1381</v>
      </c>
      <c r="D2387" s="93" t="s">
        <v>1071</v>
      </c>
      <c r="E2387" s="94">
        <v>35.76</v>
      </c>
      <c r="F2387" s="93" t="s">
        <v>7</v>
      </c>
      <c r="G2387" s="87">
        <f>Table1[[#This Row],[date]]</f>
        <v>45656</v>
      </c>
      <c r="H2387" s="94">
        <f>SUMIF($A$2:A6022,G2387,$E$2:E6022)</f>
        <v>287.54000000000002</v>
      </c>
      <c r="I2387" s="93" t="str">
        <f t="shared" si="149"/>
        <v>Monday</v>
      </c>
      <c r="J2387" s="93" t="str">
        <f t="shared" si="150"/>
        <v>December</v>
      </c>
      <c r="K2387" s="93" t="str">
        <f t="shared" si="151"/>
        <v>2024</v>
      </c>
      <c r="L2387" s="6"/>
      <c r="M2387" s="6"/>
      <c r="N2387" s="6"/>
    </row>
    <row r="2388" spans="1:14" x14ac:dyDescent="0.3">
      <c r="A2388" s="87">
        <v>45656</v>
      </c>
      <c r="B2388" s="87" t="str">
        <f t="shared" si="148"/>
        <v>Monday</v>
      </c>
      <c r="C2388" s="88" t="s">
        <v>1381</v>
      </c>
      <c r="D2388" s="88" t="s">
        <v>932</v>
      </c>
      <c r="E2388" s="89">
        <v>35.76</v>
      </c>
      <c r="F2388" s="88" t="s">
        <v>5</v>
      </c>
      <c r="G2388" s="87">
        <f>Table1[[#This Row],[date]]</f>
        <v>45656</v>
      </c>
      <c r="H2388" s="94">
        <f>SUMIF($A$2:A6023,G2388,$E$2:E6023)</f>
        <v>287.54000000000002</v>
      </c>
      <c r="I2388" s="93" t="str">
        <f t="shared" si="149"/>
        <v>Monday</v>
      </c>
      <c r="J2388" s="93" t="str">
        <f t="shared" si="150"/>
        <v>December</v>
      </c>
      <c r="K2388" s="93" t="str">
        <f t="shared" si="151"/>
        <v>2024</v>
      </c>
      <c r="L2388" s="6"/>
      <c r="M2388" s="6"/>
      <c r="N2388" s="6"/>
    </row>
    <row r="2389" spans="1:14" x14ac:dyDescent="0.3">
      <c r="A2389" s="92">
        <v>45656</v>
      </c>
      <c r="B2389" s="92" t="str">
        <f t="shared" si="148"/>
        <v>Monday</v>
      </c>
      <c r="C2389" s="93" t="s">
        <v>1381</v>
      </c>
      <c r="D2389" s="93" t="s">
        <v>932</v>
      </c>
      <c r="E2389" s="94">
        <v>30.86</v>
      </c>
      <c r="F2389" s="93" t="s">
        <v>12</v>
      </c>
      <c r="G2389" s="87">
        <f>Table1[[#This Row],[date]]</f>
        <v>45656</v>
      </c>
      <c r="H2389" s="94">
        <f>SUMIF($A$2:A6024,G2389,$E$2:E6024)</f>
        <v>287.54000000000002</v>
      </c>
      <c r="I2389" s="93" t="str">
        <f t="shared" si="149"/>
        <v>Monday</v>
      </c>
      <c r="J2389" s="93" t="str">
        <f t="shared" si="150"/>
        <v>December</v>
      </c>
      <c r="K2389" s="93" t="str">
        <f t="shared" si="151"/>
        <v>2024</v>
      </c>
      <c r="L2389" s="6"/>
      <c r="M2389" s="6"/>
      <c r="N2389" s="6"/>
    </row>
    <row r="2390" spans="1:14" x14ac:dyDescent="0.3">
      <c r="A2390" s="87">
        <v>45656</v>
      </c>
      <c r="B2390" s="87" t="str">
        <f t="shared" si="148"/>
        <v>Monday</v>
      </c>
      <c r="C2390" s="88" t="s">
        <v>1381</v>
      </c>
      <c r="D2390" s="88" t="s">
        <v>1015</v>
      </c>
      <c r="E2390" s="89">
        <v>30.86</v>
      </c>
      <c r="F2390" s="88" t="s">
        <v>12</v>
      </c>
      <c r="G2390" s="87">
        <f>Table1[[#This Row],[date]]</f>
        <v>45656</v>
      </c>
      <c r="H2390" s="94">
        <f>SUMIF($A$2:A6025,G2390,$E$2:E6025)</f>
        <v>287.54000000000002</v>
      </c>
      <c r="I2390" s="93" t="str">
        <f t="shared" si="149"/>
        <v>Monday</v>
      </c>
      <c r="J2390" s="93" t="str">
        <f t="shared" si="150"/>
        <v>December</v>
      </c>
      <c r="K2390" s="93" t="str">
        <f t="shared" si="151"/>
        <v>2024</v>
      </c>
      <c r="L2390" s="6"/>
      <c r="M2390" s="6"/>
      <c r="N2390" s="6"/>
    </row>
    <row r="2391" spans="1:14" x14ac:dyDescent="0.3">
      <c r="A2391" s="92">
        <v>45656</v>
      </c>
      <c r="B2391" s="92" t="str">
        <f t="shared" si="148"/>
        <v>Monday</v>
      </c>
      <c r="C2391" s="93" t="s">
        <v>1381</v>
      </c>
      <c r="D2391" s="93" t="s">
        <v>1072</v>
      </c>
      <c r="E2391" s="94">
        <v>25.96</v>
      </c>
      <c r="F2391" s="93" t="s">
        <v>9</v>
      </c>
      <c r="G2391" s="87">
        <f>Table1[[#This Row],[date]]</f>
        <v>45656</v>
      </c>
      <c r="H2391" s="94">
        <f>SUMIF($A$2:A6026,G2391,$E$2:E6026)</f>
        <v>287.54000000000002</v>
      </c>
      <c r="I2391" s="93" t="str">
        <f t="shared" si="149"/>
        <v>Monday</v>
      </c>
      <c r="J2391" s="93" t="str">
        <f t="shared" si="150"/>
        <v>December</v>
      </c>
      <c r="K2391" s="93" t="str">
        <f t="shared" si="151"/>
        <v>2024</v>
      </c>
      <c r="L2391" s="6"/>
      <c r="M2391" s="6"/>
      <c r="N2391" s="6"/>
    </row>
    <row r="2392" spans="1:14" x14ac:dyDescent="0.3">
      <c r="A2392" s="87">
        <v>45656</v>
      </c>
      <c r="B2392" s="87" t="str">
        <f t="shared" si="148"/>
        <v>Monday</v>
      </c>
      <c r="C2392" s="88" t="s">
        <v>1381</v>
      </c>
      <c r="D2392" s="88" t="s">
        <v>898</v>
      </c>
      <c r="E2392" s="89">
        <v>35.76</v>
      </c>
      <c r="F2392" s="88" t="s">
        <v>41</v>
      </c>
      <c r="G2392" s="87">
        <f>Table1[[#This Row],[date]]</f>
        <v>45656</v>
      </c>
      <c r="H2392" s="94">
        <f>SUMIF($A$2:A6027,G2392,$E$2:E6027)</f>
        <v>287.54000000000002</v>
      </c>
      <c r="I2392" s="93" t="str">
        <f t="shared" si="149"/>
        <v>Monday</v>
      </c>
      <c r="J2392" s="93" t="str">
        <f t="shared" si="150"/>
        <v>December</v>
      </c>
      <c r="K2392" s="93" t="str">
        <f t="shared" si="151"/>
        <v>2024</v>
      </c>
      <c r="L2392" s="6"/>
      <c r="M2392" s="6"/>
      <c r="N2392" s="6"/>
    </row>
    <row r="2393" spans="1:14" x14ac:dyDescent="0.3">
      <c r="A2393" s="92">
        <v>45657</v>
      </c>
      <c r="B2393" s="92" t="str">
        <f t="shared" si="148"/>
        <v>Tuesday</v>
      </c>
      <c r="C2393" s="93" t="s">
        <v>1381</v>
      </c>
      <c r="D2393" s="93" t="s">
        <v>1041</v>
      </c>
      <c r="E2393" s="94">
        <v>25.96</v>
      </c>
      <c r="F2393" s="93" t="s">
        <v>26</v>
      </c>
      <c r="G2393" s="87">
        <f>Table1[[#This Row],[date]]</f>
        <v>45657</v>
      </c>
      <c r="H2393" s="94">
        <f>SUMIF($A$2:A6028,G2393,$E$2:E6028)</f>
        <v>477.59999999999997</v>
      </c>
      <c r="I2393" s="93" t="str">
        <f t="shared" si="149"/>
        <v>Tuesday</v>
      </c>
      <c r="J2393" s="93" t="str">
        <f t="shared" si="150"/>
        <v>December</v>
      </c>
      <c r="K2393" s="93" t="str">
        <f t="shared" si="151"/>
        <v>2024</v>
      </c>
      <c r="L2393" s="6"/>
      <c r="M2393" s="6"/>
      <c r="N2393" s="6"/>
    </row>
    <row r="2394" spans="1:14" x14ac:dyDescent="0.3">
      <c r="A2394" s="87">
        <v>45657</v>
      </c>
      <c r="B2394" s="87" t="str">
        <f t="shared" si="148"/>
        <v>Tuesday</v>
      </c>
      <c r="C2394" s="88" t="s">
        <v>1381</v>
      </c>
      <c r="D2394" s="88" t="s">
        <v>1046</v>
      </c>
      <c r="E2394" s="89">
        <v>35.76</v>
      </c>
      <c r="F2394" s="88" t="s">
        <v>41</v>
      </c>
      <c r="G2394" s="87">
        <f>Table1[[#This Row],[date]]</f>
        <v>45657</v>
      </c>
      <c r="H2394" s="94">
        <f>SUMIF($A$2:A6029,G2394,$E$2:E6029)</f>
        <v>477.59999999999997</v>
      </c>
      <c r="I2394" s="93" t="str">
        <f t="shared" si="149"/>
        <v>Tuesday</v>
      </c>
      <c r="J2394" s="93" t="str">
        <f t="shared" si="150"/>
        <v>December</v>
      </c>
      <c r="K2394" s="93" t="str">
        <f t="shared" si="151"/>
        <v>2024</v>
      </c>
      <c r="L2394" s="6"/>
      <c r="M2394" s="6"/>
      <c r="N2394" s="6"/>
    </row>
    <row r="2395" spans="1:14" x14ac:dyDescent="0.3">
      <c r="A2395" s="92">
        <v>45657</v>
      </c>
      <c r="B2395" s="92" t="str">
        <f t="shared" si="148"/>
        <v>Tuesday</v>
      </c>
      <c r="C2395" s="93" t="s">
        <v>1381</v>
      </c>
      <c r="D2395" s="93" t="s">
        <v>1046</v>
      </c>
      <c r="E2395" s="94">
        <v>25.96</v>
      </c>
      <c r="F2395" s="93" t="s">
        <v>26</v>
      </c>
      <c r="G2395" s="87">
        <f>Table1[[#This Row],[date]]</f>
        <v>45657</v>
      </c>
      <c r="H2395" s="94">
        <f>SUMIF($A$2:A6030,G2395,$E$2:E6030)</f>
        <v>477.59999999999997</v>
      </c>
      <c r="I2395" s="93" t="str">
        <f t="shared" si="149"/>
        <v>Tuesday</v>
      </c>
      <c r="J2395" s="93" t="str">
        <f t="shared" si="150"/>
        <v>December</v>
      </c>
      <c r="K2395" s="93" t="str">
        <f t="shared" si="151"/>
        <v>2024</v>
      </c>
      <c r="L2395" s="6"/>
      <c r="M2395" s="6"/>
      <c r="N2395" s="6"/>
    </row>
    <row r="2396" spans="1:14" x14ac:dyDescent="0.3">
      <c r="A2396" s="87">
        <v>45657</v>
      </c>
      <c r="B2396" s="87" t="str">
        <f t="shared" si="148"/>
        <v>Tuesday</v>
      </c>
      <c r="C2396" s="88" t="s">
        <v>1381</v>
      </c>
      <c r="D2396" s="88" t="s">
        <v>1073</v>
      </c>
      <c r="E2396" s="89">
        <v>35.76</v>
      </c>
      <c r="F2396" s="88" t="s">
        <v>16</v>
      </c>
      <c r="G2396" s="87">
        <f>Table1[[#This Row],[date]]</f>
        <v>45657</v>
      </c>
      <c r="H2396" s="94">
        <f>SUMIF($A$2:A6031,G2396,$E$2:E6031)</f>
        <v>477.59999999999997</v>
      </c>
      <c r="I2396" s="93" t="str">
        <f t="shared" si="149"/>
        <v>Tuesday</v>
      </c>
      <c r="J2396" s="93" t="str">
        <f t="shared" si="150"/>
        <v>December</v>
      </c>
      <c r="K2396" s="93" t="str">
        <f t="shared" si="151"/>
        <v>2024</v>
      </c>
      <c r="L2396" s="6"/>
      <c r="M2396" s="6"/>
      <c r="N2396" s="6"/>
    </row>
    <row r="2397" spans="1:14" x14ac:dyDescent="0.3">
      <c r="A2397" s="92">
        <v>45657</v>
      </c>
      <c r="B2397" s="92" t="str">
        <f t="shared" si="148"/>
        <v>Tuesday</v>
      </c>
      <c r="C2397" s="93" t="s">
        <v>1381</v>
      </c>
      <c r="D2397" s="93" t="s">
        <v>1074</v>
      </c>
      <c r="E2397" s="94">
        <v>30.86</v>
      </c>
      <c r="F2397" s="93" t="s">
        <v>12</v>
      </c>
      <c r="G2397" s="87">
        <f>Table1[[#This Row],[date]]</f>
        <v>45657</v>
      </c>
      <c r="H2397" s="94">
        <f>SUMIF($A$2:A6032,G2397,$E$2:E6032)</f>
        <v>477.59999999999997</v>
      </c>
      <c r="I2397" s="93" t="str">
        <f t="shared" si="149"/>
        <v>Tuesday</v>
      </c>
      <c r="J2397" s="93" t="str">
        <f t="shared" si="150"/>
        <v>December</v>
      </c>
      <c r="K2397" s="93" t="str">
        <f t="shared" si="151"/>
        <v>2024</v>
      </c>
      <c r="L2397" s="6"/>
      <c r="M2397" s="6"/>
      <c r="N2397" s="6"/>
    </row>
    <row r="2398" spans="1:14" x14ac:dyDescent="0.3">
      <c r="A2398" s="92">
        <v>45657</v>
      </c>
      <c r="B2398" s="92" t="str">
        <f t="shared" si="148"/>
        <v>Tuesday</v>
      </c>
      <c r="C2398" s="93" t="s">
        <v>1381</v>
      </c>
      <c r="D2398" s="93" t="s">
        <v>207</v>
      </c>
      <c r="E2398" s="94">
        <v>35.76</v>
      </c>
      <c r="F2398" s="93" t="s">
        <v>41</v>
      </c>
      <c r="G2398" s="87">
        <f>Table1[[#This Row],[date]]</f>
        <v>45657</v>
      </c>
      <c r="H2398" s="94">
        <f>SUMIF($A$2:A6033,G2398,$E$2:E6033)</f>
        <v>477.59999999999997</v>
      </c>
      <c r="I2398" s="93" t="str">
        <f t="shared" si="149"/>
        <v>Tuesday</v>
      </c>
      <c r="J2398" s="93" t="str">
        <f t="shared" si="150"/>
        <v>December</v>
      </c>
      <c r="K2398" s="93" t="str">
        <f t="shared" si="151"/>
        <v>2024</v>
      </c>
      <c r="L2398" s="6"/>
      <c r="M2398" s="6"/>
      <c r="N2398" s="6"/>
    </row>
    <row r="2399" spans="1:14" x14ac:dyDescent="0.3">
      <c r="A2399" s="87">
        <v>45657</v>
      </c>
      <c r="B2399" s="87" t="str">
        <f t="shared" si="148"/>
        <v>Tuesday</v>
      </c>
      <c r="C2399" s="88" t="s">
        <v>1381</v>
      </c>
      <c r="D2399" s="88" t="s">
        <v>207</v>
      </c>
      <c r="E2399" s="89">
        <v>30.86</v>
      </c>
      <c r="F2399" s="88" t="s">
        <v>12</v>
      </c>
      <c r="G2399" s="87">
        <f>Table1[[#This Row],[date]]</f>
        <v>45657</v>
      </c>
      <c r="H2399" s="94">
        <f>SUMIF($A$2:A6034,G2399,$E$2:E6034)</f>
        <v>477.59999999999997</v>
      </c>
      <c r="I2399" s="93" t="str">
        <f t="shared" si="149"/>
        <v>Tuesday</v>
      </c>
      <c r="J2399" s="93" t="str">
        <f t="shared" si="150"/>
        <v>December</v>
      </c>
      <c r="K2399" s="93" t="str">
        <f t="shared" si="151"/>
        <v>2024</v>
      </c>
      <c r="L2399" s="6"/>
      <c r="M2399" s="6"/>
      <c r="N2399" s="6"/>
    </row>
    <row r="2400" spans="1:14" x14ac:dyDescent="0.3">
      <c r="A2400" s="92">
        <v>45657</v>
      </c>
      <c r="B2400" s="92" t="str">
        <f t="shared" si="148"/>
        <v>Tuesday</v>
      </c>
      <c r="C2400" s="93" t="s">
        <v>1381</v>
      </c>
      <c r="D2400" s="93" t="s">
        <v>21</v>
      </c>
      <c r="E2400" s="94">
        <v>21.06</v>
      </c>
      <c r="F2400" s="93" t="s">
        <v>33</v>
      </c>
      <c r="G2400" s="87">
        <f>Table1[[#This Row],[date]]</f>
        <v>45657</v>
      </c>
      <c r="H2400" s="94">
        <f>SUMIF($A$2:A6035,G2400,$E$2:E6035)</f>
        <v>477.59999999999997</v>
      </c>
      <c r="I2400" s="93" t="str">
        <f t="shared" si="149"/>
        <v>Tuesday</v>
      </c>
      <c r="J2400" s="93" t="str">
        <f t="shared" si="150"/>
        <v>December</v>
      </c>
      <c r="K2400" s="93" t="str">
        <f t="shared" si="151"/>
        <v>2024</v>
      </c>
      <c r="L2400" s="6"/>
      <c r="M2400" s="6"/>
      <c r="N2400" s="6"/>
    </row>
    <row r="2401" spans="1:14" x14ac:dyDescent="0.3">
      <c r="A2401" s="87">
        <v>45657</v>
      </c>
      <c r="B2401" s="87" t="str">
        <f t="shared" si="148"/>
        <v>Tuesday</v>
      </c>
      <c r="C2401" s="88" t="s">
        <v>1381</v>
      </c>
      <c r="D2401" s="88" t="s">
        <v>21</v>
      </c>
      <c r="E2401" s="89">
        <v>25.96</v>
      </c>
      <c r="F2401" s="88" t="s">
        <v>9</v>
      </c>
      <c r="G2401" s="87">
        <f>Table1[[#This Row],[date]]</f>
        <v>45657</v>
      </c>
      <c r="H2401" s="94">
        <f>SUMIF($A$2:A6036,G2401,$E$2:E6036)</f>
        <v>477.59999999999997</v>
      </c>
      <c r="I2401" s="93" t="str">
        <f t="shared" si="149"/>
        <v>Tuesday</v>
      </c>
      <c r="J2401" s="93" t="str">
        <f t="shared" si="150"/>
        <v>December</v>
      </c>
      <c r="K2401" s="93" t="str">
        <f t="shared" si="151"/>
        <v>2024</v>
      </c>
      <c r="L2401" s="6"/>
      <c r="M2401" s="6"/>
      <c r="N2401" s="6"/>
    </row>
    <row r="2402" spans="1:14" x14ac:dyDescent="0.3">
      <c r="A2402" s="92">
        <v>45657</v>
      </c>
      <c r="B2402" s="92" t="str">
        <f t="shared" si="148"/>
        <v>Tuesday</v>
      </c>
      <c r="C2402" s="93" t="s">
        <v>1381</v>
      </c>
      <c r="D2402" s="93" t="s">
        <v>1075</v>
      </c>
      <c r="E2402" s="94">
        <v>35.76</v>
      </c>
      <c r="F2402" s="93" t="s">
        <v>41</v>
      </c>
      <c r="G2402" s="87">
        <f>Table1[[#This Row],[date]]</f>
        <v>45657</v>
      </c>
      <c r="H2402" s="94">
        <f>SUMIF($A$2:A6037,G2402,$E$2:E6037)</f>
        <v>477.59999999999997</v>
      </c>
      <c r="I2402" s="93" t="str">
        <f t="shared" si="149"/>
        <v>Tuesday</v>
      </c>
      <c r="J2402" s="93" t="str">
        <f t="shared" si="150"/>
        <v>December</v>
      </c>
      <c r="K2402" s="93" t="str">
        <f t="shared" si="151"/>
        <v>2024</v>
      </c>
      <c r="L2402" s="6"/>
      <c r="M2402" s="6"/>
      <c r="N2402" s="6"/>
    </row>
    <row r="2403" spans="1:14" x14ac:dyDescent="0.3">
      <c r="A2403" s="87">
        <v>45657</v>
      </c>
      <c r="B2403" s="87" t="str">
        <f t="shared" si="148"/>
        <v>Tuesday</v>
      </c>
      <c r="C2403" s="88" t="s">
        <v>1381</v>
      </c>
      <c r="D2403" s="88" t="s">
        <v>537</v>
      </c>
      <c r="E2403" s="89">
        <v>35.76</v>
      </c>
      <c r="F2403" s="88" t="s">
        <v>5</v>
      </c>
      <c r="G2403" s="87">
        <f>Table1[[#This Row],[date]]</f>
        <v>45657</v>
      </c>
      <c r="H2403" s="94">
        <f>SUMIF($A$2:A6038,G2403,$E$2:E6038)</f>
        <v>477.59999999999997</v>
      </c>
      <c r="I2403" s="93" t="str">
        <f t="shared" si="149"/>
        <v>Tuesday</v>
      </c>
      <c r="J2403" s="93" t="str">
        <f t="shared" si="150"/>
        <v>December</v>
      </c>
      <c r="K2403" s="93" t="str">
        <f t="shared" si="151"/>
        <v>2024</v>
      </c>
      <c r="L2403" s="6"/>
      <c r="M2403" s="6"/>
      <c r="N2403" s="6"/>
    </row>
    <row r="2404" spans="1:14" x14ac:dyDescent="0.3">
      <c r="A2404" s="92">
        <v>45657</v>
      </c>
      <c r="B2404" s="92" t="str">
        <f t="shared" si="148"/>
        <v>Tuesday</v>
      </c>
      <c r="C2404" s="93" t="s">
        <v>1381</v>
      </c>
      <c r="D2404" s="93" t="s">
        <v>1076</v>
      </c>
      <c r="E2404" s="94">
        <v>30.86</v>
      </c>
      <c r="F2404" s="93" t="s">
        <v>12</v>
      </c>
      <c r="G2404" s="87">
        <f>Table1[[#This Row],[date]]</f>
        <v>45657</v>
      </c>
      <c r="H2404" s="94">
        <f>SUMIF($A$2:A6039,G2404,$E$2:E6039)</f>
        <v>477.59999999999997</v>
      </c>
      <c r="I2404" s="93" t="str">
        <f t="shared" si="149"/>
        <v>Tuesday</v>
      </c>
      <c r="J2404" s="93" t="str">
        <f t="shared" si="150"/>
        <v>December</v>
      </c>
      <c r="K2404" s="93" t="str">
        <f t="shared" si="151"/>
        <v>2024</v>
      </c>
      <c r="L2404" s="6"/>
      <c r="M2404" s="6"/>
      <c r="N2404" s="6"/>
    </row>
    <row r="2405" spans="1:14" x14ac:dyDescent="0.3">
      <c r="A2405" s="87">
        <v>45657</v>
      </c>
      <c r="B2405" s="87" t="str">
        <f t="shared" si="148"/>
        <v>Tuesday</v>
      </c>
      <c r="C2405" s="88" t="s">
        <v>1381</v>
      </c>
      <c r="D2405" s="88" t="s">
        <v>1077</v>
      </c>
      <c r="E2405" s="89">
        <v>35.76</v>
      </c>
      <c r="F2405" s="88" t="s">
        <v>41</v>
      </c>
      <c r="G2405" s="87">
        <f>Table1[[#This Row],[date]]</f>
        <v>45657</v>
      </c>
      <c r="H2405" s="94">
        <f>SUMIF($A$2:A6040,G2405,$E$2:E6040)</f>
        <v>477.59999999999997</v>
      </c>
      <c r="I2405" s="93" t="str">
        <f t="shared" si="149"/>
        <v>Tuesday</v>
      </c>
      <c r="J2405" s="93" t="str">
        <f t="shared" si="150"/>
        <v>December</v>
      </c>
      <c r="K2405" s="93" t="str">
        <f t="shared" si="151"/>
        <v>2024</v>
      </c>
      <c r="L2405" s="6"/>
      <c r="M2405" s="6"/>
      <c r="N2405" s="6"/>
    </row>
    <row r="2406" spans="1:14" x14ac:dyDescent="0.3">
      <c r="A2406" s="92">
        <v>45657</v>
      </c>
      <c r="B2406" s="92" t="str">
        <f t="shared" si="148"/>
        <v>Tuesday</v>
      </c>
      <c r="C2406" s="93" t="s">
        <v>1381</v>
      </c>
      <c r="D2406" s="93" t="s">
        <v>1078</v>
      </c>
      <c r="E2406" s="94">
        <v>35.76</v>
      </c>
      <c r="F2406" s="93" t="s">
        <v>5</v>
      </c>
      <c r="G2406" s="87">
        <f>Table1[[#This Row],[date]]</f>
        <v>45657</v>
      </c>
      <c r="H2406" s="94">
        <f>SUMIF($A$2:A6041,G2406,$E$2:E6041)</f>
        <v>477.59999999999997</v>
      </c>
      <c r="I2406" s="93" t="str">
        <f t="shared" si="149"/>
        <v>Tuesday</v>
      </c>
      <c r="J2406" s="93" t="str">
        <f t="shared" si="150"/>
        <v>December</v>
      </c>
      <c r="K2406" s="93" t="str">
        <f t="shared" si="151"/>
        <v>2024</v>
      </c>
      <c r="L2406" s="6"/>
      <c r="M2406" s="6"/>
      <c r="N2406" s="6"/>
    </row>
    <row r="2407" spans="1:14" x14ac:dyDescent="0.3">
      <c r="A2407" s="87">
        <v>45657</v>
      </c>
      <c r="B2407" s="87" t="str">
        <f t="shared" si="148"/>
        <v>Tuesday</v>
      </c>
      <c r="C2407" s="88" t="s">
        <v>1381</v>
      </c>
      <c r="D2407" s="88" t="s">
        <v>1078</v>
      </c>
      <c r="E2407" s="89">
        <v>35.76</v>
      </c>
      <c r="F2407" s="88" t="s">
        <v>7</v>
      </c>
      <c r="G2407" s="87">
        <f>Table1[[#This Row],[date]]</f>
        <v>45657</v>
      </c>
      <c r="H2407" s="94">
        <f>SUMIF($A$2:A6042,G2407,$E$2:E6042)</f>
        <v>477.59999999999997</v>
      </c>
      <c r="I2407" s="93" t="str">
        <f t="shared" si="149"/>
        <v>Tuesday</v>
      </c>
      <c r="J2407" s="93" t="str">
        <f t="shared" si="150"/>
        <v>December</v>
      </c>
      <c r="K2407" s="93" t="str">
        <f t="shared" si="151"/>
        <v>2024</v>
      </c>
      <c r="L2407" s="6"/>
      <c r="M2407" s="6"/>
      <c r="N2407" s="6"/>
    </row>
    <row r="2408" spans="1:14" x14ac:dyDescent="0.3">
      <c r="A2408" s="92">
        <v>45659</v>
      </c>
      <c r="B2408" s="92" t="str">
        <f t="shared" si="148"/>
        <v>Thursday</v>
      </c>
      <c r="C2408" s="93" t="s">
        <v>1381</v>
      </c>
      <c r="D2408" s="93" t="s">
        <v>288</v>
      </c>
      <c r="E2408" s="94">
        <v>30.86</v>
      </c>
      <c r="F2408" s="93" t="s">
        <v>12</v>
      </c>
      <c r="G2408" s="87">
        <f>Table1[[#This Row],[date]]</f>
        <v>45659</v>
      </c>
      <c r="H2408" s="94">
        <f>SUMIF($A$2:A6043,G2408,$E$2:E6043)</f>
        <v>220.92000000000002</v>
      </c>
      <c r="I2408" s="93" t="str">
        <f t="shared" si="149"/>
        <v>Thursday</v>
      </c>
      <c r="J2408" s="93" t="str">
        <f t="shared" si="150"/>
        <v>January</v>
      </c>
      <c r="K2408" s="93" t="str">
        <f t="shared" si="151"/>
        <v>2025</v>
      </c>
      <c r="L2408" s="6"/>
      <c r="M2408" s="6"/>
      <c r="N2408" s="6"/>
    </row>
    <row r="2409" spans="1:14" x14ac:dyDescent="0.3">
      <c r="A2409" s="87">
        <v>45659</v>
      </c>
      <c r="B2409" s="87" t="str">
        <f t="shared" si="148"/>
        <v>Thursday</v>
      </c>
      <c r="C2409" s="88" t="s">
        <v>1381</v>
      </c>
      <c r="D2409" s="88" t="s">
        <v>1079</v>
      </c>
      <c r="E2409" s="89">
        <v>35.76</v>
      </c>
      <c r="F2409" s="88" t="s">
        <v>16</v>
      </c>
      <c r="G2409" s="87">
        <f>Table1[[#This Row],[date]]</f>
        <v>45659</v>
      </c>
      <c r="H2409" s="94">
        <f>SUMIF($A$2:A6044,G2409,$E$2:E6044)</f>
        <v>220.92000000000002</v>
      </c>
      <c r="I2409" s="93" t="str">
        <f t="shared" si="149"/>
        <v>Thursday</v>
      </c>
      <c r="J2409" s="93" t="str">
        <f t="shared" si="150"/>
        <v>January</v>
      </c>
      <c r="K2409" s="93" t="str">
        <f t="shared" si="151"/>
        <v>2025</v>
      </c>
      <c r="L2409" s="6"/>
      <c r="M2409" s="6"/>
      <c r="N2409" s="6"/>
    </row>
    <row r="2410" spans="1:14" x14ac:dyDescent="0.3">
      <c r="A2410" s="87">
        <v>45659</v>
      </c>
      <c r="B2410" s="87" t="str">
        <f t="shared" si="148"/>
        <v>Thursday</v>
      </c>
      <c r="C2410" s="88" t="s">
        <v>1381</v>
      </c>
      <c r="D2410" s="88" t="s">
        <v>1080</v>
      </c>
      <c r="E2410" s="89">
        <v>25.96</v>
      </c>
      <c r="F2410" s="88" t="s">
        <v>26</v>
      </c>
      <c r="G2410" s="87">
        <f>Table1[[#This Row],[date]]</f>
        <v>45659</v>
      </c>
      <c r="H2410" s="94">
        <f>SUMIF($A$2:A6045,G2410,$E$2:E6045)</f>
        <v>220.92000000000002</v>
      </c>
      <c r="I2410" s="93" t="str">
        <f t="shared" si="149"/>
        <v>Thursday</v>
      </c>
      <c r="J2410" s="93" t="str">
        <f t="shared" si="150"/>
        <v>January</v>
      </c>
      <c r="K2410" s="93" t="str">
        <f t="shared" si="151"/>
        <v>2025</v>
      </c>
      <c r="L2410" s="6"/>
      <c r="M2410" s="6"/>
      <c r="N2410" s="6"/>
    </row>
    <row r="2411" spans="1:14" x14ac:dyDescent="0.3">
      <c r="A2411" s="87">
        <v>45659</v>
      </c>
      <c r="B2411" s="87" t="str">
        <f t="shared" si="148"/>
        <v>Thursday</v>
      </c>
      <c r="C2411" s="88" t="s">
        <v>1381</v>
      </c>
      <c r="D2411" s="88" t="s">
        <v>1081</v>
      </c>
      <c r="E2411" s="89">
        <v>25.96</v>
      </c>
      <c r="F2411" s="88" t="s">
        <v>9</v>
      </c>
      <c r="G2411" s="87">
        <f>Table1[[#This Row],[date]]</f>
        <v>45659</v>
      </c>
      <c r="H2411" s="94">
        <f>SUMIF($A$2:A6046,G2411,$E$2:E6046)</f>
        <v>220.92000000000002</v>
      </c>
      <c r="I2411" s="93" t="str">
        <f t="shared" si="149"/>
        <v>Thursday</v>
      </c>
      <c r="J2411" s="93" t="str">
        <f t="shared" si="150"/>
        <v>January</v>
      </c>
      <c r="K2411" s="93" t="str">
        <f t="shared" si="151"/>
        <v>2025</v>
      </c>
      <c r="L2411" s="6"/>
      <c r="M2411" s="6"/>
      <c r="N2411" s="6"/>
    </row>
    <row r="2412" spans="1:14" x14ac:dyDescent="0.3">
      <c r="A2412" s="92">
        <v>45659</v>
      </c>
      <c r="B2412" s="92" t="str">
        <f t="shared" si="148"/>
        <v>Thursday</v>
      </c>
      <c r="C2412" s="93" t="s">
        <v>1381</v>
      </c>
      <c r="D2412" s="93" t="s">
        <v>889</v>
      </c>
      <c r="E2412" s="94">
        <v>35.76</v>
      </c>
      <c r="F2412" s="93" t="s">
        <v>7</v>
      </c>
      <c r="G2412" s="87">
        <f>Table1[[#This Row],[date]]</f>
        <v>45659</v>
      </c>
      <c r="H2412" s="94">
        <f>SUMIF($A$2:A6047,G2412,$E$2:E6047)</f>
        <v>220.92000000000002</v>
      </c>
      <c r="I2412" s="93" t="str">
        <f t="shared" si="149"/>
        <v>Thursday</v>
      </c>
      <c r="J2412" s="93" t="str">
        <f t="shared" si="150"/>
        <v>January</v>
      </c>
      <c r="K2412" s="93" t="str">
        <f t="shared" si="151"/>
        <v>2025</v>
      </c>
      <c r="L2412" s="6"/>
      <c r="M2412" s="6"/>
      <c r="N2412" s="6"/>
    </row>
    <row r="2413" spans="1:14" x14ac:dyDescent="0.3">
      <c r="A2413" s="87">
        <v>45659</v>
      </c>
      <c r="B2413" s="87" t="str">
        <f t="shared" si="148"/>
        <v>Thursday</v>
      </c>
      <c r="C2413" s="88" t="s">
        <v>1381</v>
      </c>
      <c r="D2413" s="88" t="s">
        <v>889</v>
      </c>
      <c r="E2413" s="89">
        <v>30.86</v>
      </c>
      <c r="F2413" s="88" t="s">
        <v>12</v>
      </c>
      <c r="G2413" s="87">
        <f>Table1[[#This Row],[date]]</f>
        <v>45659</v>
      </c>
      <c r="H2413" s="94">
        <f>SUMIF($A$2:A6048,G2413,$E$2:E6048)</f>
        <v>220.92000000000002</v>
      </c>
      <c r="I2413" s="93" t="str">
        <f t="shared" si="149"/>
        <v>Thursday</v>
      </c>
      <c r="J2413" s="93" t="str">
        <f t="shared" si="150"/>
        <v>January</v>
      </c>
      <c r="K2413" s="93" t="str">
        <f t="shared" si="151"/>
        <v>2025</v>
      </c>
      <c r="L2413" s="6"/>
      <c r="M2413" s="6"/>
      <c r="N2413" s="6"/>
    </row>
    <row r="2414" spans="1:14" x14ac:dyDescent="0.3">
      <c r="A2414" s="92">
        <v>45659</v>
      </c>
      <c r="B2414" s="92" t="str">
        <f t="shared" si="148"/>
        <v>Thursday</v>
      </c>
      <c r="C2414" s="93" t="s">
        <v>1381</v>
      </c>
      <c r="D2414" s="93" t="s">
        <v>537</v>
      </c>
      <c r="E2414" s="94">
        <v>35.76</v>
      </c>
      <c r="F2414" s="93" t="s">
        <v>41</v>
      </c>
      <c r="G2414" s="87">
        <f>Table1[[#This Row],[date]]</f>
        <v>45659</v>
      </c>
      <c r="H2414" s="94">
        <f>SUMIF($A$2:A6049,G2414,$E$2:E6049)</f>
        <v>220.92000000000002</v>
      </c>
      <c r="I2414" s="93" t="str">
        <f t="shared" si="149"/>
        <v>Thursday</v>
      </c>
      <c r="J2414" s="93" t="str">
        <f t="shared" si="150"/>
        <v>January</v>
      </c>
      <c r="K2414" s="93" t="str">
        <f t="shared" si="151"/>
        <v>2025</v>
      </c>
      <c r="L2414" s="6"/>
      <c r="M2414" s="6"/>
      <c r="N2414" s="6"/>
    </row>
    <row r="2415" spans="1:14" x14ac:dyDescent="0.3">
      <c r="A2415" s="87">
        <v>45660</v>
      </c>
      <c r="B2415" s="87" t="str">
        <f t="shared" si="148"/>
        <v>Friday</v>
      </c>
      <c r="C2415" s="88" t="s">
        <v>1381</v>
      </c>
      <c r="D2415" s="88" t="s">
        <v>1041</v>
      </c>
      <c r="E2415" s="89">
        <v>25.96</v>
      </c>
      <c r="F2415" s="88" t="s">
        <v>26</v>
      </c>
      <c r="G2415" s="87">
        <f>Table1[[#This Row],[date]]</f>
        <v>45660</v>
      </c>
      <c r="H2415" s="94">
        <f>SUMIF($A$2:A6050,G2415,$E$2:E6050)</f>
        <v>211.12</v>
      </c>
      <c r="I2415" s="93" t="str">
        <f t="shared" si="149"/>
        <v>Friday</v>
      </c>
      <c r="J2415" s="93" t="str">
        <f t="shared" si="150"/>
        <v>January</v>
      </c>
      <c r="K2415" s="93" t="str">
        <f t="shared" si="151"/>
        <v>2025</v>
      </c>
      <c r="L2415" s="6"/>
      <c r="M2415" s="6"/>
      <c r="N2415" s="6"/>
    </row>
    <row r="2416" spans="1:14" x14ac:dyDescent="0.3">
      <c r="A2416" s="92">
        <v>45660</v>
      </c>
      <c r="B2416" s="92" t="str">
        <f t="shared" si="148"/>
        <v>Friday</v>
      </c>
      <c r="C2416" s="93" t="s">
        <v>1381</v>
      </c>
      <c r="D2416" s="93" t="s">
        <v>288</v>
      </c>
      <c r="E2416" s="94">
        <v>30.86</v>
      </c>
      <c r="F2416" s="93" t="s">
        <v>12</v>
      </c>
      <c r="G2416" s="87">
        <f>Table1[[#This Row],[date]]</f>
        <v>45660</v>
      </c>
      <c r="H2416" s="94">
        <f>SUMIF($A$2:A6051,G2416,$E$2:E6051)</f>
        <v>211.12</v>
      </c>
      <c r="I2416" s="93" t="str">
        <f t="shared" si="149"/>
        <v>Friday</v>
      </c>
      <c r="J2416" s="93" t="str">
        <f t="shared" si="150"/>
        <v>January</v>
      </c>
      <c r="K2416" s="93" t="str">
        <f t="shared" si="151"/>
        <v>2025</v>
      </c>
      <c r="L2416" s="6"/>
      <c r="M2416" s="6"/>
      <c r="N2416" s="6"/>
    </row>
    <row r="2417" spans="1:14" x14ac:dyDescent="0.3">
      <c r="A2417" s="87">
        <v>45660</v>
      </c>
      <c r="B2417" s="87" t="str">
        <f t="shared" si="148"/>
        <v>Friday</v>
      </c>
      <c r="C2417" s="88" t="s">
        <v>1381</v>
      </c>
      <c r="D2417" s="88" t="s">
        <v>1082</v>
      </c>
      <c r="E2417" s="89">
        <v>30.86</v>
      </c>
      <c r="F2417" s="88" t="s">
        <v>12</v>
      </c>
      <c r="G2417" s="87">
        <f>Table1[[#This Row],[date]]</f>
        <v>45660</v>
      </c>
      <c r="H2417" s="94">
        <f>SUMIF($A$2:A6052,G2417,$E$2:E6052)</f>
        <v>211.12</v>
      </c>
      <c r="I2417" s="93" t="str">
        <f t="shared" si="149"/>
        <v>Friday</v>
      </c>
      <c r="J2417" s="93" t="str">
        <f t="shared" si="150"/>
        <v>January</v>
      </c>
      <c r="K2417" s="93" t="str">
        <f t="shared" si="151"/>
        <v>2025</v>
      </c>
      <c r="L2417" s="6"/>
      <c r="M2417" s="6"/>
      <c r="N2417" s="6"/>
    </row>
    <row r="2418" spans="1:14" x14ac:dyDescent="0.3">
      <c r="A2418" s="92">
        <v>45660</v>
      </c>
      <c r="B2418" s="92" t="str">
        <f t="shared" si="148"/>
        <v>Friday</v>
      </c>
      <c r="C2418" s="93" t="s">
        <v>1381</v>
      </c>
      <c r="D2418" s="93" t="s">
        <v>632</v>
      </c>
      <c r="E2418" s="94">
        <v>35.76</v>
      </c>
      <c r="F2418" s="93" t="s">
        <v>41</v>
      </c>
      <c r="G2418" s="87">
        <f>Table1[[#This Row],[date]]</f>
        <v>45660</v>
      </c>
      <c r="H2418" s="94">
        <f>SUMIF($A$2:A6053,G2418,$E$2:E6053)</f>
        <v>211.12</v>
      </c>
      <c r="I2418" s="93" t="str">
        <f t="shared" si="149"/>
        <v>Friday</v>
      </c>
      <c r="J2418" s="93" t="str">
        <f t="shared" si="150"/>
        <v>January</v>
      </c>
      <c r="K2418" s="93" t="str">
        <f t="shared" si="151"/>
        <v>2025</v>
      </c>
      <c r="L2418" s="6"/>
      <c r="M2418" s="6"/>
      <c r="N2418" s="6"/>
    </row>
    <row r="2419" spans="1:14" x14ac:dyDescent="0.3">
      <c r="A2419" s="87">
        <v>45660</v>
      </c>
      <c r="B2419" s="87" t="str">
        <f t="shared" si="148"/>
        <v>Friday</v>
      </c>
      <c r="C2419" s="88" t="s">
        <v>1381</v>
      </c>
      <c r="D2419" s="88" t="s">
        <v>1083</v>
      </c>
      <c r="E2419" s="89">
        <v>25.96</v>
      </c>
      <c r="F2419" s="88" t="s">
        <v>9</v>
      </c>
      <c r="G2419" s="87">
        <f>Table1[[#This Row],[date]]</f>
        <v>45660</v>
      </c>
      <c r="H2419" s="94">
        <f>SUMIF($A$2:A6054,G2419,$E$2:E6054)</f>
        <v>211.12</v>
      </c>
      <c r="I2419" s="93" t="str">
        <f t="shared" si="149"/>
        <v>Friday</v>
      </c>
      <c r="J2419" s="93" t="str">
        <f t="shared" si="150"/>
        <v>January</v>
      </c>
      <c r="K2419" s="93" t="str">
        <f t="shared" si="151"/>
        <v>2025</v>
      </c>
      <c r="L2419" s="6"/>
      <c r="M2419" s="6"/>
      <c r="N2419" s="6"/>
    </row>
    <row r="2420" spans="1:14" x14ac:dyDescent="0.3">
      <c r="A2420" s="92">
        <v>45660</v>
      </c>
      <c r="B2420" s="92" t="str">
        <f t="shared" si="148"/>
        <v>Friday</v>
      </c>
      <c r="C2420" s="93" t="s">
        <v>1381</v>
      </c>
      <c r="D2420" s="93" t="s">
        <v>1084</v>
      </c>
      <c r="E2420" s="94">
        <v>25.96</v>
      </c>
      <c r="F2420" s="93" t="s">
        <v>9</v>
      </c>
      <c r="G2420" s="87">
        <f>Table1[[#This Row],[date]]</f>
        <v>45660</v>
      </c>
      <c r="H2420" s="94">
        <f>SUMIF($A$2:A6055,G2420,$E$2:E6055)</f>
        <v>211.12</v>
      </c>
      <c r="I2420" s="93" t="str">
        <f t="shared" si="149"/>
        <v>Friday</v>
      </c>
      <c r="J2420" s="93" t="str">
        <f t="shared" si="150"/>
        <v>January</v>
      </c>
      <c r="K2420" s="93" t="str">
        <f t="shared" si="151"/>
        <v>2025</v>
      </c>
      <c r="L2420" s="6"/>
      <c r="M2420" s="6"/>
      <c r="N2420" s="6"/>
    </row>
    <row r="2421" spans="1:14" x14ac:dyDescent="0.3">
      <c r="A2421" s="87">
        <v>45660</v>
      </c>
      <c r="B2421" s="87" t="str">
        <f t="shared" si="148"/>
        <v>Friday</v>
      </c>
      <c r="C2421" s="88" t="s">
        <v>1381</v>
      </c>
      <c r="D2421" s="88" t="s">
        <v>702</v>
      </c>
      <c r="E2421" s="89">
        <v>35.76</v>
      </c>
      <c r="F2421" s="88" t="s">
        <v>5</v>
      </c>
      <c r="G2421" s="87">
        <f>Table1[[#This Row],[date]]</f>
        <v>45660</v>
      </c>
      <c r="H2421" s="94">
        <f>SUMIF($A$2:A6056,G2421,$E$2:E6056)</f>
        <v>211.12</v>
      </c>
      <c r="I2421" s="93" t="str">
        <f t="shared" si="149"/>
        <v>Friday</v>
      </c>
      <c r="J2421" s="93" t="str">
        <f t="shared" si="150"/>
        <v>January</v>
      </c>
      <c r="K2421" s="93" t="str">
        <f t="shared" si="151"/>
        <v>2025</v>
      </c>
      <c r="L2421" s="6"/>
      <c r="M2421" s="6"/>
      <c r="N2421" s="6"/>
    </row>
    <row r="2422" spans="1:14" x14ac:dyDescent="0.3">
      <c r="A2422" s="92">
        <v>45661</v>
      </c>
      <c r="B2422" s="92" t="str">
        <f t="shared" si="148"/>
        <v>Saturday</v>
      </c>
      <c r="C2422" s="93" t="s">
        <v>1381</v>
      </c>
      <c r="D2422" s="93" t="s">
        <v>1041</v>
      </c>
      <c r="E2422" s="94">
        <v>25.96</v>
      </c>
      <c r="F2422" s="93" t="s">
        <v>26</v>
      </c>
      <c r="G2422" s="87">
        <f>Table1[[#This Row],[date]]</f>
        <v>45661</v>
      </c>
      <c r="H2422" s="94">
        <f>SUMIF($A$2:A6057,G2422,$E$2:E6057)</f>
        <v>277.74</v>
      </c>
      <c r="I2422" s="93" t="str">
        <f t="shared" si="149"/>
        <v>Saturday</v>
      </c>
      <c r="J2422" s="93" t="str">
        <f t="shared" si="150"/>
        <v>January</v>
      </c>
      <c r="K2422" s="93" t="str">
        <f t="shared" si="151"/>
        <v>2025</v>
      </c>
      <c r="L2422" s="6"/>
      <c r="M2422" s="6"/>
      <c r="N2422" s="6"/>
    </row>
    <row r="2423" spans="1:14" x14ac:dyDescent="0.3">
      <c r="A2423" s="87">
        <v>45661</v>
      </c>
      <c r="B2423" s="87" t="str">
        <f t="shared" si="148"/>
        <v>Saturday</v>
      </c>
      <c r="C2423" s="88" t="s">
        <v>1381</v>
      </c>
      <c r="D2423" s="88" t="s">
        <v>1085</v>
      </c>
      <c r="E2423" s="89">
        <v>25.96</v>
      </c>
      <c r="F2423" s="88" t="s">
        <v>9</v>
      </c>
      <c r="G2423" s="87">
        <f>Table1[[#This Row],[date]]</f>
        <v>45661</v>
      </c>
      <c r="H2423" s="94">
        <f>SUMIF($A$2:A6058,G2423,$E$2:E6058)</f>
        <v>277.74</v>
      </c>
      <c r="I2423" s="93" t="str">
        <f t="shared" si="149"/>
        <v>Saturday</v>
      </c>
      <c r="J2423" s="93" t="str">
        <f t="shared" si="150"/>
        <v>January</v>
      </c>
      <c r="K2423" s="93" t="str">
        <f t="shared" si="151"/>
        <v>2025</v>
      </c>
      <c r="L2423" s="6"/>
      <c r="M2423" s="6"/>
      <c r="N2423" s="6"/>
    </row>
    <row r="2424" spans="1:14" x14ac:dyDescent="0.3">
      <c r="A2424" s="92">
        <v>45661</v>
      </c>
      <c r="B2424" s="92" t="str">
        <f t="shared" si="148"/>
        <v>Saturday</v>
      </c>
      <c r="C2424" s="93" t="s">
        <v>1381</v>
      </c>
      <c r="D2424" s="93" t="s">
        <v>1086</v>
      </c>
      <c r="E2424" s="94">
        <v>35.76</v>
      </c>
      <c r="F2424" s="93" t="s">
        <v>41</v>
      </c>
      <c r="G2424" s="87">
        <f>Table1[[#This Row],[date]]</f>
        <v>45661</v>
      </c>
      <c r="H2424" s="94">
        <f>SUMIF($A$2:A6059,G2424,$E$2:E6059)</f>
        <v>277.74</v>
      </c>
      <c r="I2424" s="93" t="str">
        <f t="shared" si="149"/>
        <v>Saturday</v>
      </c>
      <c r="J2424" s="93" t="str">
        <f t="shared" si="150"/>
        <v>January</v>
      </c>
      <c r="K2424" s="93" t="str">
        <f t="shared" si="151"/>
        <v>2025</v>
      </c>
      <c r="L2424" s="6"/>
      <c r="M2424" s="6"/>
      <c r="N2424" s="6"/>
    </row>
    <row r="2425" spans="1:14" x14ac:dyDescent="0.3">
      <c r="A2425" s="87">
        <v>45661</v>
      </c>
      <c r="B2425" s="87" t="str">
        <f t="shared" si="148"/>
        <v>Saturday</v>
      </c>
      <c r="C2425" s="88" t="s">
        <v>1381</v>
      </c>
      <c r="D2425" s="88" t="s">
        <v>889</v>
      </c>
      <c r="E2425" s="89">
        <v>35.76</v>
      </c>
      <c r="F2425" s="88" t="s">
        <v>16</v>
      </c>
      <c r="G2425" s="87">
        <f>Table1[[#This Row],[date]]</f>
        <v>45661</v>
      </c>
      <c r="H2425" s="94">
        <f>SUMIF($A$2:A6060,G2425,$E$2:E6060)</f>
        <v>277.74</v>
      </c>
      <c r="I2425" s="93" t="str">
        <f t="shared" si="149"/>
        <v>Saturday</v>
      </c>
      <c r="J2425" s="93" t="str">
        <f t="shared" si="150"/>
        <v>January</v>
      </c>
      <c r="K2425" s="93" t="str">
        <f t="shared" si="151"/>
        <v>2025</v>
      </c>
      <c r="L2425" s="6"/>
      <c r="M2425" s="6"/>
      <c r="N2425" s="6"/>
    </row>
    <row r="2426" spans="1:14" x14ac:dyDescent="0.3">
      <c r="A2426" s="92">
        <v>45661</v>
      </c>
      <c r="B2426" s="92" t="str">
        <f t="shared" si="148"/>
        <v>Saturday</v>
      </c>
      <c r="C2426" s="93" t="s">
        <v>1381</v>
      </c>
      <c r="D2426" s="93" t="s">
        <v>1046</v>
      </c>
      <c r="E2426" s="94">
        <v>30.86</v>
      </c>
      <c r="F2426" s="93" t="s">
        <v>12</v>
      </c>
      <c r="G2426" s="87">
        <f>Table1[[#This Row],[date]]</f>
        <v>45661</v>
      </c>
      <c r="H2426" s="94">
        <f>SUMIF($A$2:A6061,G2426,$E$2:E6061)</f>
        <v>277.74</v>
      </c>
      <c r="I2426" s="93" t="str">
        <f t="shared" si="149"/>
        <v>Saturday</v>
      </c>
      <c r="J2426" s="93" t="str">
        <f t="shared" si="150"/>
        <v>January</v>
      </c>
      <c r="K2426" s="93" t="str">
        <f t="shared" si="151"/>
        <v>2025</v>
      </c>
      <c r="L2426" s="6"/>
      <c r="M2426" s="6"/>
      <c r="N2426" s="6"/>
    </row>
    <row r="2427" spans="1:14" x14ac:dyDescent="0.3">
      <c r="A2427" s="87">
        <v>45661</v>
      </c>
      <c r="B2427" s="87" t="str">
        <f t="shared" si="148"/>
        <v>Saturday</v>
      </c>
      <c r="C2427" s="88" t="s">
        <v>1381</v>
      </c>
      <c r="D2427" s="88" t="s">
        <v>1046</v>
      </c>
      <c r="E2427" s="89">
        <v>35.76</v>
      </c>
      <c r="F2427" s="88" t="s">
        <v>41</v>
      </c>
      <c r="G2427" s="87">
        <f>Table1[[#This Row],[date]]</f>
        <v>45661</v>
      </c>
      <c r="H2427" s="94">
        <f>SUMIF($A$2:A6062,G2427,$E$2:E6062)</f>
        <v>277.74</v>
      </c>
      <c r="I2427" s="93" t="str">
        <f t="shared" si="149"/>
        <v>Saturday</v>
      </c>
      <c r="J2427" s="93" t="str">
        <f t="shared" si="150"/>
        <v>January</v>
      </c>
      <c r="K2427" s="93" t="str">
        <f t="shared" si="151"/>
        <v>2025</v>
      </c>
      <c r="L2427" s="6"/>
      <c r="M2427" s="6"/>
      <c r="N2427" s="6"/>
    </row>
    <row r="2428" spans="1:14" x14ac:dyDescent="0.3">
      <c r="A2428" s="87">
        <v>45661</v>
      </c>
      <c r="B2428" s="87" t="str">
        <f t="shared" si="148"/>
        <v>Saturday</v>
      </c>
      <c r="C2428" s="88" t="s">
        <v>1381</v>
      </c>
      <c r="D2428" s="88" t="s">
        <v>1046</v>
      </c>
      <c r="E2428" s="89">
        <v>25.96</v>
      </c>
      <c r="F2428" s="88" t="s">
        <v>26</v>
      </c>
      <c r="G2428" s="87">
        <f>Table1[[#This Row],[date]]</f>
        <v>45661</v>
      </c>
      <c r="H2428" s="94">
        <f>SUMIF($A$2:A6063,G2428,$E$2:E6063)</f>
        <v>277.74</v>
      </c>
      <c r="I2428" s="93" t="str">
        <f t="shared" si="149"/>
        <v>Saturday</v>
      </c>
      <c r="J2428" s="93" t="str">
        <f t="shared" si="150"/>
        <v>January</v>
      </c>
      <c r="K2428" s="93" t="str">
        <f t="shared" si="151"/>
        <v>2025</v>
      </c>
      <c r="L2428" s="6"/>
      <c r="M2428" s="6"/>
      <c r="N2428" s="6"/>
    </row>
    <row r="2429" spans="1:14" x14ac:dyDescent="0.3">
      <c r="A2429" s="92">
        <v>45661</v>
      </c>
      <c r="B2429" s="92" t="str">
        <f t="shared" si="148"/>
        <v>Saturday</v>
      </c>
      <c r="C2429" s="93" t="s">
        <v>1381</v>
      </c>
      <c r="D2429" s="93" t="s">
        <v>1087</v>
      </c>
      <c r="E2429" s="94">
        <v>25.96</v>
      </c>
      <c r="F2429" s="93" t="s">
        <v>9</v>
      </c>
      <c r="G2429" s="87">
        <f>Table1[[#This Row],[date]]</f>
        <v>45661</v>
      </c>
      <c r="H2429" s="94">
        <f>SUMIF($A$2:A6064,G2429,$E$2:E6064)</f>
        <v>277.74</v>
      </c>
      <c r="I2429" s="93" t="str">
        <f t="shared" si="149"/>
        <v>Saturday</v>
      </c>
      <c r="J2429" s="93" t="str">
        <f t="shared" si="150"/>
        <v>January</v>
      </c>
      <c r="K2429" s="93" t="str">
        <f t="shared" si="151"/>
        <v>2025</v>
      </c>
      <c r="L2429" s="6"/>
      <c r="M2429" s="6"/>
      <c r="N2429" s="6"/>
    </row>
    <row r="2430" spans="1:14" x14ac:dyDescent="0.3">
      <c r="A2430" s="87">
        <v>45661</v>
      </c>
      <c r="B2430" s="87" t="str">
        <f t="shared" si="148"/>
        <v>Saturday</v>
      </c>
      <c r="C2430" s="88" t="s">
        <v>1381</v>
      </c>
      <c r="D2430" s="88" t="s">
        <v>1012</v>
      </c>
      <c r="E2430" s="89">
        <v>35.76</v>
      </c>
      <c r="F2430" s="88" t="s">
        <v>5</v>
      </c>
      <c r="G2430" s="87">
        <f>Table1[[#This Row],[date]]</f>
        <v>45661</v>
      </c>
      <c r="H2430" s="94">
        <f>SUMIF($A$2:A6065,G2430,$E$2:E6065)</f>
        <v>277.74</v>
      </c>
      <c r="I2430" s="93" t="str">
        <f t="shared" si="149"/>
        <v>Saturday</v>
      </c>
      <c r="J2430" s="93" t="str">
        <f t="shared" si="150"/>
        <v>January</v>
      </c>
      <c r="K2430" s="93" t="str">
        <f t="shared" si="151"/>
        <v>2025</v>
      </c>
      <c r="L2430" s="6"/>
      <c r="M2430" s="6"/>
      <c r="N2430" s="6"/>
    </row>
    <row r="2431" spans="1:14" x14ac:dyDescent="0.3">
      <c r="A2431" s="92">
        <v>45662</v>
      </c>
      <c r="B2431" s="92" t="str">
        <f t="shared" si="148"/>
        <v>Sunday</v>
      </c>
      <c r="C2431" s="93" t="s">
        <v>1381</v>
      </c>
      <c r="D2431" s="93" t="s">
        <v>1088</v>
      </c>
      <c r="E2431" s="94">
        <v>30.86</v>
      </c>
      <c r="F2431" s="93" t="s">
        <v>12</v>
      </c>
      <c r="G2431" s="87">
        <f>Table1[[#This Row],[date]]</f>
        <v>45662</v>
      </c>
      <c r="H2431" s="94">
        <f>SUMIF($A$2:A6066,G2431,$E$2:E6066)</f>
        <v>97.48</v>
      </c>
      <c r="I2431" s="93" t="str">
        <f t="shared" si="149"/>
        <v>Sunday</v>
      </c>
      <c r="J2431" s="93" t="str">
        <f t="shared" si="150"/>
        <v>January</v>
      </c>
      <c r="K2431" s="93" t="str">
        <f t="shared" si="151"/>
        <v>2025</v>
      </c>
      <c r="L2431" s="6"/>
      <c r="M2431" s="6"/>
      <c r="N2431" s="6"/>
    </row>
    <row r="2432" spans="1:14" x14ac:dyDescent="0.3">
      <c r="A2432" s="87">
        <v>45662</v>
      </c>
      <c r="B2432" s="87" t="str">
        <f t="shared" si="148"/>
        <v>Sunday</v>
      </c>
      <c r="C2432" s="88" t="s">
        <v>1381</v>
      </c>
      <c r="D2432" s="88" t="s">
        <v>1089</v>
      </c>
      <c r="E2432" s="89">
        <v>35.76</v>
      </c>
      <c r="F2432" s="88" t="s">
        <v>5</v>
      </c>
      <c r="G2432" s="87">
        <f>Table1[[#This Row],[date]]</f>
        <v>45662</v>
      </c>
      <c r="H2432" s="94">
        <f>SUMIF($A$2:A6067,G2432,$E$2:E6067)</f>
        <v>97.48</v>
      </c>
      <c r="I2432" s="93" t="str">
        <f t="shared" si="149"/>
        <v>Sunday</v>
      </c>
      <c r="J2432" s="93" t="str">
        <f t="shared" si="150"/>
        <v>January</v>
      </c>
      <c r="K2432" s="93" t="str">
        <f t="shared" si="151"/>
        <v>2025</v>
      </c>
      <c r="L2432" s="6"/>
      <c r="M2432" s="6"/>
      <c r="N2432" s="6"/>
    </row>
    <row r="2433" spans="1:14" x14ac:dyDescent="0.3">
      <c r="A2433" s="92">
        <v>45662</v>
      </c>
      <c r="B2433" s="92" t="str">
        <f t="shared" si="148"/>
        <v>Sunday</v>
      </c>
      <c r="C2433" s="93" t="s">
        <v>1381</v>
      </c>
      <c r="D2433" s="93" t="s">
        <v>1090</v>
      </c>
      <c r="E2433" s="94">
        <v>30.86</v>
      </c>
      <c r="F2433" s="93" t="s">
        <v>12</v>
      </c>
      <c r="G2433" s="87">
        <f>Table1[[#This Row],[date]]</f>
        <v>45662</v>
      </c>
      <c r="H2433" s="94">
        <f>SUMIF($A$2:A6068,G2433,$E$2:E6068)</f>
        <v>97.48</v>
      </c>
      <c r="I2433" s="93" t="str">
        <f t="shared" si="149"/>
        <v>Sunday</v>
      </c>
      <c r="J2433" s="93" t="str">
        <f t="shared" si="150"/>
        <v>January</v>
      </c>
      <c r="K2433" s="93" t="str">
        <f t="shared" si="151"/>
        <v>2025</v>
      </c>
      <c r="L2433" s="6"/>
      <c r="M2433" s="6"/>
      <c r="N2433" s="6"/>
    </row>
    <row r="2434" spans="1:14" x14ac:dyDescent="0.3">
      <c r="A2434" s="87">
        <v>45663</v>
      </c>
      <c r="B2434" s="87" t="str">
        <f t="shared" ref="B2434:B2497" si="152">TEXT(A2434,"dddd")</f>
        <v>Monday</v>
      </c>
      <c r="C2434" s="88" t="s">
        <v>1381</v>
      </c>
      <c r="D2434" s="88" t="s">
        <v>1091</v>
      </c>
      <c r="E2434" s="89">
        <v>25.96</v>
      </c>
      <c r="F2434" s="88" t="s">
        <v>9</v>
      </c>
      <c r="G2434" s="87">
        <f>Table1[[#This Row],[date]]</f>
        <v>45663</v>
      </c>
      <c r="H2434" s="94">
        <f>SUMIF($A$2:A6069,G2434,$E$2:E6069)</f>
        <v>25.96</v>
      </c>
      <c r="I2434" s="93" t="str">
        <f t="shared" si="149"/>
        <v>Monday</v>
      </c>
      <c r="J2434" s="93" t="str">
        <f t="shared" si="150"/>
        <v>January</v>
      </c>
      <c r="K2434" s="93" t="str">
        <f t="shared" si="151"/>
        <v>2025</v>
      </c>
      <c r="L2434" s="6"/>
      <c r="M2434" s="6"/>
      <c r="N2434" s="6"/>
    </row>
    <row r="2435" spans="1:14" x14ac:dyDescent="0.3">
      <c r="A2435" s="92">
        <v>45664</v>
      </c>
      <c r="B2435" s="92" t="str">
        <f t="shared" si="152"/>
        <v>Tuesday</v>
      </c>
      <c r="C2435" s="93" t="s">
        <v>1381</v>
      </c>
      <c r="D2435" s="93" t="s">
        <v>1092</v>
      </c>
      <c r="E2435" s="94">
        <v>35.76</v>
      </c>
      <c r="F2435" s="93" t="s">
        <v>41</v>
      </c>
      <c r="G2435" s="87">
        <f>Table1[[#This Row],[date]]</f>
        <v>45664</v>
      </c>
      <c r="H2435" s="94">
        <f>SUMIF($A$2:A6070,G2435,$E$2:E6070)</f>
        <v>71.52</v>
      </c>
      <c r="I2435" s="93" t="str">
        <f t="shared" si="149"/>
        <v>Tuesday</v>
      </c>
      <c r="J2435" s="93" t="str">
        <f t="shared" si="150"/>
        <v>January</v>
      </c>
      <c r="K2435" s="93" t="str">
        <f t="shared" si="151"/>
        <v>2025</v>
      </c>
      <c r="L2435" s="6"/>
      <c r="M2435" s="6"/>
      <c r="N2435" s="6"/>
    </row>
    <row r="2436" spans="1:14" x14ac:dyDescent="0.3">
      <c r="A2436" s="87">
        <v>45664</v>
      </c>
      <c r="B2436" s="87" t="str">
        <f t="shared" si="152"/>
        <v>Tuesday</v>
      </c>
      <c r="C2436" s="88" t="s">
        <v>1381</v>
      </c>
      <c r="D2436" s="88" t="s">
        <v>1093</v>
      </c>
      <c r="E2436" s="89">
        <v>35.76</v>
      </c>
      <c r="F2436" s="88" t="s">
        <v>16</v>
      </c>
      <c r="G2436" s="87">
        <f>Table1[[#This Row],[date]]</f>
        <v>45664</v>
      </c>
      <c r="H2436" s="94">
        <f>SUMIF($A$2:A6071,G2436,$E$2:E6071)</f>
        <v>71.52</v>
      </c>
      <c r="I2436" s="93" t="str">
        <f t="shared" si="149"/>
        <v>Tuesday</v>
      </c>
      <c r="J2436" s="93" t="str">
        <f t="shared" si="150"/>
        <v>January</v>
      </c>
      <c r="K2436" s="93" t="str">
        <f t="shared" si="151"/>
        <v>2025</v>
      </c>
      <c r="L2436" s="6"/>
      <c r="M2436" s="6"/>
      <c r="N2436" s="6"/>
    </row>
    <row r="2437" spans="1:14" x14ac:dyDescent="0.3">
      <c r="A2437" s="87">
        <v>45665</v>
      </c>
      <c r="B2437" s="87" t="str">
        <f t="shared" si="152"/>
        <v>Wednesday</v>
      </c>
      <c r="C2437" s="88" t="s">
        <v>1381</v>
      </c>
      <c r="D2437" s="88" t="s">
        <v>1094</v>
      </c>
      <c r="E2437" s="89">
        <v>30.86</v>
      </c>
      <c r="F2437" s="88" t="s">
        <v>12</v>
      </c>
      <c r="G2437" s="87">
        <f>Table1[[#This Row],[date]]</f>
        <v>45665</v>
      </c>
      <c r="H2437" s="94">
        <f>SUMIF($A$2:A6072,G2437,$E$2:E6072)</f>
        <v>128.34</v>
      </c>
      <c r="I2437" s="93" t="str">
        <f t="shared" si="149"/>
        <v>Wednesday</v>
      </c>
      <c r="J2437" s="93" t="str">
        <f t="shared" si="150"/>
        <v>January</v>
      </c>
      <c r="K2437" s="93" t="str">
        <f t="shared" si="151"/>
        <v>2025</v>
      </c>
      <c r="L2437" s="6"/>
      <c r="M2437" s="6"/>
      <c r="N2437" s="6"/>
    </row>
    <row r="2438" spans="1:14" x14ac:dyDescent="0.3">
      <c r="A2438" s="92">
        <v>45665</v>
      </c>
      <c r="B2438" s="92" t="str">
        <f t="shared" si="152"/>
        <v>Wednesday</v>
      </c>
      <c r="C2438" s="93" t="s">
        <v>1381</v>
      </c>
      <c r="D2438" s="93" t="s">
        <v>1095</v>
      </c>
      <c r="E2438" s="94">
        <v>35.76</v>
      </c>
      <c r="F2438" s="93" t="s">
        <v>5</v>
      </c>
      <c r="G2438" s="87">
        <f>Table1[[#This Row],[date]]</f>
        <v>45665</v>
      </c>
      <c r="H2438" s="94">
        <f>SUMIF($A$2:A6073,G2438,$E$2:E6073)</f>
        <v>128.34</v>
      </c>
      <c r="I2438" s="93" t="str">
        <f t="shared" ref="I2438:I2501" si="153">TEXT(G2438,"dddd")</f>
        <v>Wednesday</v>
      </c>
      <c r="J2438" s="93" t="str">
        <f t="shared" si="150"/>
        <v>January</v>
      </c>
      <c r="K2438" s="93" t="str">
        <f t="shared" si="151"/>
        <v>2025</v>
      </c>
      <c r="L2438" s="6"/>
      <c r="M2438" s="6"/>
      <c r="N2438" s="6"/>
    </row>
    <row r="2439" spans="1:14" x14ac:dyDescent="0.3">
      <c r="A2439" s="87">
        <v>45665</v>
      </c>
      <c r="B2439" s="87" t="str">
        <f t="shared" si="152"/>
        <v>Wednesday</v>
      </c>
      <c r="C2439" s="88" t="s">
        <v>1381</v>
      </c>
      <c r="D2439" s="88" t="s">
        <v>1046</v>
      </c>
      <c r="E2439" s="89">
        <v>25.96</v>
      </c>
      <c r="F2439" s="88" t="s">
        <v>26</v>
      </c>
      <c r="G2439" s="87">
        <f>Table1[[#This Row],[date]]</f>
        <v>45665</v>
      </c>
      <c r="H2439" s="94">
        <f>SUMIF($A$2:A6074,G2439,$E$2:E6074)</f>
        <v>128.34</v>
      </c>
      <c r="I2439" s="93" t="str">
        <f t="shared" si="153"/>
        <v>Wednesday</v>
      </c>
      <c r="J2439" s="93" t="str">
        <f t="shared" ref="J2439:J2502" si="154">TEXT(G2439,"mmmm")</f>
        <v>January</v>
      </c>
      <c r="K2439" s="93" t="str">
        <f t="shared" ref="K2439:K2502" si="155">TEXT(G2439,"yyyy")</f>
        <v>2025</v>
      </c>
      <c r="L2439" s="6"/>
      <c r="M2439" s="6"/>
      <c r="N2439" s="6"/>
    </row>
    <row r="2440" spans="1:14" x14ac:dyDescent="0.3">
      <c r="A2440" s="92">
        <v>45665</v>
      </c>
      <c r="B2440" s="92" t="str">
        <f t="shared" si="152"/>
        <v>Wednesday</v>
      </c>
      <c r="C2440" s="93" t="s">
        <v>1381</v>
      </c>
      <c r="D2440" s="93" t="s">
        <v>218</v>
      </c>
      <c r="E2440" s="94">
        <v>35.76</v>
      </c>
      <c r="F2440" s="93" t="s">
        <v>41</v>
      </c>
      <c r="G2440" s="87">
        <f>Table1[[#This Row],[date]]</f>
        <v>45665</v>
      </c>
      <c r="H2440" s="94">
        <f>SUMIF($A$2:A6075,G2440,$E$2:E6075)</f>
        <v>128.34</v>
      </c>
      <c r="I2440" s="93" t="str">
        <f t="shared" si="153"/>
        <v>Wednesday</v>
      </c>
      <c r="J2440" s="93" t="str">
        <f t="shared" si="154"/>
        <v>January</v>
      </c>
      <c r="K2440" s="93" t="str">
        <f t="shared" si="155"/>
        <v>2025</v>
      </c>
      <c r="L2440" s="6"/>
      <c r="M2440" s="6"/>
      <c r="N2440" s="6"/>
    </row>
    <row r="2441" spans="1:14" x14ac:dyDescent="0.3">
      <c r="A2441" s="87">
        <v>45666</v>
      </c>
      <c r="B2441" s="87" t="str">
        <f t="shared" si="152"/>
        <v>Thursday</v>
      </c>
      <c r="C2441" s="88" t="s">
        <v>1381</v>
      </c>
      <c r="D2441" s="88" t="s">
        <v>1096</v>
      </c>
      <c r="E2441" s="89">
        <v>25.96</v>
      </c>
      <c r="F2441" s="88" t="s">
        <v>9</v>
      </c>
      <c r="G2441" s="87">
        <f>Table1[[#This Row],[date]]</f>
        <v>45666</v>
      </c>
      <c r="H2441" s="94">
        <f>SUMIF($A$2:A6076,G2441,$E$2:E6076)</f>
        <v>272.83999999999997</v>
      </c>
      <c r="I2441" s="93" t="str">
        <f t="shared" si="153"/>
        <v>Thursday</v>
      </c>
      <c r="J2441" s="93" t="str">
        <f t="shared" si="154"/>
        <v>January</v>
      </c>
      <c r="K2441" s="93" t="str">
        <f t="shared" si="155"/>
        <v>2025</v>
      </c>
      <c r="L2441" s="6"/>
      <c r="M2441" s="6"/>
      <c r="N2441" s="6"/>
    </row>
    <row r="2442" spans="1:14" x14ac:dyDescent="0.3">
      <c r="A2442" s="92">
        <v>45666</v>
      </c>
      <c r="B2442" s="92" t="str">
        <f t="shared" si="152"/>
        <v>Thursday</v>
      </c>
      <c r="C2442" s="93" t="s">
        <v>1381</v>
      </c>
      <c r="D2442" s="93" t="s">
        <v>582</v>
      </c>
      <c r="E2442" s="94">
        <v>35.76</v>
      </c>
      <c r="F2442" s="93" t="s">
        <v>5</v>
      </c>
      <c r="G2442" s="87">
        <f>Table1[[#This Row],[date]]</f>
        <v>45666</v>
      </c>
      <c r="H2442" s="94">
        <f>SUMIF($A$2:A6077,G2442,$E$2:E6077)</f>
        <v>272.83999999999997</v>
      </c>
      <c r="I2442" s="93" t="str">
        <f t="shared" si="153"/>
        <v>Thursday</v>
      </c>
      <c r="J2442" s="93" t="str">
        <f t="shared" si="154"/>
        <v>January</v>
      </c>
      <c r="K2442" s="93" t="str">
        <f t="shared" si="155"/>
        <v>2025</v>
      </c>
      <c r="L2442" s="6"/>
      <c r="M2442" s="6"/>
      <c r="N2442" s="6"/>
    </row>
    <row r="2443" spans="1:14" x14ac:dyDescent="0.3">
      <c r="A2443" s="87">
        <v>45666</v>
      </c>
      <c r="B2443" s="87" t="str">
        <f t="shared" si="152"/>
        <v>Thursday</v>
      </c>
      <c r="C2443" s="88" t="s">
        <v>1381</v>
      </c>
      <c r="D2443" s="88" t="s">
        <v>397</v>
      </c>
      <c r="E2443" s="89">
        <v>30.86</v>
      </c>
      <c r="F2443" s="88" t="s">
        <v>12</v>
      </c>
      <c r="G2443" s="87">
        <f>Table1[[#This Row],[date]]</f>
        <v>45666</v>
      </c>
      <c r="H2443" s="94">
        <f>SUMIF($A$2:A6078,G2443,$E$2:E6078)</f>
        <v>272.83999999999997</v>
      </c>
      <c r="I2443" s="93" t="str">
        <f t="shared" si="153"/>
        <v>Thursday</v>
      </c>
      <c r="J2443" s="93" t="str">
        <f t="shared" si="154"/>
        <v>January</v>
      </c>
      <c r="K2443" s="93" t="str">
        <f t="shared" si="155"/>
        <v>2025</v>
      </c>
      <c r="L2443" s="6"/>
      <c r="M2443" s="6"/>
      <c r="N2443" s="6"/>
    </row>
    <row r="2444" spans="1:14" x14ac:dyDescent="0.3">
      <c r="A2444" s="92">
        <v>45666</v>
      </c>
      <c r="B2444" s="92" t="str">
        <f t="shared" si="152"/>
        <v>Thursday</v>
      </c>
      <c r="C2444" s="93" t="s">
        <v>1381</v>
      </c>
      <c r="D2444" s="93" t="s">
        <v>360</v>
      </c>
      <c r="E2444" s="94">
        <v>21.06</v>
      </c>
      <c r="F2444" s="93" t="s">
        <v>33</v>
      </c>
      <c r="G2444" s="87">
        <f>Table1[[#This Row],[date]]</f>
        <v>45666</v>
      </c>
      <c r="H2444" s="94">
        <f>SUMIF($A$2:A6079,G2444,$E$2:E6079)</f>
        <v>272.83999999999997</v>
      </c>
      <c r="I2444" s="93" t="str">
        <f t="shared" si="153"/>
        <v>Thursday</v>
      </c>
      <c r="J2444" s="93" t="str">
        <f t="shared" si="154"/>
        <v>January</v>
      </c>
      <c r="K2444" s="93" t="str">
        <f t="shared" si="155"/>
        <v>2025</v>
      </c>
      <c r="L2444" s="6"/>
      <c r="M2444" s="6"/>
      <c r="N2444" s="6"/>
    </row>
    <row r="2445" spans="1:14" x14ac:dyDescent="0.3">
      <c r="A2445" s="87">
        <v>45666</v>
      </c>
      <c r="B2445" s="87" t="str">
        <f t="shared" si="152"/>
        <v>Thursday</v>
      </c>
      <c r="C2445" s="88" t="s">
        <v>1381</v>
      </c>
      <c r="D2445" s="88" t="s">
        <v>1097</v>
      </c>
      <c r="E2445" s="89">
        <v>35.76</v>
      </c>
      <c r="F2445" s="88" t="s">
        <v>5</v>
      </c>
      <c r="G2445" s="87">
        <f>Table1[[#This Row],[date]]</f>
        <v>45666</v>
      </c>
      <c r="H2445" s="94">
        <f>SUMIF($A$2:A6080,G2445,$E$2:E6080)</f>
        <v>272.83999999999997</v>
      </c>
      <c r="I2445" s="93" t="str">
        <f t="shared" si="153"/>
        <v>Thursday</v>
      </c>
      <c r="J2445" s="93" t="str">
        <f t="shared" si="154"/>
        <v>January</v>
      </c>
      <c r="K2445" s="93" t="str">
        <f t="shared" si="155"/>
        <v>2025</v>
      </c>
      <c r="L2445" s="6"/>
      <c r="M2445" s="6"/>
      <c r="N2445" s="6"/>
    </row>
    <row r="2446" spans="1:14" x14ac:dyDescent="0.3">
      <c r="A2446" s="92">
        <v>45666</v>
      </c>
      <c r="B2446" s="92" t="str">
        <f t="shared" si="152"/>
        <v>Thursday</v>
      </c>
      <c r="C2446" s="93" t="s">
        <v>1381</v>
      </c>
      <c r="D2446" s="93" t="s">
        <v>153</v>
      </c>
      <c r="E2446" s="94">
        <v>30.86</v>
      </c>
      <c r="F2446" s="93" t="s">
        <v>12</v>
      </c>
      <c r="G2446" s="87">
        <f>Table1[[#This Row],[date]]</f>
        <v>45666</v>
      </c>
      <c r="H2446" s="94">
        <f>SUMIF($A$2:A6081,G2446,$E$2:E6081)</f>
        <v>272.83999999999997</v>
      </c>
      <c r="I2446" s="93" t="str">
        <f t="shared" si="153"/>
        <v>Thursday</v>
      </c>
      <c r="J2446" s="93" t="str">
        <f t="shared" si="154"/>
        <v>January</v>
      </c>
      <c r="K2446" s="93" t="str">
        <f t="shared" si="155"/>
        <v>2025</v>
      </c>
      <c r="L2446" s="6"/>
      <c r="M2446" s="6"/>
      <c r="N2446" s="6"/>
    </row>
    <row r="2447" spans="1:14" x14ac:dyDescent="0.3">
      <c r="A2447" s="87">
        <v>45666</v>
      </c>
      <c r="B2447" s="87" t="str">
        <f t="shared" si="152"/>
        <v>Thursday</v>
      </c>
      <c r="C2447" s="88" t="s">
        <v>1381</v>
      </c>
      <c r="D2447" s="88" t="s">
        <v>153</v>
      </c>
      <c r="E2447" s="89">
        <v>25.96</v>
      </c>
      <c r="F2447" s="88" t="s">
        <v>26</v>
      </c>
      <c r="G2447" s="87">
        <f>Table1[[#This Row],[date]]</f>
        <v>45666</v>
      </c>
      <c r="H2447" s="94">
        <f>SUMIF($A$2:A6082,G2447,$E$2:E6082)</f>
        <v>272.83999999999997</v>
      </c>
      <c r="I2447" s="93" t="str">
        <f t="shared" si="153"/>
        <v>Thursday</v>
      </c>
      <c r="J2447" s="93" t="str">
        <f t="shared" si="154"/>
        <v>January</v>
      </c>
      <c r="K2447" s="93" t="str">
        <f t="shared" si="155"/>
        <v>2025</v>
      </c>
      <c r="L2447" s="6"/>
      <c r="M2447" s="6"/>
      <c r="N2447" s="6"/>
    </row>
    <row r="2448" spans="1:14" x14ac:dyDescent="0.3">
      <c r="A2448" s="92">
        <v>45666</v>
      </c>
      <c r="B2448" s="92" t="str">
        <f t="shared" si="152"/>
        <v>Thursday</v>
      </c>
      <c r="C2448" s="93" t="s">
        <v>1381</v>
      </c>
      <c r="D2448" s="93" t="s">
        <v>21</v>
      </c>
      <c r="E2448" s="94">
        <v>30.86</v>
      </c>
      <c r="F2448" s="93" t="s">
        <v>12</v>
      </c>
      <c r="G2448" s="87">
        <f>Table1[[#This Row],[date]]</f>
        <v>45666</v>
      </c>
      <c r="H2448" s="94">
        <f>SUMIF($A$2:A6083,G2448,$E$2:E6083)</f>
        <v>272.83999999999997</v>
      </c>
      <c r="I2448" s="93" t="str">
        <f t="shared" si="153"/>
        <v>Thursday</v>
      </c>
      <c r="J2448" s="93" t="str">
        <f t="shared" si="154"/>
        <v>January</v>
      </c>
      <c r="K2448" s="93" t="str">
        <f t="shared" si="155"/>
        <v>2025</v>
      </c>
      <c r="L2448" s="6"/>
      <c r="M2448" s="6"/>
      <c r="N2448" s="6"/>
    </row>
    <row r="2449" spans="1:14" x14ac:dyDescent="0.3">
      <c r="A2449" s="87">
        <v>45666</v>
      </c>
      <c r="B2449" s="87" t="str">
        <f t="shared" si="152"/>
        <v>Thursday</v>
      </c>
      <c r="C2449" s="88" t="s">
        <v>1381</v>
      </c>
      <c r="D2449" s="88" t="s">
        <v>341</v>
      </c>
      <c r="E2449" s="89">
        <v>35.76</v>
      </c>
      <c r="F2449" s="88" t="s">
        <v>5</v>
      </c>
      <c r="G2449" s="87">
        <f>Table1[[#This Row],[date]]</f>
        <v>45666</v>
      </c>
      <c r="H2449" s="94">
        <f>SUMIF($A$2:A6084,G2449,$E$2:E6084)</f>
        <v>272.83999999999997</v>
      </c>
      <c r="I2449" s="93" t="str">
        <f t="shared" si="153"/>
        <v>Thursday</v>
      </c>
      <c r="J2449" s="93" t="str">
        <f t="shared" si="154"/>
        <v>January</v>
      </c>
      <c r="K2449" s="93" t="str">
        <f t="shared" si="155"/>
        <v>2025</v>
      </c>
      <c r="L2449" s="6"/>
      <c r="M2449" s="6"/>
      <c r="N2449" s="6"/>
    </row>
    <row r="2450" spans="1:14" x14ac:dyDescent="0.3">
      <c r="A2450" s="92">
        <v>45667</v>
      </c>
      <c r="B2450" s="92" t="str">
        <f t="shared" si="152"/>
        <v>Friday</v>
      </c>
      <c r="C2450" s="93" t="s">
        <v>1381</v>
      </c>
      <c r="D2450" s="93" t="s">
        <v>236</v>
      </c>
      <c r="E2450" s="94">
        <v>30.86</v>
      </c>
      <c r="F2450" s="93" t="s">
        <v>12</v>
      </c>
      <c r="G2450" s="87">
        <f>Table1[[#This Row],[date]]</f>
        <v>45667</v>
      </c>
      <c r="H2450" s="94">
        <f>SUMIF($A$2:A6085,G2450,$E$2:E6085)</f>
        <v>133.23999999999998</v>
      </c>
      <c r="I2450" s="93" t="str">
        <f t="shared" si="153"/>
        <v>Friday</v>
      </c>
      <c r="J2450" s="93" t="str">
        <f t="shared" si="154"/>
        <v>January</v>
      </c>
      <c r="K2450" s="93" t="str">
        <f t="shared" si="155"/>
        <v>2025</v>
      </c>
      <c r="L2450" s="6"/>
      <c r="M2450" s="6"/>
      <c r="N2450" s="6"/>
    </row>
    <row r="2451" spans="1:14" x14ac:dyDescent="0.3">
      <c r="A2451" s="87">
        <v>45667</v>
      </c>
      <c r="B2451" s="87" t="str">
        <f t="shared" si="152"/>
        <v>Friday</v>
      </c>
      <c r="C2451" s="88" t="s">
        <v>1381</v>
      </c>
      <c r="D2451" s="88" t="s">
        <v>397</v>
      </c>
      <c r="E2451" s="89">
        <v>30.86</v>
      </c>
      <c r="F2451" s="88" t="s">
        <v>12</v>
      </c>
      <c r="G2451" s="87">
        <f>Table1[[#This Row],[date]]</f>
        <v>45667</v>
      </c>
      <c r="H2451" s="94">
        <f>SUMIF($A$2:A6086,G2451,$E$2:E6086)</f>
        <v>133.23999999999998</v>
      </c>
      <c r="I2451" s="93" t="str">
        <f t="shared" si="153"/>
        <v>Friday</v>
      </c>
      <c r="J2451" s="93" t="str">
        <f t="shared" si="154"/>
        <v>January</v>
      </c>
      <c r="K2451" s="93" t="str">
        <f t="shared" si="155"/>
        <v>2025</v>
      </c>
      <c r="L2451" s="6"/>
      <c r="M2451" s="6"/>
      <c r="N2451" s="6"/>
    </row>
    <row r="2452" spans="1:14" x14ac:dyDescent="0.3">
      <c r="A2452" s="92">
        <v>45667</v>
      </c>
      <c r="B2452" s="92" t="str">
        <f t="shared" si="152"/>
        <v>Friday</v>
      </c>
      <c r="C2452" s="93" t="s">
        <v>1381</v>
      </c>
      <c r="D2452" s="93" t="s">
        <v>1098</v>
      </c>
      <c r="E2452" s="94">
        <v>35.76</v>
      </c>
      <c r="F2452" s="93" t="s">
        <v>41</v>
      </c>
      <c r="G2452" s="87">
        <f>Table1[[#This Row],[date]]</f>
        <v>45667</v>
      </c>
      <c r="H2452" s="94">
        <f>SUMIF($A$2:A6087,G2452,$E$2:E6087)</f>
        <v>133.23999999999998</v>
      </c>
      <c r="I2452" s="93" t="str">
        <f t="shared" si="153"/>
        <v>Friday</v>
      </c>
      <c r="J2452" s="93" t="str">
        <f t="shared" si="154"/>
        <v>January</v>
      </c>
      <c r="K2452" s="93" t="str">
        <f t="shared" si="155"/>
        <v>2025</v>
      </c>
      <c r="L2452" s="6"/>
      <c r="M2452" s="6"/>
      <c r="N2452" s="6"/>
    </row>
    <row r="2453" spans="1:14" x14ac:dyDescent="0.3">
      <c r="A2453" s="87">
        <v>45667</v>
      </c>
      <c r="B2453" s="87" t="str">
        <f t="shared" si="152"/>
        <v>Friday</v>
      </c>
      <c r="C2453" s="88" t="s">
        <v>1381</v>
      </c>
      <c r="D2453" s="88" t="s">
        <v>1057</v>
      </c>
      <c r="E2453" s="89">
        <v>35.76</v>
      </c>
      <c r="F2453" s="88" t="s">
        <v>7</v>
      </c>
      <c r="G2453" s="87">
        <f>Table1[[#This Row],[date]]</f>
        <v>45667</v>
      </c>
      <c r="H2453" s="94">
        <f>SUMIF($A$2:A6088,G2453,$E$2:E6088)</f>
        <v>133.23999999999998</v>
      </c>
      <c r="I2453" s="93" t="str">
        <f t="shared" si="153"/>
        <v>Friday</v>
      </c>
      <c r="J2453" s="93" t="str">
        <f t="shared" si="154"/>
        <v>January</v>
      </c>
      <c r="K2453" s="93" t="str">
        <f t="shared" si="155"/>
        <v>2025</v>
      </c>
      <c r="L2453" s="6"/>
      <c r="M2453" s="6"/>
      <c r="N2453" s="6"/>
    </row>
    <row r="2454" spans="1:14" x14ac:dyDescent="0.3">
      <c r="A2454" s="87">
        <v>45668</v>
      </c>
      <c r="B2454" s="87" t="str">
        <f t="shared" si="152"/>
        <v>Saturday</v>
      </c>
      <c r="C2454" s="88" t="s">
        <v>1381</v>
      </c>
      <c r="D2454" s="88" t="s">
        <v>854</v>
      </c>
      <c r="E2454" s="89">
        <v>30.86</v>
      </c>
      <c r="F2454" s="88" t="s">
        <v>12</v>
      </c>
      <c r="G2454" s="87">
        <f>Table1[[#This Row],[date]]</f>
        <v>45668</v>
      </c>
      <c r="H2454" s="94">
        <f>SUMIF($A$2:A6089,G2454,$E$2:E6089)</f>
        <v>354.15999999999997</v>
      </c>
      <c r="I2454" s="93" t="str">
        <f t="shared" si="153"/>
        <v>Saturday</v>
      </c>
      <c r="J2454" s="93" t="str">
        <f t="shared" si="154"/>
        <v>January</v>
      </c>
      <c r="K2454" s="93" t="str">
        <f t="shared" si="155"/>
        <v>2025</v>
      </c>
      <c r="L2454" s="6"/>
      <c r="M2454" s="6"/>
      <c r="N2454" s="6"/>
    </row>
    <row r="2455" spans="1:14" x14ac:dyDescent="0.3">
      <c r="A2455" s="92">
        <v>45668</v>
      </c>
      <c r="B2455" s="92" t="str">
        <f t="shared" si="152"/>
        <v>Saturday</v>
      </c>
      <c r="C2455" s="93" t="s">
        <v>1381</v>
      </c>
      <c r="D2455" s="93" t="s">
        <v>1099</v>
      </c>
      <c r="E2455" s="94">
        <v>35.76</v>
      </c>
      <c r="F2455" s="93" t="s">
        <v>7</v>
      </c>
      <c r="G2455" s="87">
        <f>Table1[[#This Row],[date]]</f>
        <v>45668</v>
      </c>
      <c r="H2455" s="94">
        <f>SUMIF($A$2:A6090,G2455,$E$2:E6090)</f>
        <v>354.15999999999997</v>
      </c>
      <c r="I2455" s="93" t="str">
        <f t="shared" si="153"/>
        <v>Saturday</v>
      </c>
      <c r="J2455" s="93" t="str">
        <f t="shared" si="154"/>
        <v>January</v>
      </c>
      <c r="K2455" s="93" t="str">
        <f t="shared" si="155"/>
        <v>2025</v>
      </c>
      <c r="L2455" s="6"/>
      <c r="M2455" s="6"/>
      <c r="N2455" s="6"/>
    </row>
    <row r="2456" spans="1:14" x14ac:dyDescent="0.3">
      <c r="A2456" s="87">
        <v>45668</v>
      </c>
      <c r="B2456" s="87" t="str">
        <f t="shared" si="152"/>
        <v>Saturday</v>
      </c>
      <c r="C2456" s="88" t="s">
        <v>1381</v>
      </c>
      <c r="D2456" s="88" t="s">
        <v>1100</v>
      </c>
      <c r="E2456" s="89">
        <v>25.96</v>
      </c>
      <c r="F2456" s="88" t="s">
        <v>9</v>
      </c>
      <c r="G2456" s="87">
        <f>Table1[[#This Row],[date]]</f>
        <v>45668</v>
      </c>
      <c r="H2456" s="94">
        <f>SUMIF($A$2:A6091,G2456,$E$2:E6091)</f>
        <v>354.15999999999997</v>
      </c>
      <c r="I2456" s="93" t="str">
        <f t="shared" si="153"/>
        <v>Saturday</v>
      </c>
      <c r="J2456" s="93" t="str">
        <f t="shared" si="154"/>
        <v>January</v>
      </c>
      <c r="K2456" s="93" t="str">
        <f t="shared" si="155"/>
        <v>2025</v>
      </c>
      <c r="L2456" s="6"/>
      <c r="M2456" s="6"/>
      <c r="N2456" s="6"/>
    </row>
    <row r="2457" spans="1:14" x14ac:dyDescent="0.3">
      <c r="A2457" s="92">
        <v>45668</v>
      </c>
      <c r="B2457" s="92" t="str">
        <f t="shared" si="152"/>
        <v>Saturday</v>
      </c>
      <c r="C2457" s="93" t="s">
        <v>1381</v>
      </c>
      <c r="D2457" s="93" t="s">
        <v>1101</v>
      </c>
      <c r="E2457" s="94">
        <v>35.76</v>
      </c>
      <c r="F2457" s="93" t="s">
        <v>5</v>
      </c>
      <c r="G2457" s="87">
        <f>Table1[[#This Row],[date]]</f>
        <v>45668</v>
      </c>
      <c r="H2457" s="94">
        <f>SUMIF($A$2:A6092,G2457,$E$2:E6092)</f>
        <v>354.15999999999997</v>
      </c>
      <c r="I2457" s="93" t="str">
        <f t="shared" si="153"/>
        <v>Saturday</v>
      </c>
      <c r="J2457" s="93" t="str">
        <f t="shared" si="154"/>
        <v>January</v>
      </c>
      <c r="K2457" s="93" t="str">
        <f t="shared" si="155"/>
        <v>2025</v>
      </c>
      <c r="L2457" s="6"/>
      <c r="M2457" s="6"/>
      <c r="N2457" s="6"/>
    </row>
    <row r="2458" spans="1:14" x14ac:dyDescent="0.3">
      <c r="A2458" s="92">
        <v>45668</v>
      </c>
      <c r="B2458" s="92" t="str">
        <f t="shared" si="152"/>
        <v>Saturday</v>
      </c>
      <c r="C2458" s="93" t="s">
        <v>1381</v>
      </c>
      <c r="D2458" s="93" t="s">
        <v>1102</v>
      </c>
      <c r="E2458" s="94">
        <v>30.86</v>
      </c>
      <c r="F2458" s="93" t="s">
        <v>12</v>
      </c>
      <c r="G2458" s="87">
        <f>Table1[[#This Row],[date]]</f>
        <v>45668</v>
      </c>
      <c r="H2458" s="94">
        <f>SUMIF($A$2:A6093,G2458,$E$2:E6093)</f>
        <v>354.15999999999997</v>
      </c>
      <c r="I2458" s="93" t="str">
        <f t="shared" si="153"/>
        <v>Saturday</v>
      </c>
      <c r="J2458" s="93" t="str">
        <f t="shared" si="154"/>
        <v>January</v>
      </c>
      <c r="K2458" s="93" t="str">
        <f t="shared" si="155"/>
        <v>2025</v>
      </c>
      <c r="L2458" s="6"/>
      <c r="M2458" s="6"/>
      <c r="N2458" s="6"/>
    </row>
    <row r="2459" spans="1:14" x14ac:dyDescent="0.3">
      <c r="A2459" s="87">
        <v>45668</v>
      </c>
      <c r="B2459" s="87" t="str">
        <f t="shared" si="152"/>
        <v>Saturday</v>
      </c>
      <c r="C2459" s="88" t="s">
        <v>1381</v>
      </c>
      <c r="D2459" s="88" t="s">
        <v>1103</v>
      </c>
      <c r="E2459" s="89">
        <v>30.86</v>
      </c>
      <c r="F2459" s="88" t="s">
        <v>12</v>
      </c>
      <c r="G2459" s="87">
        <f>Table1[[#This Row],[date]]</f>
        <v>45668</v>
      </c>
      <c r="H2459" s="94">
        <f>SUMIF($A$2:A6094,G2459,$E$2:E6094)</f>
        <v>354.15999999999997</v>
      </c>
      <c r="I2459" s="93" t="str">
        <f t="shared" si="153"/>
        <v>Saturday</v>
      </c>
      <c r="J2459" s="93" t="str">
        <f t="shared" si="154"/>
        <v>January</v>
      </c>
      <c r="K2459" s="93" t="str">
        <f t="shared" si="155"/>
        <v>2025</v>
      </c>
      <c r="L2459" s="6"/>
      <c r="M2459" s="6"/>
      <c r="N2459" s="6"/>
    </row>
    <row r="2460" spans="1:14" x14ac:dyDescent="0.3">
      <c r="A2460" s="92">
        <v>45668</v>
      </c>
      <c r="B2460" s="92" t="str">
        <f t="shared" si="152"/>
        <v>Saturday</v>
      </c>
      <c r="C2460" s="93" t="s">
        <v>1381</v>
      </c>
      <c r="D2460" s="93" t="s">
        <v>1103</v>
      </c>
      <c r="E2460" s="94">
        <v>35.76</v>
      </c>
      <c r="F2460" s="93" t="s">
        <v>41</v>
      </c>
      <c r="G2460" s="87">
        <f>Table1[[#This Row],[date]]</f>
        <v>45668</v>
      </c>
      <c r="H2460" s="94">
        <f>SUMIF($A$2:A6095,G2460,$E$2:E6095)</f>
        <v>354.15999999999997</v>
      </c>
      <c r="I2460" s="93" t="str">
        <f t="shared" si="153"/>
        <v>Saturday</v>
      </c>
      <c r="J2460" s="93" t="str">
        <f t="shared" si="154"/>
        <v>January</v>
      </c>
      <c r="K2460" s="93" t="str">
        <f t="shared" si="155"/>
        <v>2025</v>
      </c>
      <c r="L2460" s="6"/>
      <c r="M2460" s="6"/>
      <c r="N2460" s="6"/>
    </row>
    <row r="2461" spans="1:14" x14ac:dyDescent="0.3">
      <c r="A2461" s="87">
        <v>45668</v>
      </c>
      <c r="B2461" s="87" t="str">
        <f t="shared" si="152"/>
        <v>Saturday</v>
      </c>
      <c r="C2461" s="88" t="s">
        <v>1381</v>
      </c>
      <c r="D2461" s="88" t="s">
        <v>1104</v>
      </c>
      <c r="E2461" s="89">
        <v>35.76</v>
      </c>
      <c r="F2461" s="88" t="s">
        <v>5</v>
      </c>
      <c r="G2461" s="87">
        <f>Table1[[#This Row],[date]]</f>
        <v>45668</v>
      </c>
      <c r="H2461" s="94">
        <f>SUMIF($A$2:A6096,G2461,$E$2:E6096)</f>
        <v>354.15999999999997</v>
      </c>
      <c r="I2461" s="93" t="str">
        <f t="shared" si="153"/>
        <v>Saturday</v>
      </c>
      <c r="J2461" s="93" t="str">
        <f t="shared" si="154"/>
        <v>January</v>
      </c>
      <c r="K2461" s="93" t="str">
        <f t="shared" si="155"/>
        <v>2025</v>
      </c>
      <c r="L2461" s="6"/>
      <c r="M2461" s="6"/>
      <c r="N2461" s="6"/>
    </row>
    <row r="2462" spans="1:14" x14ac:dyDescent="0.3">
      <c r="A2462" s="92">
        <v>45668</v>
      </c>
      <c r="B2462" s="92" t="str">
        <f t="shared" si="152"/>
        <v>Saturday</v>
      </c>
      <c r="C2462" s="93" t="s">
        <v>1381</v>
      </c>
      <c r="D2462" s="93" t="s">
        <v>1105</v>
      </c>
      <c r="E2462" s="94">
        <v>25.96</v>
      </c>
      <c r="F2462" s="93" t="s">
        <v>26</v>
      </c>
      <c r="G2462" s="87">
        <f>Table1[[#This Row],[date]]</f>
        <v>45668</v>
      </c>
      <c r="H2462" s="94">
        <f>SUMIF($A$2:A6097,G2462,$E$2:E6097)</f>
        <v>354.15999999999997</v>
      </c>
      <c r="I2462" s="93" t="str">
        <f t="shared" si="153"/>
        <v>Saturday</v>
      </c>
      <c r="J2462" s="93" t="str">
        <f t="shared" si="154"/>
        <v>January</v>
      </c>
      <c r="K2462" s="93" t="str">
        <f t="shared" si="155"/>
        <v>2025</v>
      </c>
      <c r="L2462" s="6"/>
      <c r="M2462" s="6"/>
      <c r="N2462" s="6"/>
    </row>
    <row r="2463" spans="1:14" x14ac:dyDescent="0.3">
      <c r="A2463" s="87">
        <v>45668</v>
      </c>
      <c r="B2463" s="87" t="str">
        <f t="shared" si="152"/>
        <v>Saturday</v>
      </c>
      <c r="C2463" s="88" t="s">
        <v>1381</v>
      </c>
      <c r="D2463" s="88" t="s">
        <v>1106</v>
      </c>
      <c r="E2463" s="89">
        <v>35.76</v>
      </c>
      <c r="F2463" s="88" t="s">
        <v>5</v>
      </c>
      <c r="G2463" s="87">
        <f>Table1[[#This Row],[date]]</f>
        <v>45668</v>
      </c>
      <c r="H2463" s="94">
        <f>SUMIF($A$2:A6098,G2463,$E$2:E6098)</f>
        <v>354.15999999999997</v>
      </c>
      <c r="I2463" s="93" t="str">
        <f t="shared" si="153"/>
        <v>Saturday</v>
      </c>
      <c r="J2463" s="93" t="str">
        <f t="shared" si="154"/>
        <v>January</v>
      </c>
      <c r="K2463" s="93" t="str">
        <f t="shared" si="155"/>
        <v>2025</v>
      </c>
      <c r="L2463" s="6"/>
      <c r="M2463" s="6"/>
      <c r="N2463" s="6"/>
    </row>
    <row r="2464" spans="1:14" x14ac:dyDescent="0.3">
      <c r="A2464" s="87">
        <v>45668</v>
      </c>
      <c r="B2464" s="87" t="str">
        <f t="shared" si="152"/>
        <v>Saturday</v>
      </c>
      <c r="C2464" s="88" t="s">
        <v>1381</v>
      </c>
      <c r="D2464" s="88" t="s">
        <v>1107</v>
      </c>
      <c r="E2464" s="89">
        <v>30.86</v>
      </c>
      <c r="F2464" s="88" t="s">
        <v>12</v>
      </c>
      <c r="G2464" s="87">
        <f>Table1[[#This Row],[date]]</f>
        <v>45668</v>
      </c>
      <c r="H2464" s="94">
        <f>SUMIF($A$2:A6099,G2464,$E$2:E6099)</f>
        <v>354.15999999999997</v>
      </c>
      <c r="I2464" s="93" t="str">
        <f t="shared" si="153"/>
        <v>Saturday</v>
      </c>
      <c r="J2464" s="93" t="str">
        <f t="shared" si="154"/>
        <v>January</v>
      </c>
      <c r="K2464" s="93" t="str">
        <f t="shared" si="155"/>
        <v>2025</v>
      </c>
      <c r="L2464" s="6"/>
      <c r="M2464" s="6"/>
      <c r="N2464" s="6"/>
    </row>
    <row r="2465" spans="1:14" x14ac:dyDescent="0.3">
      <c r="A2465" s="92">
        <v>45669</v>
      </c>
      <c r="B2465" s="92" t="str">
        <f t="shared" si="152"/>
        <v>Sunday</v>
      </c>
      <c r="C2465" s="93" t="s">
        <v>1381</v>
      </c>
      <c r="D2465" s="93" t="s">
        <v>854</v>
      </c>
      <c r="E2465" s="94">
        <v>30.86</v>
      </c>
      <c r="F2465" s="93" t="s">
        <v>12</v>
      </c>
      <c r="G2465" s="87">
        <f>Table1[[#This Row],[date]]</f>
        <v>45669</v>
      </c>
      <c r="H2465" s="94">
        <f>SUMIF($A$2:A6100,G2465,$E$2:E6100)</f>
        <v>154.30000000000001</v>
      </c>
      <c r="I2465" s="93" t="str">
        <f t="shared" si="153"/>
        <v>Sunday</v>
      </c>
      <c r="J2465" s="93" t="str">
        <f t="shared" si="154"/>
        <v>January</v>
      </c>
      <c r="K2465" s="93" t="str">
        <f t="shared" si="155"/>
        <v>2025</v>
      </c>
      <c r="L2465" s="6"/>
      <c r="M2465" s="6"/>
      <c r="N2465" s="6"/>
    </row>
    <row r="2466" spans="1:14" x14ac:dyDescent="0.3">
      <c r="A2466" s="87">
        <v>45669</v>
      </c>
      <c r="B2466" s="87" t="str">
        <f t="shared" si="152"/>
        <v>Sunday</v>
      </c>
      <c r="C2466" s="88" t="s">
        <v>1381</v>
      </c>
      <c r="D2466" s="88" t="s">
        <v>854</v>
      </c>
      <c r="E2466" s="89">
        <v>25.96</v>
      </c>
      <c r="F2466" s="88" t="s">
        <v>9</v>
      </c>
      <c r="G2466" s="87">
        <f>Table1[[#This Row],[date]]</f>
        <v>45669</v>
      </c>
      <c r="H2466" s="94">
        <f>SUMIF($A$2:A6101,G2466,$E$2:E6101)</f>
        <v>154.30000000000001</v>
      </c>
      <c r="I2466" s="93" t="str">
        <f t="shared" si="153"/>
        <v>Sunday</v>
      </c>
      <c r="J2466" s="93" t="str">
        <f t="shared" si="154"/>
        <v>January</v>
      </c>
      <c r="K2466" s="93" t="str">
        <f t="shared" si="155"/>
        <v>2025</v>
      </c>
      <c r="L2466" s="6"/>
      <c r="M2466" s="6"/>
      <c r="N2466" s="6"/>
    </row>
    <row r="2467" spans="1:14" x14ac:dyDescent="0.3">
      <c r="A2467" s="92">
        <v>45669</v>
      </c>
      <c r="B2467" s="92" t="str">
        <f t="shared" si="152"/>
        <v>Sunday</v>
      </c>
      <c r="C2467" s="93" t="s">
        <v>1381</v>
      </c>
      <c r="D2467" s="93" t="s">
        <v>21</v>
      </c>
      <c r="E2467" s="94">
        <v>30.86</v>
      </c>
      <c r="F2467" s="93" t="s">
        <v>12</v>
      </c>
      <c r="G2467" s="87">
        <f>Table1[[#This Row],[date]]</f>
        <v>45669</v>
      </c>
      <c r="H2467" s="94">
        <f>SUMIF($A$2:A6102,G2467,$E$2:E6102)</f>
        <v>154.30000000000001</v>
      </c>
      <c r="I2467" s="93" t="str">
        <f t="shared" si="153"/>
        <v>Sunday</v>
      </c>
      <c r="J2467" s="93" t="str">
        <f t="shared" si="154"/>
        <v>January</v>
      </c>
      <c r="K2467" s="93" t="str">
        <f t="shared" si="155"/>
        <v>2025</v>
      </c>
      <c r="L2467" s="6"/>
      <c r="M2467" s="6"/>
      <c r="N2467" s="6"/>
    </row>
    <row r="2468" spans="1:14" x14ac:dyDescent="0.3">
      <c r="A2468" s="87">
        <v>45669</v>
      </c>
      <c r="B2468" s="87" t="str">
        <f t="shared" si="152"/>
        <v>Sunday</v>
      </c>
      <c r="C2468" s="88" t="s">
        <v>1381</v>
      </c>
      <c r="D2468" s="88" t="s">
        <v>1108</v>
      </c>
      <c r="E2468" s="89">
        <v>35.76</v>
      </c>
      <c r="F2468" s="88" t="s">
        <v>7</v>
      </c>
      <c r="G2468" s="87">
        <f>Table1[[#This Row],[date]]</f>
        <v>45669</v>
      </c>
      <c r="H2468" s="94">
        <f>SUMIF($A$2:A6103,G2468,$E$2:E6103)</f>
        <v>154.30000000000001</v>
      </c>
      <c r="I2468" s="93" t="str">
        <f t="shared" si="153"/>
        <v>Sunday</v>
      </c>
      <c r="J2468" s="93" t="str">
        <f t="shared" si="154"/>
        <v>January</v>
      </c>
      <c r="K2468" s="93" t="str">
        <f t="shared" si="155"/>
        <v>2025</v>
      </c>
      <c r="L2468" s="6"/>
      <c r="M2468" s="6"/>
      <c r="N2468" s="6"/>
    </row>
    <row r="2469" spans="1:14" x14ac:dyDescent="0.3">
      <c r="A2469" s="92">
        <v>45669</v>
      </c>
      <c r="B2469" s="92" t="str">
        <f t="shared" si="152"/>
        <v>Sunday</v>
      </c>
      <c r="C2469" s="93" t="s">
        <v>1381</v>
      </c>
      <c r="D2469" s="93" t="s">
        <v>1109</v>
      </c>
      <c r="E2469" s="94">
        <v>30.86</v>
      </c>
      <c r="F2469" s="93" t="s">
        <v>12</v>
      </c>
      <c r="G2469" s="87">
        <f>Table1[[#This Row],[date]]</f>
        <v>45669</v>
      </c>
      <c r="H2469" s="94">
        <f>SUMIF($A$2:A6104,G2469,$E$2:E6104)</f>
        <v>154.30000000000001</v>
      </c>
      <c r="I2469" s="93" t="str">
        <f t="shared" si="153"/>
        <v>Sunday</v>
      </c>
      <c r="J2469" s="93" t="str">
        <f t="shared" si="154"/>
        <v>January</v>
      </c>
      <c r="K2469" s="93" t="str">
        <f t="shared" si="155"/>
        <v>2025</v>
      </c>
      <c r="L2469" s="6"/>
      <c r="M2469" s="6"/>
      <c r="N2469" s="6"/>
    </row>
    <row r="2470" spans="1:14" x14ac:dyDescent="0.3">
      <c r="A2470" s="87">
        <v>45670</v>
      </c>
      <c r="B2470" s="87" t="str">
        <f t="shared" si="152"/>
        <v>Monday</v>
      </c>
      <c r="C2470" s="88" t="s">
        <v>1381</v>
      </c>
      <c r="D2470" s="88" t="s">
        <v>545</v>
      </c>
      <c r="E2470" s="89">
        <v>30.86</v>
      </c>
      <c r="F2470" s="88" t="s">
        <v>12</v>
      </c>
      <c r="G2470" s="87">
        <f>Table1[[#This Row],[date]]</f>
        <v>45670</v>
      </c>
      <c r="H2470" s="94">
        <f>SUMIF($A$2:A6105,G2470,$E$2:E6105)</f>
        <v>251.77999999999997</v>
      </c>
      <c r="I2470" s="93" t="str">
        <f t="shared" si="153"/>
        <v>Monday</v>
      </c>
      <c r="J2470" s="93" t="str">
        <f t="shared" si="154"/>
        <v>January</v>
      </c>
      <c r="K2470" s="93" t="str">
        <f t="shared" si="155"/>
        <v>2025</v>
      </c>
      <c r="L2470" s="6"/>
      <c r="M2470" s="6"/>
      <c r="N2470" s="6"/>
    </row>
    <row r="2471" spans="1:14" x14ac:dyDescent="0.3">
      <c r="A2471" s="92">
        <v>45670</v>
      </c>
      <c r="B2471" s="92" t="str">
        <f t="shared" si="152"/>
        <v>Monday</v>
      </c>
      <c r="C2471" s="93" t="s">
        <v>1381</v>
      </c>
      <c r="D2471" s="93" t="s">
        <v>288</v>
      </c>
      <c r="E2471" s="94">
        <v>30.86</v>
      </c>
      <c r="F2471" s="93" t="s">
        <v>12</v>
      </c>
      <c r="G2471" s="87">
        <f>Table1[[#This Row],[date]]</f>
        <v>45670</v>
      </c>
      <c r="H2471" s="94">
        <f>SUMIF($A$2:A6106,G2471,$E$2:E6106)</f>
        <v>251.77999999999997</v>
      </c>
      <c r="I2471" s="93" t="str">
        <f t="shared" si="153"/>
        <v>Monday</v>
      </c>
      <c r="J2471" s="93" t="str">
        <f t="shared" si="154"/>
        <v>January</v>
      </c>
      <c r="K2471" s="93" t="str">
        <f t="shared" si="155"/>
        <v>2025</v>
      </c>
      <c r="L2471" s="6"/>
      <c r="M2471" s="6"/>
      <c r="N2471" s="6"/>
    </row>
    <row r="2472" spans="1:14" x14ac:dyDescent="0.3">
      <c r="A2472" s="87">
        <v>45670</v>
      </c>
      <c r="B2472" s="87" t="str">
        <f t="shared" si="152"/>
        <v>Monday</v>
      </c>
      <c r="C2472" s="88" t="s">
        <v>1381</v>
      </c>
      <c r="D2472" s="88" t="s">
        <v>1046</v>
      </c>
      <c r="E2472" s="89">
        <v>25.96</v>
      </c>
      <c r="F2472" s="88" t="s">
        <v>26</v>
      </c>
      <c r="G2472" s="87">
        <f>Table1[[#This Row],[date]]</f>
        <v>45670</v>
      </c>
      <c r="H2472" s="94">
        <f>SUMIF($A$2:A6107,G2472,$E$2:E6107)</f>
        <v>251.77999999999997</v>
      </c>
      <c r="I2472" s="93" t="str">
        <f t="shared" si="153"/>
        <v>Monday</v>
      </c>
      <c r="J2472" s="93" t="str">
        <f t="shared" si="154"/>
        <v>January</v>
      </c>
      <c r="K2472" s="93" t="str">
        <f t="shared" si="155"/>
        <v>2025</v>
      </c>
      <c r="L2472" s="6"/>
      <c r="M2472" s="6"/>
      <c r="N2472" s="6"/>
    </row>
    <row r="2473" spans="1:14" x14ac:dyDescent="0.3">
      <c r="A2473" s="92">
        <v>45670</v>
      </c>
      <c r="B2473" s="92" t="str">
        <f t="shared" si="152"/>
        <v>Monday</v>
      </c>
      <c r="C2473" s="93" t="s">
        <v>1381</v>
      </c>
      <c r="D2473" s="93" t="s">
        <v>918</v>
      </c>
      <c r="E2473" s="94">
        <v>35.76</v>
      </c>
      <c r="F2473" s="93" t="s">
        <v>5</v>
      </c>
      <c r="G2473" s="87">
        <f>Table1[[#This Row],[date]]</f>
        <v>45670</v>
      </c>
      <c r="H2473" s="94">
        <f>SUMIF($A$2:A6108,G2473,$E$2:E6108)</f>
        <v>251.77999999999997</v>
      </c>
      <c r="I2473" s="93" t="str">
        <f t="shared" si="153"/>
        <v>Monday</v>
      </c>
      <c r="J2473" s="93" t="str">
        <f t="shared" si="154"/>
        <v>January</v>
      </c>
      <c r="K2473" s="93" t="str">
        <f t="shared" si="155"/>
        <v>2025</v>
      </c>
      <c r="L2473" s="6"/>
      <c r="M2473" s="6"/>
      <c r="N2473" s="6"/>
    </row>
    <row r="2474" spans="1:14" x14ac:dyDescent="0.3">
      <c r="A2474" s="87">
        <v>45670</v>
      </c>
      <c r="B2474" s="87" t="str">
        <f t="shared" si="152"/>
        <v>Monday</v>
      </c>
      <c r="C2474" s="88" t="s">
        <v>1381</v>
      </c>
      <c r="D2474" s="88" t="s">
        <v>1110</v>
      </c>
      <c r="E2474" s="89">
        <v>35.76</v>
      </c>
      <c r="F2474" s="88" t="s">
        <v>5</v>
      </c>
      <c r="G2474" s="87">
        <f>Table1[[#This Row],[date]]</f>
        <v>45670</v>
      </c>
      <c r="H2474" s="94">
        <f>SUMIF($A$2:A6109,G2474,$E$2:E6109)</f>
        <v>251.77999999999997</v>
      </c>
      <c r="I2474" s="93" t="str">
        <f t="shared" si="153"/>
        <v>Monday</v>
      </c>
      <c r="J2474" s="93" t="str">
        <f t="shared" si="154"/>
        <v>January</v>
      </c>
      <c r="K2474" s="93" t="str">
        <f t="shared" si="155"/>
        <v>2025</v>
      </c>
      <c r="L2474" s="6"/>
      <c r="M2474" s="6"/>
      <c r="N2474" s="6"/>
    </row>
    <row r="2475" spans="1:14" x14ac:dyDescent="0.3">
      <c r="A2475" s="92">
        <v>45670</v>
      </c>
      <c r="B2475" s="92" t="str">
        <f t="shared" si="152"/>
        <v>Monday</v>
      </c>
      <c r="C2475" s="93" t="s">
        <v>1381</v>
      </c>
      <c r="D2475" s="93" t="s">
        <v>1110</v>
      </c>
      <c r="E2475" s="94">
        <v>35.76</v>
      </c>
      <c r="F2475" s="93" t="s">
        <v>41</v>
      </c>
      <c r="G2475" s="87">
        <f>Table1[[#This Row],[date]]</f>
        <v>45670</v>
      </c>
      <c r="H2475" s="94">
        <f>SUMIF($A$2:A6110,G2475,$E$2:E6110)</f>
        <v>251.77999999999997</v>
      </c>
      <c r="I2475" s="93" t="str">
        <f t="shared" si="153"/>
        <v>Monday</v>
      </c>
      <c r="J2475" s="93" t="str">
        <f t="shared" si="154"/>
        <v>January</v>
      </c>
      <c r="K2475" s="93" t="str">
        <f t="shared" si="155"/>
        <v>2025</v>
      </c>
      <c r="L2475" s="6"/>
      <c r="M2475" s="6"/>
      <c r="N2475" s="6"/>
    </row>
    <row r="2476" spans="1:14" x14ac:dyDescent="0.3">
      <c r="A2476" s="87">
        <v>45670</v>
      </c>
      <c r="B2476" s="87" t="str">
        <f t="shared" si="152"/>
        <v>Monday</v>
      </c>
      <c r="C2476" s="88" t="s">
        <v>1381</v>
      </c>
      <c r="D2476" s="88" t="s">
        <v>1111</v>
      </c>
      <c r="E2476" s="89">
        <v>35.76</v>
      </c>
      <c r="F2476" s="88" t="s">
        <v>5</v>
      </c>
      <c r="G2476" s="87">
        <f>Table1[[#This Row],[date]]</f>
        <v>45670</v>
      </c>
      <c r="H2476" s="94">
        <f>SUMIF($A$2:A6111,G2476,$E$2:E6111)</f>
        <v>251.77999999999997</v>
      </c>
      <c r="I2476" s="93" t="str">
        <f t="shared" si="153"/>
        <v>Monday</v>
      </c>
      <c r="J2476" s="93" t="str">
        <f t="shared" si="154"/>
        <v>January</v>
      </c>
      <c r="K2476" s="93" t="str">
        <f t="shared" si="155"/>
        <v>2025</v>
      </c>
      <c r="L2476" s="6"/>
      <c r="M2476" s="6"/>
      <c r="N2476" s="6"/>
    </row>
    <row r="2477" spans="1:14" x14ac:dyDescent="0.3">
      <c r="A2477" s="92">
        <v>45670</v>
      </c>
      <c r="B2477" s="92" t="str">
        <f t="shared" si="152"/>
        <v>Monday</v>
      </c>
      <c r="C2477" s="93" t="s">
        <v>1381</v>
      </c>
      <c r="D2477" s="93" t="s">
        <v>62</v>
      </c>
      <c r="E2477" s="94">
        <v>21.06</v>
      </c>
      <c r="F2477" s="93" t="s">
        <v>33</v>
      </c>
      <c r="G2477" s="87">
        <f>Table1[[#This Row],[date]]</f>
        <v>45670</v>
      </c>
      <c r="H2477" s="94">
        <f>SUMIF($A$2:A6112,G2477,$E$2:E6112)</f>
        <v>251.77999999999997</v>
      </c>
      <c r="I2477" s="93" t="str">
        <f t="shared" si="153"/>
        <v>Monday</v>
      </c>
      <c r="J2477" s="93" t="str">
        <f t="shared" si="154"/>
        <v>January</v>
      </c>
      <c r="K2477" s="93" t="str">
        <f t="shared" si="155"/>
        <v>2025</v>
      </c>
      <c r="L2477" s="6"/>
      <c r="M2477" s="6"/>
      <c r="N2477" s="6"/>
    </row>
    <row r="2478" spans="1:14" x14ac:dyDescent="0.3">
      <c r="A2478" s="87">
        <v>45671</v>
      </c>
      <c r="B2478" s="87" t="str">
        <f t="shared" si="152"/>
        <v>Tuesday</v>
      </c>
      <c r="C2478" s="88" t="s">
        <v>1381</v>
      </c>
      <c r="D2478" s="88" t="s">
        <v>694</v>
      </c>
      <c r="E2478" s="89">
        <v>35.76</v>
      </c>
      <c r="F2478" s="88" t="s">
        <v>5</v>
      </c>
      <c r="G2478" s="87">
        <f>Table1[[#This Row],[date]]</f>
        <v>45671</v>
      </c>
      <c r="H2478" s="94">
        <f>SUMIF($A$2:A6113,G2478,$E$2:E6113)</f>
        <v>230.71999999999997</v>
      </c>
      <c r="I2478" s="93" t="str">
        <f t="shared" si="153"/>
        <v>Tuesday</v>
      </c>
      <c r="J2478" s="93" t="str">
        <f t="shared" si="154"/>
        <v>January</v>
      </c>
      <c r="K2478" s="93" t="str">
        <f t="shared" si="155"/>
        <v>2025</v>
      </c>
      <c r="L2478" s="6"/>
      <c r="M2478" s="6"/>
      <c r="N2478" s="6"/>
    </row>
    <row r="2479" spans="1:14" x14ac:dyDescent="0.3">
      <c r="A2479" s="92">
        <v>45671</v>
      </c>
      <c r="B2479" s="92" t="str">
        <f t="shared" si="152"/>
        <v>Tuesday</v>
      </c>
      <c r="C2479" s="93" t="s">
        <v>1381</v>
      </c>
      <c r="D2479" s="93" t="s">
        <v>1041</v>
      </c>
      <c r="E2479" s="94">
        <v>25.96</v>
      </c>
      <c r="F2479" s="93" t="s">
        <v>26</v>
      </c>
      <c r="G2479" s="87">
        <f>Table1[[#This Row],[date]]</f>
        <v>45671</v>
      </c>
      <c r="H2479" s="94">
        <f>SUMIF($A$2:A6114,G2479,$E$2:E6114)</f>
        <v>230.71999999999997</v>
      </c>
      <c r="I2479" s="93" t="str">
        <f t="shared" si="153"/>
        <v>Tuesday</v>
      </c>
      <c r="J2479" s="93" t="str">
        <f t="shared" si="154"/>
        <v>January</v>
      </c>
      <c r="K2479" s="93" t="str">
        <f t="shared" si="155"/>
        <v>2025</v>
      </c>
      <c r="L2479" s="6"/>
      <c r="M2479" s="6"/>
      <c r="N2479" s="6"/>
    </row>
    <row r="2480" spans="1:14" x14ac:dyDescent="0.3">
      <c r="A2480" s="87">
        <v>45671</v>
      </c>
      <c r="B2480" s="87" t="str">
        <f t="shared" si="152"/>
        <v>Tuesday</v>
      </c>
      <c r="C2480" s="88" t="s">
        <v>1381</v>
      </c>
      <c r="D2480" s="88" t="s">
        <v>288</v>
      </c>
      <c r="E2480" s="89">
        <v>30.86</v>
      </c>
      <c r="F2480" s="88" t="s">
        <v>12</v>
      </c>
      <c r="G2480" s="87">
        <f>Table1[[#This Row],[date]]</f>
        <v>45671</v>
      </c>
      <c r="H2480" s="94">
        <f>SUMIF($A$2:A6115,G2480,$E$2:E6115)</f>
        <v>230.71999999999997</v>
      </c>
      <c r="I2480" s="93" t="str">
        <f t="shared" si="153"/>
        <v>Tuesday</v>
      </c>
      <c r="J2480" s="93" t="str">
        <f t="shared" si="154"/>
        <v>January</v>
      </c>
      <c r="K2480" s="93" t="str">
        <f t="shared" si="155"/>
        <v>2025</v>
      </c>
      <c r="L2480" s="6"/>
      <c r="M2480" s="6"/>
      <c r="N2480" s="6"/>
    </row>
    <row r="2481" spans="1:14" x14ac:dyDescent="0.3">
      <c r="A2481" s="92">
        <v>45671</v>
      </c>
      <c r="B2481" s="92" t="str">
        <f t="shared" si="152"/>
        <v>Tuesday</v>
      </c>
      <c r="C2481" s="93" t="s">
        <v>1381</v>
      </c>
      <c r="D2481" s="93" t="s">
        <v>1112</v>
      </c>
      <c r="E2481" s="94">
        <v>35.76</v>
      </c>
      <c r="F2481" s="93" t="s">
        <v>5</v>
      </c>
      <c r="G2481" s="87">
        <f>Table1[[#This Row],[date]]</f>
        <v>45671</v>
      </c>
      <c r="H2481" s="94">
        <f>SUMIF($A$2:A6116,G2481,$E$2:E6116)</f>
        <v>230.71999999999997</v>
      </c>
      <c r="I2481" s="93" t="str">
        <f t="shared" si="153"/>
        <v>Tuesday</v>
      </c>
      <c r="J2481" s="93" t="str">
        <f t="shared" si="154"/>
        <v>January</v>
      </c>
      <c r="K2481" s="93" t="str">
        <f t="shared" si="155"/>
        <v>2025</v>
      </c>
      <c r="L2481" s="6"/>
      <c r="M2481" s="6"/>
      <c r="N2481" s="6"/>
    </row>
    <row r="2482" spans="1:14" x14ac:dyDescent="0.3">
      <c r="A2482" s="87">
        <v>45671</v>
      </c>
      <c r="B2482" s="87" t="str">
        <f t="shared" si="152"/>
        <v>Tuesday</v>
      </c>
      <c r="C2482" s="88" t="s">
        <v>1381</v>
      </c>
      <c r="D2482" s="88" t="s">
        <v>1113</v>
      </c>
      <c r="E2482" s="89">
        <v>30.86</v>
      </c>
      <c r="F2482" s="88" t="s">
        <v>12</v>
      </c>
      <c r="G2482" s="87">
        <f>Table1[[#This Row],[date]]</f>
        <v>45671</v>
      </c>
      <c r="H2482" s="94">
        <f>SUMIF($A$2:A6117,G2482,$E$2:E6117)</f>
        <v>230.71999999999997</v>
      </c>
      <c r="I2482" s="93" t="str">
        <f t="shared" si="153"/>
        <v>Tuesday</v>
      </c>
      <c r="J2482" s="93" t="str">
        <f t="shared" si="154"/>
        <v>January</v>
      </c>
      <c r="K2482" s="93" t="str">
        <f t="shared" si="155"/>
        <v>2025</v>
      </c>
      <c r="L2482" s="6"/>
      <c r="M2482" s="6"/>
      <c r="N2482" s="6"/>
    </row>
    <row r="2483" spans="1:14" x14ac:dyDescent="0.3">
      <c r="A2483" s="87">
        <v>45671</v>
      </c>
      <c r="B2483" s="87" t="str">
        <f t="shared" si="152"/>
        <v>Tuesday</v>
      </c>
      <c r="C2483" s="88" t="s">
        <v>1381</v>
      </c>
      <c r="D2483" s="88" t="s">
        <v>218</v>
      </c>
      <c r="E2483" s="89">
        <v>35.76</v>
      </c>
      <c r="F2483" s="88" t="s">
        <v>41</v>
      </c>
      <c r="G2483" s="87">
        <f>Table1[[#This Row],[date]]</f>
        <v>45671</v>
      </c>
      <c r="H2483" s="94">
        <f>SUMIF($A$2:A6118,G2483,$E$2:E6118)</f>
        <v>230.71999999999997</v>
      </c>
      <c r="I2483" s="93" t="str">
        <f t="shared" si="153"/>
        <v>Tuesday</v>
      </c>
      <c r="J2483" s="93" t="str">
        <f t="shared" si="154"/>
        <v>January</v>
      </c>
      <c r="K2483" s="93" t="str">
        <f t="shared" si="155"/>
        <v>2025</v>
      </c>
      <c r="L2483" s="6"/>
      <c r="M2483" s="6"/>
      <c r="N2483" s="6"/>
    </row>
    <row r="2484" spans="1:14" x14ac:dyDescent="0.3">
      <c r="A2484" s="92">
        <v>45671</v>
      </c>
      <c r="B2484" s="92" t="str">
        <f t="shared" si="152"/>
        <v>Tuesday</v>
      </c>
      <c r="C2484" s="93" t="s">
        <v>1381</v>
      </c>
      <c r="D2484" s="93" t="s">
        <v>1109</v>
      </c>
      <c r="E2484" s="94">
        <v>35.76</v>
      </c>
      <c r="F2484" s="93" t="s">
        <v>5</v>
      </c>
      <c r="G2484" s="87">
        <f>Table1[[#This Row],[date]]</f>
        <v>45671</v>
      </c>
      <c r="H2484" s="94">
        <f>SUMIF($A$2:A6119,G2484,$E$2:E6119)</f>
        <v>230.71999999999997</v>
      </c>
      <c r="I2484" s="93" t="str">
        <f t="shared" si="153"/>
        <v>Tuesday</v>
      </c>
      <c r="J2484" s="93" t="str">
        <f t="shared" si="154"/>
        <v>January</v>
      </c>
      <c r="K2484" s="93" t="str">
        <f t="shared" si="155"/>
        <v>2025</v>
      </c>
      <c r="L2484" s="6"/>
      <c r="M2484" s="6"/>
      <c r="N2484" s="6"/>
    </row>
    <row r="2485" spans="1:14" x14ac:dyDescent="0.3">
      <c r="A2485" s="87">
        <v>45672</v>
      </c>
      <c r="B2485" s="87" t="str">
        <f t="shared" si="152"/>
        <v>Wednesday</v>
      </c>
      <c r="C2485" s="88" t="s">
        <v>1381</v>
      </c>
      <c r="D2485" s="88" t="s">
        <v>431</v>
      </c>
      <c r="E2485" s="89">
        <v>30.86</v>
      </c>
      <c r="F2485" s="88" t="s">
        <v>12</v>
      </c>
      <c r="G2485" s="87">
        <f>Table1[[#This Row],[date]]</f>
        <v>45672</v>
      </c>
      <c r="H2485" s="94">
        <f>SUMIF($A$2:A6120,G2485,$E$2:E6120)</f>
        <v>307.14</v>
      </c>
      <c r="I2485" s="93" t="str">
        <f t="shared" si="153"/>
        <v>Wednesday</v>
      </c>
      <c r="J2485" s="93" t="str">
        <f t="shared" si="154"/>
        <v>January</v>
      </c>
      <c r="K2485" s="93" t="str">
        <f t="shared" si="155"/>
        <v>2025</v>
      </c>
      <c r="L2485" s="6"/>
      <c r="M2485" s="6"/>
      <c r="N2485" s="6"/>
    </row>
    <row r="2486" spans="1:14" x14ac:dyDescent="0.3">
      <c r="A2486" s="92">
        <v>45672</v>
      </c>
      <c r="B2486" s="92" t="str">
        <f t="shared" si="152"/>
        <v>Wednesday</v>
      </c>
      <c r="C2486" s="93" t="s">
        <v>1381</v>
      </c>
      <c r="D2486" s="93" t="s">
        <v>1114</v>
      </c>
      <c r="E2486" s="94">
        <v>25.96</v>
      </c>
      <c r="F2486" s="93" t="s">
        <v>9</v>
      </c>
      <c r="G2486" s="87">
        <f>Table1[[#This Row],[date]]</f>
        <v>45672</v>
      </c>
      <c r="H2486" s="94">
        <f>SUMIF($A$2:A6121,G2486,$E$2:E6121)</f>
        <v>307.14</v>
      </c>
      <c r="I2486" s="93" t="str">
        <f t="shared" si="153"/>
        <v>Wednesday</v>
      </c>
      <c r="J2486" s="93" t="str">
        <f t="shared" si="154"/>
        <v>January</v>
      </c>
      <c r="K2486" s="93" t="str">
        <f t="shared" si="155"/>
        <v>2025</v>
      </c>
      <c r="L2486" s="6"/>
      <c r="M2486" s="6"/>
      <c r="N2486" s="6"/>
    </row>
    <row r="2487" spans="1:14" x14ac:dyDescent="0.3">
      <c r="A2487" s="87">
        <v>45672</v>
      </c>
      <c r="B2487" s="87" t="str">
        <f t="shared" si="152"/>
        <v>Wednesday</v>
      </c>
      <c r="C2487" s="88" t="s">
        <v>1381</v>
      </c>
      <c r="D2487" s="88" t="s">
        <v>898</v>
      </c>
      <c r="E2487" s="89">
        <v>35.76</v>
      </c>
      <c r="F2487" s="88" t="s">
        <v>41</v>
      </c>
      <c r="G2487" s="87">
        <f>Table1[[#This Row],[date]]</f>
        <v>45672</v>
      </c>
      <c r="H2487" s="94">
        <f>SUMIF($A$2:A6122,G2487,$E$2:E6122)</f>
        <v>307.14</v>
      </c>
      <c r="I2487" s="93" t="str">
        <f t="shared" si="153"/>
        <v>Wednesday</v>
      </c>
      <c r="J2487" s="93" t="str">
        <f t="shared" si="154"/>
        <v>January</v>
      </c>
      <c r="K2487" s="93" t="str">
        <f t="shared" si="155"/>
        <v>2025</v>
      </c>
      <c r="L2487" s="6"/>
      <c r="M2487" s="6"/>
      <c r="N2487" s="6"/>
    </row>
    <row r="2488" spans="1:14" x14ac:dyDescent="0.3">
      <c r="A2488" s="92">
        <v>45672</v>
      </c>
      <c r="B2488" s="92" t="str">
        <f t="shared" si="152"/>
        <v>Wednesday</v>
      </c>
      <c r="C2488" s="93" t="s">
        <v>1381</v>
      </c>
      <c r="D2488" s="93" t="s">
        <v>646</v>
      </c>
      <c r="E2488" s="94">
        <v>35.76</v>
      </c>
      <c r="F2488" s="93" t="s">
        <v>5</v>
      </c>
      <c r="G2488" s="87">
        <f>Table1[[#This Row],[date]]</f>
        <v>45672</v>
      </c>
      <c r="H2488" s="94">
        <f>SUMIF($A$2:A6123,G2488,$E$2:E6123)</f>
        <v>307.14</v>
      </c>
      <c r="I2488" s="93" t="str">
        <f t="shared" si="153"/>
        <v>Wednesday</v>
      </c>
      <c r="J2488" s="93" t="str">
        <f t="shared" si="154"/>
        <v>January</v>
      </c>
      <c r="K2488" s="93" t="str">
        <f t="shared" si="155"/>
        <v>2025</v>
      </c>
      <c r="L2488" s="6"/>
      <c r="M2488" s="6"/>
      <c r="N2488" s="6"/>
    </row>
    <row r="2489" spans="1:14" x14ac:dyDescent="0.3">
      <c r="A2489" s="87">
        <v>45672</v>
      </c>
      <c r="B2489" s="87" t="str">
        <f t="shared" si="152"/>
        <v>Wednesday</v>
      </c>
      <c r="C2489" s="88" t="s">
        <v>1381</v>
      </c>
      <c r="D2489" s="88" t="s">
        <v>1115</v>
      </c>
      <c r="E2489" s="89">
        <v>35.76</v>
      </c>
      <c r="F2489" s="88" t="s">
        <v>41</v>
      </c>
      <c r="G2489" s="87">
        <f>Table1[[#This Row],[date]]</f>
        <v>45672</v>
      </c>
      <c r="H2489" s="94">
        <f>SUMIF($A$2:A6124,G2489,$E$2:E6124)</f>
        <v>307.14</v>
      </c>
      <c r="I2489" s="93" t="str">
        <f t="shared" si="153"/>
        <v>Wednesday</v>
      </c>
      <c r="J2489" s="93" t="str">
        <f t="shared" si="154"/>
        <v>January</v>
      </c>
      <c r="K2489" s="93" t="str">
        <f t="shared" si="155"/>
        <v>2025</v>
      </c>
      <c r="L2489" s="6"/>
      <c r="M2489" s="6"/>
      <c r="N2489" s="6"/>
    </row>
    <row r="2490" spans="1:14" x14ac:dyDescent="0.3">
      <c r="A2490" s="87">
        <v>45672</v>
      </c>
      <c r="B2490" s="87" t="str">
        <f t="shared" si="152"/>
        <v>Wednesday</v>
      </c>
      <c r="C2490" s="88" t="s">
        <v>1381</v>
      </c>
      <c r="D2490" s="88" t="s">
        <v>1116</v>
      </c>
      <c r="E2490" s="89">
        <v>35.76</v>
      </c>
      <c r="F2490" s="88" t="s">
        <v>5</v>
      </c>
      <c r="G2490" s="87">
        <f>Table1[[#This Row],[date]]</f>
        <v>45672</v>
      </c>
      <c r="H2490" s="94">
        <f>SUMIF($A$2:A6125,G2490,$E$2:E6125)</f>
        <v>307.14</v>
      </c>
      <c r="I2490" s="93" t="str">
        <f t="shared" si="153"/>
        <v>Wednesday</v>
      </c>
      <c r="J2490" s="93" t="str">
        <f t="shared" si="154"/>
        <v>January</v>
      </c>
      <c r="K2490" s="93" t="str">
        <f t="shared" si="155"/>
        <v>2025</v>
      </c>
      <c r="L2490" s="6"/>
      <c r="M2490" s="6"/>
      <c r="N2490" s="6"/>
    </row>
    <row r="2491" spans="1:14" x14ac:dyDescent="0.3">
      <c r="A2491" s="92">
        <v>45672</v>
      </c>
      <c r="B2491" s="92" t="str">
        <f t="shared" si="152"/>
        <v>Wednesday</v>
      </c>
      <c r="C2491" s="93" t="s">
        <v>1381</v>
      </c>
      <c r="D2491" s="93" t="s">
        <v>1117</v>
      </c>
      <c r="E2491" s="94">
        <v>35.76</v>
      </c>
      <c r="F2491" s="93" t="s">
        <v>5</v>
      </c>
      <c r="G2491" s="87">
        <f>Table1[[#This Row],[date]]</f>
        <v>45672</v>
      </c>
      <c r="H2491" s="94">
        <f>SUMIF($A$2:A6126,G2491,$E$2:E6126)</f>
        <v>307.14</v>
      </c>
      <c r="I2491" s="93" t="str">
        <f t="shared" si="153"/>
        <v>Wednesday</v>
      </c>
      <c r="J2491" s="93" t="str">
        <f t="shared" si="154"/>
        <v>January</v>
      </c>
      <c r="K2491" s="93" t="str">
        <f t="shared" si="155"/>
        <v>2025</v>
      </c>
      <c r="L2491" s="6"/>
      <c r="M2491" s="6"/>
      <c r="N2491" s="6"/>
    </row>
    <row r="2492" spans="1:14" x14ac:dyDescent="0.3">
      <c r="A2492" s="87">
        <v>45672</v>
      </c>
      <c r="B2492" s="87" t="str">
        <f t="shared" si="152"/>
        <v>Wednesday</v>
      </c>
      <c r="C2492" s="88" t="s">
        <v>1381</v>
      </c>
      <c r="D2492" s="88" t="s">
        <v>1109</v>
      </c>
      <c r="E2492" s="89">
        <v>35.76</v>
      </c>
      <c r="F2492" s="88" t="s">
        <v>5</v>
      </c>
      <c r="G2492" s="87">
        <f>Table1[[#This Row],[date]]</f>
        <v>45672</v>
      </c>
      <c r="H2492" s="94">
        <f>SUMIF($A$2:A6127,G2492,$E$2:E6127)</f>
        <v>307.14</v>
      </c>
      <c r="I2492" s="93" t="str">
        <f t="shared" si="153"/>
        <v>Wednesday</v>
      </c>
      <c r="J2492" s="93" t="str">
        <f t="shared" si="154"/>
        <v>January</v>
      </c>
      <c r="K2492" s="93" t="str">
        <f t="shared" si="155"/>
        <v>2025</v>
      </c>
      <c r="L2492" s="6"/>
      <c r="M2492" s="6"/>
      <c r="N2492" s="6"/>
    </row>
    <row r="2493" spans="1:14" x14ac:dyDescent="0.3">
      <c r="A2493" s="92">
        <v>45672</v>
      </c>
      <c r="B2493" s="92" t="str">
        <f t="shared" si="152"/>
        <v>Wednesday</v>
      </c>
      <c r="C2493" s="93" t="s">
        <v>1381</v>
      </c>
      <c r="D2493" s="93" t="s">
        <v>743</v>
      </c>
      <c r="E2493" s="94">
        <v>35.76</v>
      </c>
      <c r="F2493" s="93" t="s">
        <v>41</v>
      </c>
      <c r="G2493" s="87">
        <f>Table1[[#This Row],[date]]</f>
        <v>45672</v>
      </c>
      <c r="H2493" s="94">
        <f>SUMIF($A$2:A6128,G2493,$E$2:E6128)</f>
        <v>307.14</v>
      </c>
      <c r="I2493" s="93" t="str">
        <f t="shared" si="153"/>
        <v>Wednesday</v>
      </c>
      <c r="J2493" s="93" t="str">
        <f t="shared" si="154"/>
        <v>January</v>
      </c>
      <c r="K2493" s="93" t="str">
        <f t="shared" si="155"/>
        <v>2025</v>
      </c>
      <c r="L2493" s="6"/>
      <c r="M2493" s="6"/>
      <c r="N2493" s="6"/>
    </row>
    <row r="2494" spans="1:14" x14ac:dyDescent="0.3">
      <c r="A2494" s="87">
        <v>45673</v>
      </c>
      <c r="B2494" s="87" t="str">
        <f t="shared" si="152"/>
        <v>Thursday</v>
      </c>
      <c r="C2494" s="88" t="s">
        <v>1381</v>
      </c>
      <c r="D2494" s="88" t="s">
        <v>898</v>
      </c>
      <c r="E2494" s="89">
        <v>35.76</v>
      </c>
      <c r="F2494" s="88" t="s">
        <v>5</v>
      </c>
      <c r="G2494" s="87">
        <f>Table1[[#This Row],[date]]</f>
        <v>45673</v>
      </c>
      <c r="H2494" s="94">
        <f>SUMIF($A$2:A6129,G2494,$E$2:E6129)</f>
        <v>292.43999999999994</v>
      </c>
      <c r="I2494" s="93" t="str">
        <f t="shared" si="153"/>
        <v>Thursday</v>
      </c>
      <c r="J2494" s="93" t="str">
        <f t="shared" si="154"/>
        <v>January</v>
      </c>
      <c r="K2494" s="93" t="str">
        <f t="shared" si="155"/>
        <v>2025</v>
      </c>
      <c r="L2494" s="6"/>
      <c r="M2494" s="6"/>
      <c r="N2494" s="6"/>
    </row>
    <row r="2495" spans="1:14" x14ac:dyDescent="0.3">
      <c r="A2495" s="92">
        <v>45673</v>
      </c>
      <c r="B2495" s="92" t="str">
        <f t="shared" si="152"/>
        <v>Thursday</v>
      </c>
      <c r="C2495" s="93" t="s">
        <v>1381</v>
      </c>
      <c r="D2495" s="93" t="s">
        <v>431</v>
      </c>
      <c r="E2495" s="94">
        <v>30.86</v>
      </c>
      <c r="F2495" s="93" t="s">
        <v>12</v>
      </c>
      <c r="G2495" s="87">
        <f>Table1[[#This Row],[date]]</f>
        <v>45673</v>
      </c>
      <c r="H2495" s="94">
        <f>SUMIF($A$2:A6130,G2495,$E$2:E6130)</f>
        <v>292.43999999999994</v>
      </c>
      <c r="I2495" s="93" t="str">
        <f t="shared" si="153"/>
        <v>Thursday</v>
      </c>
      <c r="J2495" s="93" t="str">
        <f t="shared" si="154"/>
        <v>January</v>
      </c>
      <c r="K2495" s="93" t="str">
        <f t="shared" si="155"/>
        <v>2025</v>
      </c>
      <c r="L2495" s="6"/>
      <c r="M2495" s="6"/>
      <c r="N2495" s="6"/>
    </row>
    <row r="2496" spans="1:14" x14ac:dyDescent="0.3">
      <c r="A2496" s="87">
        <v>45673</v>
      </c>
      <c r="B2496" s="87" t="str">
        <f t="shared" si="152"/>
        <v>Thursday</v>
      </c>
      <c r="C2496" s="88" t="s">
        <v>1381</v>
      </c>
      <c r="D2496" s="88" t="s">
        <v>21</v>
      </c>
      <c r="E2496" s="89">
        <v>30.86</v>
      </c>
      <c r="F2496" s="88" t="s">
        <v>12</v>
      </c>
      <c r="G2496" s="87">
        <f>Table1[[#This Row],[date]]</f>
        <v>45673</v>
      </c>
      <c r="H2496" s="94">
        <f>SUMIF($A$2:A6131,G2496,$E$2:E6131)</f>
        <v>292.43999999999994</v>
      </c>
      <c r="I2496" s="93" t="str">
        <f t="shared" si="153"/>
        <v>Thursday</v>
      </c>
      <c r="J2496" s="93" t="str">
        <f t="shared" si="154"/>
        <v>January</v>
      </c>
      <c r="K2496" s="93" t="str">
        <f t="shared" si="155"/>
        <v>2025</v>
      </c>
      <c r="L2496" s="6"/>
      <c r="M2496" s="6"/>
      <c r="N2496" s="6"/>
    </row>
    <row r="2497" spans="1:14" x14ac:dyDescent="0.3">
      <c r="A2497" s="92">
        <v>45673</v>
      </c>
      <c r="B2497" s="92" t="str">
        <f t="shared" si="152"/>
        <v>Thursday</v>
      </c>
      <c r="C2497" s="93" t="s">
        <v>1381</v>
      </c>
      <c r="D2497" s="93" t="s">
        <v>153</v>
      </c>
      <c r="E2497" s="94">
        <v>25.96</v>
      </c>
      <c r="F2497" s="93" t="s">
        <v>26</v>
      </c>
      <c r="G2497" s="87">
        <f>Table1[[#This Row],[date]]</f>
        <v>45673</v>
      </c>
      <c r="H2497" s="94">
        <f>SUMIF($A$2:A6132,G2497,$E$2:E6132)</f>
        <v>292.43999999999994</v>
      </c>
      <c r="I2497" s="93" t="str">
        <f t="shared" si="153"/>
        <v>Thursday</v>
      </c>
      <c r="J2497" s="93" t="str">
        <f t="shared" si="154"/>
        <v>January</v>
      </c>
      <c r="K2497" s="93" t="str">
        <f t="shared" si="155"/>
        <v>2025</v>
      </c>
      <c r="L2497" s="6"/>
      <c r="M2497" s="6"/>
      <c r="N2497" s="6"/>
    </row>
    <row r="2498" spans="1:14" x14ac:dyDescent="0.3">
      <c r="A2498" s="87">
        <v>45673</v>
      </c>
      <c r="B2498" s="87" t="str">
        <f t="shared" ref="B2498:B2561" si="156">TEXT(A2498,"dddd")</f>
        <v>Thursday</v>
      </c>
      <c r="C2498" s="88" t="s">
        <v>1381</v>
      </c>
      <c r="D2498" s="88" t="s">
        <v>1118</v>
      </c>
      <c r="E2498" s="89">
        <v>35.76</v>
      </c>
      <c r="F2498" s="88" t="s">
        <v>5</v>
      </c>
      <c r="G2498" s="87">
        <f>Table1[[#This Row],[date]]</f>
        <v>45673</v>
      </c>
      <c r="H2498" s="94">
        <f>SUMIF($A$2:A6133,G2498,$E$2:E6133)</f>
        <v>292.43999999999994</v>
      </c>
      <c r="I2498" s="93" t="str">
        <f t="shared" si="153"/>
        <v>Thursday</v>
      </c>
      <c r="J2498" s="93" t="str">
        <f t="shared" si="154"/>
        <v>January</v>
      </c>
      <c r="K2498" s="93" t="str">
        <f t="shared" si="155"/>
        <v>2025</v>
      </c>
      <c r="L2498" s="6"/>
      <c r="M2498" s="6"/>
      <c r="N2498" s="6"/>
    </row>
    <row r="2499" spans="1:14" x14ac:dyDescent="0.3">
      <c r="A2499" s="92">
        <v>45673</v>
      </c>
      <c r="B2499" s="92" t="str">
        <f t="shared" si="156"/>
        <v>Thursday</v>
      </c>
      <c r="C2499" s="93" t="s">
        <v>1381</v>
      </c>
      <c r="D2499" s="93" t="s">
        <v>418</v>
      </c>
      <c r="E2499" s="94">
        <v>35.76</v>
      </c>
      <c r="F2499" s="93" t="s">
        <v>5</v>
      </c>
      <c r="G2499" s="87">
        <f>Table1[[#This Row],[date]]</f>
        <v>45673</v>
      </c>
      <c r="H2499" s="94">
        <f>SUMIF($A$2:A6134,G2499,$E$2:E6134)</f>
        <v>292.43999999999994</v>
      </c>
      <c r="I2499" s="93" t="str">
        <f t="shared" si="153"/>
        <v>Thursday</v>
      </c>
      <c r="J2499" s="93" t="str">
        <f t="shared" si="154"/>
        <v>January</v>
      </c>
      <c r="K2499" s="93" t="str">
        <f t="shared" si="155"/>
        <v>2025</v>
      </c>
      <c r="L2499" s="6"/>
      <c r="M2499" s="6"/>
      <c r="N2499" s="6"/>
    </row>
    <row r="2500" spans="1:14" x14ac:dyDescent="0.3">
      <c r="A2500" s="87">
        <v>45673</v>
      </c>
      <c r="B2500" s="87" t="str">
        <f t="shared" si="156"/>
        <v>Thursday</v>
      </c>
      <c r="C2500" s="88" t="s">
        <v>1381</v>
      </c>
      <c r="D2500" s="88" t="s">
        <v>1109</v>
      </c>
      <c r="E2500" s="89">
        <v>35.76</v>
      </c>
      <c r="F2500" s="88" t="s">
        <v>41</v>
      </c>
      <c r="G2500" s="87">
        <f>Table1[[#This Row],[date]]</f>
        <v>45673</v>
      </c>
      <c r="H2500" s="94">
        <f>SUMIF($A$2:A6135,G2500,$E$2:E6135)</f>
        <v>292.43999999999994</v>
      </c>
      <c r="I2500" s="93" t="str">
        <f t="shared" si="153"/>
        <v>Thursday</v>
      </c>
      <c r="J2500" s="93" t="str">
        <f t="shared" si="154"/>
        <v>January</v>
      </c>
      <c r="K2500" s="93" t="str">
        <f t="shared" si="155"/>
        <v>2025</v>
      </c>
      <c r="L2500" s="6"/>
      <c r="M2500" s="6"/>
      <c r="N2500" s="6"/>
    </row>
    <row r="2501" spans="1:14" x14ac:dyDescent="0.3">
      <c r="A2501" s="92">
        <v>45673</v>
      </c>
      <c r="B2501" s="92" t="str">
        <f t="shared" si="156"/>
        <v>Thursday</v>
      </c>
      <c r="C2501" s="93" t="s">
        <v>1381</v>
      </c>
      <c r="D2501" s="93" t="s">
        <v>1057</v>
      </c>
      <c r="E2501" s="94">
        <v>35.76</v>
      </c>
      <c r="F2501" s="93" t="s">
        <v>7</v>
      </c>
      <c r="G2501" s="87">
        <f>Table1[[#This Row],[date]]</f>
        <v>45673</v>
      </c>
      <c r="H2501" s="94">
        <f>SUMIF($A$2:A6136,G2501,$E$2:E6136)</f>
        <v>292.43999999999994</v>
      </c>
      <c r="I2501" s="93" t="str">
        <f t="shared" si="153"/>
        <v>Thursday</v>
      </c>
      <c r="J2501" s="93" t="str">
        <f t="shared" si="154"/>
        <v>January</v>
      </c>
      <c r="K2501" s="93" t="str">
        <f t="shared" si="155"/>
        <v>2025</v>
      </c>
      <c r="L2501" s="6"/>
      <c r="M2501" s="6"/>
      <c r="N2501" s="6"/>
    </row>
    <row r="2502" spans="1:14" x14ac:dyDescent="0.3">
      <c r="A2502" s="92">
        <v>45673</v>
      </c>
      <c r="B2502" s="92" t="str">
        <f t="shared" si="156"/>
        <v>Thursday</v>
      </c>
      <c r="C2502" s="93" t="s">
        <v>1381</v>
      </c>
      <c r="D2502" s="93" t="s">
        <v>1119</v>
      </c>
      <c r="E2502" s="94">
        <v>25.96</v>
      </c>
      <c r="F2502" s="93" t="s">
        <v>26</v>
      </c>
      <c r="G2502" s="87">
        <f>Table1[[#This Row],[date]]</f>
        <v>45673</v>
      </c>
      <c r="H2502" s="94">
        <f>SUMIF($A$2:A6137,G2502,$E$2:E6137)</f>
        <v>292.43999999999994</v>
      </c>
      <c r="I2502" s="93" t="str">
        <f t="shared" ref="I2502:I2565" si="157">TEXT(G2502,"dddd")</f>
        <v>Thursday</v>
      </c>
      <c r="J2502" s="93" t="str">
        <f t="shared" si="154"/>
        <v>January</v>
      </c>
      <c r="K2502" s="93" t="str">
        <f t="shared" si="155"/>
        <v>2025</v>
      </c>
      <c r="L2502" s="6"/>
      <c r="M2502" s="6"/>
      <c r="N2502" s="6"/>
    </row>
    <row r="2503" spans="1:14" x14ac:dyDescent="0.3">
      <c r="A2503" s="87">
        <v>45674</v>
      </c>
      <c r="B2503" s="87" t="str">
        <f t="shared" si="156"/>
        <v>Friday</v>
      </c>
      <c r="C2503" s="88" t="s">
        <v>1381</v>
      </c>
      <c r="D2503" s="88" t="s">
        <v>1120</v>
      </c>
      <c r="E2503" s="89">
        <v>35.76</v>
      </c>
      <c r="F2503" s="88" t="s">
        <v>16</v>
      </c>
      <c r="G2503" s="87">
        <f>Table1[[#This Row],[date]]</f>
        <v>45674</v>
      </c>
      <c r="H2503" s="94">
        <f>SUMIF($A$2:A6138,G2503,$E$2:E6138)</f>
        <v>276.27999999999997</v>
      </c>
      <c r="I2503" s="93" t="str">
        <f t="shared" si="157"/>
        <v>Friday</v>
      </c>
      <c r="J2503" s="93" t="str">
        <f t="shared" ref="J2503:J2566" si="158">TEXT(G2503,"mmmm")</f>
        <v>January</v>
      </c>
      <c r="K2503" s="93" t="str">
        <f t="shared" ref="K2503:K2566" si="159">TEXT(G2503,"yyyy")</f>
        <v>2025</v>
      </c>
      <c r="L2503" s="6"/>
      <c r="M2503" s="6"/>
      <c r="N2503" s="6"/>
    </row>
    <row r="2504" spans="1:14" x14ac:dyDescent="0.3">
      <c r="A2504" s="92">
        <v>45674</v>
      </c>
      <c r="B2504" s="92" t="str">
        <f t="shared" si="156"/>
        <v>Friday</v>
      </c>
      <c r="C2504" s="93" t="s">
        <v>1381</v>
      </c>
      <c r="D2504" s="93" t="s">
        <v>1121</v>
      </c>
      <c r="E2504" s="94">
        <v>35.76</v>
      </c>
      <c r="F2504" s="93" t="s">
        <v>5</v>
      </c>
      <c r="G2504" s="87">
        <f>Table1[[#This Row],[date]]</f>
        <v>45674</v>
      </c>
      <c r="H2504" s="94">
        <f>SUMIF($A$2:A6139,G2504,$E$2:E6139)</f>
        <v>276.27999999999997</v>
      </c>
      <c r="I2504" s="93" t="str">
        <f t="shared" si="157"/>
        <v>Friday</v>
      </c>
      <c r="J2504" s="93" t="str">
        <f t="shared" si="158"/>
        <v>January</v>
      </c>
      <c r="K2504" s="93" t="str">
        <f t="shared" si="159"/>
        <v>2025</v>
      </c>
      <c r="L2504" s="6"/>
      <c r="M2504" s="6"/>
      <c r="N2504" s="6"/>
    </row>
    <row r="2505" spans="1:14" x14ac:dyDescent="0.3">
      <c r="A2505" s="87">
        <v>45674</v>
      </c>
      <c r="B2505" s="87" t="str">
        <f t="shared" si="156"/>
        <v>Friday</v>
      </c>
      <c r="C2505" s="88" t="s">
        <v>1381</v>
      </c>
      <c r="D2505" s="88" t="s">
        <v>1121</v>
      </c>
      <c r="E2505" s="89">
        <v>35.76</v>
      </c>
      <c r="F2505" s="88" t="s">
        <v>41</v>
      </c>
      <c r="G2505" s="87">
        <f>Table1[[#This Row],[date]]</f>
        <v>45674</v>
      </c>
      <c r="H2505" s="94">
        <f>SUMIF($A$2:A6140,G2505,$E$2:E6140)</f>
        <v>276.27999999999997</v>
      </c>
      <c r="I2505" s="93" t="str">
        <f t="shared" si="157"/>
        <v>Friday</v>
      </c>
      <c r="J2505" s="93" t="str">
        <f t="shared" si="158"/>
        <v>January</v>
      </c>
      <c r="K2505" s="93" t="str">
        <f t="shared" si="159"/>
        <v>2025</v>
      </c>
      <c r="L2505" s="6"/>
      <c r="M2505" s="6"/>
      <c r="N2505" s="6"/>
    </row>
    <row r="2506" spans="1:14" x14ac:dyDescent="0.3">
      <c r="A2506" s="92">
        <v>45674</v>
      </c>
      <c r="B2506" s="92" t="str">
        <f t="shared" si="156"/>
        <v>Friday</v>
      </c>
      <c r="C2506" s="93" t="s">
        <v>1381</v>
      </c>
      <c r="D2506" s="93" t="s">
        <v>288</v>
      </c>
      <c r="E2506" s="94">
        <v>30.86</v>
      </c>
      <c r="F2506" s="93" t="s">
        <v>12</v>
      </c>
      <c r="G2506" s="87">
        <f>Table1[[#This Row],[date]]</f>
        <v>45674</v>
      </c>
      <c r="H2506" s="94">
        <f>SUMIF($A$2:A6141,G2506,$E$2:E6141)</f>
        <v>276.27999999999997</v>
      </c>
      <c r="I2506" s="93" t="str">
        <f t="shared" si="157"/>
        <v>Friday</v>
      </c>
      <c r="J2506" s="93" t="str">
        <f t="shared" si="158"/>
        <v>January</v>
      </c>
      <c r="K2506" s="93" t="str">
        <f t="shared" si="159"/>
        <v>2025</v>
      </c>
      <c r="L2506" s="6"/>
      <c r="M2506" s="6"/>
      <c r="N2506" s="6"/>
    </row>
    <row r="2507" spans="1:14" x14ac:dyDescent="0.3">
      <c r="A2507" s="87">
        <v>45674</v>
      </c>
      <c r="B2507" s="87" t="str">
        <f t="shared" si="156"/>
        <v>Friday</v>
      </c>
      <c r="C2507" s="88" t="s">
        <v>1381</v>
      </c>
      <c r="D2507" s="88" t="s">
        <v>21</v>
      </c>
      <c r="E2507" s="89">
        <v>30.86</v>
      </c>
      <c r="F2507" s="88" t="s">
        <v>12</v>
      </c>
      <c r="G2507" s="87">
        <f>Table1[[#This Row],[date]]</f>
        <v>45674</v>
      </c>
      <c r="H2507" s="94">
        <f>SUMIF($A$2:A6142,G2507,$E$2:E6142)</f>
        <v>276.27999999999997</v>
      </c>
      <c r="I2507" s="93" t="str">
        <f t="shared" si="157"/>
        <v>Friday</v>
      </c>
      <c r="J2507" s="93" t="str">
        <f t="shared" si="158"/>
        <v>January</v>
      </c>
      <c r="K2507" s="93" t="str">
        <f t="shared" si="159"/>
        <v>2025</v>
      </c>
      <c r="L2507" s="6"/>
      <c r="M2507" s="6"/>
      <c r="N2507" s="6"/>
    </row>
    <row r="2508" spans="1:14" x14ac:dyDescent="0.3">
      <c r="A2508" s="92">
        <v>45674</v>
      </c>
      <c r="B2508" s="92" t="str">
        <f t="shared" si="156"/>
        <v>Friday</v>
      </c>
      <c r="C2508" s="93" t="s">
        <v>1381</v>
      </c>
      <c r="D2508" s="93" t="s">
        <v>1122</v>
      </c>
      <c r="E2508" s="94">
        <v>35.76</v>
      </c>
      <c r="F2508" s="93" t="s">
        <v>16</v>
      </c>
      <c r="G2508" s="87">
        <f>Table1[[#This Row],[date]]</f>
        <v>45674</v>
      </c>
      <c r="H2508" s="94">
        <f>SUMIF($A$2:A6143,G2508,$E$2:E6143)</f>
        <v>276.27999999999997</v>
      </c>
      <c r="I2508" s="93" t="str">
        <f t="shared" si="157"/>
        <v>Friday</v>
      </c>
      <c r="J2508" s="93" t="str">
        <f t="shared" si="158"/>
        <v>January</v>
      </c>
      <c r="K2508" s="93" t="str">
        <f t="shared" si="159"/>
        <v>2025</v>
      </c>
      <c r="L2508" s="6"/>
      <c r="M2508" s="6"/>
      <c r="N2508" s="6"/>
    </row>
    <row r="2509" spans="1:14" x14ac:dyDescent="0.3">
      <c r="A2509" s="92">
        <v>45674</v>
      </c>
      <c r="B2509" s="92" t="str">
        <f t="shared" si="156"/>
        <v>Friday</v>
      </c>
      <c r="C2509" s="93" t="s">
        <v>1381</v>
      </c>
      <c r="D2509" s="93" t="s">
        <v>918</v>
      </c>
      <c r="E2509" s="94">
        <v>35.76</v>
      </c>
      <c r="F2509" s="93" t="s">
        <v>7</v>
      </c>
      <c r="G2509" s="87">
        <f>Table1[[#This Row],[date]]</f>
        <v>45674</v>
      </c>
      <c r="H2509" s="94">
        <f>SUMIF($A$2:A6144,G2509,$E$2:E6144)</f>
        <v>276.27999999999997</v>
      </c>
      <c r="I2509" s="93" t="str">
        <f t="shared" si="157"/>
        <v>Friday</v>
      </c>
      <c r="J2509" s="93" t="str">
        <f t="shared" si="158"/>
        <v>January</v>
      </c>
      <c r="K2509" s="93" t="str">
        <f t="shared" si="159"/>
        <v>2025</v>
      </c>
      <c r="L2509" s="6"/>
      <c r="M2509" s="6"/>
      <c r="N2509" s="6"/>
    </row>
    <row r="2510" spans="1:14" x14ac:dyDescent="0.3">
      <c r="A2510" s="87">
        <v>45674</v>
      </c>
      <c r="B2510" s="87" t="str">
        <f t="shared" si="156"/>
        <v>Friday</v>
      </c>
      <c r="C2510" s="88" t="s">
        <v>1381</v>
      </c>
      <c r="D2510" s="88" t="s">
        <v>889</v>
      </c>
      <c r="E2510" s="89">
        <v>35.76</v>
      </c>
      <c r="F2510" s="88" t="s">
        <v>7</v>
      </c>
      <c r="G2510" s="87">
        <f>Table1[[#This Row],[date]]</f>
        <v>45674</v>
      </c>
      <c r="H2510" s="94">
        <f>SUMIF($A$2:A6145,G2510,$E$2:E6145)</f>
        <v>276.27999999999997</v>
      </c>
      <c r="I2510" s="93" t="str">
        <f t="shared" si="157"/>
        <v>Friday</v>
      </c>
      <c r="J2510" s="93" t="str">
        <f t="shared" si="158"/>
        <v>January</v>
      </c>
      <c r="K2510" s="93" t="str">
        <f t="shared" si="159"/>
        <v>2025</v>
      </c>
      <c r="L2510" s="6"/>
      <c r="M2510" s="6"/>
      <c r="N2510" s="6"/>
    </row>
    <row r="2511" spans="1:14" x14ac:dyDescent="0.3">
      <c r="A2511" s="92">
        <v>45675</v>
      </c>
      <c r="B2511" s="92" t="str">
        <f t="shared" si="156"/>
        <v>Saturday</v>
      </c>
      <c r="C2511" s="93" t="s">
        <v>1381</v>
      </c>
      <c r="D2511" s="93" t="s">
        <v>1094</v>
      </c>
      <c r="E2511" s="94">
        <v>30.86</v>
      </c>
      <c r="F2511" s="93" t="s">
        <v>12</v>
      </c>
      <c r="G2511" s="87">
        <f>Table1[[#This Row],[date]]</f>
        <v>45675</v>
      </c>
      <c r="H2511" s="94">
        <f>SUMIF($A$2:A6146,G2511,$E$2:E6146)</f>
        <v>102.38</v>
      </c>
      <c r="I2511" s="93" t="str">
        <f t="shared" si="157"/>
        <v>Saturday</v>
      </c>
      <c r="J2511" s="93" t="str">
        <f t="shared" si="158"/>
        <v>January</v>
      </c>
      <c r="K2511" s="93" t="str">
        <f t="shared" si="159"/>
        <v>2025</v>
      </c>
      <c r="L2511" s="6"/>
      <c r="M2511" s="6"/>
      <c r="N2511" s="6"/>
    </row>
    <row r="2512" spans="1:14" x14ac:dyDescent="0.3">
      <c r="A2512" s="87">
        <v>45675</v>
      </c>
      <c r="B2512" s="87" t="str">
        <f t="shared" si="156"/>
        <v>Saturday</v>
      </c>
      <c r="C2512" s="88" t="s">
        <v>1381</v>
      </c>
      <c r="D2512" s="88" t="s">
        <v>519</v>
      </c>
      <c r="E2512" s="89">
        <v>35.76</v>
      </c>
      <c r="F2512" s="88" t="s">
        <v>7</v>
      </c>
      <c r="G2512" s="87">
        <f>Table1[[#This Row],[date]]</f>
        <v>45675</v>
      </c>
      <c r="H2512" s="94">
        <f>SUMIF($A$2:A6147,G2512,$E$2:E6147)</f>
        <v>102.38</v>
      </c>
      <c r="I2512" s="93" t="str">
        <f t="shared" si="157"/>
        <v>Saturday</v>
      </c>
      <c r="J2512" s="93" t="str">
        <f t="shared" si="158"/>
        <v>January</v>
      </c>
      <c r="K2512" s="93" t="str">
        <f t="shared" si="159"/>
        <v>2025</v>
      </c>
      <c r="L2512" s="6"/>
      <c r="M2512" s="6"/>
      <c r="N2512" s="6"/>
    </row>
    <row r="2513" spans="1:14" x14ac:dyDescent="0.3">
      <c r="A2513" s="92">
        <v>45675</v>
      </c>
      <c r="B2513" s="92" t="str">
        <f t="shared" si="156"/>
        <v>Saturday</v>
      </c>
      <c r="C2513" s="93" t="s">
        <v>1381</v>
      </c>
      <c r="D2513" s="93" t="s">
        <v>519</v>
      </c>
      <c r="E2513" s="94">
        <v>35.76</v>
      </c>
      <c r="F2513" s="93" t="s">
        <v>5</v>
      </c>
      <c r="G2513" s="87">
        <f>Table1[[#This Row],[date]]</f>
        <v>45675</v>
      </c>
      <c r="H2513" s="94">
        <f>SUMIF($A$2:A6148,G2513,$E$2:E6148)</f>
        <v>102.38</v>
      </c>
      <c r="I2513" s="93" t="str">
        <f t="shared" si="157"/>
        <v>Saturday</v>
      </c>
      <c r="J2513" s="93" t="str">
        <f t="shared" si="158"/>
        <v>January</v>
      </c>
      <c r="K2513" s="93" t="str">
        <f t="shared" si="159"/>
        <v>2025</v>
      </c>
      <c r="L2513" s="6"/>
      <c r="M2513" s="6"/>
      <c r="N2513" s="6"/>
    </row>
    <row r="2514" spans="1:14" x14ac:dyDescent="0.3">
      <c r="A2514" s="92">
        <v>45677</v>
      </c>
      <c r="B2514" s="92" t="str">
        <f t="shared" si="156"/>
        <v>Monday</v>
      </c>
      <c r="C2514" s="93" t="s">
        <v>1381</v>
      </c>
      <c r="D2514" s="93" t="s">
        <v>21</v>
      </c>
      <c r="E2514" s="94">
        <v>30.86</v>
      </c>
      <c r="F2514" s="93" t="s">
        <v>12</v>
      </c>
      <c r="G2514" s="87">
        <f>Table1[[#This Row],[date]]</f>
        <v>45677</v>
      </c>
      <c r="H2514" s="94">
        <f>SUMIF($A$2:A6149,G2514,$E$2:E6149)</f>
        <v>277.74</v>
      </c>
      <c r="I2514" s="93" t="str">
        <f t="shared" si="157"/>
        <v>Monday</v>
      </c>
      <c r="J2514" s="93" t="str">
        <f t="shared" si="158"/>
        <v>January</v>
      </c>
      <c r="K2514" s="93" t="str">
        <f t="shared" si="159"/>
        <v>2025</v>
      </c>
      <c r="L2514" s="6"/>
      <c r="M2514" s="6"/>
      <c r="N2514" s="6"/>
    </row>
    <row r="2515" spans="1:14" x14ac:dyDescent="0.3">
      <c r="A2515" s="87">
        <v>45677</v>
      </c>
      <c r="B2515" s="87" t="str">
        <f t="shared" si="156"/>
        <v>Monday</v>
      </c>
      <c r="C2515" s="88" t="s">
        <v>1381</v>
      </c>
      <c r="D2515" s="88" t="s">
        <v>288</v>
      </c>
      <c r="E2515" s="89">
        <v>30.86</v>
      </c>
      <c r="F2515" s="88" t="s">
        <v>12</v>
      </c>
      <c r="G2515" s="87">
        <f>Table1[[#This Row],[date]]</f>
        <v>45677</v>
      </c>
      <c r="H2515" s="94">
        <f>SUMIF($A$2:A6150,G2515,$E$2:E6150)</f>
        <v>277.74</v>
      </c>
      <c r="I2515" s="93" t="str">
        <f t="shared" si="157"/>
        <v>Monday</v>
      </c>
      <c r="J2515" s="93" t="str">
        <f t="shared" si="158"/>
        <v>January</v>
      </c>
      <c r="K2515" s="93" t="str">
        <f t="shared" si="159"/>
        <v>2025</v>
      </c>
      <c r="L2515" s="6"/>
      <c r="M2515" s="6"/>
      <c r="N2515" s="6"/>
    </row>
    <row r="2516" spans="1:14" x14ac:dyDescent="0.3">
      <c r="A2516" s="92">
        <v>45677</v>
      </c>
      <c r="B2516" s="92" t="str">
        <f t="shared" si="156"/>
        <v>Monday</v>
      </c>
      <c r="C2516" s="93" t="s">
        <v>1381</v>
      </c>
      <c r="D2516" s="93" t="s">
        <v>153</v>
      </c>
      <c r="E2516" s="94">
        <v>25.96</v>
      </c>
      <c r="F2516" s="93" t="s">
        <v>26</v>
      </c>
      <c r="G2516" s="87">
        <f>Table1[[#This Row],[date]]</f>
        <v>45677</v>
      </c>
      <c r="H2516" s="94">
        <f>SUMIF($A$2:A6151,G2516,$E$2:E6151)</f>
        <v>277.74</v>
      </c>
      <c r="I2516" s="93" t="str">
        <f t="shared" si="157"/>
        <v>Monday</v>
      </c>
      <c r="J2516" s="93" t="str">
        <f t="shared" si="158"/>
        <v>January</v>
      </c>
      <c r="K2516" s="93" t="str">
        <f t="shared" si="159"/>
        <v>2025</v>
      </c>
      <c r="L2516" s="6"/>
      <c r="M2516" s="6"/>
      <c r="N2516" s="6"/>
    </row>
    <row r="2517" spans="1:14" x14ac:dyDescent="0.3">
      <c r="A2517" s="87">
        <v>45677</v>
      </c>
      <c r="B2517" s="87" t="str">
        <f t="shared" si="156"/>
        <v>Monday</v>
      </c>
      <c r="C2517" s="88" t="s">
        <v>1381</v>
      </c>
      <c r="D2517" s="88" t="s">
        <v>1123</v>
      </c>
      <c r="E2517" s="89">
        <v>25.96</v>
      </c>
      <c r="F2517" s="88" t="s">
        <v>9</v>
      </c>
      <c r="G2517" s="87">
        <f>Table1[[#This Row],[date]]</f>
        <v>45677</v>
      </c>
      <c r="H2517" s="94">
        <f>SUMIF($A$2:A6152,G2517,$E$2:E6152)</f>
        <v>277.74</v>
      </c>
      <c r="I2517" s="93" t="str">
        <f t="shared" si="157"/>
        <v>Monday</v>
      </c>
      <c r="J2517" s="93" t="str">
        <f t="shared" si="158"/>
        <v>January</v>
      </c>
      <c r="K2517" s="93" t="str">
        <f t="shared" si="159"/>
        <v>2025</v>
      </c>
      <c r="L2517" s="6"/>
      <c r="M2517" s="6"/>
      <c r="N2517" s="6"/>
    </row>
    <row r="2518" spans="1:14" x14ac:dyDescent="0.3">
      <c r="A2518" s="92">
        <v>45677</v>
      </c>
      <c r="B2518" s="92" t="str">
        <f t="shared" si="156"/>
        <v>Monday</v>
      </c>
      <c r="C2518" s="93" t="s">
        <v>1381</v>
      </c>
      <c r="D2518" s="93" t="s">
        <v>1123</v>
      </c>
      <c r="E2518" s="94">
        <v>25.96</v>
      </c>
      <c r="F2518" s="93" t="s">
        <v>26</v>
      </c>
      <c r="G2518" s="87">
        <f>Table1[[#This Row],[date]]</f>
        <v>45677</v>
      </c>
      <c r="H2518" s="94">
        <f>SUMIF($A$2:A6153,G2518,$E$2:E6153)</f>
        <v>277.74</v>
      </c>
      <c r="I2518" s="93" t="str">
        <f t="shared" si="157"/>
        <v>Monday</v>
      </c>
      <c r="J2518" s="93" t="str">
        <f t="shared" si="158"/>
        <v>January</v>
      </c>
      <c r="K2518" s="93" t="str">
        <f t="shared" si="159"/>
        <v>2025</v>
      </c>
      <c r="L2518" s="6"/>
      <c r="M2518" s="6"/>
      <c r="N2518" s="6"/>
    </row>
    <row r="2519" spans="1:14" x14ac:dyDescent="0.3">
      <c r="A2519" s="87">
        <v>45677</v>
      </c>
      <c r="B2519" s="87" t="str">
        <f t="shared" si="156"/>
        <v>Monday</v>
      </c>
      <c r="C2519" s="88" t="s">
        <v>1381</v>
      </c>
      <c r="D2519" s="88" t="s">
        <v>1124</v>
      </c>
      <c r="E2519" s="89">
        <v>30.86</v>
      </c>
      <c r="F2519" s="88" t="s">
        <v>12</v>
      </c>
      <c r="G2519" s="87">
        <f>Table1[[#This Row],[date]]</f>
        <v>45677</v>
      </c>
      <c r="H2519" s="94">
        <f>SUMIF($A$2:A6154,G2519,$E$2:E6154)</f>
        <v>277.74</v>
      </c>
      <c r="I2519" s="93" t="str">
        <f t="shared" si="157"/>
        <v>Monday</v>
      </c>
      <c r="J2519" s="93" t="str">
        <f t="shared" si="158"/>
        <v>January</v>
      </c>
      <c r="K2519" s="93" t="str">
        <f t="shared" si="159"/>
        <v>2025</v>
      </c>
      <c r="L2519" s="6"/>
      <c r="M2519" s="6"/>
      <c r="N2519" s="6"/>
    </row>
    <row r="2520" spans="1:14" x14ac:dyDescent="0.3">
      <c r="A2520" s="92">
        <v>45677</v>
      </c>
      <c r="B2520" s="92" t="str">
        <f t="shared" si="156"/>
        <v>Monday</v>
      </c>
      <c r="C2520" s="93" t="s">
        <v>1381</v>
      </c>
      <c r="D2520" s="93" t="s">
        <v>1125</v>
      </c>
      <c r="E2520" s="94">
        <v>35.76</v>
      </c>
      <c r="F2520" s="93" t="s">
        <v>7</v>
      </c>
      <c r="G2520" s="87">
        <f>Table1[[#This Row],[date]]</f>
        <v>45677</v>
      </c>
      <c r="H2520" s="94">
        <f>SUMIF($A$2:A6155,G2520,$E$2:E6155)</f>
        <v>277.74</v>
      </c>
      <c r="I2520" s="93" t="str">
        <f t="shared" si="157"/>
        <v>Monday</v>
      </c>
      <c r="J2520" s="93" t="str">
        <f t="shared" si="158"/>
        <v>January</v>
      </c>
      <c r="K2520" s="93" t="str">
        <f t="shared" si="159"/>
        <v>2025</v>
      </c>
      <c r="L2520" s="6"/>
      <c r="M2520" s="6"/>
      <c r="N2520" s="6"/>
    </row>
    <row r="2521" spans="1:14" x14ac:dyDescent="0.3">
      <c r="A2521" s="87">
        <v>45677</v>
      </c>
      <c r="B2521" s="87" t="str">
        <f t="shared" si="156"/>
        <v>Monday</v>
      </c>
      <c r="C2521" s="88" t="s">
        <v>1381</v>
      </c>
      <c r="D2521" s="88" t="s">
        <v>1126</v>
      </c>
      <c r="E2521" s="89">
        <v>35.76</v>
      </c>
      <c r="F2521" s="88" t="s">
        <v>41</v>
      </c>
      <c r="G2521" s="87">
        <f>Table1[[#This Row],[date]]</f>
        <v>45677</v>
      </c>
      <c r="H2521" s="94">
        <f>SUMIF($A$2:A6156,G2521,$E$2:E6156)</f>
        <v>277.74</v>
      </c>
      <c r="I2521" s="93" t="str">
        <f t="shared" si="157"/>
        <v>Monday</v>
      </c>
      <c r="J2521" s="93" t="str">
        <f t="shared" si="158"/>
        <v>January</v>
      </c>
      <c r="K2521" s="93" t="str">
        <f t="shared" si="159"/>
        <v>2025</v>
      </c>
      <c r="L2521" s="6"/>
      <c r="M2521" s="6"/>
      <c r="N2521" s="6"/>
    </row>
    <row r="2522" spans="1:14" x14ac:dyDescent="0.3">
      <c r="A2522" s="87">
        <v>45677</v>
      </c>
      <c r="B2522" s="87" t="str">
        <f t="shared" si="156"/>
        <v>Monday</v>
      </c>
      <c r="C2522" s="88" t="s">
        <v>1381</v>
      </c>
      <c r="D2522" s="88" t="s">
        <v>1127</v>
      </c>
      <c r="E2522" s="89">
        <v>35.76</v>
      </c>
      <c r="F2522" s="88" t="s">
        <v>5</v>
      </c>
      <c r="G2522" s="87">
        <f>Table1[[#This Row],[date]]</f>
        <v>45677</v>
      </c>
      <c r="H2522" s="94">
        <f>SUMIF($A$2:A6157,G2522,$E$2:E6157)</f>
        <v>277.74</v>
      </c>
      <c r="I2522" s="93" t="str">
        <f t="shared" si="157"/>
        <v>Monday</v>
      </c>
      <c r="J2522" s="93" t="str">
        <f t="shared" si="158"/>
        <v>January</v>
      </c>
      <c r="K2522" s="93" t="str">
        <f t="shared" si="159"/>
        <v>2025</v>
      </c>
      <c r="L2522" s="6"/>
      <c r="M2522" s="6"/>
      <c r="N2522" s="6"/>
    </row>
    <row r="2523" spans="1:14" x14ac:dyDescent="0.3">
      <c r="A2523" s="92">
        <v>45678</v>
      </c>
      <c r="B2523" s="92" t="str">
        <f t="shared" si="156"/>
        <v>Tuesday</v>
      </c>
      <c r="C2523" s="93" t="s">
        <v>1381</v>
      </c>
      <c r="D2523" s="93" t="s">
        <v>1022</v>
      </c>
      <c r="E2523" s="94">
        <v>35.76</v>
      </c>
      <c r="F2523" s="93" t="s">
        <v>16</v>
      </c>
      <c r="G2523" s="87">
        <f>Table1[[#This Row],[date]]</f>
        <v>45678</v>
      </c>
      <c r="H2523" s="94">
        <f>SUMIF($A$2:A6158,G2523,$E$2:E6158)</f>
        <v>216.01999999999998</v>
      </c>
      <c r="I2523" s="93" t="str">
        <f t="shared" si="157"/>
        <v>Tuesday</v>
      </c>
      <c r="J2523" s="93" t="str">
        <f t="shared" si="158"/>
        <v>January</v>
      </c>
      <c r="K2523" s="93" t="str">
        <f t="shared" si="159"/>
        <v>2025</v>
      </c>
      <c r="L2523" s="6"/>
      <c r="M2523" s="6"/>
      <c r="N2523" s="6"/>
    </row>
    <row r="2524" spans="1:14" x14ac:dyDescent="0.3">
      <c r="A2524" s="87">
        <v>45678</v>
      </c>
      <c r="B2524" s="87" t="str">
        <f t="shared" si="156"/>
        <v>Tuesday</v>
      </c>
      <c r="C2524" s="88" t="s">
        <v>1381</v>
      </c>
      <c r="D2524" s="88" t="s">
        <v>153</v>
      </c>
      <c r="E2524" s="89">
        <v>25.96</v>
      </c>
      <c r="F2524" s="88" t="s">
        <v>26</v>
      </c>
      <c r="G2524" s="87">
        <f>Table1[[#This Row],[date]]</f>
        <v>45678</v>
      </c>
      <c r="H2524" s="94">
        <f>SUMIF($A$2:A6159,G2524,$E$2:E6159)</f>
        <v>216.01999999999998</v>
      </c>
      <c r="I2524" s="93" t="str">
        <f t="shared" si="157"/>
        <v>Tuesday</v>
      </c>
      <c r="J2524" s="93" t="str">
        <f t="shared" si="158"/>
        <v>January</v>
      </c>
      <c r="K2524" s="93" t="str">
        <f t="shared" si="159"/>
        <v>2025</v>
      </c>
      <c r="L2524" s="6"/>
      <c r="M2524" s="6"/>
      <c r="N2524" s="6"/>
    </row>
    <row r="2525" spans="1:14" x14ac:dyDescent="0.3">
      <c r="A2525" s="92">
        <v>45678</v>
      </c>
      <c r="B2525" s="92" t="str">
        <f t="shared" si="156"/>
        <v>Tuesday</v>
      </c>
      <c r="C2525" s="93" t="s">
        <v>1381</v>
      </c>
      <c r="D2525" s="93" t="s">
        <v>1094</v>
      </c>
      <c r="E2525" s="94">
        <v>30.86</v>
      </c>
      <c r="F2525" s="93" t="s">
        <v>12</v>
      </c>
      <c r="G2525" s="87">
        <f>Table1[[#This Row],[date]]</f>
        <v>45678</v>
      </c>
      <c r="H2525" s="94">
        <f>SUMIF($A$2:A6160,G2525,$E$2:E6160)</f>
        <v>216.01999999999998</v>
      </c>
      <c r="I2525" s="93" t="str">
        <f t="shared" si="157"/>
        <v>Tuesday</v>
      </c>
      <c r="J2525" s="93" t="str">
        <f t="shared" si="158"/>
        <v>January</v>
      </c>
      <c r="K2525" s="93" t="str">
        <f t="shared" si="159"/>
        <v>2025</v>
      </c>
      <c r="L2525" s="6"/>
      <c r="M2525" s="6"/>
      <c r="N2525" s="6"/>
    </row>
    <row r="2526" spans="1:14" x14ac:dyDescent="0.3">
      <c r="A2526" s="87">
        <v>45678</v>
      </c>
      <c r="B2526" s="87" t="str">
        <f t="shared" si="156"/>
        <v>Tuesday</v>
      </c>
      <c r="C2526" s="88" t="s">
        <v>1381</v>
      </c>
      <c r="D2526" s="88" t="s">
        <v>1128</v>
      </c>
      <c r="E2526" s="89">
        <v>25.96</v>
      </c>
      <c r="F2526" s="88" t="s">
        <v>9</v>
      </c>
      <c r="G2526" s="87">
        <f>Table1[[#This Row],[date]]</f>
        <v>45678</v>
      </c>
      <c r="H2526" s="94">
        <f>SUMIF($A$2:A6161,G2526,$E$2:E6161)</f>
        <v>216.01999999999998</v>
      </c>
      <c r="I2526" s="93" t="str">
        <f t="shared" si="157"/>
        <v>Tuesday</v>
      </c>
      <c r="J2526" s="93" t="str">
        <f t="shared" si="158"/>
        <v>January</v>
      </c>
      <c r="K2526" s="93" t="str">
        <f t="shared" si="159"/>
        <v>2025</v>
      </c>
      <c r="L2526" s="6"/>
      <c r="M2526" s="6"/>
      <c r="N2526" s="6"/>
    </row>
    <row r="2527" spans="1:14" x14ac:dyDescent="0.3">
      <c r="A2527" s="92">
        <v>45678</v>
      </c>
      <c r="B2527" s="92" t="str">
        <f t="shared" si="156"/>
        <v>Tuesday</v>
      </c>
      <c r="C2527" s="93" t="s">
        <v>1381</v>
      </c>
      <c r="D2527" s="93" t="s">
        <v>1129</v>
      </c>
      <c r="E2527" s="94">
        <v>35.76</v>
      </c>
      <c r="F2527" s="93" t="s">
        <v>7</v>
      </c>
      <c r="G2527" s="87">
        <f>Table1[[#This Row],[date]]</f>
        <v>45678</v>
      </c>
      <c r="H2527" s="94">
        <f>SUMIF($A$2:A6162,G2527,$E$2:E6162)</f>
        <v>216.01999999999998</v>
      </c>
      <c r="I2527" s="93" t="str">
        <f t="shared" si="157"/>
        <v>Tuesday</v>
      </c>
      <c r="J2527" s="93" t="str">
        <f t="shared" si="158"/>
        <v>January</v>
      </c>
      <c r="K2527" s="93" t="str">
        <f t="shared" si="159"/>
        <v>2025</v>
      </c>
      <c r="L2527" s="6"/>
      <c r="M2527" s="6"/>
      <c r="N2527" s="6"/>
    </row>
    <row r="2528" spans="1:14" x14ac:dyDescent="0.3">
      <c r="A2528" s="87">
        <v>45678</v>
      </c>
      <c r="B2528" s="87" t="str">
        <f t="shared" si="156"/>
        <v>Tuesday</v>
      </c>
      <c r="C2528" s="88" t="s">
        <v>1381</v>
      </c>
      <c r="D2528" s="88" t="s">
        <v>345</v>
      </c>
      <c r="E2528" s="89">
        <v>35.76</v>
      </c>
      <c r="F2528" s="88" t="s">
        <v>5</v>
      </c>
      <c r="G2528" s="87">
        <f>Table1[[#This Row],[date]]</f>
        <v>45678</v>
      </c>
      <c r="H2528" s="94">
        <f>SUMIF($A$2:A6163,G2528,$E$2:E6163)</f>
        <v>216.01999999999998</v>
      </c>
      <c r="I2528" s="93" t="str">
        <f t="shared" si="157"/>
        <v>Tuesday</v>
      </c>
      <c r="J2528" s="93" t="str">
        <f t="shared" si="158"/>
        <v>January</v>
      </c>
      <c r="K2528" s="93" t="str">
        <f t="shared" si="159"/>
        <v>2025</v>
      </c>
      <c r="L2528" s="6"/>
      <c r="M2528" s="6"/>
      <c r="N2528" s="6"/>
    </row>
    <row r="2529" spans="1:14" x14ac:dyDescent="0.3">
      <c r="A2529" s="87">
        <v>45678</v>
      </c>
      <c r="B2529" s="87" t="str">
        <f t="shared" si="156"/>
        <v>Tuesday</v>
      </c>
      <c r="C2529" s="88" t="s">
        <v>1381</v>
      </c>
      <c r="D2529" s="88" t="s">
        <v>1122</v>
      </c>
      <c r="E2529" s="89">
        <v>25.96</v>
      </c>
      <c r="F2529" s="88" t="s">
        <v>9</v>
      </c>
      <c r="G2529" s="87">
        <f>Table1[[#This Row],[date]]</f>
        <v>45678</v>
      </c>
      <c r="H2529" s="94">
        <f>SUMIF($A$2:A6164,G2529,$E$2:E6164)</f>
        <v>216.01999999999998</v>
      </c>
      <c r="I2529" s="93" t="str">
        <f t="shared" si="157"/>
        <v>Tuesday</v>
      </c>
      <c r="J2529" s="93" t="str">
        <f t="shared" si="158"/>
        <v>January</v>
      </c>
      <c r="K2529" s="93" t="str">
        <f t="shared" si="159"/>
        <v>2025</v>
      </c>
      <c r="L2529" s="6"/>
      <c r="M2529" s="6"/>
      <c r="N2529" s="6"/>
    </row>
    <row r="2530" spans="1:14" x14ac:dyDescent="0.3">
      <c r="A2530" s="92">
        <v>45679</v>
      </c>
      <c r="B2530" s="92" t="str">
        <f t="shared" si="156"/>
        <v>Wednesday</v>
      </c>
      <c r="C2530" s="93" t="s">
        <v>1381</v>
      </c>
      <c r="D2530" s="93" t="s">
        <v>1130</v>
      </c>
      <c r="E2530" s="94">
        <v>21.06</v>
      </c>
      <c r="F2530" s="93" t="s">
        <v>33</v>
      </c>
      <c r="G2530" s="87">
        <f>Table1[[#This Row],[date]]</f>
        <v>45679</v>
      </c>
      <c r="H2530" s="94">
        <f>SUMIF($A$2:A6165,G2530,$E$2:E6165)</f>
        <v>220.92000000000002</v>
      </c>
      <c r="I2530" s="93" t="str">
        <f t="shared" si="157"/>
        <v>Wednesday</v>
      </c>
      <c r="J2530" s="93" t="str">
        <f t="shared" si="158"/>
        <v>January</v>
      </c>
      <c r="K2530" s="93" t="str">
        <f t="shared" si="159"/>
        <v>2025</v>
      </c>
      <c r="L2530" s="6"/>
      <c r="M2530" s="6"/>
      <c r="N2530" s="6"/>
    </row>
    <row r="2531" spans="1:14" x14ac:dyDescent="0.3">
      <c r="A2531" s="87">
        <v>45679</v>
      </c>
      <c r="B2531" s="87" t="str">
        <f t="shared" si="156"/>
        <v>Wednesday</v>
      </c>
      <c r="C2531" s="88" t="s">
        <v>1381</v>
      </c>
      <c r="D2531" s="88" t="s">
        <v>475</v>
      </c>
      <c r="E2531" s="89">
        <v>30.86</v>
      </c>
      <c r="F2531" s="88" t="s">
        <v>12</v>
      </c>
      <c r="G2531" s="87">
        <f>Table1[[#This Row],[date]]</f>
        <v>45679</v>
      </c>
      <c r="H2531" s="94">
        <f>SUMIF($A$2:A6166,G2531,$E$2:E6166)</f>
        <v>220.92000000000002</v>
      </c>
      <c r="I2531" s="93" t="str">
        <f t="shared" si="157"/>
        <v>Wednesday</v>
      </c>
      <c r="J2531" s="93" t="str">
        <f t="shared" si="158"/>
        <v>January</v>
      </c>
      <c r="K2531" s="93" t="str">
        <f t="shared" si="159"/>
        <v>2025</v>
      </c>
      <c r="L2531" s="6"/>
      <c r="M2531" s="6"/>
      <c r="N2531" s="6"/>
    </row>
    <row r="2532" spans="1:14" x14ac:dyDescent="0.3">
      <c r="A2532" s="92">
        <v>45679</v>
      </c>
      <c r="B2532" s="92" t="str">
        <f t="shared" si="156"/>
        <v>Wednesday</v>
      </c>
      <c r="C2532" s="93" t="s">
        <v>1381</v>
      </c>
      <c r="D2532" s="93" t="s">
        <v>1131</v>
      </c>
      <c r="E2532" s="94">
        <v>35.76</v>
      </c>
      <c r="F2532" s="93" t="s">
        <v>16</v>
      </c>
      <c r="G2532" s="87">
        <f>Table1[[#This Row],[date]]</f>
        <v>45679</v>
      </c>
      <c r="H2532" s="94">
        <f>SUMIF($A$2:A6167,G2532,$E$2:E6167)</f>
        <v>220.92000000000002</v>
      </c>
      <c r="I2532" s="93" t="str">
        <f t="shared" si="157"/>
        <v>Wednesday</v>
      </c>
      <c r="J2532" s="93" t="str">
        <f t="shared" si="158"/>
        <v>January</v>
      </c>
      <c r="K2532" s="93" t="str">
        <f t="shared" si="159"/>
        <v>2025</v>
      </c>
      <c r="L2532" s="6"/>
      <c r="M2532" s="6"/>
      <c r="N2532" s="6"/>
    </row>
    <row r="2533" spans="1:14" x14ac:dyDescent="0.3">
      <c r="A2533" s="87">
        <v>45679</v>
      </c>
      <c r="B2533" s="87" t="str">
        <f t="shared" si="156"/>
        <v>Wednesday</v>
      </c>
      <c r="C2533" s="88" t="s">
        <v>1381</v>
      </c>
      <c r="D2533" s="88" t="s">
        <v>1063</v>
      </c>
      <c r="E2533" s="89">
        <v>30.86</v>
      </c>
      <c r="F2533" s="88" t="s">
        <v>12</v>
      </c>
      <c r="G2533" s="87">
        <f>Table1[[#This Row],[date]]</f>
        <v>45679</v>
      </c>
      <c r="H2533" s="94">
        <f>SUMIF($A$2:A6168,G2533,$E$2:E6168)</f>
        <v>220.92000000000002</v>
      </c>
      <c r="I2533" s="93" t="str">
        <f t="shared" si="157"/>
        <v>Wednesday</v>
      </c>
      <c r="J2533" s="93" t="str">
        <f t="shared" si="158"/>
        <v>January</v>
      </c>
      <c r="K2533" s="93" t="str">
        <f t="shared" si="159"/>
        <v>2025</v>
      </c>
      <c r="L2533" s="6"/>
      <c r="M2533" s="6"/>
      <c r="N2533" s="6"/>
    </row>
    <row r="2534" spans="1:14" x14ac:dyDescent="0.3">
      <c r="A2534" s="92">
        <v>45679</v>
      </c>
      <c r="B2534" s="92" t="str">
        <f t="shared" si="156"/>
        <v>Wednesday</v>
      </c>
      <c r="C2534" s="93" t="s">
        <v>1381</v>
      </c>
      <c r="D2534" s="93" t="s">
        <v>1063</v>
      </c>
      <c r="E2534" s="94">
        <v>35.76</v>
      </c>
      <c r="F2534" s="93" t="s">
        <v>41</v>
      </c>
      <c r="G2534" s="87">
        <f>Table1[[#This Row],[date]]</f>
        <v>45679</v>
      </c>
      <c r="H2534" s="94">
        <f>SUMIF($A$2:A6169,G2534,$E$2:E6169)</f>
        <v>220.92000000000002</v>
      </c>
      <c r="I2534" s="93" t="str">
        <f t="shared" si="157"/>
        <v>Wednesday</v>
      </c>
      <c r="J2534" s="93" t="str">
        <f t="shared" si="158"/>
        <v>January</v>
      </c>
      <c r="K2534" s="93" t="str">
        <f t="shared" si="159"/>
        <v>2025</v>
      </c>
      <c r="L2534" s="6"/>
      <c r="M2534" s="6"/>
      <c r="N2534" s="6"/>
    </row>
    <row r="2535" spans="1:14" x14ac:dyDescent="0.3">
      <c r="A2535" s="87">
        <v>45679</v>
      </c>
      <c r="B2535" s="87" t="str">
        <f t="shared" si="156"/>
        <v>Wednesday</v>
      </c>
      <c r="C2535" s="88" t="s">
        <v>1381</v>
      </c>
      <c r="D2535" s="88" t="s">
        <v>1132</v>
      </c>
      <c r="E2535" s="89">
        <v>35.76</v>
      </c>
      <c r="F2535" s="88" t="s">
        <v>5</v>
      </c>
      <c r="G2535" s="87">
        <f>Table1[[#This Row],[date]]</f>
        <v>45679</v>
      </c>
      <c r="H2535" s="94">
        <f>SUMIF($A$2:A6170,G2535,$E$2:E6170)</f>
        <v>220.92000000000002</v>
      </c>
      <c r="I2535" s="93" t="str">
        <f t="shared" si="157"/>
        <v>Wednesday</v>
      </c>
      <c r="J2535" s="93" t="str">
        <f t="shared" si="158"/>
        <v>January</v>
      </c>
      <c r="K2535" s="93" t="str">
        <f t="shared" si="159"/>
        <v>2025</v>
      </c>
      <c r="L2535" s="6"/>
      <c r="M2535" s="6"/>
      <c r="N2535" s="6"/>
    </row>
    <row r="2536" spans="1:14" x14ac:dyDescent="0.3">
      <c r="A2536" s="92">
        <v>45679</v>
      </c>
      <c r="B2536" s="92" t="str">
        <f t="shared" si="156"/>
        <v>Wednesday</v>
      </c>
      <c r="C2536" s="93" t="s">
        <v>1381</v>
      </c>
      <c r="D2536" s="93" t="s">
        <v>1133</v>
      </c>
      <c r="E2536" s="94">
        <v>30.86</v>
      </c>
      <c r="F2536" s="93" t="s">
        <v>12</v>
      </c>
      <c r="G2536" s="87">
        <f>Table1[[#This Row],[date]]</f>
        <v>45679</v>
      </c>
      <c r="H2536" s="94">
        <f>SUMIF($A$2:A6171,G2536,$E$2:E6171)</f>
        <v>220.92000000000002</v>
      </c>
      <c r="I2536" s="93" t="str">
        <f t="shared" si="157"/>
        <v>Wednesday</v>
      </c>
      <c r="J2536" s="93" t="str">
        <f t="shared" si="158"/>
        <v>January</v>
      </c>
      <c r="K2536" s="93" t="str">
        <f t="shared" si="159"/>
        <v>2025</v>
      </c>
      <c r="L2536" s="6"/>
      <c r="M2536" s="6"/>
      <c r="N2536" s="6"/>
    </row>
    <row r="2537" spans="1:14" x14ac:dyDescent="0.3">
      <c r="A2537" s="87">
        <v>45681</v>
      </c>
      <c r="B2537" s="87" t="str">
        <f t="shared" si="156"/>
        <v>Friday</v>
      </c>
      <c r="C2537" s="88" t="s">
        <v>1381</v>
      </c>
      <c r="D2537" s="88" t="s">
        <v>1046</v>
      </c>
      <c r="E2537" s="89">
        <v>35.76</v>
      </c>
      <c r="F2537" s="88" t="s">
        <v>41</v>
      </c>
      <c r="G2537" s="87">
        <f>Table1[[#This Row],[date]]</f>
        <v>45681</v>
      </c>
      <c r="H2537" s="94">
        <f>SUMIF($A$2:A6172,G2537,$E$2:E6172)</f>
        <v>230.71999999999997</v>
      </c>
      <c r="I2537" s="93" t="str">
        <f t="shared" si="157"/>
        <v>Friday</v>
      </c>
      <c r="J2537" s="93" t="str">
        <f t="shared" si="158"/>
        <v>January</v>
      </c>
      <c r="K2537" s="93" t="str">
        <f t="shared" si="159"/>
        <v>2025</v>
      </c>
      <c r="L2537" s="6"/>
      <c r="M2537" s="6"/>
      <c r="N2537" s="6"/>
    </row>
    <row r="2538" spans="1:14" x14ac:dyDescent="0.3">
      <c r="A2538" s="92">
        <v>45681</v>
      </c>
      <c r="B2538" s="92" t="str">
        <f t="shared" si="156"/>
        <v>Friday</v>
      </c>
      <c r="C2538" s="93" t="s">
        <v>1381</v>
      </c>
      <c r="D2538" s="93" t="s">
        <v>1046</v>
      </c>
      <c r="E2538" s="94">
        <v>25.96</v>
      </c>
      <c r="F2538" s="93" t="s">
        <v>26</v>
      </c>
      <c r="G2538" s="87">
        <f>Table1[[#This Row],[date]]</f>
        <v>45681</v>
      </c>
      <c r="H2538" s="94">
        <f>SUMIF($A$2:A6173,G2538,$E$2:E6173)</f>
        <v>230.71999999999997</v>
      </c>
      <c r="I2538" s="93" t="str">
        <f t="shared" si="157"/>
        <v>Friday</v>
      </c>
      <c r="J2538" s="93" t="str">
        <f t="shared" si="158"/>
        <v>January</v>
      </c>
      <c r="K2538" s="93" t="str">
        <f t="shared" si="159"/>
        <v>2025</v>
      </c>
      <c r="L2538" s="6"/>
      <c r="M2538" s="6"/>
      <c r="N2538" s="6"/>
    </row>
    <row r="2539" spans="1:14" x14ac:dyDescent="0.3">
      <c r="A2539" s="87">
        <v>45681</v>
      </c>
      <c r="B2539" s="87" t="str">
        <f t="shared" si="156"/>
        <v>Friday</v>
      </c>
      <c r="C2539" s="88" t="s">
        <v>1381</v>
      </c>
      <c r="D2539" s="88" t="s">
        <v>1134</v>
      </c>
      <c r="E2539" s="89">
        <v>35.76</v>
      </c>
      <c r="F2539" s="88" t="s">
        <v>16</v>
      </c>
      <c r="G2539" s="87">
        <f>Table1[[#This Row],[date]]</f>
        <v>45681</v>
      </c>
      <c r="H2539" s="94">
        <f>SUMIF($A$2:A6174,G2539,$E$2:E6174)</f>
        <v>230.71999999999997</v>
      </c>
      <c r="I2539" s="93" t="str">
        <f t="shared" si="157"/>
        <v>Friday</v>
      </c>
      <c r="J2539" s="93" t="str">
        <f t="shared" si="158"/>
        <v>January</v>
      </c>
      <c r="K2539" s="93" t="str">
        <f t="shared" si="159"/>
        <v>2025</v>
      </c>
      <c r="L2539" s="6"/>
      <c r="M2539" s="6"/>
      <c r="N2539" s="6"/>
    </row>
    <row r="2540" spans="1:14" x14ac:dyDescent="0.3">
      <c r="A2540" s="92">
        <v>45681</v>
      </c>
      <c r="B2540" s="92" t="str">
        <f t="shared" si="156"/>
        <v>Friday</v>
      </c>
      <c r="C2540" s="93" t="s">
        <v>1381</v>
      </c>
      <c r="D2540" s="93" t="s">
        <v>1135</v>
      </c>
      <c r="E2540" s="94">
        <v>25.96</v>
      </c>
      <c r="F2540" s="93" t="s">
        <v>9</v>
      </c>
      <c r="G2540" s="87">
        <f>Table1[[#This Row],[date]]</f>
        <v>45681</v>
      </c>
      <c r="H2540" s="94">
        <f>SUMIF($A$2:A6175,G2540,$E$2:E6175)</f>
        <v>230.71999999999997</v>
      </c>
      <c r="I2540" s="93" t="str">
        <f t="shared" si="157"/>
        <v>Friday</v>
      </c>
      <c r="J2540" s="93" t="str">
        <f t="shared" si="158"/>
        <v>January</v>
      </c>
      <c r="K2540" s="93" t="str">
        <f t="shared" si="159"/>
        <v>2025</v>
      </c>
      <c r="L2540" s="6"/>
      <c r="M2540" s="6"/>
      <c r="N2540" s="6"/>
    </row>
    <row r="2541" spans="1:14" x14ac:dyDescent="0.3">
      <c r="A2541" s="87">
        <v>45681</v>
      </c>
      <c r="B2541" s="87" t="str">
        <f t="shared" si="156"/>
        <v>Friday</v>
      </c>
      <c r="C2541" s="88" t="s">
        <v>1381</v>
      </c>
      <c r="D2541" s="88" t="s">
        <v>1057</v>
      </c>
      <c r="E2541" s="89">
        <v>35.76</v>
      </c>
      <c r="F2541" s="88" t="s">
        <v>16</v>
      </c>
      <c r="G2541" s="87">
        <f>Table1[[#This Row],[date]]</f>
        <v>45681</v>
      </c>
      <c r="H2541" s="94">
        <f>SUMIF($A$2:A6176,G2541,$E$2:E6176)</f>
        <v>230.71999999999997</v>
      </c>
      <c r="I2541" s="93" t="str">
        <f t="shared" si="157"/>
        <v>Friday</v>
      </c>
      <c r="J2541" s="93" t="str">
        <f t="shared" si="158"/>
        <v>January</v>
      </c>
      <c r="K2541" s="93" t="str">
        <f t="shared" si="159"/>
        <v>2025</v>
      </c>
      <c r="L2541" s="6"/>
      <c r="M2541" s="6"/>
      <c r="N2541" s="6"/>
    </row>
    <row r="2542" spans="1:14" x14ac:dyDescent="0.3">
      <c r="A2542" s="92">
        <v>45681</v>
      </c>
      <c r="B2542" s="92" t="str">
        <f t="shared" si="156"/>
        <v>Friday</v>
      </c>
      <c r="C2542" s="93" t="s">
        <v>1381</v>
      </c>
      <c r="D2542" s="93" t="s">
        <v>1136</v>
      </c>
      <c r="E2542" s="94">
        <v>35.76</v>
      </c>
      <c r="F2542" s="93" t="s">
        <v>7</v>
      </c>
      <c r="G2542" s="87">
        <f>Table1[[#This Row],[date]]</f>
        <v>45681</v>
      </c>
      <c r="H2542" s="94">
        <f>SUMIF($A$2:A6177,G2542,$E$2:E6177)</f>
        <v>230.71999999999997</v>
      </c>
      <c r="I2542" s="93" t="str">
        <f t="shared" si="157"/>
        <v>Friday</v>
      </c>
      <c r="J2542" s="93" t="str">
        <f t="shared" si="158"/>
        <v>January</v>
      </c>
      <c r="K2542" s="93" t="str">
        <f t="shared" si="159"/>
        <v>2025</v>
      </c>
      <c r="L2542" s="6"/>
      <c r="M2542" s="6"/>
      <c r="N2542" s="6"/>
    </row>
    <row r="2543" spans="1:14" x14ac:dyDescent="0.3">
      <c r="A2543" s="87">
        <v>45681</v>
      </c>
      <c r="B2543" s="87" t="str">
        <f t="shared" si="156"/>
        <v>Friday</v>
      </c>
      <c r="C2543" s="88" t="s">
        <v>1381</v>
      </c>
      <c r="D2543" s="88" t="s">
        <v>1136</v>
      </c>
      <c r="E2543" s="89">
        <v>35.76</v>
      </c>
      <c r="F2543" s="88" t="s">
        <v>5</v>
      </c>
      <c r="G2543" s="87">
        <f>Table1[[#This Row],[date]]</f>
        <v>45681</v>
      </c>
      <c r="H2543" s="94">
        <f>SUMIF($A$2:A6178,G2543,$E$2:E6178)</f>
        <v>230.71999999999997</v>
      </c>
      <c r="I2543" s="93" t="str">
        <f t="shared" si="157"/>
        <v>Friday</v>
      </c>
      <c r="J2543" s="93" t="str">
        <f t="shared" si="158"/>
        <v>January</v>
      </c>
      <c r="K2543" s="93" t="str">
        <f t="shared" si="159"/>
        <v>2025</v>
      </c>
      <c r="L2543" s="6"/>
      <c r="M2543" s="6"/>
      <c r="N2543" s="6"/>
    </row>
    <row r="2544" spans="1:14" x14ac:dyDescent="0.3">
      <c r="A2544" s="92">
        <v>45682</v>
      </c>
      <c r="B2544" s="92" t="str">
        <f t="shared" si="156"/>
        <v>Saturday</v>
      </c>
      <c r="C2544" s="93" t="s">
        <v>1381</v>
      </c>
      <c r="D2544" s="93" t="s">
        <v>1126</v>
      </c>
      <c r="E2544" s="94">
        <v>35.76</v>
      </c>
      <c r="F2544" s="93" t="s">
        <v>41</v>
      </c>
      <c r="G2544" s="87">
        <f>Table1[[#This Row],[date]]</f>
        <v>45682</v>
      </c>
      <c r="H2544" s="94">
        <f>SUMIF($A$2:A6179,G2544,$E$2:E6179)</f>
        <v>97.47999999999999</v>
      </c>
      <c r="I2544" s="93" t="str">
        <f t="shared" si="157"/>
        <v>Saturday</v>
      </c>
      <c r="J2544" s="93" t="str">
        <f t="shared" si="158"/>
        <v>January</v>
      </c>
      <c r="K2544" s="93" t="str">
        <f t="shared" si="159"/>
        <v>2025</v>
      </c>
      <c r="L2544" s="6"/>
      <c r="M2544" s="6"/>
      <c r="N2544" s="6"/>
    </row>
    <row r="2545" spans="1:14" x14ac:dyDescent="0.3">
      <c r="A2545" s="87">
        <v>45682</v>
      </c>
      <c r="B2545" s="87" t="str">
        <f t="shared" si="156"/>
        <v>Saturday</v>
      </c>
      <c r="C2545" s="88" t="s">
        <v>1381</v>
      </c>
      <c r="D2545" s="88" t="s">
        <v>1137</v>
      </c>
      <c r="E2545" s="89">
        <v>35.76</v>
      </c>
      <c r="F2545" s="88" t="s">
        <v>41</v>
      </c>
      <c r="G2545" s="87">
        <f>Table1[[#This Row],[date]]</f>
        <v>45682</v>
      </c>
      <c r="H2545" s="94">
        <f>SUMIF($A$2:A6180,G2545,$E$2:E6180)</f>
        <v>97.47999999999999</v>
      </c>
      <c r="I2545" s="93" t="str">
        <f t="shared" si="157"/>
        <v>Saturday</v>
      </c>
      <c r="J2545" s="93" t="str">
        <f t="shared" si="158"/>
        <v>January</v>
      </c>
      <c r="K2545" s="93" t="str">
        <f t="shared" si="159"/>
        <v>2025</v>
      </c>
      <c r="L2545" s="6"/>
      <c r="M2545" s="6"/>
      <c r="N2545" s="6"/>
    </row>
    <row r="2546" spans="1:14" x14ac:dyDescent="0.3">
      <c r="A2546" s="92">
        <v>45682</v>
      </c>
      <c r="B2546" s="92" t="str">
        <f t="shared" si="156"/>
        <v>Saturday</v>
      </c>
      <c r="C2546" s="93" t="s">
        <v>1381</v>
      </c>
      <c r="D2546" s="93" t="s">
        <v>1138</v>
      </c>
      <c r="E2546" s="94">
        <v>25.96</v>
      </c>
      <c r="F2546" s="93" t="s">
        <v>9</v>
      </c>
      <c r="G2546" s="87">
        <f>Table1[[#This Row],[date]]</f>
        <v>45682</v>
      </c>
      <c r="H2546" s="94">
        <f>SUMIF($A$2:A6181,G2546,$E$2:E6181)</f>
        <v>97.47999999999999</v>
      </c>
      <c r="I2546" s="93" t="str">
        <f t="shared" si="157"/>
        <v>Saturday</v>
      </c>
      <c r="J2546" s="93" t="str">
        <f t="shared" si="158"/>
        <v>January</v>
      </c>
      <c r="K2546" s="93" t="str">
        <f t="shared" si="159"/>
        <v>2025</v>
      </c>
      <c r="L2546" s="6"/>
      <c r="M2546" s="6"/>
      <c r="N2546" s="6"/>
    </row>
    <row r="2547" spans="1:14" x14ac:dyDescent="0.3">
      <c r="A2547" s="87">
        <v>45683</v>
      </c>
      <c r="B2547" s="87" t="str">
        <f t="shared" si="156"/>
        <v>Sunday</v>
      </c>
      <c r="C2547" s="88" t="s">
        <v>1381</v>
      </c>
      <c r="D2547" s="88" t="s">
        <v>1139</v>
      </c>
      <c r="E2547" s="89">
        <v>25.96</v>
      </c>
      <c r="F2547" s="88" t="s">
        <v>9</v>
      </c>
      <c r="G2547" s="87">
        <f>Table1[[#This Row],[date]]</f>
        <v>45683</v>
      </c>
      <c r="H2547" s="94">
        <f>SUMIF($A$2:A6182,G2547,$E$2:E6182)</f>
        <v>47.019999999999996</v>
      </c>
      <c r="I2547" s="93" t="str">
        <f t="shared" si="157"/>
        <v>Sunday</v>
      </c>
      <c r="J2547" s="93" t="str">
        <f t="shared" si="158"/>
        <v>January</v>
      </c>
      <c r="K2547" s="93" t="str">
        <f t="shared" si="159"/>
        <v>2025</v>
      </c>
      <c r="L2547" s="6"/>
      <c r="M2547" s="6"/>
      <c r="N2547" s="6"/>
    </row>
    <row r="2548" spans="1:14" x14ac:dyDescent="0.3">
      <c r="A2548" s="92">
        <v>45683</v>
      </c>
      <c r="B2548" s="92" t="str">
        <f t="shared" si="156"/>
        <v>Sunday</v>
      </c>
      <c r="C2548" s="93" t="s">
        <v>1381</v>
      </c>
      <c r="D2548" s="93" t="s">
        <v>1139</v>
      </c>
      <c r="E2548" s="94">
        <v>21.06</v>
      </c>
      <c r="F2548" s="93" t="s">
        <v>33</v>
      </c>
      <c r="G2548" s="87">
        <f>Table1[[#This Row],[date]]</f>
        <v>45683</v>
      </c>
      <c r="H2548" s="94">
        <f>SUMIF($A$2:A6183,G2548,$E$2:E6183)</f>
        <v>47.019999999999996</v>
      </c>
      <c r="I2548" s="93" t="str">
        <f t="shared" si="157"/>
        <v>Sunday</v>
      </c>
      <c r="J2548" s="93" t="str">
        <f t="shared" si="158"/>
        <v>January</v>
      </c>
      <c r="K2548" s="93" t="str">
        <f t="shared" si="159"/>
        <v>2025</v>
      </c>
      <c r="L2548" s="6"/>
      <c r="M2548" s="6"/>
      <c r="N2548" s="6"/>
    </row>
    <row r="2549" spans="1:14" x14ac:dyDescent="0.3">
      <c r="A2549" s="87">
        <v>45684</v>
      </c>
      <c r="B2549" s="87" t="str">
        <f t="shared" si="156"/>
        <v>Monday</v>
      </c>
      <c r="C2549" s="88" t="s">
        <v>1381</v>
      </c>
      <c r="D2549" s="88" t="s">
        <v>153</v>
      </c>
      <c r="E2549" s="89">
        <v>25.96</v>
      </c>
      <c r="F2549" s="88" t="s">
        <v>26</v>
      </c>
      <c r="G2549" s="87">
        <f>Table1[[#This Row],[date]]</f>
        <v>45684</v>
      </c>
      <c r="H2549" s="94">
        <f>SUMIF($A$2:A6184,G2549,$E$2:E6184)</f>
        <v>256.68</v>
      </c>
      <c r="I2549" s="93" t="str">
        <f t="shared" si="157"/>
        <v>Monday</v>
      </c>
      <c r="J2549" s="93" t="str">
        <f t="shared" si="158"/>
        <v>January</v>
      </c>
      <c r="K2549" s="93" t="str">
        <f t="shared" si="159"/>
        <v>2025</v>
      </c>
      <c r="L2549" s="6"/>
      <c r="M2549" s="6"/>
      <c r="N2549" s="6"/>
    </row>
    <row r="2550" spans="1:14" x14ac:dyDescent="0.3">
      <c r="A2550" s="92">
        <v>45684</v>
      </c>
      <c r="B2550" s="92" t="str">
        <f t="shared" si="156"/>
        <v>Monday</v>
      </c>
      <c r="C2550" s="93" t="s">
        <v>1381</v>
      </c>
      <c r="D2550" s="93" t="s">
        <v>153</v>
      </c>
      <c r="E2550" s="94">
        <v>25.96</v>
      </c>
      <c r="F2550" s="93" t="s">
        <v>9</v>
      </c>
      <c r="G2550" s="87">
        <f>Table1[[#This Row],[date]]</f>
        <v>45684</v>
      </c>
      <c r="H2550" s="94">
        <f>SUMIF($A$2:A6185,G2550,$E$2:E6185)</f>
        <v>256.68</v>
      </c>
      <c r="I2550" s="93" t="str">
        <f t="shared" si="157"/>
        <v>Monday</v>
      </c>
      <c r="J2550" s="93" t="str">
        <f t="shared" si="158"/>
        <v>January</v>
      </c>
      <c r="K2550" s="93" t="str">
        <f t="shared" si="159"/>
        <v>2025</v>
      </c>
      <c r="L2550" s="6"/>
      <c r="M2550" s="6"/>
      <c r="N2550" s="6"/>
    </row>
    <row r="2551" spans="1:14" x14ac:dyDescent="0.3">
      <c r="A2551" s="87">
        <v>45684</v>
      </c>
      <c r="B2551" s="87" t="str">
        <f t="shared" si="156"/>
        <v>Monday</v>
      </c>
      <c r="C2551" s="88" t="s">
        <v>1381</v>
      </c>
      <c r="D2551" s="88" t="s">
        <v>1140</v>
      </c>
      <c r="E2551" s="89">
        <v>35.76</v>
      </c>
      <c r="F2551" s="88" t="s">
        <v>41</v>
      </c>
      <c r="G2551" s="87">
        <f>Table1[[#This Row],[date]]</f>
        <v>45684</v>
      </c>
      <c r="H2551" s="94">
        <f>SUMIF($A$2:A6186,G2551,$E$2:E6186)</f>
        <v>256.68</v>
      </c>
      <c r="I2551" s="93" t="str">
        <f t="shared" si="157"/>
        <v>Monday</v>
      </c>
      <c r="J2551" s="93" t="str">
        <f t="shared" si="158"/>
        <v>January</v>
      </c>
      <c r="K2551" s="93" t="str">
        <f t="shared" si="159"/>
        <v>2025</v>
      </c>
      <c r="L2551" s="6"/>
      <c r="M2551" s="6"/>
      <c r="N2551" s="6"/>
    </row>
    <row r="2552" spans="1:14" x14ac:dyDescent="0.3">
      <c r="A2552" s="92">
        <v>45684</v>
      </c>
      <c r="B2552" s="92" t="str">
        <f t="shared" si="156"/>
        <v>Monday</v>
      </c>
      <c r="C2552" s="93" t="s">
        <v>1381</v>
      </c>
      <c r="D2552" s="93" t="s">
        <v>288</v>
      </c>
      <c r="E2552" s="94">
        <v>30.86</v>
      </c>
      <c r="F2552" s="93" t="s">
        <v>12</v>
      </c>
      <c r="G2552" s="87">
        <f>Table1[[#This Row],[date]]</f>
        <v>45684</v>
      </c>
      <c r="H2552" s="94">
        <f>SUMIF($A$2:A6187,G2552,$E$2:E6187)</f>
        <v>256.68</v>
      </c>
      <c r="I2552" s="93" t="str">
        <f t="shared" si="157"/>
        <v>Monday</v>
      </c>
      <c r="J2552" s="93" t="str">
        <f t="shared" si="158"/>
        <v>January</v>
      </c>
      <c r="K2552" s="93" t="str">
        <f t="shared" si="159"/>
        <v>2025</v>
      </c>
      <c r="L2552" s="6"/>
      <c r="M2552" s="6"/>
      <c r="N2552" s="6"/>
    </row>
    <row r="2553" spans="1:14" x14ac:dyDescent="0.3">
      <c r="A2553" s="87">
        <v>45684</v>
      </c>
      <c r="B2553" s="87" t="str">
        <f t="shared" si="156"/>
        <v>Monday</v>
      </c>
      <c r="C2553" s="88" t="s">
        <v>1381</v>
      </c>
      <c r="D2553" s="88" t="s">
        <v>153</v>
      </c>
      <c r="E2553" s="89">
        <v>30.86</v>
      </c>
      <c r="F2553" s="88" t="s">
        <v>12</v>
      </c>
      <c r="G2553" s="87">
        <f>Table1[[#This Row],[date]]</f>
        <v>45684</v>
      </c>
      <c r="H2553" s="94">
        <f>SUMIF($A$2:A6188,G2553,$E$2:E6188)</f>
        <v>256.68</v>
      </c>
      <c r="I2553" s="93" t="str">
        <f t="shared" si="157"/>
        <v>Monday</v>
      </c>
      <c r="J2553" s="93" t="str">
        <f t="shared" si="158"/>
        <v>January</v>
      </c>
      <c r="K2553" s="93" t="str">
        <f t="shared" si="159"/>
        <v>2025</v>
      </c>
      <c r="L2553" s="6"/>
      <c r="M2553" s="6"/>
      <c r="N2553" s="6"/>
    </row>
    <row r="2554" spans="1:14" x14ac:dyDescent="0.3">
      <c r="A2554" s="92">
        <v>45684</v>
      </c>
      <c r="B2554" s="92" t="str">
        <f t="shared" si="156"/>
        <v>Monday</v>
      </c>
      <c r="C2554" s="93" t="s">
        <v>1381</v>
      </c>
      <c r="D2554" s="93" t="s">
        <v>1141</v>
      </c>
      <c r="E2554" s="94">
        <v>35.76</v>
      </c>
      <c r="F2554" s="93" t="s">
        <v>5</v>
      </c>
      <c r="G2554" s="87">
        <f>Table1[[#This Row],[date]]</f>
        <v>45684</v>
      </c>
      <c r="H2554" s="94">
        <f>SUMIF($A$2:A6189,G2554,$E$2:E6189)</f>
        <v>256.68</v>
      </c>
      <c r="I2554" s="93" t="str">
        <f t="shared" si="157"/>
        <v>Monday</v>
      </c>
      <c r="J2554" s="93" t="str">
        <f t="shared" si="158"/>
        <v>January</v>
      </c>
      <c r="K2554" s="93" t="str">
        <f t="shared" si="159"/>
        <v>2025</v>
      </c>
      <c r="L2554" s="6"/>
      <c r="M2554" s="6"/>
      <c r="N2554" s="6"/>
    </row>
    <row r="2555" spans="1:14" x14ac:dyDescent="0.3">
      <c r="A2555" s="87">
        <v>45684</v>
      </c>
      <c r="B2555" s="87" t="str">
        <f t="shared" si="156"/>
        <v>Monday</v>
      </c>
      <c r="C2555" s="88" t="s">
        <v>1381</v>
      </c>
      <c r="D2555" s="88" t="s">
        <v>1142</v>
      </c>
      <c r="E2555" s="89">
        <v>35.76</v>
      </c>
      <c r="F2555" s="88" t="s">
        <v>5</v>
      </c>
      <c r="G2555" s="87">
        <f>Table1[[#This Row],[date]]</f>
        <v>45684</v>
      </c>
      <c r="H2555" s="94">
        <f>SUMIF($A$2:A6190,G2555,$E$2:E6190)</f>
        <v>256.68</v>
      </c>
      <c r="I2555" s="93" t="str">
        <f t="shared" si="157"/>
        <v>Monday</v>
      </c>
      <c r="J2555" s="93" t="str">
        <f t="shared" si="158"/>
        <v>January</v>
      </c>
      <c r="K2555" s="93" t="str">
        <f t="shared" si="159"/>
        <v>2025</v>
      </c>
      <c r="L2555" s="6"/>
      <c r="M2555" s="6"/>
      <c r="N2555" s="6"/>
    </row>
    <row r="2556" spans="1:14" x14ac:dyDescent="0.3">
      <c r="A2556" s="92">
        <v>45684</v>
      </c>
      <c r="B2556" s="92" t="str">
        <f t="shared" si="156"/>
        <v>Monday</v>
      </c>
      <c r="C2556" s="93" t="s">
        <v>1381</v>
      </c>
      <c r="D2556" s="93" t="s">
        <v>1143</v>
      </c>
      <c r="E2556" s="94">
        <v>35.76</v>
      </c>
      <c r="F2556" s="93" t="s">
        <v>5</v>
      </c>
      <c r="G2556" s="87">
        <f>Table1[[#This Row],[date]]</f>
        <v>45684</v>
      </c>
      <c r="H2556" s="94">
        <f>SUMIF($A$2:A6191,G2556,$E$2:E6191)</f>
        <v>256.68</v>
      </c>
      <c r="I2556" s="93" t="str">
        <f t="shared" si="157"/>
        <v>Monday</v>
      </c>
      <c r="J2556" s="93" t="str">
        <f t="shared" si="158"/>
        <v>January</v>
      </c>
      <c r="K2556" s="93" t="str">
        <f t="shared" si="159"/>
        <v>2025</v>
      </c>
      <c r="L2556" s="6"/>
      <c r="M2556" s="6"/>
      <c r="N2556" s="6"/>
    </row>
    <row r="2557" spans="1:14" x14ac:dyDescent="0.3">
      <c r="A2557" s="87">
        <v>45685</v>
      </c>
      <c r="B2557" s="87" t="str">
        <f t="shared" si="156"/>
        <v>Tuesday</v>
      </c>
      <c r="C2557" s="88" t="s">
        <v>1381</v>
      </c>
      <c r="D2557" s="88" t="s">
        <v>209</v>
      </c>
      <c r="E2557" s="89">
        <v>35.76</v>
      </c>
      <c r="F2557" s="88" t="s">
        <v>5</v>
      </c>
      <c r="G2557" s="87">
        <f>Table1[[#This Row],[date]]</f>
        <v>45685</v>
      </c>
      <c r="H2557" s="94">
        <f>SUMIF($A$2:A6192,G2557,$E$2:E6192)</f>
        <v>277.74</v>
      </c>
      <c r="I2557" s="93" t="str">
        <f t="shared" si="157"/>
        <v>Tuesday</v>
      </c>
      <c r="J2557" s="93" t="str">
        <f t="shared" si="158"/>
        <v>January</v>
      </c>
      <c r="K2557" s="93" t="str">
        <f t="shared" si="159"/>
        <v>2025</v>
      </c>
      <c r="L2557" s="6"/>
      <c r="M2557" s="6"/>
      <c r="N2557" s="6"/>
    </row>
    <row r="2558" spans="1:14" x14ac:dyDescent="0.3">
      <c r="A2558" s="92">
        <v>45685</v>
      </c>
      <c r="B2558" s="92" t="str">
        <f t="shared" si="156"/>
        <v>Tuesday</v>
      </c>
      <c r="C2558" s="93" t="s">
        <v>1381</v>
      </c>
      <c r="D2558" s="93" t="s">
        <v>1144</v>
      </c>
      <c r="E2558" s="94">
        <v>25.96</v>
      </c>
      <c r="F2558" s="93" t="s">
        <v>9</v>
      </c>
      <c r="G2558" s="87">
        <f>Table1[[#This Row],[date]]</f>
        <v>45685</v>
      </c>
      <c r="H2558" s="94">
        <f>SUMIF($A$2:A6193,G2558,$E$2:E6193)</f>
        <v>277.74</v>
      </c>
      <c r="I2558" s="93" t="str">
        <f t="shared" si="157"/>
        <v>Tuesday</v>
      </c>
      <c r="J2558" s="93" t="str">
        <f t="shared" si="158"/>
        <v>January</v>
      </c>
      <c r="K2558" s="93" t="str">
        <f t="shared" si="159"/>
        <v>2025</v>
      </c>
      <c r="L2558" s="6"/>
      <c r="M2558" s="6"/>
      <c r="N2558" s="6"/>
    </row>
    <row r="2559" spans="1:14" x14ac:dyDescent="0.3">
      <c r="A2559" s="87">
        <v>45685</v>
      </c>
      <c r="B2559" s="87" t="str">
        <f t="shared" si="156"/>
        <v>Tuesday</v>
      </c>
      <c r="C2559" s="88" t="s">
        <v>1381</v>
      </c>
      <c r="D2559" s="88" t="s">
        <v>236</v>
      </c>
      <c r="E2559" s="89">
        <v>30.86</v>
      </c>
      <c r="F2559" s="88" t="s">
        <v>12</v>
      </c>
      <c r="G2559" s="87">
        <f>Table1[[#This Row],[date]]</f>
        <v>45685</v>
      </c>
      <c r="H2559" s="94">
        <f>SUMIF($A$2:A6194,G2559,$E$2:E6194)</f>
        <v>277.74</v>
      </c>
      <c r="I2559" s="93" t="str">
        <f t="shared" si="157"/>
        <v>Tuesday</v>
      </c>
      <c r="J2559" s="93" t="str">
        <f t="shared" si="158"/>
        <v>January</v>
      </c>
      <c r="K2559" s="93" t="str">
        <f t="shared" si="159"/>
        <v>2025</v>
      </c>
      <c r="L2559" s="6"/>
      <c r="M2559" s="6"/>
      <c r="N2559" s="6"/>
    </row>
    <row r="2560" spans="1:14" x14ac:dyDescent="0.3">
      <c r="A2560" s="92">
        <v>45685</v>
      </c>
      <c r="B2560" s="92" t="str">
        <f t="shared" si="156"/>
        <v>Tuesday</v>
      </c>
      <c r="C2560" s="93" t="s">
        <v>1381</v>
      </c>
      <c r="D2560" s="93" t="s">
        <v>1145</v>
      </c>
      <c r="E2560" s="94">
        <v>25.96</v>
      </c>
      <c r="F2560" s="93" t="s">
        <v>9</v>
      </c>
      <c r="G2560" s="87">
        <f>Table1[[#This Row],[date]]</f>
        <v>45685</v>
      </c>
      <c r="H2560" s="94">
        <f>SUMIF($A$2:A6195,G2560,$E$2:E6195)</f>
        <v>277.74</v>
      </c>
      <c r="I2560" s="93" t="str">
        <f t="shared" si="157"/>
        <v>Tuesday</v>
      </c>
      <c r="J2560" s="93" t="str">
        <f t="shared" si="158"/>
        <v>January</v>
      </c>
      <c r="K2560" s="93" t="str">
        <f t="shared" si="159"/>
        <v>2025</v>
      </c>
      <c r="L2560" s="6"/>
      <c r="M2560" s="6"/>
      <c r="N2560" s="6"/>
    </row>
    <row r="2561" spans="1:14" x14ac:dyDescent="0.3">
      <c r="A2561" s="87">
        <v>45685</v>
      </c>
      <c r="B2561" s="87" t="str">
        <f t="shared" si="156"/>
        <v>Tuesday</v>
      </c>
      <c r="C2561" s="88" t="s">
        <v>1381</v>
      </c>
      <c r="D2561" s="88" t="s">
        <v>1146</v>
      </c>
      <c r="E2561" s="89">
        <v>35.76</v>
      </c>
      <c r="F2561" s="88" t="s">
        <v>16</v>
      </c>
      <c r="G2561" s="87">
        <f>Table1[[#This Row],[date]]</f>
        <v>45685</v>
      </c>
      <c r="H2561" s="94">
        <f>SUMIF($A$2:A6196,G2561,$E$2:E6196)</f>
        <v>277.74</v>
      </c>
      <c r="I2561" s="93" t="str">
        <f t="shared" si="157"/>
        <v>Tuesday</v>
      </c>
      <c r="J2561" s="93" t="str">
        <f t="shared" si="158"/>
        <v>January</v>
      </c>
      <c r="K2561" s="93" t="str">
        <f t="shared" si="159"/>
        <v>2025</v>
      </c>
      <c r="L2561" s="6"/>
      <c r="M2561" s="6"/>
      <c r="N2561" s="6"/>
    </row>
    <row r="2562" spans="1:14" x14ac:dyDescent="0.3">
      <c r="A2562" s="92">
        <v>45685</v>
      </c>
      <c r="B2562" s="92" t="str">
        <f t="shared" ref="B2562:B2625" si="160">TEXT(A2562,"dddd")</f>
        <v>Tuesday</v>
      </c>
      <c r="C2562" s="93" t="s">
        <v>1381</v>
      </c>
      <c r="D2562" s="93" t="s">
        <v>1146</v>
      </c>
      <c r="E2562" s="94">
        <v>25.96</v>
      </c>
      <c r="F2562" s="93" t="s">
        <v>26</v>
      </c>
      <c r="G2562" s="87">
        <f>Table1[[#This Row],[date]]</f>
        <v>45685</v>
      </c>
      <c r="H2562" s="94">
        <f>SUMIF($A$2:A6197,G2562,$E$2:E6197)</f>
        <v>277.74</v>
      </c>
      <c r="I2562" s="93" t="str">
        <f t="shared" si="157"/>
        <v>Tuesday</v>
      </c>
      <c r="J2562" s="93" t="str">
        <f t="shared" si="158"/>
        <v>January</v>
      </c>
      <c r="K2562" s="93" t="str">
        <f t="shared" si="159"/>
        <v>2025</v>
      </c>
      <c r="L2562" s="6"/>
      <c r="M2562" s="6"/>
      <c r="N2562" s="6"/>
    </row>
    <row r="2563" spans="1:14" x14ac:dyDescent="0.3">
      <c r="A2563" s="87">
        <v>45685</v>
      </c>
      <c r="B2563" s="87" t="str">
        <f t="shared" si="160"/>
        <v>Tuesday</v>
      </c>
      <c r="C2563" s="88" t="s">
        <v>1381</v>
      </c>
      <c r="D2563" s="88" t="s">
        <v>1147</v>
      </c>
      <c r="E2563" s="89">
        <v>25.96</v>
      </c>
      <c r="F2563" s="88" t="s">
        <v>9</v>
      </c>
      <c r="G2563" s="87">
        <f>Table1[[#This Row],[date]]</f>
        <v>45685</v>
      </c>
      <c r="H2563" s="94">
        <f>SUMIF($A$2:A6198,G2563,$E$2:E6198)</f>
        <v>277.74</v>
      </c>
      <c r="I2563" s="93" t="str">
        <f t="shared" si="157"/>
        <v>Tuesday</v>
      </c>
      <c r="J2563" s="93" t="str">
        <f t="shared" si="158"/>
        <v>January</v>
      </c>
      <c r="K2563" s="93" t="str">
        <f t="shared" si="159"/>
        <v>2025</v>
      </c>
      <c r="L2563" s="6"/>
      <c r="M2563" s="6"/>
      <c r="N2563" s="6"/>
    </row>
    <row r="2564" spans="1:14" x14ac:dyDescent="0.3">
      <c r="A2564" s="92">
        <v>45685</v>
      </c>
      <c r="B2564" s="92" t="str">
        <f t="shared" si="160"/>
        <v>Tuesday</v>
      </c>
      <c r="C2564" s="93" t="s">
        <v>1381</v>
      </c>
      <c r="D2564" s="93" t="s">
        <v>1148</v>
      </c>
      <c r="E2564" s="94">
        <v>35.76</v>
      </c>
      <c r="F2564" s="93" t="s">
        <v>5</v>
      </c>
      <c r="G2564" s="87">
        <f>Table1[[#This Row],[date]]</f>
        <v>45685</v>
      </c>
      <c r="H2564" s="94">
        <f>SUMIF($A$2:A6199,G2564,$E$2:E6199)</f>
        <v>277.74</v>
      </c>
      <c r="I2564" s="93" t="str">
        <f t="shared" si="157"/>
        <v>Tuesday</v>
      </c>
      <c r="J2564" s="93" t="str">
        <f t="shared" si="158"/>
        <v>January</v>
      </c>
      <c r="K2564" s="93" t="str">
        <f t="shared" si="159"/>
        <v>2025</v>
      </c>
      <c r="L2564" s="6"/>
      <c r="M2564" s="6"/>
      <c r="N2564" s="6"/>
    </row>
    <row r="2565" spans="1:14" x14ac:dyDescent="0.3">
      <c r="A2565" s="87">
        <v>45685</v>
      </c>
      <c r="B2565" s="87" t="str">
        <f t="shared" si="160"/>
        <v>Tuesday</v>
      </c>
      <c r="C2565" s="88" t="s">
        <v>1381</v>
      </c>
      <c r="D2565" s="88" t="s">
        <v>1149</v>
      </c>
      <c r="E2565" s="89">
        <v>35.76</v>
      </c>
      <c r="F2565" s="88" t="s">
        <v>41</v>
      </c>
      <c r="G2565" s="87">
        <f>Table1[[#This Row],[date]]</f>
        <v>45685</v>
      </c>
      <c r="H2565" s="94">
        <f>SUMIF($A$2:A6200,G2565,$E$2:E6200)</f>
        <v>277.74</v>
      </c>
      <c r="I2565" s="93" t="str">
        <f t="shared" si="157"/>
        <v>Tuesday</v>
      </c>
      <c r="J2565" s="93" t="str">
        <f t="shared" si="158"/>
        <v>January</v>
      </c>
      <c r="K2565" s="93" t="str">
        <f t="shared" si="159"/>
        <v>2025</v>
      </c>
      <c r="L2565" s="6"/>
      <c r="M2565" s="6"/>
      <c r="N2565" s="6"/>
    </row>
    <row r="2566" spans="1:14" x14ac:dyDescent="0.3">
      <c r="A2566" s="92">
        <v>45686</v>
      </c>
      <c r="B2566" s="92" t="str">
        <f t="shared" si="160"/>
        <v>Wednesday</v>
      </c>
      <c r="C2566" s="93" t="s">
        <v>1381</v>
      </c>
      <c r="D2566" s="93" t="s">
        <v>1081</v>
      </c>
      <c r="E2566" s="94">
        <v>25.96</v>
      </c>
      <c r="F2566" s="93" t="s">
        <v>9</v>
      </c>
      <c r="G2566" s="87">
        <f>Table1[[#This Row],[date]]</f>
        <v>45686</v>
      </c>
      <c r="H2566" s="94">
        <f>SUMIF($A$2:A6201,G2566,$E$2:E6201)</f>
        <v>103.84</v>
      </c>
      <c r="I2566" s="93" t="str">
        <f t="shared" ref="I2566:I2629" si="161">TEXT(G2566,"dddd")</f>
        <v>Wednesday</v>
      </c>
      <c r="J2566" s="93" t="str">
        <f t="shared" si="158"/>
        <v>January</v>
      </c>
      <c r="K2566" s="93" t="str">
        <f t="shared" si="159"/>
        <v>2025</v>
      </c>
      <c r="L2566" s="6"/>
      <c r="M2566" s="6"/>
      <c r="N2566" s="6"/>
    </row>
    <row r="2567" spans="1:14" x14ac:dyDescent="0.3">
      <c r="A2567" s="87">
        <v>45686</v>
      </c>
      <c r="B2567" s="87" t="str">
        <f t="shared" si="160"/>
        <v>Wednesday</v>
      </c>
      <c r="C2567" s="88" t="s">
        <v>1381</v>
      </c>
      <c r="D2567" s="88" t="s">
        <v>1150</v>
      </c>
      <c r="E2567" s="89">
        <v>25.96</v>
      </c>
      <c r="F2567" s="88" t="s">
        <v>9</v>
      </c>
      <c r="G2567" s="87">
        <f>Table1[[#This Row],[date]]</f>
        <v>45686</v>
      </c>
      <c r="H2567" s="94">
        <f>SUMIF($A$2:A6202,G2567,$E$2:E6202)</f>
        <v>103.84</v>
      </c>
      <c r="I2567" s="93" t="str">
        <f t="shared" si="161"/>
        <v>Wednesday</v>
      </c>
      <c r="J2567" s="93" t="str">
        <f t="shared" ref="J2567:J2630" si="162">TEXT(G2567,"mmmm")</f>
        <v>January</v>
      </c>
      <c r="K2567" s="93" t="str">
        <f t="shared" ref="K2567:K2630" si="163">TEXT(G2567,"yyyy")</f>
        <v>2025</v>
      </c>
      <c r="L2567" s="6"/>
      <c r="M2567" s="6"/>
      <c r="N2567" s="6"/>
    </row>
    <row r="2568" spans="1:14" x14ac:dyDescent="0.3">
      <c r="A2568" s="92">
        <v>45686</v>
      </c>
      <c r="B2568" s="92" t="str">
        <f t="shared" si="160"/>
        <v>Wednesday</v>
      </c>
      <c r="C2568" s="93" t="s">
        <v>1381</v>
      </c>
      <c r="D2568" s="93" t="s">
        <v>1151</v>
      </c>
      <c r="E2568" s="94">
        <v>30.86</v>
      </c>
      <c r="F2568" s="93" t="s">
        <v>12</v>
      </c>
      <c r="G2568" s="87">
        <f>Table1[[#This Row],[date]]</f>
        <v>45686</v>
      </c>
      <c r="H2568" s="94">
        <f>SUMIF($A$2:A6203,G2568,$E$2:E6203)</f>
        <v>103.84</v>
      </c>
      <c r="I2568" s="93" t="str">
        <f t="shared" si="161"/>
        <v>Wednesday</v>
      </c>
      <c r="J2568" s="93" t="str">
        <f t="shared" si="162"/>
        <v>January</v>
      </c>
      <c r="K2568" s="93" t="str">
        <f t="shared" si="163"/>
        <v>2025</v>
      </c>
      <c r="L2568" s="6"/>
      <c r="M2568" s="6"/>
      <c r="N2568" s="6"/>
    </row>
    <row r="2569" spans="1:14" x14ac:dyDescent="0.3">
      <c r="A2569" s="87">
        <v>45686</v>
      </c>
      <c r="B2569" s="87" t="str">
        <f t="shared" si="160"/>
        <v>Wednesday</v>
      </c>
      <c r="C2569" s="88" t="s">
        <v>1381</v>
      </c>
      <c r="D2569" s="88" t="s">
        <v>1151</v>
      </c>
      <c r="E2569" s="89">
        <v>21.06</v>
      </c>
      <c r="F2569" s="88" t="s">
        <v>33</v>
      </c>
      <c r="G2569" s="87">
        <f>Table1[[#This Row],[date]]</f>
        <v>45686</v>
      </c>
      <c r="H2569" s="94">
        <f>SUMIF($A$2:A6204,G2569,$E$2:E6204)</f>
        <v>103.84</v>
      </c>
      <c r="I2569" s="93" t="str">
        <f t="shared" si="161"/>
        <v>Wednesday</v>
      </c>
      <c r="J2569" s="93" t="str">
        <f t="shared" si="162"/>
        <v>January</v>
      </c>
      <c r="K2569" s="93" t="str">
        <f t="shared" si="163"/>
        <v>2025</v>
      </c>
      <c r="L2569" s="6"/>
      <c r="M2569" s="6"/>
      <c r="N2569" s="6"/>
    </row>
    <row r="2570" spans="1:14" x14ac:dyDescent="0.3">
      <c r="A2570" s="92">
        <v>45687</v>
      </c>
      <c r="B2570" s="92" t="str">
        <f t="shared" si="160"/>
        <v>Thursday</v>
      </c>
      <c r="C2570" s="93" t="s">
        <v>1381</v>
      </c>
      <c r="D2570" s="93" t="s">
        <v>236</v>
      </c>
      <c r="E2570" s="94">
        <v>30.86</v>
      </c>
      <c r="F2570" s="93" t="s">
        <v>12</v>
      </c>
      <c r="G2570" s="87">
        <f>Table1[[#This Row],[date]]</f>
        <v>45687</v>
      </c>
      <c r="H2570" s="94">
        <f>SUMIF($A$2:A6205,G2570,$E$2:E6205)</f>
        <v>272.83999999999997</v>
      </c>
      <c r="I2570" s="93" t="str">
        <f t="shared" si="161"/>
        <v>Thursday</v>
      </c>
      <c r="J2570" s="93" t="str">
        <f t="shared" si="162"/>
        <v>January</v>
      </c>
      <c r="K2570" s="93" t="str">
        <f t="shared" si="163"/>
        <v>2025</v>
      </c>
      <c r="L2570" s="6"/>
      <c r="M2570" s="6"/>
      <c r="N2570" s="6"/>
    </row>
    <row r="2571" spans="1:14" x14ac:dyDescent="0.3">
      <c r="A2571" s="87">
        <v>45687</v>
      </c>
      <c r="B2571" s="87" t="str">
        <f t="shared" si="160"/>
        <v>Thursday</v>
      </c>
      <c r="C2571" s="88" t="s">
        <v>1381</v>
      </c>
      <c r="D2571" s="88" t="s">
        <v>288</v>
      </c>
      <c r="E2571" s="89">
        <v>30.86</v>
      </c>
      <c r="F2571" s="88" t="s">
        <v>12</v>
      </c>
      <c r="G2571" s="87">
        <f>Table1[[#This Row],[date]]</f>
        <v>45687</v>
      </c>
      <c r="H2571" s="94">
        <f>SUMIF($A$2:A6206,G2571,$E$2:E6206)</f>
        <v>272.83999999999997</v>
      </c>
      <c r="I2571" s="93" t="str">
        <f t="shared" si="161"/>
        <v>Thursday</v>
      </c>
      <c r="J2571" s="93" t="str">
        <f t="shared" si="162"/>
        <v>January</v>
      </c>
      <c r="K2571" s="93" t="str">
        <f t="shared" si="163"/>
        <v>2025</v>
      </c>
      <c r="L2571" s="6"/>
      <c r="M2571" s="6"/>
      <c r="N2571" s="6"/>
    </row>
    <row r="2572" spans="1:14" x14ac:dyDescent="0.3">
      <c r="A2572" s="92">
        <v>45687</v>
      </c>
      <c r="B2572" s="92" t="str">
        <f t="shared" si="160"/>
        <v>Thursday</v>
      </c>
      <c r="C2572" s="93" t="s">
        <v>1381</v>
      </c>
      <c r="D2572" s="93" t="s">
        <v>874</v>
      </c>
      <c r="E2572" s="94">
        <v>25.96</v>
      </c>
      <c r="F2572" s="93" t="s">
        <v>26</v>
      </c>
      <c r="G2572" s="87">
        <f>Table1[[#This Row],[date]]</f>
        <v>45687</v>
      </c>
      <c r="H2572" s="94">
        <f>SUMIF($A$2:A6207,G2572,$E$2:E6207)</f>
        <v>272.83999999999997</v>
      </c>
      <c r="I2572" s="93" t="str">
        <f t="shared" si="161"/>
        <v>Thursday</v>
      </c>
      <c r="J2572" s="93" t="str">
        <f t="shared" si="162"/>
        <v>January</v>
      </c>
      <c r="K2572" s="93" t="str">
        <f t="shared" si="163"/>
        <v>2025</v>
      </c>
      <c r="L2572" s="6"/>
      <c r="M2572" s="6"/>
      <c r="N2572" s="6"/>
    </row>
    <row r="2573" spans="1:14" x14ac:dyDescent="0.3">
      <c r="A2573" s="87">
        <v>45687</v>
      </c>
      <c r="B2573" s="87" t="str">
        <f t="shared" si="160"/>
        <v>Thursday</v>
      </c>
      <c r="C2573" s="88" t="s">
        <v>1381</v>
      </c>
      <c r="D2573" s="88" t="s">
        <v>1152</v>
      </c>
      <c r="E2573" s="89">
        <v>35.76</v>
      </c>
      <c r="F2573" s="88" t="s">
        <v>7</v>
      </c>
      <c r="G2573" s="87">
        <f>Table1[[#This Row],[date]]</f>
        <v>45687</v>
      </c>
      <c r="H2573" s="94">
        <f>SUMIF($A$2:A6208,G2573,$E$2:E6208)</f>
        <v>272.83999999999997</v>
      </c>
      <c r="I2573" s="93" t="str">
        <f t="shared" si="161"/>
        <v>Thursday</v>
      </c>
      <c r="J2573" s="93" t="str">
        <f t="shared" si="162"/>
        <v>January</v>
      </c>
      <c r="K2573" s="93" t="str">
        <f t="shared" si="163"/>
        <v>2025</v>
      </c>
      <c r="L2573" s="6"/>
      <c r="M2573" s="6"/>
      <c r="N2573" s="6"/>
    </row>
    <row r="2574" spans="1:14" x14ac:dyDescent="0.3">
      <c r="A2574" s="92">
        <v>45687</v>
      </c>
      <c r="B2574" s="92" t="str">
        <f t="shared" si="160"/>
        <v>Thursday</v>
      </c>
      <c r="C2574" s="93" t="s">
        <v>1381</v>
      </c>
      <c r="D2574" s="93" t="s">
        <v>1153</v>
      </c>
      <c r="E2574" s="94">
        <v>25.96</v>
      </c>
      <c r="F2574" s="93" t="s">
        <v>9</v>
      </c>
      <c r="G2574" s="87">
        <f>Table1[[#This Row],[date]]</f>
        <v>45687</v>
      </c>
      <c r="H2574" s="94">
        <f>SUMIF($A$2:A6209,G2574,$E$2:E6209)</f>
        <v>272.83999999999997</v>
      </c>
      <c r="I2574" s="93" t="str">
        <f t="shared" si="161"/>
        <v>Thursday</v>
      </c>
      <c r="J2574" s="93" t="str">
        <f t="shared" si="162"/>
        <v>January</v>
      </c>
      <c r="K2574" s="93" t="str">
        <f t="shared" si="163"/>
        <v>2025</v>
      </c>
      <c r="L2574" s="6"/>
      <c r="M2574" s="6"/>
      <c r="N2574" s="6"/>
    </row>
    <row r="2575" spans="1:14" x14ac:dyDescent="0.3">
      <c r="A2575" s="87">
        <v>45687</v>
      </c>
      <c r="B2575" s="87" t="str">
        <f t="shared" si="160"/>
        <v>Thursday</v>
      </c>
      <c r="C2575" s="88" t="s">
        <v>1381</v>
      </c>
      <c r="D2575" s="88" t="s">
        <v>1154</v>
      </c>
      <c r="E2575" s="89">
        <v>30.86</v>
      </c>
      <c r="F2575" s="88" t="s">
        <v>12</v>
      </c>
      <c r="G2575" s="87">
        <f>Table1[[#This Row],[date]]</f>
        <v>45687</v>
      </c>
      <c r="H2575" s="94">
        <f>SUMIF($A$2:A6210,G2575,$E$2:E6210)</f>
        <v>272.83999999999997</v>
      </c>
      <c r="I2575" s="93" t="str">
        <f t="shared" si="161"/>
        <v>Thursday</v>
      </c>
      <c r="J2575" s="93" t="str">
        <f t="shared" si="162"/>
        <v>January</v>
      </c>
      <c r="K2575" s="93" t="str">
        <f t="shared" si="163"/>
        <v>2025</v>
      </c>
      <c r="L2575" s="6"/>
      <c r="M2575" s="6"/>
      <c r="N2575" s="6"/>
    </row>
    <row r="2576" spans="1:14" x14ac:dyDescent="0.3">
      <c r="A2576" s="92">
        <v>45687</v>
      </c>
      <c r="B2576" s="92" t="str">
        <f t="shared" si="160"/>
        <v>Thursday</v>
      </c>
      <c r="C2576" s="93" t="s">
        <v>1381</v>
      </c>
      <c r="D2576" s="93" t="s">
        <v>1155</v>
      </c>
      <c r="E2576" s="94">
        <v>35.76</v>
      </c>
      <c r="F2576" s="93" t="s">
        <v>7</v>
      </c>
      <c r="G2576" s="87">
        <f>Table1[[#This Row],[date]]</f>
        <v>45687</v>
      </c>
      <c r="H2576" s="94">
        <f>SUMIF($A$2:A6211,G2576,$E$2:E6211)</f>
        <v>272.83999999999997</v>
      </c>
      <c r="I2576" s="93" t="str">
        <f t="shared" si="161"/>
        <v>Thursday</v>
      </c>
      <c r="J2576" s="93" t="str">
        <f t="shared" si="162"/>
        <v>January</v>
      </c>
      <c r="K2576" s="93" t="str">
        <f t="shared" si="163"/>
        <v>2025</v>
      </c>
      <c r="L2576" s="6"/>
      <c r="M2576" s="6"/>
      <c r="N2576" s="6"/>
    </row>
    <row r="2577" spans="1:14" x14ac:dyDescent="0.3">
      <c r="A2577" s="87">
        <v>45687</v>
      </c>
      <c r="B2577" s="87" t="str">
        <f t="shared" si="160"/>
        <v>Thursday</v>
      </c>
      <c r="C2577" s="88" t="s">
        <v>1381</v>
      </c>
      <c r="D2577" s="88" t="s">
        <v>1081</v>
      </c>
      <c r="E2577" s="89">
        <v>30.86</v>
      </c>
      <c r="F2577" s="88" t="s">
        <v>12</v>
      </c>
      <c r="G2577" s="87">
        <f>Table1[[#This Row],[date]]</f>
        <v>45687</v>
      </c>
      <c r="H2577" s="94">
        <f>SUMIF($A$2:A6212,G2577,$E$2:E6212)</f>
        <v>272.83999999999997</v>
      </c>
      <c r="I2577" s="93" t="str">
        <f t="shared" si="161"/>
        <v>Thursday</v>
      </c>
      <c r="J2577" s="93" t="str">
        <f t="shared" si="162"/>
        <v>January</v>
      </c>
      <c r="K2577" s="93" t="str">
        <f t="shared" si="163"/>
        <v>2025</v>
      </c>
      <c r="L2577" s="6"/>
      <c r="M2577" s="6"/>
      <c r="N2577" s="6"/>
    </row>
    <row r="2578" spans="1:14" x14ac:dyDescent="0.3">
      <c r="A2578" s="92">
        <v>45687</v>
      </c>
      <c r="B2578" s="92" t="str">
        <f t="shared" si="160"/>
        <v>Thursday</v>
      </c>
      <c r="C2578" s="93" t="s">
        <v>1381</v>
      </c>
      <c r="D2578" s="93" t="s">
        <v>1156</v>
      </c>
      <c r="E2578" s="94">
        <v>25.96</v>
      </c>
      <c r="F2578" s="93" t="s">
        <v>26</v>
      </c>
      <c r="G2578" s="87">
        <f>Table1[[#This Row],[date]]</f>
        <v>45687</v>
      </c>
      <c r="H2578" s="94">
        <f>SUMIF($A$2:A6213,G2578,$E$2:E6213)</f>
        <v>272.83999999999997</v>
      </c>
      <c r="I2578" s="93" t="str">
        <f t="shared" si="161"/>
        <v>Thursday</v>
      </c>
      <c r="J2578" s="93" t="str">
        <f t="shared" si="162"/>
        <v>January</v>
      </c>
      <c r="K2578" s="93" t="str">
        <f t="shared" si="163"/>
        <v>2025</v>
      </c>
      <c r="L2578" s="6"/>
      <c r="M2578" s="6"/>
      <c r="N2578" s="6"/>
    </row>
    <row r="2579" spans="1:14" x14ac:dyDescent="0.3">
      <c r="A2579" s="87">
        <v>45688</v>
      </c>
      <c r="B2579" s="87" t="str">
        <f t="shared" si="160"/>
        <v>Friday</v>
      </c>
      <c r="C2579" s="88" t="s">
        <v>1381</v>
      </c>
      <c r="D2579" s="88" t="s">
        <v>153</v>
      </c>
      <c r="E2579" s="89">
        <v>25.96</v>
      </c>
      <c r="F2579" s="88" t="s">
        <v>9</v>
      </c>
      <c r="G2579" s="87">
        <f>Table1[[#This Row],[date]]</f>
        <v>45688</v>
      </c>
      <c r="H2579" s="94">
        <f>SUMIF($A$2:A6214,G2579,$E$2:E6214)</f>
        <v>323.29999999999995</v>
      </c>
      <c r="I2579" s="93" t="str">
        <f t="shared" si="161"/>
        <v>Friday</v>
      </c>
      <c r="J2579" s="93" t="str">
        <f t="shared" si="162"/>
        <v>January</v>
      </c>
      <c r="K2579" s="93" t="str">
        <f t="shared" si="163"/>
        <v>2025</v>
      </c>
      <c r="L2579" s="6"/>
      <c r="M2579" s="6"/>
      <c r="N2579" s="6"/>
    </row>
    <row r="2580" spans="1:14" x14ac:dyDescent="0.3">
      <c r="A2580" s="92">
        <v>45688</v>
      </c>
      <c r="B2580" s="92" t="str">
        <f t="shared" si="160"/>
        <v>Friday</v>
      </c>
      <c r="C2580" s="93" t="s">
        <v>1381</v>
      </c>
      <c r="D2580" s="93" t="s">
        <v>153</v>
      </c>
      <c r="E2580" s="94">
        <v>30.86</v>
      </c>
      <c r="F2580" s="93" t="s">
        <v>12</v>
      </c>
      <c r="G2580" s="87">
        <f>Table1[[#This Row],[date]]</f>
        <v>45688</v>
      </c>
      <c r="H2580" s="94">
        <f>SUMIF($A$2:A6215,G2580,$E$2:E6215)</f>
        <v>323.29999999999995</v>
      </c>
      <c r="I2580" s="93" t="str">
        <f t="shared" si="161"/>
        <v>Friday</v>
      </c>
      <c r="J2580" s="93" t="str">
        <f t="shared" si="162"/>
        <v>January</v>
      </c>
      <c r="K2580" s="93" t="str">
        <f t="shared" si="163"/>
        <v>2025</v>
      </c>
      <c r="L2580" s="6"/>
      <c r="M2580" s="6"/>
      <c r="N2580" s="6"/>
    </row>
    <row r="2581" spans="1:14" x14ac:dyDescent="0.3">
      <c r="A2581" s="87">
        <v>45688</v>
      </c>
      <c r="B2581" s="87" t="str">
        <f t="shared" si="160"/>
        <v>Friday</v>
      </c>
      <c r="C2581" s="88" t="s">
        <v>1381</v>
      </c>
      <c r="D2581" s="88" t="s">
        <v>316</v>
      </c>
      <c r="E2581" s="89">
        <v>30.86</v>
      </c>
      <c r="F2581" s="88" t="s">
        <v>12</v>
      </c>
      <c r="G2581" s="87">
        <f>Table1[[#This Row],[date]]</f>
        <v>45688</v>
      </c>
      <c r="H2581" s="94">
        <f>SUMIF($A$2:A6216,G2581,$E$2:E6216)</f>
        <v>323.29999999999995</v>
      </c>
      <c r="I2581" s="93" t="str">
        <f t="shared" si="161"/>
        <v>Friday</v>
      </c>
      <c r="J2581" s="93" t="str">
        <f t="shared" si="162"/>
        <v>January</v>
      </c>
      <c r="K2581" s="93" t="str">
        <f t="shared" si="163"/>
        <v>2025</v>
      </c>
      <c r="L2581" s="6"/>
      <c r="M2581" s="6"/>
      <c r="N2581" s="6"/>
    </row>
    <row r="2582" spans="1:14" x14ac:dyDescent="0.3">
      <c r="A2582" s="92">
        <v>45688</v>
      </c>
      <c r="B2582" s="92" t="str">
        <f t="shared" si="160"/>
        <v>Friday</v>
      </c>
      <c r="C2582" s="93" t="s">
        <v>1381</v>
      </c>
      <c r="D2582" s="93" t="s">
        <v>1157</v>
      </c>
      <c r="E2582" s="94">
        <v>35.76</v>
      </c>
      <c r="F2582" s="93" t="s">
        <v>16</v>
      </c>
      <c r="G2582" s="87">
        <f>Table1[[#This Row],[date]]</f>
        <v>45688</v>
      </c>
      <c r="H2582" s="94">
        <f>SUMIF($A$2:A6217,G2582,$E$2:E6217)</f>
        <v>323.29999999999995</v>
      </c>
      <c r="I2582" s="93" t="str">
        <f t="shared" si="161"/>
        <v>Friday</v>
      </c>
      <c r="J2582" s="93" t="str">
        <f t="shared" si="162"/>
        <v>January</v>
      </c>
      <c r="K2582" s="93" t="str">
        <f t="shared" si="163"/>
        <v>2025</v>
      </c>
      <c r="L2582" s="6"/>
      <c r="M2582" s="6"/>
      <c r="N2582" s="6"/>
    </row>
    <row r="2583" spans="1:14" x14ac:dyDescent="0.3">
      <c r="A2583" s="87">
        <v>45688</v>
      </c>
      <c r="B2583" s="87" t="str">
        <f t="shared" si="160"/>
        <v>Friday</v>
      </c>
      <c r="C2583" s="88" t="s">
        <v>1381</v>
      </c>
      <c r="D2583" s="88" t="s">
        <v>345</v>
      </c>
      <c r="E2583" s="89">
        <v>35.76</v>
      </c>
      <c r="F2583" s="88" t="s">
        <v>41</v>
      </c>
      <c r="G2583" s="87">
        <f>Table1[[#This Row],[date]]</f>
        <v>45688</v>
      </c>
      <c r="H2583" s="94">
        <f>SUMIF($A$2:A6218,G2583,$E$2:E6218)</f>
        <v>323.29999999999995</v>
      </c>
      <c r="I2583" s="93" t="str">
        <f t="shared" si="161"/>
        <v>Friday</v>
      </c>
      <c r="J2583" s="93" t="str">
        <f t="shared" si="162"/>
        <v>January</v>
      </c>
      <c r="K2583" s="93" t="str">
        <f t="shared" si="163"/>
        <v>2025</v>
      </c>
      <c r="L2583" s="6"/>
      <c r="M2583" s="6"/>
      <c r="N2583" s="6"/>
    </row>
    <row r="2584" spans="1:14" x14ac:dyDescent="0.3">
      <c r="A2584" s="87">
        <v>45688</v>
      </c>
      <c r="B2584" s="87" t="str">
        <f t="shared" si="160"/>
        <v>Friday</v>
      </c>
      <c r="C2584" s="88" t="s">
        <v>1381</v>
      </c>
      <c r="D2584" s="88" t="s">
        <v>1145</v>
      </c>
      <c r="E2584" s="89">
        <v>35.76</v>
      </c>
      <c r="F2584" s="88" t="s">
        <v>5</v>
      </c>
      <c r="G2584" s="87">
        <f>Table1[[#This Row],[date]]</f>
        <v>45688</v>
      </c>
      <c r="H2584" s="94">
        <f>SUMIF($A$2:A6219,G2584,$E$2:E6219)</f>
        <v>323.29999999999995</v>
      </c>
      <c r="I2584" s="93" t="str">
        <f t="shared" si="161"/>
        <v>Friday</v>
      </c>
      <c r="J2584" s="93" t="str">
        <f t="shared" si="162"/>
        <v>January</v>
      </c>
      <c r="K2584" s="93" t="str">
        <f t="shared" si="163"/>
        <v>2025</v>
      </c>
      <c r="L2584" s="6"/>
      <c r="M2584" s="6"/>
      <c r="N2584" s="6"/>
    </row>
    <row r="2585" spans="1:14" x14ac:dyDescent="0.3">
      <c r="A2585" s="92">
        <v>45688</v>
      </c>
      <c r="B2585" s="92" t="str">
        <f t="shared" si="160"/>
        <v>Friday</v>
      </c>
      <c r="C2585" s="93" t="s">
        <v>1381</v>
      </c>
      <c r="D2585" s="93" t="s">
        <v>519</v>
      </c>
      <c r="E2585" s="94">
        <v>35.76</v>
      </c>
      <c r="F2585" s="93" t="s">
        <v>5</v>
      </c>
      <c r="G2585" s="87">
        <f>Table1[[#This Row],[date]]</f>
        <v>45688</v>
      </c>
      <c r="H2585" s="94">
        <f>SUMIF($A$2:A6220,G2585,$E$2:E6220)</f>
        <v>323.29999999999995</v>
      </c>
      <c r="I2585" s="93" t="str">
        <f t="shared" si="161"/>
        <v>Friday</v>
      </c>
      <c r="J2585" s="93" t="str">
        <f t="shared" si="162"/>
        <v>January</v>
      </c>
      <c r="K2585" s="93" t="str">
        <f t="shared" si="163"/>
        <v>2025</v>
      </c>
      <c r="L2585" s="6"/>
      <c r="M2585" s="6"/>
      <c r="N2585" s="6"/>
    </row>
    <row r="2586" spans="1:14" x14ac:dyDescent="0.3">
      <c r="A2586" s="87">
        <v>45688</v>
      </c>
      <c r="B2586" s="87" t="str">
        <f t="shared" si="160"/>
        <v>Friday</v>
      </c>
      <c r="C2586" s="88" t="s">
        <v>1381</v>
      </c>
      <c r="D2586" s="88" t="s">
        <v>1158</v>
      </c>
      <c r="E2586" s="89">
        <v>35.76</v>
      </c>
      <c r="F2586" s="88" t="s">
        <v>41</v>
      </c>
      <c r="G2586" s="87">
        <f>Table1[[#This Row],[date]]</f>
        <v>45688</v>
      </c>
      <c r="H2586" s="94">
        <f>SUMIF($A$2:A6221,G2586,$E$2:E6221)</f>
        <v>323.29999999999995</v>
      </c>
      <c r="I2586" s="93" t="str">
        <f t="shared" si="161"/>
        <v>Friday</v>
      </c>
      <c r="J2586" s="93" t="str">
        <f t="shared" si="162"/>
        <v>January</v>
      </c>
      <c r="K2586" s="93" t="str">
        <f t="shared" si="163"/>
        <v>2025</v>
      </c>
      <c r="L2586" s="6"/>
      <c r="M2586" s="6"/>
      <c r="N2586" s="6"/>
    </row>
    <row r="2587" spans="1:14" x14ac:dyDescent="0.3">
      <c r="A2587" s="87">
        <v>45688</v>
      </c>
      <c r="B2587" s="87" t="str">
        <f t="shared" si="160"/>
        <v>Friday</v>
      </c>
      <c r="C2587" s="88" t="s">
        <v>1381</v>
      </c>
      <c r="D2587" s="88" t="s">
        <v>1159</v>
      </c>
      <c r="E2587" s="89">
        <v>30.86</v>
      </c>
      <c r="F2587" s="88" t="s">
        <v>12</v>
      </c>
      <c r="G2587" s="87">
        <f>Table1[[#This Row],[date]]</f>
        <v>45688</v>
      </c>
      <c r="H2587" s="94">
        <f>SUMIF($A$2:A6222,G2587,$E$2:E6222)</f>
        <v>323.29999999999995</v>
      </c>
      <c r="I2587" s="93" t="str">
        <f t="shared" si="161"/>
        <v>Friday</v>
      </c>
      <c r="J2587" s="93" t="str">
        <f t="shared" si="162"/>
        <v>January</v>
      </c>
      <c r="K2587" s="93" t="str">
        <f t="shared" si="163"/>
        <v>2025</v>
      </c>
      <c r="L2587" s="6"/>
      <c r="M2587" s="6"/>
      <c r="N2587" s="6"/>
    </row>
    <row r="2588" spans="1:14" x14ac:dyDescent="0.3">
      <c r="A2588" s="92">
        <v>45688</v>
      </c>
      <c r="B2588" s="92" t="str">
        <f t="shared" si="160"/>
        <v>Friday</v>
      </c>
      <c r="C2588" s="93" t="s">
        <v>1381</v>
      </c>
      <c r="D2588" s="93" t="s">
        <v>1160</v>
      </c>
      <c r="E2588" s="94">
        <v>25.96</v>
      </c>
      <c r="F2588" s="93" t="s">
        <v>9</v>
      </c>
      <c r="G2588" s="87">
        <f>Table1[[#This Row],[date]]</f>
        <v>45688</v>
      </c>
      <c r="H2588" s="94">
        <f>SUMIF($A$2:A6223,G2588,$E$2:E6223)</f>
        <v>323.29999999999995</v>
      </c>
      <c r="I2588" s="93" t="str">
        <f t="shared" si="161"/>
        <v>Friday</v>
      </c>
      <c r="J2588" s="93" t="str">
        <f t="shared" si="162"/>
        <v>January</v>
      </c>
      <c r="K2588" s="93" t="str">
        <f t="shared" si="163"/>
        <v>2025</v>
      </c>
      <c r="L2588" s="6"/>
      <c r="M2588" s="6"/>
      <c r="N2588" s="6"/>
    </row>
    <row r="2589" spans="1:14" x14ac:dyDescent="0.3">
      <c r="A2589" s="87">
        <v>45689</v>
      </c>
      <c r="B2589" s="87" t="str">
        <f t="shared" si="160"/>
        <v>Saturday</v>
      </c>
      <c r="C2589" s="88" t="s">
        <v>1381</v>
      </c>
      <c r="D2589" s="88" t="s">
        <v>316</v>
      </c>
      <c r="E2589" s="89">
        <v>30.86</v>
      </c>
      <c r="F2589" s="88" t="s">
        <v>12</v>
      </c>
      <c r="G2589" s="87">
        <f>Table1[[#This Row],[date]]</f>
        <v>45689</v>
      </c>
      <c r="H2589" s="94">
        <f>SUMIF($A$2:A6224,G2589,$E$2:E6224)</f>
        <v>225.82</v>
      </c>
      <c r="I2589" s="93" t="str">
        <f t="shared" si="161"/>
        <v>Saturday</v>
      </c>
      <c r="J2589" s="93" t="str">
        <f t="shared" si="162"/>
        <v>February</v>
      </c>
      <c r="K2589" s="93" t="str">
        <f t="shared" si="163"/>
        <v>2025</v>
      </c>
      <c r="L2589" s="6"/>
      <c r="M2589" s="6"/>
      <c r="N2589" s="6"/>
    </row>
    <row r="2590" spans="1:14" x14ac:dyDescent="0.3">
      <c r="A2590" s="92">
        <v>45689</v>
      </c>
      <c r="B2590" s="92" t="str">
        <f t="shared" si="160"/>
        <v>Saturday</v>
      </c>
      <c r="C2590" s="93" t="s">
        <v>1381</v>
      </c>
      <c r="D2590" s="93" t="s">
        <v>236</v>
      </c>
      <c r="E2590" s="94">
        <v>30.86</v>
      </c>
      <c r="F2590" s="93" t="s">
        <v>12</v>
      </c>
      <c r="G2590" s="87">
        <f>Table1[[#This Row],[date]]</f>
        <v>45689</v>
      </c>
      <c r="H2590" s="94">
        <f>SUMIF($A$2:A6225,G2590,$E$2:E6225)</f>
        <v>225.82</v>
      </c>
      <c r="I2590" s="93" t="str">
        <f t="shared" si="161"/>
        <v>Saturday</v>
      </c>
      <c r="J2590" s="93" t="str">
        <f t="shared" si="162"/>
        <v>February</v>
      </c>
      <c r="K2590" s="93" t="str">
        <f t="shared" si="163"/>
        <v>2025</v>
      </c>
      <c r="L2590" s="6"/>
      <c r="M2590" s="6"/>
      <c r="N2590" s="6"/>
    </row>
    <row r="2591" spans="1:14" x14ac:dyDescent="0.3">
      <c r="A2591" s="87">
        <v>45689</v>
      </c>
      <c r="B2591" s="87" t="str">
        <f t="shared" si="160"/>
        <v>Saturday</v>
      </c>
      <c r="C2591" s="88" t="s">
        <v>1381</v>
      </c>
      <c r="D2591" s="88" t="s">
        <v>153</v>
      </c>
      <c r="E2591" s="89">
        <v>25.96</v>
      </c>
      <c r="F2591" s="88" t="s">
        <v>26</v>
      </c>
      <c r="G2591" s="87">
        <f>Table1[[#This Row],[date]]</f>
        <v>45689</v>
      </c>
      <c r="H2591" s="94">
        <f>SUMIF($A$2:A6226,G2591,$E$2:E6226)</f>
        <v>225.82</v>
      </c>
      <c r="I2591" s="93" t="str">
        <f t="shared" si="161"/>
        <v>Saturday</v>
      </c>
      <c r="J2591" s="93" t="str">
        <f t="shared" si="162"/>
        <v>February</v>
      </c>
      <c r="K2591" s="93" t="str">
        <f t="shared" si="163"/>
        <v>2025</v>
      </c>
      <c r="L2591" s="6"/>
      <c r="M2591" s="6"/>
      <c r="N2591" s="6"/>
    </row>
    <row r="2592" spans="1:14" x14ac:dyDescent="0.3">
      <c r="A2592" s="87">
        <v>45689</v>
      </c>
      <c r="B2592" s="87" t="str">
        <f t="shared" si="160"/>
        <v>Saturday</v>
      </c>
      <c r="C2592" s="88" t="s">
        <v>1381</v>
      </c>
      <c r="D2592" s="88" t="s">
        <v>1161</v>
      </c>
      <c r="E2592" s="89">
        <v>35.76</v>
      </c>
      <c r="F2592" s="88" t="s">
        <v>41</v>
      </c>
      <c r="G2592" s="87">
        <f>Table1[[#This Row],[date]]</f>
        <v>45689</v>
      </c>
      <c r="H2592" s="94">
        <f>SUMIF($A$2:A6227,G2592,$E$2:E6227)</f>
        <v>225.82</v>
      </c>
      <c r="I2592" s="93" t="str">
        <f t="shared" si="161"/>
        <v>Saturday</v>
      </c>
      <c r="J2592" s="93" t="str">
        <f t="shared" si="162"/>
        <v>February</v>
      </c>
      <c r="K2592" s="93" t="str">
        <f t="shared" si="163"/>
        <v>2025</v>
      </c>
      <c r="L2592" s="6"/>
      <c r="M2592" s="6"/>
      <c r="N2592" s="6"/>
    </row>
    <row r="2593" spans="1:14" x14ac:dyDescent="0.3">
      <c r="A2593" s="87">
        <v>45689</v>
      </c>
      <c r="B2593" s="87" t="str">
        <f t="shared" si="160"/>
        <v>Saturday</v>
      </c>
      <c r="C2593" s="88" t="s">
        <v>1381</v>
      </c>
      <c r="D2593" s="88" t="s">
        <v>1081</v>
      </c>
      <c r="E2593" s="89">
        <v>35.76</v>
      </c>
      <c r="F2593" s="88" t="s">
        <v>5</v>
      </c>
      <c r="G2593" s="87">
        <f>Table1[[#This Row],[date]]</f>
        <v>45689</v>
      </c>
      <c r="H2593" s="94">
        <f>SUMIF($A$2:A6228,G2593,$E$2:E6228)</f>
        <v>225.82</v>
      </c>
      <c r="I2593" s="93" t="str">
        <f t="shared" si="161"/>
        <v>Saturday</v>
      </c>
      <c r="J2593" s="93" t="str">
        <f t="shared" si="162"/>
        <v>February</v>
      </c>
      <c r="K2593" s="93" t="str">
        <f t="shared" si="163"/>
        <v>2025</v>
      </c>
      <c r="L2593" s="6"/>
      <c r="M2593" s="6"/>
      <c r="N2593" s="6"/>
    </row>
    <row r="2594" spans="1:14" x14ac:dyDescent="0.3">
      <c r="A2594" s="92">
        <v>45689</v>
      </c>
      <c r="B2594" s="92" t="str">
        <f t="shared" si="160"/>
        <v>Saturday</v>
      </c>
      <c r="C2594" s="93" t="s">
        <v>1381</v>
      </c>
      <c r="D2594" s="93" t="s">
        <v>1126</v>
      </c>
      <c r="E2594" s="94">
        <v>35.76</v>
      </c>
      <c r="F2594" s="93" t="s">
        <v>41</v>
      </c>
      <c r="G2594" s="87">
        <f>Table1[[#This Row],[date]]</f>
        <v>45689</v>
      </c>
      <c r="H2594" s="94">
        <f>SUMIF($A$2:A6229,G2594,$E$2:E6229)</f>
        <v>225.82</v>
      </c>
      <c r="I2594" s="93" t="str">
        <f t="shared" si="161"/>
        <v>Saturday</v>
      </c>
      <c r="J2594" s="93" t="str">
        <f t="shared" si="162"/>
        <v>February</v>
      </c>
      <c r="K2594" s="93" t="str">
        <f t="shared" si="163"/>
        <v>2025</v>
      </c>
      <c r="L2594" s="6"/>
      <c r="M2594" s="6"/>
      <c r="N2594" s="6"/>
    </row>
    <row r="2595" spans="1:14" x14ac:dyDescent="0.3">
      <c r="A2595" s="87">
        <v>45689</v>
      </c>
      <c r="B2595" s="87" t="str">
        <f t="shared" si="160"/>
        <v>Saturday</v>
      </c>
      <c r="C2595" s="88" t="s">
        <v>1381</v>
      </c>
      <c r="D2595" s="88" t="s">
        <v>439</v>
      </c>
      <c r="E2595" s="89">
        <v>30.86</v>
      </c>
      <c r="F2595" s="88" t="s">
        <v>12</v>
      </c>
      <c r="G2595" s="87">
        <f>Table1[[#This Row],[date]]</f>
        <v>45689</v>
      </c>
      <c r="H2595" s="94">
        <f>SUMIF($A$2:A6230,G2595,$E$2:E6230)</f>
        <v>225.82</v>
      </c>
      <c r="I2595" s="93" t="str">
        <f t="shared" si="161"/>
        <v>Saturday</v>
      </c>
      <c r="J2595" s="93" t="str">
        <f t="shared" si="162"/>
        <v>February</v>
      </c>
      <c r="K2595" s="93" t="str">
        <f t="shared" si="163"/>
        <v>2025</v>
      </c>
      <c r="L2595" s="6"/>
      <c r="M2595" s="6"/>
      <c r="N2595" s="6"/>
    </row>
    <row r="2596" spans="1:14" x14ac:dyDescent="0.3">
      <c r="A2596" s="92">
        <v>45690</v>
      </c>
      <c r="B2596" s="92" t="str">
        <f t="shared" si="160"/>
        <v>Sunday</v>
      </c>
      <c r="C2596" s="93" t="s">
        <v>1381</v>
      </c>
      <c r="D2596" s="93" t="s">
        <v>1144</v>
      </c>
      <c r="E2596" s="94">
        <v>35.76</v>
      </c>
      <c r="F2596" s="93" t="s">
        <v>41</v>
      </c>
      <c r="G2596" s="87">
        <f>Table1[[#This Row],[date]]</f>
        <v>45690</v>
      </c>
      <c r="H2596" s="94">
        <f>SUMIF($A$2:A6231,G2596,$E$2:E6231)</f>
        <v>209.65999999999997</v>
      </c>
      <c r="I2596" s="93" t="str">
        <f t="shared" si="161"/>
        <v>Sunday</v>
      </c>
      <c r="J2596" s="93" t="str">
        <f t="shared" si="162"/>
        <v>February</v>
      </c>
      <c r="K2596" s="93" t="str">
        <f t="shared" si="163"/>
        <v>2025</v>
      </c>
      <c r="L2596" s="6"/>
      <c r="M2596" s="6"/>
      <c r="N2596" s="6"/>
    </row>
    <row r="2597" spans="1:14" x14ac:dyDescent="0.3">
      <c r="A2597" s="92">
        <v>45690</v>
      </c>
      <c r="B2597" s="92" t="str">
        <f t="shared" si="160"/>
        <v>Sunday</v>
      </c>
      <c r="C2597" s="93" t="s">
        <v>1381</v>
      </c>
      <c r="D2597" s="93" t="s">
        <v>1162</v>
      </c>
      <c r="E2597" s="94">
        <v>35.76</v>
      </c>
      <c r="F2597" s="93" t="s">
        <v>5</v>
      </c>
      <c r="G2597" s="87">
        <f>Table1[[#This Row],[date]]</f>
        <v>45690</v>
      </c>
      <c r="H2597" s="94">
        <f>SUMIF($A$2:A6232,G2597,$E$2:E6232)</f>
        <v>209.65999999999997</v>
      </c>
      <c r="I2597" s="93" t="str">
        <f t="shared" si="161"/>
        <v>Sunday</v>
      </c>
      <c r="J2597" s="93" t="str">
        <f t="shared" si="162"/>
        <v>February</v>
      </c>
      <c r="K2597" s="93" t="str">
        <f t="shared" si="163"/>
        <v>2025</v>
      </c>
      <c r="L2597" s="6"/>
      <c r="M2597" s="6"/>
      <c r="N2597" s="6"/>
    </row>
    <row r="2598" spans="1:14" x14ac:dyDescent="0.3">
      <c r="A2598" s="87">
        <v>45690</v>
      </c>
      <c r="B2598" s="87" t="str">
        <f t="shared" si="160"/>
        <v>Sunday</v>
      </c>
      <c r="C2598" s="88" t="s">
        <v>1381</v>
      </c>
      <c r="D2598" s="88" t="s">
        <v>1163</v>
      </c>
      <c r="E2598" s="89">
        <v>35.76</v>
      </c>
      <c r="F2598" s="88" t="s">
        <v>5</v>
      </c>
      <c r="G2598" s="87">
        <f>Table1[[#This Row],[date]]</f>
        <v>45690</v>
      </c>
      <c r="H2598" s="94">
        <f>SUMIF($A$2:A6233,G2598,$E$2:E6233)</f>
        <v>209.65999999999997</v>
      </c>
      <c r="I2598" s="93" t="str">
        <f t="shared" si="161"/>
        <v>Sunday</v>
      </c>
      <c r="J2598" s="93" t="str">
        <f t="shared" si="162"/>
        <v>February</v>
      </c>
      <c r="K2598" s="93" t="str">
        <f t="shared" si="163"/>
        <v>2025</v>
      </c>
      <c r="L2598" s="6"/>
      <c r="M2598" s="6"/>
      <c r="N2598" s="6"/>
    </row>
    <row r="2599" spans="1:14" x14ac:dyDescent="0.3">
      <c r="A2599" s="92">
        <v>45690</v>
      </c>
      <c r="B2599" s="92" t="str">
        <f t="shared" si="160"/>
        <v>Sunday</v>
      </c>
      <c r="C2599" s="93" t="s">
        <v>1381</v>
      </c>
      <c r="D2599" s="93" t="s">
        <v>277</v>
      </c>
      <c r="E2599" s="94">
        <v>30.86</v>
      </c>
      <c r="F2599" s="93" t="s">
        <v>12</v>
      </c>
      <c r="G2599" s="87">
        <f>Table1[[#This Row],[date]]</f>
        <v>45690</v>
      </c>
      <c r="H2599" s="94">
        <f>SUMIF($A$2:A6234,G2599,$E$2:E6234)</f>
        <v>209.65999999999997</v>
      </c>
      <c r="I2599" s="93" t="str">
        <f t="shared" si="161"/>
        <v>Sunday</v>
      </c>
      <c r="J2599" s="93" t="str">
        <f t="shared" si="162"/>
        <v>February</v>
      </c>
      <c r="K2599" s="93" t="str">
        <f t="shared" si="163"/>
        <v>2025</v>
      </c>
      <c r="L2599" s="6"/>
      <c r="M2599" s="6"/>
      <c r="N2599" s="6"/>
    </row>
    <row r="2600" spans="1:14" x14ac:dyDescent="0.3">
      <c r="A2600" s="87">
        <v>45690</v>
      </c>
      <c r="B2600" s="87" t="str">
        <f t="shared" si="160"/>
        <v>Sunday</v>
      </c>
      <c r="C2600" s="88" t="s">
        <v>1381</v>
      </c>
      <c r="D2600" s="88" t="s">
        <v>519</v>
      </c>
      <c r="E2600" s="89">
        <v>35.76</v>
      </c>
      <c r="F2600" s="88" t="s">
        <v>5</v>
      </c>
      <c r="G2600" s="87">
        <f>Table1[[#This Row],[date]]</f>
        <v>45690</v>
      </c>
      <c r="H2600" s="94">
        <f>SUMIF($A$2:A6235,G2600,$E$2:E6235)</f>
        <v>209.65999999999997</v>
      </c>
      <c r="I2600" s="93" t="str">
        <f t="shared" si="161"/>
        <v>Sunday</v>
      </c>
      <c r="J2600" s="93" t="str">
        <f t="shared" si="162"/>
        <v>February</v>
      </c>
      <c r="K2600" s="93" t="str">
        <f t="shared" si="163"/>
        <v>2025</v>
      </c>
      <c r="L2600" s="6"/>
      <c r="M2600" s="6"/>
      <c r="N2600" s="6"/>
    </row>
    <row r="2601" spans="1:14" x14ac:dyDescent="0.3">
      <c r="A2601" s="92">
        <v>45690</v>
      </c>
      <c r="B2601" s="92" t="str">
        <f t="shared" si="160"/>
        <v>Sunday</v>
      </c>
      <c r="C2601" s="93" t="s">
        <v>1381</v>
      </c>
      <c r="D2601" s="93" t="s">
        <v>1164</v>
      </c>
      <c r="E2601" s="94">
        <v>35.76</v>
      </c>
      <c r="F2601" s="93" t="s">
        <v>5</v>
      </c>
      <c r="G2601" s="87">
        <f>Table1[[#This Row],[date]]</f>
        <v>45690</v>
      </c>
      <c r="H2601" s="94">
        <f>SUMIF($A$2:A6236,G2601,$E$2:E6236)</f>
        <v>209.65999999999997</v>
      </c>
      <c r="I2601" s="93" t="str">
        <f t="shared" si="161"/>
        <v>Sunday</v>
      </c>
      <c r="J2601" s="93" t="str">
        <f t="shared" si="162"/>
        <v>February</v>
      </c>
      <c r="K2601" s="93" t="str">
        <f t="shared" si="163"/>
        <v>2025</v>
      </c>
      <c r="L2601" s="6"/>
      <c r="M2601" s="6"/>
      <c r="N2601" s="6"/>
    </row>
    <row r="2602" spans="1:14" x14ac:dyDescent="0.3">
      <c r="A2602" s="87">
        <v>45691</v>
      </c>
      <c r="B2602" s="87" t="str">
        <f t="shared" si="160"/>
        <v>Monday</v>
      </c>
      <c r="C2602" s="88" t="s">
        <v>1381</v>
      </c>
      <c r="D2602" s="88" t="s">
        <v>1164</v>
      </c>
      <c r="E2602" s="89">
        <v>35.76</v>
      </c>
      <c r="F2602" s="88" t="s">
        <v>41</v>
      </c>
      <c r="G2602" s="87">
        <f>Table1[[#This Row],[date]]</f>
        <v>45691</v>
      </c>
      <c r="H2602" s="94">
        <f>SUMIF($A$2:A6237,G2602,$E$2:E6237)</f>
        <v>765.13999999999987</v>
      </c>
      <c r="I2602" s="93" t="str">
        <f t="shared" si="161"/>
        <v>Monday</v>
      </c>
      <c r="J2602" s="93" t="str">
        <f t="shared" si="162"/>
        <v>February</v>
      </c>
      <c r="K2602" s="93" t="str">
        <f t="shared" si="163"/>
        <v>2025</v>
      </c>
      <c r="L2602" s="6"/>
      <c r="M2602" s="6"/>
      <c r="N2602" s="6"/>
    </row>
    <row r="2603" spans="1:14" x14ac:dyDescent="0.3">
      <c r="A2603" s="92">
        <v>45691</v>
      </c>
      <c r="B2603" s="92" t="str">
        <f t="shared" si="160"/>
        <v>Monday</v>
      </c>
      <c r="C2603" s="93" t="s">
        <v>1381</v>
      </c>
      <c r="D2603" s="93" t="s">
        <v>1164</v>
      </c>
      <c r="E2603" s="94">
        <v>30.86</v>
      </c>
      <c r="F2603" s="93" t="s">
        <v>12</v>
      </c>
      <c r="G2603" s="87">
        <f>Table1[[#This Row],[date]]</f>
        <v>45691</v>
      </c>
      <c r="H2603" s="94">
        <f>SUMIF($A$2:A6238,G2603,$E$2:E6238)</f>
        <v>765.13999999999987</v>
      </c>
      <c r="I2603" s="93" t="str">
        <f t="shared" si="161"/>
        <v>Monday</v>
      </c>
      <c r="J2603" s="93" t="str">
        <f t="shared" si="162"/>
        <v>February</v>
      </c>
      <c r="K2603" s="93" t="str">
        <f t="shared" si="163"/>
        <v>2025</v>
      </c>
      <c r="L2603" s="6"/>
      <c r="M2603" s="6"/>
      <c r="N2603" s="6"/>
    </row>
    <row r="2604" spans="1:14" x14ac:dyDescent="0.3">
      <c r="A2604" s="87">
        <v>45691</v>
      </c>
      <c r="B2604" s="87" t="str">
        <f t="shared" si="160"/>
        <v>Monday</v>
      </c>
      <c r="C2604" s="88" t="s">
        <v>1381</v>
      </c>
      <c r="D2604" s="88" t="s">
        <v>1164</v>
      </c>
      <c r="E2604" s="89">
        <v>21.06</v>
      </c>
      <c r="F2604" s="88" t="s">
        <v>33</v>
      </c>
      <c r="G2604" s="87">
        <f>Table1[[#This Row],[date]]</f>
        <v>45691</v>
      </c>
      <c r="H2604" s="94">
        <f>SUMIF($A$2:A6239,G2604,$E$2:E6239)</f>
        <v>765.13999999999987</v>
      </c>
      <c r="I2604" s="93" t="str">
        <f t="shared" si="161"/>
        <v>Monday</v>
      </c>
      <c r="J2604" s="93" t="str">
        <f t="shared" si="162"/>
        <v>February</v>
      </c>
      <c r="K2604" s="93" t="str">
        <f t="shared" si="163"/>
        <v>2025</v>
      </c>
      <c r="L2604" s="6"/>
      <c r="M2604" s="6"/>
      <c r="N2604" s="6"/>
    </row>
    <row r="2605" spans="1:14" x14ac:dyDescent="0.3">
      <c r="A2605" s="92">
        <v>45691</v>
      </c>
      <c r="B2605" s="92" t="str">
        <f t="shared" si="160"/>
        <v>Monday</v>
      </c>
      <c r="C2605" s="93" t="s">
        <v>1381</v>
      </c>
      <c r="D2605" s="93" t="s">
        <v>1165</v>
      </c>
      <c r="E2605" s="94">
        <v>30.86</v>
      </c>
      <c r="F2605" s="93" t="s">
        <v>12</v>
      </c>
      <c r="G2605" s="87">
        <f>Table1[[#This Row],[date]]</f>
        <v>45691</v>
      </c>
      <c r="H2605" s="94">
        <f>SUMIF($A$2:A6240,G2605,$E$2:E6240)</f>
        <v>765.13999999999987</v>
      </c>
      <c r="I2605" s="93" t="str">
        <f t="shared" si="161"/>
        <v>Monday</v>
      </c>
      <c r="J2605" s="93" t="str">
        <f t="shared" si="162"/>
        <v>February</v>
      </c>
      <c r="K2605" s="93" t="str">
        <f t="shared" si="163"/>
        <v>2025</v>
      </c>
      <c r="L2605" s="6"/>
      <c r="M2605" s="6"/>
      <c r="N2605" s="6"/>
    </row>
    <row r="2606" spans="1:14" x14ac:dyDescent="0.3">
      <c r="A2606" s="87">
        <v>45691</v>
      </c>
      <c r="B2606" s="87" t="str">
        <f t="shared" si="160"/>
        <v>Monday</v>
      </c>
      <c r="C2606" s="88" t="s">
        <v>1381</v>
      </c>
      <c r="D2606" s="88" t="s">
        <v>1166</v>
      </c>
      <c r="E2606" s="89">
        <v>25.96</v>
      </c>
      <c r="F2606" s="88" t="s">
        <v>9</v>
      </c>
      <c r="G2606" s="87">
        <f>Table1[[#This Row],[date]]</f>
        <v>45691</v>
      </c>
      <c r="H2606" s="94">
        <f>SUMIF($A$2:A6241,G2606,$E$2:E6241)</f>
        <v>765.13999999999987</v>
      </c>
      <c r="I2606" s="93" t="str">
        <f t="shared" si="161"/>
        <v>Monday</v>
      </c>
      <c r="J2606" s="93" t="str">
        <f t="shared" si="162"/>
        <v>February</v>
      </c>
      <c r="K2606" s="93" t="str">
        <f t="shared" si="163"/>
        <v>2025</v>
      </c>
      <c r="L2606" s="6"/>
      <c r="M2606" s="6"/>
      <c r="N2606" s="6"/>
    </row>
    <row r="2607" spans="1:14" x14ac:dyDescent="0.3">
      <c r="A2607" s="92">
        <v>45691</v>
      </c>
      <c r="B2607" s="92" t="str">
        <f t="shared" si="160"/>
        <v>Monday</v>
      </c>
      <c r="C2607" s="93" t="s">
        <v>1381</v>
      </c>
      <c r="D2607" s="93" t="s">
        <v>1167</v>
      </c>
      <c r="E2607" s="94">
        <v>35.76</v>
      </c>
      <c r="F2607" s="93" t="s">
        <v>41</v>
      </c>
      <c r="G2607" s="87">
        <f>Table1[[#This Row],[date]]</f>
        <v>45691</v>
      </c>
      <c r="H2607" s="94">
        <f>SUMIF($A$2:A6242,G2607,$E$2:E6242)</f>
        <v>765.13999999999987</v>
      </c>
      <c r="I2607" s="93" t="str">
        <f t="shared" si="161"/>
        <v>Monday</v>
      </c>
      <c r="J2607" s="93" t="str">
        <f t="shared" si="162"/>
        <v>February</v>
      </c>
      <c r="K2607" s="93" t="str">
        <f t="shared" si="163"/>
        <v>2025</v>
      </c>
      <c r="L2607" s="6"/>
      <c r="M2607" s="6"/>
      <c r="N2607" s="6"/>
    </row>
    <row r="2608" spans="1:14" x14ac:dyDescent="0.3">
      <c r="A2608" s="87">
        <v>45691</v>
      </c>
      <c r="B2608" s="87" t="str">
        <f t="shared" si="160"/>
        <v>Monday</v>
      </c>
      <c r="C2608" s="88" t="s">
        <v>1381</v>
      </c>
      <c r="D2608" s="88" t="s">
        <v>1168</v>
      </c>
      <c r="E2608" s="89">
        <v>30.86</v>
      </c>
      <c r="F2608" s="88" t="s">
        <v>12</v>
      </c>
      <c r="G2608" s="87">
        <f>Table1[[#This Row],[date]]</f>
        <v>45691</v>
      </c>
      <c r="H2608" s="94">
        <f>SUMIF($A$2:A6243,G2608,$E$2:E6243)</f>
        <v>765.13999999999987</v>
      </c>
      <c r="I2608" s="93" t="str">
        <f t="shared" si="161"/>
        <v>Monday</v>
      </c>
      <c r="J2608" s="93" t="str">
        <f t="shared" si="162"/>
        <v>February</v>
      </c>
      <c r="K2608" s="93" t="str">
        <f t="shared" si="163"/>
        <v>2025</v>
      </c>
      <c r="L2608" s="6"/>
      <c r="M2608" s="6"/>
      <c r="N2608" s="6"/>
    </row>
    <row r="2609" spans="1:14" x14ac:dyDescent="0.3">
      <c r="A2609" s="92">
        <v>45691</v>
      </c>
      <c r="B2609" s="92" t="str">
        <f t="shared" si="160"/>
        <v>Monday</v>
      </c>
      <c r="C2609" s="93" t="s">
        <v>1381</v>
      </c>
      <c r="D2609" s="93" t="s">
        <v>1169</v>
      </c>
      <c r="E2609" s="94">
        <v>35.76</v>
      </c>
      <c r="F2609" s="93" t="s">
        <v>41</v>
      </c>
      <c r="G2609" s="87">
        <f>Table1[[#This Row],[date]]</f>
        <v>45691</v>
      </c>
      <c r="H2609" s="94">
        <f>SUMIF($A$2:A6244,G2609,$E$2:E6244)</f>
        <v>765.13999999999987</v>
      </c>
      <c r="I2609" s="93" t="str">
        <f t="shared" si="161"/>
        <v>Monday</v>
      </c>
      <c r="J2609" s="93" t="str">
        <f t="shared" si="162"/>
        <v>February</v>
      </c>
      <c r="K2609" s="93" t="str">
        <f t="shared" si="163"/>
        <v>2025</v>
      </c>
      <c r="L2609" s="6"/>
      <c r="M2609" s="6"/>
      <c r="N2609" s="6"/>
    </row>
    <row r="2610" spans="1:14" x14ac:dyDescent="0.3">
      <c r="A2610" s="87">
        <v>45691</v>
      </c>
      <c r="B2610" s="87" t="str">
        <f t="shared" si="160"/>
        <v>Monday</v>
      </c>
      <c r="C2610" s="88" t="s">
        <v>1381</v>
      </c>
      <c r="D2610" s="88" t="s">
        <v>1170</v>
      </c>
      <c r="E2610" s="89">
        <v>35.76</v>
      </c>
      <c r="F2610" s="88" t="s">
        <v>41</v>
      </c>
      <c r="G2610" s="87">
        <f>Table1[[#This Row],[date]]</f>
        <v>45691</v>
      </c>
      <c r="H2610" s="94">
        <f>SUMIF($A$2:A6245,G2610,$E$2:E6245)</f>
        <v>765.13999999999987</v>
      </c>
      <c r="I2610" s="93" t="str">
        <f t="shared" si="161"/>
        <v>Monday</v>
      </c>
      <c r="J2610" s="93" t="str">
        <f t="shared" si="162"/>
        <v>February</v>
      </c>
      <c r="K2610" s="93" t="str">
        <f t="shared" si="163"/>
        <v>2025</v>
      </c>
      <c r="L2610" s="6"/>
      <c r="M2610" s="6"/>
      <c r="N2610" s="6"/>
    </row>
    <row r="2611" spans="1:14" x14ac:dyDescent="0.3">
      <c r="A2611" s="92">
        <v>45691</v>
      </c>
      <c r="B2611" s="92" t="str">
        <f t="shared" si="160"/>
        <v>Monday</v>
      </c>
      <c r="C2611" s="93" t="s">
        <v>1381</v>
      </c>
      <c r="D2611" s="93" t="s">
        <v>1171</v>
      </c>
      <c r="E2611" s="94">
        <v>25.96</v>
      </c>
      <c r="F2611" s="93" t="s">
        <v>9</v>
      </c>
      <c r="G2611" s="87">
        <f>Table1[[#This Row],[date]]</f>
        <v>45691</v>
      </c>
      <c r="H2611" s="94">
        <f>SUMIF($A$2:A6246,G2611,$E$2:E6246)</f>
        <v>765.13999999999987</v>
      </c>
      <c r="I2611" s="93" t="str">
        <f t="shared" si="161"/>
        <v>Monday</v>
      </c>
      <c r="J2611" s="93" t="str">
        <f t="shared" si="162"/>
        <v>February</v>
      </c>
      <c r="K2611" s="93" t="str">
        <f t="shared" si="163"/>
        <v>2025</v>
      </c>
      <c r="L2611" s="6"/>
      <c r="M2611" s="6"/>
      <c r="N2611" s="6"/>
    </row>
    <row r="2612" spans="1:14" x14ac:dyDescent="0.3">
      <c r="A2612" s="87">
        <v>45691</v>
      </c>
      <c r="B2612" s="87" t="str">
        <f t="shared" si="160"/>
        <v>Monday</v>
      </c>
      <c r="C2612" s="88" t="s">
        <v>1381</v>
      </c>
      <c r="D2612" s="88" t="s">
        <v>1172</v>
      </c>
      <c r="E2612" s="89">
        <v>25.96</v>
      </c>
      <c r="F2612" s="88" t="s">
        <v>9</v>
      </c>
      <c r="G2612" s="87">
        <f>Table1[[#This Row],[date]]</f>
        <v>45691</v>
      </c>
      <c r="H2612" s="94">
        <f>SUMIF($A$2:A6247,G2612,$E$2:E6247)</f>
        <v>765.13999999999987</v>
      </c>
      <c r="I2612" s="93" t="str">
        <f t="shared" si="161"/>
        <v>Monday</v>
      </c>
      <c r="J2612" s="93" t="str">
        <f t="shared" si="162"/>
        <v>February</v>
      </c>
      <c r="K2612" s="93" t="str">
        <f t="shared" si="163"/>
        <v>2025</v>
      </c>
      <c r="L2612" s="6"/>
      <c r="M2612" s="6"/>
      <c r="N2612" s="6"/>
    </row>
    <row r="2613" spans="1:14" x14ac:dyDescent="0.3">
      <c r="A2613" s="92">
        <v>45691</v>
      </c>
      <c r="B2613" s="92" t="str">
        <f t="shared" si="160"/>
        <v>Monday</v>
      </c>
      <c r="C2613" s="93" t="s">
        <v>1381</v>
      </c>
      <c r="D2613" s="93" t="s">
        <v>29</v>
      </c>
      <c r="E2613" s="94">
        <v>35.76</v>
      </c>
      <c r="F2613" s="93" t="s">
        <v>5</v>
      </c>
      <c r="G2613" s="87">
        <f>Table1[[#This Row],[date]]</f>
        <v>45691</v>
      </c>
      <c r="H2613" s="94">
        <f>SUMIF($A$2:A6248,G2613,$E$2:E6248)</f>
        <v>765.13999999999987</v>
      </c>
      <c r="I2613" s="93" t="str">
        <f t="shared" si="161"/>
        <v>Monday</v>
      </c>
      <c r="J2613" s="93" t="str">
        <f t="shared" si="162"/>
        <v>February</v>
      </c>
      <c r="K2613" s="93" t="str">
        <f t="shared" si="163"/>
        <v>2025</v>
      </c>
      <c r="L2613" s="6"/>
      <c r="M2613" s="6"/>
      <c r="N2613" s="6"/>
    </row>
    <row r="2614" spans="1:14" x14ac:dyDescent="0.3">
      <c r="A2614" s="87">
        <v>45691</v>
      </c>
      <c r="B2614" s="87" t="str">
        <f t="shared" si="160"/>
        <v>Monday</v>
      </c>
      <c r="C2614" s="88" t="s">
        <v>1381</v>
      </c>
      <c r="D2614" s="88" t="s">
        <v>519</v>
      </c>
      <c r="E2614" s="89">
        <v>35.76</v>
      </c>
      <c r="F2614" s="88" t="s">
        <v>5</v>
      </c>
      <c r="G2614" s="87">
        <f>Table1[[#This Row],[date]]</f>
        <v>45691</v>
      </c>
      <c r="H2614" s="94">
        <f>SUMIF($A$2:A6249,G2614,$E$2:E6249)</f>
        <v>765.13999999999987</v>
      </c>
      <c r="I2614" s="93" t="str">
        <f t="shared" si="161"/>
        <v>Monday</v>
      </c>
      <c r="J2614" s="93" t="str">
        <f t="shared" si="162"/>
        <v>February</v>
      </c>
      <c r="K2614" s="93" t="str">
        <f t="shared" si="163"/>
        <v>2025</v>
      </c>
      <c r="L2614" s="6"/>
      <c r="M2614" s="6"/>
      <c r="N2614" s="6"/>
    </row>
    <row r="2615" spans="1:14" x14ac:dyDescent="0.3">
      <c r="A2615" s="92">
        <v>45691</v>
      </c>
      <c r="B2615" s="92" t="str">
        <f t="shared" si="160"/>
        <v>Monday</v>
      </c>
      <c r="C2615" s="93" t="s">
        <v>1381</v>
      </c>
      <c r="D2615" s="93" t="s">
        <v>1173</v>
      </c>
      <c r="E2615" s="94">
        <v>35.76</v>
      </c>
      <c r="F2615" s="93" t="s">
        <v>5</v>
      </c>
      <c r="G2615" s="87">
        <f>Table1[[#This Row],[date]]</f>
        <v>45691</v>
      </c>
      <c r="H2615" s="94">
        <f>SUMIF($A$2:A6250,G2615,$E$2:E6250)</f>
        <v>765.13999999999987</v>
      </c>
      <c r="I2615" s="93" t="str">
        <f t="shared" si="161"/>
        <v>Monday</v>
      </c>
      <c r="J2615" s="93" t="str">
        <f t="shared" si="162"/>
        <v>February</v>
      </c>
      <c r="K2615" s="93" t="str">
        <f t="shared" si="163"/>
        <v>2025</v>
      </c>
      <c r="L2615" s="6"/>
      <c r="M2615" s="6"/>
      <c r="N2615" s="6"/>
    </row>
    <row r="2616" spans="1:14" x14ac:dyDescent="0.3">
      <c r="A2616" s="87">
        <v>45691</v>
      </c>
      <c r="B2616" s="87" t="str">
        <f t="shared" si="160"/>
        <v>Monday</v>
      </c>
      <c r="C2616" s="88" t="s">
        <v>1381</v>
      </c>
      <c r="D2616" s="88" t="s">
        <v>1122</v>
      </c>
      <c r="E2616" s="89">
        <v>25.96</v>
      </c>
      <c r="F2616" s="88" t="s">
        <v>9</v>
      </c>
      <c r="G2616" s="87">
        <f>Table1[[#This Row],[date]]</f>
        <v>45691</v>
      </c>
      <c r="H2616" s="94">
        <f>SUMIF($A$2:A6251,G2616,$E$2:E6251)</f>
        <v>765.13999999999987</v>
      </c>
      <c r="I2616" s="93" t="str">
        <f t="shared" si="161"/>
        <v>Monday</v>
      </c>
      <c r="J2616" s="93" t="str">
        <f t="shared" si="162"/>
        <v>February</v>
      </c>
      <c r="K2616" s="93" t="str">
        <f t="shared" si="163"/>
        <v>2025</v>
      </c>
      <c r="L2616" s="6"/>
      <c r="M2616" s="6"/>
      <c r="N2616" s="6"/>
    </row>
    <row r="2617" spans="1:14" x14ac:dyDescent="0.3">
      <c r="A2617" s="92">
        <v>45691</v>
      </c>
      <c r="B2617" s="92" t="str">
        <f t="shared" si="160"/>
        <v>Monday</v>
      </c>
      <c r="C2617" s="93" t="s">
        <v>1381</v>
      </c>
      <c r="D2617" s="93" t="s">
        <v>1172</v>
      </c>
      <c r="E2617" s="94">
        <v>35.76</v>
      </c>
      <c r="F2617" s="93" t="s">
        <v>16</v>
      </c>
      <c r="G2617" s="87">
        <f>Table1[[#This Row],[date]]</f>
        <v>45691</v>
      </c>
      <c r="H2617" s="94">
        <f>SUMIF($A$2:A6252,G2617,$E$2:E6252)</f>
        <v>765.13999999999987</v>
      </c>
      <c r="I2617" s="93" t="str">
        <f t="shared" si="161"/>
        <v>Monday</v>
      </c>
      <c r="J2617" s="93" t="str">
        <f t="shared" si="162"/>
        <v>February</v>
      </c>
      <c r="K2617" s="93" t="str">
        <f t="shared" si="163"/>
        <v>2025</v>
      </c>
      <c r="L2617" s="6"/>
      <c r="M2617" s="6"/>
      <c r="N2617" s="6"/>
    </row>
    <row r="2618" spans="1:14" x14ac:dyDescent="0.3">
      <c r="A2618" s="87">
        <v>45691</v>
      </c>
      <c r="B2618" s="87" t="str">
        <f t="shared" si="160"/>
        <v>Monday</v>
      </c>
      <c r="C2618" s="88" t="s">
        <v>1381</v>
      </c>
      <c r="D2618" s="88" t="s">
        <v>1174</v>
      </c>
      <c r="E2618" s="89">
        <v>30.86</v>
      </c>
      <c r="F2618" s="88" t="s">
        <v>12</v>
      </c>
      <c r="G2618" s="87">
        <f>Table1[[#This Row],[date]]</f>
        <v>45691</v>
      </c>
      <c r="H2618" s="94">
        <f>SUMIF($A$2:A6253,G2618,$E$2:E6253)</f>
        <v>765.13999999999987</v>
      </c>
      <c r="I2618" s="93" t="str">
        <f t="shared" si="161"/>
        <v>Monday</v>
      </c>
      <c r="J2618" s="93" t="str">
        <f t="shared" si="162"/>
        <v>February</v>
      </c>
      <c r="K2618" s="93" t="str">
        <f t="shared" si="163"/>
        <v>2025</v>
      </c>
      <c r="L2618" s="6"/>
      <c r="M2618" s="6"/>
      <c r="N2618" s="6"/>
    </row>
    <row r="2619" spans="1:14" x14ac:dyDescent="0.3">
      <c r="A2619" s="92">
        <v>45691</v>
      </c>
      <c r="B2619" s="92" t="str">
        <f t="shared" si="160"/>
        <v>Monday</v>
      </c>
      <c r="C2619" s="93" t="s">
        <v>1381</v>
      </c>
      <c r="D2619" s="93" t="s">
        <v>1175</v>
      </c>
      <c r="E2619" s="94">
        <v>30.86</v>
      </c>
      <c r="F2619" s="93" t="s">
        <v>12</v>
      </c>
      <c r="G2619" s="87">
        <f>Table1[[#This Row],[date]]</f>
        <v>45691</v>
      </c>
      <c r="H2619" s="94">
        <f>SUMIF($A$2:A6254,G2619,$E$2:E6254)</f>
        <v>765.13999999999987</v>
      </c>
      <c r="I2619" s="93" t="str">
        <f t="shared" si="161"/>
        <v>Monday</v>
      </c>
      <c r="J2619" s="93" t="str">
        <f t="shared" si="162"/>
        <v>February</v>
      </c>
      <c r="K2619" s="93" t="str">
        <f t="shared" si="163"/>
        <v>2025</v>
      </c>
      <c r="L2619" s="6"/>
      <c r="M2619" s="6"/>
      <c r="N2619" s="6"/>
    </row>
    <row r="2620" spans="1:14" x14ac:dyDescent="0.3">
      <c r="A2620" s="92">
        <v>45691</v>
      </c>
      <c r="B2620" s="92" t="str">
        <f t="shared" si="160"/>
        <v>Monday</v>
      </c>
      <c r="C2620" s="93" t="s">
        <v>1381</v>
      </c>
      <c r="D2620" s="93" t="s">
        <v>1176</v>
      </c>
      <c r="E2620" s="94">
        <v>35.76</v>
      </c>
      <c r="F2620" s="93" t="s">
        <v>7</v>
      </c>
      <c r="G2620" s="87">
        <f>Table1[[#This Row],[date]]</f>
        <v>45691</v>
      </c>
      <c r="H2620" s="94">
        <f>SUMIF($A$2:A6255,G2620,$E$2:E6255)</f>
        <v>765.13999999999987</v>
      </c>
      <c r="I2620" s="93" t="str">
        <f t="shared" si="161"/>
        <v>Monday</v>
      </c>
      <c r="J2620" s="93" t="str">
        <f t="shared" si="162"/>
        <v>February</v>
      </c>
      <c r="K2620" s="93" t="str">
        <f t="shared" si="163"/>
        <v>2025</v>
      </c>
      <c r="L2620" s="6"/>
      <c r="M2620" s="6"/>
      <c r="N2620" s="6"/>
    </row>
    <row r="2621" spans="1:14" x14ac:dyDescent="0.3">
      <c r="A2621" s="87">
        <v>45691</v>
      </c>
      <c r="B2621" s="87" t="str">
        <f t="shared" si="160"/>
        <v>Monday</v>
      </c>
      <c r="C2621" s="88" t="s">
        <v>1381</v>
      </c>
      <c r="D2621" s="88" t="s">
        <v>1176</v>
      </c>
      <c r="E2621" s="89">
        <v>35.76</v>
      </c>
      <c r="F2621" s="88" t="s">
        <v>5</v>
      </c>
      <c r="G2621" s="87">
        <f>Table1[[#This Row],[date]]</f>
        <v>45691</v>
      </c>
      <c r="H2621" s="94">
        <f>SUMIF($A$2:A6256,G2621,$E$2:E6256)</f>
        <v>765.13999999999987</v>
      </c>
      <c r="I2621" s="93" t="str">
        <f t="shared" si="161"/>
        <v>Monday</v>
      </c>
      <c r="J2621" s="93" t="str">
        <f t="shared" si="162"/>
        <v>February</v>
      </c>
      <c r="K2621" s="93" t="str">
        <f t="shared" si="163"/>
        <v>2025</v>
      </c>
      <c r="L2621" s="6"/>
      <c r="M2621" s="6"/>
      <c r="N2621" s="6"/>
    </row>
    <row r="2622" spans="1:14" x14ac:dyDescent="0.3">
      <c r="A2622" s="92">
        <v>45691</v>
      </c>
      <c r="B2622" s="92" t="str">
        <f t="shared" si="160"/>
        <v>Monday</v>
      </c>
      <c r="C2622" s="93" t="s">
        <v>1381</v>
      </c>
      <c r="D2622" s="93" t="s">
        <v>1177</v>
      </c>
      <c r="E2622" s="94">
        <v>35.76</v>
      </c>
      <c r="F2622" s="93" t="s">
        <v>7</v>
      </c>
      <c r="G2622" s="87">
        <f>Table1[[#This Row],[date]]</f>
        <v>45691</v>
      </c>
      <c r="H2622" s="94">
        <f>SUMIF($A$2:A6257,G2622,$E$2:E6257)</f>
        <v>765.13999999999987</v>
      </c>
      <c r="I2622" s="93" t="str">
        <f t="shared" si="161"/>
        <v>Monday</v>
      </c>
      <c r="J2622" s="93" t="str">
        <f t="shared" si="162"/>
        <v>February</v>
      </c>
      <c r="K2622" s="93" t="str">
        <f t="shared" si="163"/>
        <v>2025</v>
      </c>
      <c r="L2622" s="6"/>
      <c r="M2622" s="6"/>
      <c r="N2622" s="6"/>
    </row>
    <row r="2623" spans="1:14" x14ac:dyDescent="0.3">
      <c r="A2623" s="87">
        <v>45691</v>
      </c>
      <c r="B2623" s="87" t="str">
        <f t="shared" si="160"/>
        <v>Monday</v>
      </c>
      <c r="C2623" s="88" t="s">
        <v>1381</v>
      </c>
      <c r="D2623" s="88" t="s">
        <v>1178</v>
      </c>
      <c r="E2623" s="89">
        <v>30.86</v>
      </c>
      <c r="F2623" s="88" t="s">
        <v>12</v>
      </c>
      <c r="G2623" s="87">
        <f>Table1[[#This Row],[date]]</f>
        <v>45691</v>
      </c>
      <c r="H2623" s="94">
        <f>SUMIF($A$2:A6258,G2623,$E$2:E6258)</f>
        <v>765.13999999999987</v>
      </c>
      <c r="I2623" s="93" t="str">
        <f t="shared" si="161"/>
        <v>Monday</v>
      </c>
      <c r="J2623" s="93" t="str">
        <f t="shared" si="162"/>
        <v>February</v>
      </c>
      <c r="K2623" s="93" t="str">
        <f t="shared" si="163"/>
        <v>2025</v>
      </c>
      <c r="L2623" s="6"/>
      <c r="M2623" s="6"/>
      <c r="N2623" s="6"/>
    </row>
    <row r="2624" spans="1:14" x14ac:dyDescent="0.3">
      <c r="A2624" s="92">
        <v>45691</v>
      </c>
      <c r="B2624" s="92" t="str">
        <f t="shared" si="160"/>
        <v>Monday</v>
      </c>
      <c r="C2624" s="93" t="s">
        <v>1381</v>
      </c>
      <c r="D2624" s="93" t="s">
        <v>1179</v>
      </c>
      <c r="E2624" s="94">
        <v>25.96</v>
      </c>
      <c r="F2624" s="93" t="s">
        <v>9</v>
      </c>
      <c r="G2624" s="87">
        <f>Table1[[#This Row],[date]]</f>
        <v>45691</v>
      </c>
      <c r="H2624" s="94">
        <f>SUMIF($A$2:A6259,G2624,$E$2:E6259)</f>
        <v>765.13999999999987</v>
      </c>
      <c r="I2624" s="93" t="str">
        <f t="shared" si="161"/>
        <v>Monday</v>
      </c>
      <c r="J2624" s="93" t="str">
        <f t="shared" si="162"/>
        <v>February</v>
      </c>
      <c r="K2624" s="93" t="str">
        <f t="shared" si="163"/>
        <v>2025</v>
      </c>
      <c r="L2624" s="6"/>
      <c r="M2624" s="6"/>
      <c r="N2624" s="6"/>
    </row>
    <row r="2625" spans="1:14" x14ac:dyDescent="0.3">
      <c r="A2625" s="87">
        <v>45691</v>
      </c>
      <c r="B2625" s="87" t="str">
        <f t="shared" si="160"/>
        <v>Monday</v>
      </c>
      <c r="C2625" s="88" t="s">
        <v>1381</v>
      </c>
      <c r="D2625" s="88" t="s">
        <v>1180</v>
      </c>
      <c r="E2625" s="89">
        <v>35.76</v>
      </c>
      <c r="F2625" s="88" t="s">
        <v>16</v>
      </c>
      <c r="G2625" s="87">
        <f>Table1[[#This Row],[date]]</f>
        <v>45691</v>
      </c>
      <c r="H2625" s="94">
        <f>SUMIF($A$2:A6260,G2625,$E$2:E6260)</f>
        <v>765.13999999999987</v>
      </c>
      <c r="I2625" s="93" t="str">
        <f t="shared" si="161"/>
        <v>Monday</v>
      </c>
      <c r="J2625" s="93" t="str">
        <f t="shared" si="162"/>
        <v>February</v>
      </c>
      <c r="K2625" s="93" t="str">
        <f t="shared" si="163"/>
        <v>2025</v>
      </c>
      <c r="L2625" s="6"/>
      <c r="M2625" s="6"/>
      <c r="N2625" s="6"/>
    </row>
    <row r="2626" spans="1:14" x14ac:dyDescent="0.3">
      <c r="A2626" s="92">
        <v>45692</v>
      </c>
      <c r="B2626" s="92" t="str">
        <f t="shared" ref="B2626:B2689" si="164">TEXT(A2626,"dddd")</f>
        <v>Tuesday</v>
      </c>
      <c r="C2626" s="93" t="s">
        <v>1381</v>
      </c>
      <c r="D2626" s="93" t="s">
        <v>1175</v>
      </c>
      <c r="E2626" s="94">
        <v>30.86</v>
      </c>
      <c r="F2626" s="93" t="s">
        <v>12</v>
      </c>
      <c r="G2626" s="87">
        <f>Table1[[#This Row],[date]]</f>
        <v>45692</v>
      </c>
      <c r="H2626" s="94">
        <f>SUMIF($A$2:A6261,G2626,$E$2:E6261)</f>
        <v>293.89999999999998</v>
      </c>
      <c r="I2626" s="93" t="str">
        <f t="shared" si="161"/>
        <v>Tuesday</v>
      </c>
      <c r="J2626" s="93" t="str">
        <f t="shared" si="162"/>
        <v>February</v>
      </c>
      <c r="K2626" s="93" t="str">
        <f t="shared" si="163"/>
        <v>2025</v>
      </c>
      <c r="L2626" s="6"/>
      <c r="M2626" s="6"/>
      <c r="N2626" s="6"/>
    </row>
    <row r="2627" spans="1:14" x14ac:dyDescent="0.3">
      <c r="A2627" s="87">
        <v>45692</v>
      </c>
      <c r="B2627" s="87" t="str">
        <f t="shared" si="164"/>
        <v>Tuesday</v>
      </c>
      <c r="C2627" s="88" t="s">
        <v>1381</v>
      </c>
      <c r="D2627" s="88" t="s">
        <v>1122</v>
      </c>
      <c r="E2627" s="89">
        <v>25.96</v>
      </c>
      <c r="F2627" s="88" t="s">
        <v>9</v>
      </c>
      <c r="G2627" s="87">
        <f>Table1[[#This Row],[date]]</f>
        <v>45692</v>
      </c>
      <c r="H2627" s="94">
        <f>SUMIF($A$2:A6262,G2627,$E$2:E6262)</f>
        <v>293.89999999999998</v>
      </c>
      <c r="I2627" s="93" t="str">
        <f t="shared" si="161"/>
        <v>Tuesday</v>
      </c>
      <c r="J2627" s="93" t="str">
        <f t="shared" si="162"/>
        <v>February</v>
      </c>
      <c r="K2627" s="93" t="str">
        <f t="shared" si="163"/>
        <v>2025</v>
      </c>
      <c r="L2627" s="6"/>
      <c r="M2627" s="6"/>
      <c r="N2627" s="6"/>
    </row>
    <row r="2628" spans="1:14" x14ac:dyDescent="0.3">
      <c r="A2628" s="92">
        <v>45692</v>
      </c>
      <c r="B2628" s="92" t="str">
        <f t="shared" si="164"/>
        <v>Tuesday</v>
      </c>
      <c r="C2628" s="93" t="s">
        <v>1381</v>
      </c>
      <c r="D2628" s="93" t="s">
        <v>1181</v>
      </c>
      <c r="E2628" s="94">
        <v>30.86</v>
      </c>
      <c r="F2628" s="93" t="s">
        <v>12</v>
      </c>
      <c r="G2628" s="87">
        <f>Table1[[#This Row],[date]]</f>
        <v>45692</v>
      </c>
      <c r="H2628" s="94">
        <f>SUMIF($A$2:A6263,G2628,$E$2:E6263)</f>
        <v>293.89999999999998</v>
      </c>
      <c r="I2628" s="93" t="str">
        <f t="shared" si="161"/>
        <v>Tuesday</v>
      </c>
      <c r="J2628" s="93" t="str">
        <f t="shared" si="162"/>
        <v>February</v>
      </c>
      <c r="K2628" s="93" t="str">
        <f t="shared" si="163"/>
        <v>2025</v>
      </c>
      <c r="L2628" s="6"/>
      <c r="M2628" s="6"/>
      <c r="N2628" s="6"/>
    </row>
    <row r="2629" spans="1:14" x14ac:dyDescent="0.3">
      <c r="A2629" s="87">
        <v>45692</v>
      </c>
      <c r="B2629" s="87" t="str">
        <f t="shared" si="164"/>
        <v>Tuesday</v>
      </c>
      <c r="C2629" s="88" t="s">
        <v>1381</v>
      </c>
      <c r="D2629" s="88" t="s">
        <v>1172</v>
      </c>
      <c r="E2629" s="89">
        <v>25.96</v>
      </c>
      <c r="F2629" s="88" t="s">
        <v>26</v>
      </c>
      <c r="G2629" s="87">
        <f>Table1[[#This Row],[date]]</f>
        <v>45692</v>
      </c>
      <c r="H2629" s="94">
        <f>SUMIF($A$2:A6264,G2629,$E$2:E6264)</f>
        <v>293.89999999999998</v>
      </c>
      <c r="I2629" s="93" t="str">
        <f t="shared" si="161"/>
        <v>Tuesday</v>
      </c>
      <c r="J2629" s="93" t="str">
        <f t="shared" si="162"/>
        <v>February</v>
      </c>
      <c r="K2629" s="93" t="str">
        <f t="shared" si="163"/>
        <v>2025</v>
      </c>
      <c r="L2629" s="6"/>
      <c r="M2629" s="6"/>
      <c r="N2629" s="6"/>
    </row>
    <row r="2630" spans="1:14" x14ac:dyDescent="0.3">
      <c r="A2630" s="92">
        <v>45692</v>
      </c>
      <c r="B2630" s="92" t="str">
        <f t="shared" si="164"/>
        <v>Tuesday</v>
      </c>
      <c r="C2630" s="93" t="s">
        <v>1381</v>
      </c>
      <c r="D2630" s="93" t="s">
        <v>1182</v>
      </c>
      <c r="E2630" s="94">
        <v>25.96</v>
      </c>
      <c r="F2630" s="93" t="s">
        <v>9</v>
      </c>
      <c r="G2630" s="87">
        <f>Table1[[#This Row],[date]]</f>
        <v>45692</v>
      </c>
      <c r="H2630" s="94">
        <f>SUMIF($A$2:A6265,G2630,$E$2:E6265)</f>
        <v>293.89999999999998</v>
      </c>
      <c r="I2630" s="93" t="str">
        <f t="shared" ref="I2630:I2693" si="165">TEXT(G2630,"dddd")</f>
        <v>Tuesday</v>
      </c>
      <c r="J2630" s="93" t="str">
        <f t="shared" si="162"/>
        <v>February</v>
      </c>
      <c r="K2630" s="93" t="str">
        <f t="shared" si="163"/>
        <v>2025</v>
      </c>
      <c r="L2630" s="6"/>
      <c r="M2630" s="6"/>
      <c r="N2630" s="6"/>
    </row>
    <row r="2631" spans="1:14" x14ac:dyDescent="0.3">
      <c r="A2631" s="92">
        <v>45692</v>
      </c>
      <c r="B2631" s="92" t="str">
        <f t="shared" si="164"/>
        <v>Tuesday</v>
      </c>
      <c r="C2631" s="93" t="s">
        <v>1381</v>
      </c>
      <c r="D2631" s="93" t="s">
        <v>1183</v>
      </c>
      <c r="E2631" s="94">
        <v>25.96</v>
      </c>
      <c r="F2631" s="93" t="s">
        <v>9</v>
      </c>
      <c r="G2631" s="87">
        <f>Table1[[#This Row],[date]]</f>
        <v>45692</v>
      </c>
      <c r="H2631" s="94">
        <f>SUMIF($A$2:A6266,G2631,$E$2:E6266)</f>
        <v>293.89999999999998</v>
      </c>
      <c r="I2631" s="93" t="str">
        <f t="shared" si="165"/>
        <v>Tuesday</v>
      </c>
      <c r="J2631" s="93" t="str">
        <f t="shared" ref="J2631:J2694" si="166">TEXT(G2631,"mmmm")</f>
        <v>February</v>
      </c>
      <c r="K2631" s="93" t="str">
        <f t="shared" ref="K2631:K2694" si="167">TEXT(G2631,"yyyy")</f>
        <v>2025</v>
      </c>
      <c r="L2631" s="6"/>
      <c r="M2631" s="6"/>
      <c r="N2631" s="6"/>
    </row>
    <row r="2632" spans="1:14" x14ac:dyDescent="0.3">
      <c r="A2632" s="87">
        <v>45692</v>
      </c>
      <c r="B2632" s="87" t="str">
        <f t="shared" si="164"/>
        <v>Tuesday</v>
      </c>
      <c r="C2632" s="88" t="s">
        <v>1381</v>
      </c>
      <c r="D2632" s="88" t="s">
        <v>1169</v>
      </c>
      <c r="E2632" s="89">
        <v>30.86</v>
      </c>
      <c r="F2632" s="88" t="s">
        <v>12</v>
      </c>
      <c r="G2632" s="87">
        <f>Table1[[#This Row],[date]]</f>
        <v>45692</v>
      </c>
      <c r="H2632" s="94">
        <f>SUMIF($A$2:A6267,G2632,$E$2:E6267)</f>
        <v>293.89999999999998</v>
      </c>
      <c r="I2632" s="93" t="str">
        <f t="shared" si="165"/>
        <v>Tuesday</v>
      </c>
      <c r="J2632" s="93" t="str">
        <f t="shared" si="166"/>
        <v>February</v>
      </c>
      <c r="K2632" s="93" t="str">
        <f t="shared" si="167"/>
        <v>2025</v>
      </c>
      <c r="L2632" s="6"/>
      <c r="M2632" s="6"/>
      <c r="N2632" s="6"/>
    </row>
    <row r="2633" spans="1:14" x14ac:dyDescent="0.3">
      <c r="A2633" s="92">
        <v>45692</v>
      </c>
      <c r="B2633" s="92" t="str">
        <f t="shared" si="164"/>
        <v>Tuesday</v>
      </c>
      <c r="C2633" s="93" t="s">
        <v>1381</v>
      </c>
      <c r="D2633" s="93" t="s">
        <v>1184</v>
      </c>
      <c r="E2633" s="94">
        <v>35.76</v>
      </c>
      <c r="F2633" s="93" t="s">
        <v>16</v>
      </c>
      <c r="G2633" s="87">
        <f>Table1[[#This Row],[date]]</f>
        <v>45692</v>
      </c>
      <c r="H2633" s="94">
        <f>SUMIF($A$2:A6268,G2633,$E$2:E6268)</f>
        <v>293.89999999999998</v>
      </c>
      <c r="I2633" s="93" t="str">
        <f t="shared" si="165"/>
        <v>Tuesday</v>
      </c>
      <c r="J2633" s="93" t="str">
        <f t="shared" si="166"/>
        <v>February</v>
      </c>
      <c r="K2633" s="93" t="str">
        <f t="shared" si="167"/>
        <v>2025</v>
      </c>
      <c r="L2633" s="6"/>
      <c r="M2633" s="6"/>
      <c r="N2633" s="6"/>
    </row>
    <row r="2634" spans="1:14" x14ac:dyDescent="0.3">
      <c r="A2634" s="87">
        <v>45692</v>
      </c>
      <c r="B2634" s="87" t="str">
        <f t="shared" si="164"/>
        <v>Tuesday</v>
      </c>
      <c r="C2634" s="88" t="s">
        <v>1381</v>
      </c>
      <c r="D2634" s="88" t="s">
        <v>1185</v>
      </c>
      <c r="E2634" s="89">
        <v>35.76</v>
      </c>
      <c r="F2634" s="88" t="s">
        <v>16</v>
      </c>
      <c r="G2634" s="87">
        <f>Table1[[#This Row],[date]]</f>
        <v>45692</v>
      </c>
      <c r="H2634" s="94">
        <f>SUMIF($A$2:A6269,G2634,$E$2:E6269)</f>
        <v>293.89999999999998</v>
      </c>
      <c r="I2634" s="93" t="str">
        <f t="shared" si="165"/>
        <v>Tuesday</v>
      </c>
      <c r="J2634" s="93" t="str">
        <f t="shared" si="166"/>
        <v>February</v>
      </c>
      <c r="K2634" s="93" t="str">
        <f t="shared" si="167"/>
        <v>2025</v>
      </c>
      <c r="L2634" s="6"/>
      <c r="M2634" s="6"/>
      <c r="N2634" s="6"/>
    </row>
    <row r="2635" spans="1:14" x14ac:dyDescent="0.3">
      <c r="A2635" s="87">
        <v>45692</v>
      </c>
      <c r="B2635" s="87" t="str">
        <f t="shared" si="164"/>
        <v>Tuesday</v>
      </c>
      <c r="C2635" s="88" t="s">
        <v>1381</v>
      </c>
      <c r="D2635" s="88" t="s">
        <v>1186</v>
      </c>
      <c r="E2635" s="89">
        <v>25.96</v>
      </c>
      <c r="F2635" s="88" t="s">
        <v>26</v>
      </c>
      <c r="G2635" s="87">
        <f>Table1[[#This Row],[date]]</f>
        <v>45692</v>
      </c>
      <c r="H2635" s="94">
        <f>SUMIF($A$2:A6270,G2635,$E$2:E6270)</f>
        <v>293.89999999999998</v>
      </c>
      <c r="I2635" s="93" t="str">
        <f t="shared" si="165"/>
        <v>Tuesday</v>
      </c>
      <c r="J2635" s="93" t="str">
        <f t="shared" si="166"/>
        <v>February</v>
      </c>
      <c r="K2635" s="93" t="str">
        <f t="shared" si="167"/>
        <v>2025</v>
      </c>
      <c r="L2635" s="6"/>
      <c r="M2635" s="6"/>
      <c r="N2635" s="6"/>
    </row>
    <row r="2636" spans="1:14" x14ac:dyDescent="0.3">
      <c r="A2636" s="92">
        <v>45693</v>
      </c>
      <c r="B2636" s="92" t="str">
        <f t="shared" si="164"/>
        <v>Wednesday</v>
      </c>
      <c r="C2636" s="93" t="s">
        <v>1381</v>
      </c>
      <c r="D2636" s="93" t="s">
        <v>1168</v>
      </c>
      <c r="E2636" s="94">
        <v>30.86</v>
      </c>
      <c r="F2636" s="93" t="s">
        <v>12</v>
      </c>
      <c r="G2636" s="87">
        <f>Table1[[#This Row],[date]]</f>
        <v>45693</v>
      </c>
      <c r="H2636" s="94">
        <f>SUMIF($A$2:A6271,G2636,$E$2:E6271)</f>
        <v>584.88</v>
      </c>
      <c r="I2636" s="93" t="str">
        <f t="shared" si="165"/>
        <v>Wednesday</v>
      </c>
      <c r="J2636" s="93" t="str">
        <f t="shared" si="166"/>
        <v>February</v>
      </c>
      <c r="K2636" s="93" t="str">
        <f t="shared" si="167"/>
        <v>2025</v>
      </c>
      <c r="L2636" s="6"/>
      <c r="M2636" s="6"/>
      <c r="N2636" s="6"/>
    </row>
    <row r="2637" spans="1:14" x14ac:dyDescent="0.3">
      <c r="A2637" s="87">
        <v>45693</v>
      </c>
      <c r="B2637" s="87" t="str">
        <f t="shared" si="164"/>
        <v>Wednesday</v>
      </c>
      <c r="C2637" s="88" t="s">
        <v>1381</v>
      </c>
      <c r="D2637" s="88" t="s">
        <v>1175</v>
      </c>
      <c r="E2637" s="89">
        <v>30.86</v>
      </c>
      <c r="F2637" s="88" t="s">
        <v>12</v>
      </c>
      <c r="G2637" s="87">
        <f>Table1[[#This Row],[date]]</f>
        <v>45693</v>
      </c>
      <c r="H2637" s="94">
        <f>SUMIF($A$2:A6272,G2637,$E$2:E6272)</f>
        <v>584.88</v>
      </c>
      <c r="I2637" s="93" t="str">
        <f t="shared" si="165"/>
        <v>Wednesday</v>
      </c>
      <c r="J2637" s="93" t="str">
        <f t="shared" si="166"/>
        <v>February</v>
      </c>
      <c r="K2637" s="93" t="str">
        <f t="shared" si="167"/>
        <v>2025</v>
      </c>
      <c r="L2637" s="6"/>
      <c r="M2637" s="6"/>
      <c r="N2637" s="6"/>
    </row>
    <row r="2638" spans="1:14" x14ac:dyDescent="0.3">
      <c r="A2638" s="92">
        <v>45693</v>
      </c>
      <c r="B2638" s="92" t="str">
        <f t="shared" si="164"/>
        <v>Wednesday</v>
      </c>
      <c r="C2638" s="93" t="s">
        <v>1381</v>
      </c>
      <c r="D2638" s="93" t="s">
        <v>1175</v>
      </c>
      <c r="E2638" s="94">
        <v>25.96</v>
      </c>
      <c r="F2638" s="93" t="s">
        <v>9</v>
      </c>
      <c r="G2638" s="87">
        <f>Table1[[#This Row],[date]]</f>
        <v>45693</v>
      </c>
      <c r="H2638" s="94">
        <f>SUMIF($A$2:A6273,G2638,$E$2:E6273)</f>
        <v>584.88</v>
      </c>
      <c r="I2638" s="93" t="str">
        <f t="shared" si="165"/>
        <v>Wednesday</v>
      </c>
      <c r="J2638" s="93" t="str">
        <f t="shared" si="166"/>
        <v>February</v>
      </c>
      <c r="K2638" s="93" t="str">
        <f t="shared" si="167"/>
        <v>2025</v>
      </c>
      <c r="L2638" s="6"/>
      <c r="M2638" s="6"/>
      <c r="N2638" s="6"/>
    </row>
    <row r="2639" spans="1:14" x14ac:dyDescent="0.3">
      <c r="A2639" s="92">
        <v>45693</v>
      </c>
      <c r="B2639" s="92" t="str">
        <f t="shared" si="164"/>
        <v>Wednesday</v>
      </c>
      <c r="C2639" s="93" t="s">
        <v>1381</v>
      </c>
      <c r="D2639" s="93" t="s">
        <v>1187</v>
      </c>
      <c r="E2639" s="94">
        <v>25.96</v>
      </c>
      <c r="F2639" s="93" t="s">
        <v>9</v>
      </c>
      <c r="G2639" s="87">
        <f>Table1[[#This Row],[date]]</f>
        <v>45693</v>
      </c>
      <c r="H2639" s="94">
        <f>SUMIF($A$2:A6274,G2639,$E$2:E6274)</f>
        <v>584.88</v>
      </c>
      <c r="I2639" s="93" t="str">
        <f t="shared" si="165"/>
        <v>Wednesday</v>
      </c>
      <c r="J2639" s="93" t="str">
        <f t="shared" si="166"/>
        <v>February</v>
      </c>
      <c r="K2639" s="93" t="str">
        <f t="shared" si="167"/>
        <v>2025</v>
      </c>
      <c r="L2639" s="6"/>
      <c r="M2639" s="6"/>
      <c r="N2639" s="6"/>
    </row>
    <row r="2640" spans="1:14" x14ac:dyDescent="0.3">
      <c r="A2640" s="87">
        <v>45693</v>
      </c>
      <c r="B2640" s="87" t="str">
        <f t="shared" si="164"/>
        <v>Wednesday</v>
      </c>
      <c r="C2640" s="88" t="s">
        <v>1381</v>
      </c>
      <c r="D2640" s="88" t="s">
        <v>1188</v>
      </c>
      <c r="E2640" s="89">
        <v>25.96</v>
      </c>
      <c r="F2640" s="88" t="s">
        <v>9</v>
      </c>
      <c r="G2640" s="87">
        <f>Table1[[#This Row],[date]]</f>
        <v>45693</v>
      </c>
      <c r="H2640" s="94">
        <f>SUMIF($A$2:A6275,G2640,$E$2:E6275)</f>
        <v>584.88</v>
      </c>
      <c r="I2640" s="93" t="str">
        <f t="shared" si="165"/>
        <v>Wednesday</v>
      </c>
      <c r="J2640" s="93" t="str">
        <f t="shared" si="166"/>
        <v>February</v>
      </c>
      <c r="K2640" s="93" t="str">
        <f t="shared" si="167"/>
        <v>2025</v>
      </c>
      <c r="L2640" s="6"/>
      <c r="M2640" s="6"/>
      <c r="N2640" s="6"/>
    </row>
    <row r="2641" spans="1:14" x14ac:dyDescent="0.3">
      <c r="A2641" s="92">
        <v>45693</v>
      </c>
      <c r="B2641" s="92" t="str">
        <f t="shared" si="164"/>
        <v>Wednesday</v>
      </c>
      <c r="C2641" s="93" t="s">
        <v>1381</v>
      </c>
      <c r="D2641" s="93" t="s">
        <v>1183</v>
      </c>
      <c r="E2641" s="94">
        <v>21.06</v>
      </c>
      <c r="F2641" s="93" t="s">
        <v>33</v>
      </c>
      <c r="G2641" s="87">
        <f>Table1[[#This Row],[date]]</f>
        <v>45693</v>
      </c>
      <c r="H2641" s="94">
        <f>SUMIF($A$2:A6276,G2641,$E$2:E6276)</f>
        <v>584.88</v>
      </c>
      <c r="I2641" s="93" t="str">
        <f t="shared" si="165"/>
        <v>Wednesday</v>
      </c>
      <c r="J2641" s="93" t="str">
        <f t="shared" si="166"/>
        <v>February</v>
      </c>
      <c r="K2641" s="93" t="str">
        <f t="shared" si="167"/>
        <v>2025</v>
      </c>
      <c r="L2641" s="6"/>
      <c r="M2641" s="6"/>
      <c r="N2641" s="6"/>
    </row>
    <row r="2642" spans="1:14" x14ac:dyDescent="0.3">
      <c r="A2642" s="92">
        <v>45693</v>
      </c>
      <c r="B2642" s="92" t="str">
        <f t="shared" si="164"/>
        <v>Wednesday</v>
      </c>
      <c r="C2642" s="93" t="s">
        <v>1381</v>
      </c>
      <c r="D2642" s="93" t="s">
        <v>1173</v>
      </c>
      <c r="E2642" s="94">
        <v>35.76</v>
      </c>
      <c r="F2642" s="93" t="s">
        <v>41</v>
      </c>
      <c r="G2642" s="87">
        <f>Table1[[#This Row],[date]]</f>
        <v>45693</v>
      </c>
      <c r="H2642" s="94">
        <f>SUMIF($A$2:A6277,G2642,$E$2:E6277)</f>
        <v>584.88</v>
      </c>
      <c r="I2642" s="93" t="str">
        <f t="shared" si="165"/>
        <v>Wednesday</v>
      </c>
      <c r="J2642" s="93" t="str">
        <f t="shared" si="166"/>
        <v>February</v>
      </c>
      <c r="K2642" s="93" t="str">
        <f t="shared" si="167"/>
        <v>2025</v>
      </c>
      <c r="L2642" s="6"/>
      <c r="M2642" s="6"/>
      <c r="N2642" s="6"/>
    </row>
    <row r="2643" spans="1:14" x14ac:dyDescent="0.3">
      <c r="A2643" s="87">
        <v>45693</v>
      </c>
      <c r="B2643" s="87" t="str">
        <f t="shared" si="164"/>
        <v>Wednesday</v>
      </c>
      <c r="C2643" s="88" t="s">
        <v>1381</v>
      </c>
      <c r="D2643" s="88" t="s">
        <v>1189</v>
      </c>
      <c r="E2643" s="89">
        <v>35.76</v>
      </c>
      <c r="F2643" s="88" t="s">
        <v>41</v>
      </c>
      <c r="G2643" s="87">
        <f>Table1[[#This Row],[date]]</f>
        <v>45693</v>
      </c>
      <c r="H2643" s="94">
        <f>SUMIF($A$2:A6278,G2643,$E$2:E6278)</f>
        <v>584.88</v>
      </c>
      <c r="I2643" s="93" t="str">
        <f t="shared" si="165"/>
        <v>Wednesday</v>
      </c>
      <c r="J2643" s="93" t="str">
        <f t="shared" si="166"/>
        <v>February</v>
      </c>
      <c r="K2643" s="93" t="str">
        <f t="shared" si="167"/>
        <v>2025</v>
      </c>
      <c r="L2643" s="6"/>
      <c r="M2643" s="6"/>
      <c r="N2643" s="6"/>
    </row>
    <row r="2644" spans="1:14" x14ac:dyDescent="0.3">
      <c r="A2644" s="92">
        <v>45693</v>
      </c>
      <c r="B2644" s="92" t="str">
        <f t="shared" si="164"/>
        <v>Wednesday</v>
      </c>
      <c r="C2644" s="93" t="s">
        <v>1381</v>
      </c>
      <c r="D2644" s="93" t="s">
        <v>1177</v>
      </c>
      <c r="E2644" s="94">
        <v>35.76</v>
      </c>
      <c r="F2644" s="93" t="s">
        <v>7</v>
      </c>
      <c r="G2644" s="87">
        <f>Table1[[#This Row],[date]]</f>
        <v>45693</v>
      </c>
      <c r="H2644" s="94">
        <f>SUMIF($A$2:A6279,G2644,$E$2:E6279)</f>
        <v>584.88</v>
      </c>
      <c r="I2644" s="93" t="str">
        <f t="shared" si="165"/>
        <v>Wednesday</v>
      </c>
      <c r="J2644" s="93" t="str">
        <f t="shared" si="166"/>
        <v>February</v>
      </c>
      <c r="K2644" s="93" t="str">
        <f t="shared" si="167"/>
        <v>2025</v>
      </c>
      <c r="L2644" s="6"/>
      <c r="M2644" s="6"/>
      <c r="N2644" s="6"/>
    </row>
    <row r="2645" spans="1:14" x14ac:dyDescent="0.3">
      <c r="A2645" s="87">
        <v>45693</v>
      </c>
      <c r="B2645" s="87" t="str">
        <f t="shared" si="164"/>
        <v>Wednesday</v>
      </c>
      <c r="C2645" s="88" t="s">
        <v>1381</v>
      </c>
      <c r="D2645" s="88" t="s">
        <v>1176</v>
      </c>
      <c r="E2645" s="89">
        <v>35.76</v>
      </c>
      <c r="F2645" s="88" t="s">
        <v>5</v>
      </c>
      <c r="G2645" s="87">
        <f>Table1[[#This Row],[date]]</f>
        <v>45693</v>
      </c>
      <c r="H2645" s="94">
        <f>SUMIF($A$2:A6280,G2645,$E$2:E6280)</f>
        <v>584.88</v>
      </c>
      <c r="I2645" s="93" t="str">
        <f t="shared" si="165"/>
        <v>Wednesday</v>
      </c>
      <c r="J2645" s="93" t="str">
        <f t="shared" si="166"/>
        <v>February</v>
      </c>
      <c r="K2645" s="93" t="str">
        <f t="shared" si="167"/>
        <v>2025</v>
      </c>
      <c r="L2645" s="6"/>
      <c r="M2645" s="6"/>
      <c r="N2645" s="6"/>
    </row>
    <row r="2646" spans="1:14" x14ac:dyDescent="0.3">
      <c r="A2646" s="87">
        <v>45693</v>
      </c>
      <c r="B2646" s="87" t="str">
        <f t="shared" si="164"/>
        <v>Wednesday</v>
      </c>
      <c r="C2646" s="88" t="s">
        <v>1381</v>
      </c>
      <c r="D2646" s="88" t="s">
        <v>1164</v>
      </c>
      <c r="E2646" s="89">
        <v>35.76</v>
      </c>
      <c r="F2646" s="88" t="s">
        <v>16</v>
      </c>
      <c r="G2646" s="87">
        <f>Table1[[#This Row],[date]]</f>
        <v>45693</v>
      </c>
      <c r="H2646" s="94">
        <f>SUMIF($A$2:A6281,G2646,$E$2:E6281)</f>
        <v>584.88</v>
      </c>
      <c r="I2646" s="93" t="str">
        <f t="shared" si="165"/>
        <v>Wednesday</v>
      </c>
      <c r="J2646" s="93" t="str">
        <f t="shared" si="166"/>
        <v>February</v>
      </c>
      <c r="K2646" s="93" t="str">
        <f t="shared" si="167"/>
        <v>2025</v>
      </c>
      <c r="L2646" s="6"/>
      <c r="M2646" s="6"/>
      <c r="N2646" s="6"/>
    </row>
    <row r="2647" spans="1:14" x14ac:dyDescent="0.3">
      <c r="A2647" s="87">
        <v>45693</v>
      </c>
      <c r="B2647" s="87" t="str">
        <f t="shared" si="164"/>
        <v>Wednesday</v>
      </c>
      <c r="C2647" s="88" t="s">
        <v>1381</v>
      </c>
      <c r="D2647" s="88" t="s">
        <v>1190</v>
      </c>
      <c r="E2647" s="89">
        <v>35.76</v>
      </c>
      <c r="F2647" s="88" t="s">
        <v>41</v>
      </c>
      <c r="G2647" s="87">
        <f>Table1[[#This Row],[date]]</f>
        <v>45693</v>
      </c>
      <c r="H2647" s="94">
        <f>SUMIF($A$2:A6282,G2647,$E$2:E6282)</f>
        <v>584.88</v>
      </c>
      <c r="I2647" s="93" t="str">
        <f t="shared" si="165"/>
        <v>Wednesday</v>
      </c>
      <c r="J2647" s="93" t="str">
        <f t="shared" si="166"/>
        <v>February</v>
      </c>
      <c r="K2647" s="93" t="str">
        <f t="shared" si="167"/>
        <v>2025</v>
      </c>
      <c r="L2647" s="6"/>
      <c r="M2647" s="6"/>
      <c r="N2647" s="6"/>
    </row>
    <row r="2648" spans="1:14" x14ac:dyDescent="0.3">
      <c r="A2648" s="92">
        <v>45693</v>
      </c>
      <c r="B2648" s="92" t="str">
        <f t="shared" si="164"/>
        <v>Wednesday</v>
      </c>
      <c r="C2648" s="93" t="s">
        <v>1381</v>
      </c>
      <c r="D2648" s="93" t="s">
        <v>1191</v>
      </c>
      <c r="E2648" s="94">
        <v>35.76</v>
      </c>
      <c r="F2648" s="93" t="s">
        <v>41</v>
      </c>
      <c r="G2648" s="87">
        <f>Table1[[#This Row],[date]]</f>
        <v>45693</v>
      </c>
      <c r="H2648" s="94">
        <f>SUMIF($A$2:A6283,G2648,$E$2:E6283)</f>
        <v>584.88</v>
      </c>
      <c r="I2648" s="93" t="str">
        <f t="shared" si="165"/>
        <v>Wednesday</v>
      </c>
      <c r="J2648" s="93" t="str">
        <f t="shared" si="166"/>
        <v>February</v>
      </c>
      <c r="K2648" s="93" t="str">
        <f t="shared" si="167"/>
        <v>2025</v>
      </c>
      <c r="L2648" s="6"/>
      <c r="M2648" s="6"/>
      <c r="N2648" s="6"/>
    </row>
    <row r="2649" spans="1:14" x14ac:dyDescent="0.3">
      <c r="A2649" s="87">
        <v>45693</v>
      </c>
      <c r="B2649" s="87" t="str">
        <f t="shared" si="164"/>
        <v>Wednesday</v>
      </c>
      <c r="C2649" s="88" t="s">
        <v>1381</v>
      </c>
      <c r="D2649" s="88" t="s">
        <v>1192</v>
      </c>
      <c r="E2649" s="89">
        <v>35.76</v>
      </c>
      <c r="F2649" s="88" t="s">
        <v>16</v>
      </c>
      <c r="G2649" s="87">
        <f>Table1[[#This Row],[date]]</f>
        <v>45693</v>
      </c>
      <c r="H2649" s="94">
        <f>SUMIF($A$2:A6284,G2649,$E$2:E6284)</f>
        <v>584.88</v>
      </c>
      <c r="I2649" s="93" t="str">
        <f t="shared" si="165"/>
        <v>Wednesday</v>
      </c>
      <c r="J2649" s="93" t="str">
        <f t="shared" si="166"/>
        <v>February</v>
      </c>
      <c r="K2649" s="93" t="str">
        <f t="shared" si="167"/>
        <v>2025</v>
      </c>
      <c r="L2649" s="6"/>
      <c r="M2649" s="6"/>
      <c r="N2649" s="6"/>
    </row>
    <row r="2650" spans="1:14" x14ac:dyDescent="0.3">
      <c r="A2650" s="92">
        <v>45693</v>
      </c>
      <c r="B2650" s="92" t="str">
        <f t="shared" si="164"/>
        <v>Wednesday</v>
      </c>
      <c r="C2650" s="93" t="s">
        <v>1381</v>
      </c>
      <c r="D2650" s="93" t="s">
        <v>1169</v>
      </c>
      <c r="E2650" s="94">
        <v>30.86</v>
      </c>
      <c r="F2650" s="93" t="s">
        <v>12</v>
      </c>
      <c r="G2650" s="87">
        <f>Table1[[#This Row],[date]]</f>
        <v>45693</v>
      </c>
      <c r="H2650" s="94">
        <f>SUMIF($A$2:A6285,G2650,$E$2:E6285)</f>
        <v>584.88</v>
      </c>
      <c r="I2650" s="93" t="str">
        <f t="shared" si="165"/>
        <v>Wednesday</v>
      </c>
      <c r="J2650" s="93" t="str">
        <f t="shared" si="166"/>
        <v>February</v>
      </c>
      <c r="K2650" s="93" t="str">
        <f t="shared" si="167"/>
        <v>2025</v>
      </c>
      <c r="L2650" s="6"/>
      <c r="M2650" s="6"/>
      <c r="N2650" s="6"/>
    </row>
    <row r="2651" spans="1:14" x14ac:dyDescent="0.3">
      <c r="A2651" s="87">
        <v>45693</v>
      </c>
      <c r="B2651" s="87" t="str">
        <f t="shared" si="164"/>
        <v>Wednesday</v>
      </c>
      <c r="C2651" s="88" t="s">
        <v>1381</v>
      </c>
      <c r="D2651" s="88" t="s">
        <v>1193</v>
      </c>
      <c r="E2651" s="89">
        <v>35.76</v>
      </c>
      <c r="F2651" s="88" t="s">
        <v>41</v>
      </c>
      <c r="G2651" s="87">
        <f>Table1[[#This Row],[date]]</f>
        <v>45693</v>
      </c>
      <c r="H2651" s="94">
        <f>SUMIF($A$2:A6286,G2651,$E$2:E6286)</f>
        <v>584.88</v>
      </c>
      <c r="I2651" s="93" t="str">
        <f t="shared" si="165"/>
        <v>Wednesday</v>
      </c>
      <c r="J2651" s="93" t="str">
        <f t="shared" si="166"/>
        <v>February</v>
      </c>
      <c r="K2651" s="93" t="str">
        <f t="shared" si="167"/>
        <v>2025</v>
      </c>
      <c r="L2651" s="6"/>
      <c r="M2651" s="6"/>
      <c r="N2651" s="6"/>
    </row>
    <row r="2652" spans="1:14" x14ac:dyDescent="0.3">
      <c r="A2652" s="92">
        <v>45693</v>
      </c>
      <c r="B2652" s="92" t="str">
        <f t="shared" si="164"/>
        <v>Wednesday</v>
      </c>
      <c r="C2652" s="93" t="s">
        <v>1381</v>
      </c>
      <c r="D2652" s="93" t="s">
        <v>519</v>
      </c>
      <c r="E2652" s="94">
        <v>35.76</v>
      </c>
      <c r="F2652" s="93" t="s">
        <v>7</v>
      </c>
      <c r="G2652" s="87">
        <f>Table1[[#This Row],[date]]</f>
        <v>45693</v>
      </c>
      <c r="H2652" s="94">
        <f>SUMIF($A$2:A6287,G2652,$E$2:E6287)</f>
        <v>584.88</v>
      </c>
      <c r="I2652" s="93" t="str">
        <f t="shared" si="165"/>
        <v>Wednesday</v>
      </c>
      <c r="J2652" s="93" t="str">
        <f t="shared" si="166"/>
        <v>February</v>
      </c>
      <c r="K2652" s="93" t="str">
        <f t="shared" si="167"/>
        <v>2025</v>
      </c>
      <c r="L2652" s="6"/>
      <c r="M2652" s="6"/>
      <c r="N2652" s="6"/>
    </row>
    <row r="2653" spans="1:14" x14ac:dyDescent="0.3">
      <c r="A2653" s="87">
        <v>45693</v>
      </c>
      <c r="B2653" s="87" t="str">
        <f t="shared" si="164"/>
        <v>Wednesday</v>
      </c>
      <c r="C2653" s="88" t="s">
        <v>1381</v>
      </c>
      <c r="D2653" s="88" t="s">
        <v>1194</v>
      </c>
      <c r="E2653" s="89">
        <v>35.76</v>
      </c>
      <c r="F2653" s="88" t="s">
        <v>16</v>
      </c>
      <c r="G2653" s="87">
        <f>Table1[[#This Row],[date]]</f>
        <v>45693</v>
      </c>
      <c r="H2653" s="94">
        <f>SUMIF($A$2:A6288,G2653,$E$2:E6288)</f>
        <v>584.88</v>
      </c>
      <c r="I2653" s="93" t="str">
        <f t="shared" si="165"/>
        <v>Wednesday</v>
      </c>
      <c r="J2653" s="93" t="str">
        <f t="shared" si="166"/>
        <v>February</v>
      </c>
      <c r="K2653" s="93" t="str">
        <f t="shared" si="167"/>
        <v>2025</v>
      </c>
      <c r="L2653" s="6"/>
      <c r="M2653" s="6"/>
      <c r="N2653" s="6"/>
    </row>
    <row r="2654" spans="1:14" x14ac:dyDescent="0.3">
      <c r="A2654" s="92">
        <v>45694</v>
      </c>
      <c r="B2654" s="92" t="str">
        <f t="shared" si="164"/>
        <v>Thursday</v>
      </c>
      <c r="C2654" s="93" t="s">
        <v>1381</v>
      </c>
      <c r="D2654" s="93" t="s">
        <v>1175</v>
      </c>
      <c r="E2654" s="94">
        <v>30.86</v>
      </c>
      <c r="F2654" s="93" t="s">
        <v>12</v>
      </c>
      <c r="G2654" s="87">
        <f>Table1[[#This Row],[date]]</f>
        <v>45694</v>
      </c>
      <c r="H2654" s="94">
        <f>SUMIF($A$2:A6289,G2654,$E$2:E6289)</f>
        <v>359.05999999999995</v>
      </c>
      <c r="I2654" s="93" t="str">
        <f t="shared" si="165"/>
        <v>Thursday</v>
      </c>
      <c r="J2654" s="93" t="str">
        <f t="shared" si="166"/>
        <v>February</v>
      </c>
      <c r="K2654" s="93" t="str">
        <f t="shared" si="167"/>
        <v>2025</v>
      </c>
      <c r="L2654" s="6"/>
      <c r="M2654" s="6"/>
      <c r="N2654" s="6"/>
    </row>
    <row r="2655" spans="1:14" x14ac:dyDescent="0.3">
      <c r="A2655" s="87">
        <v>45694</v>
      </c>
      <c r="B2655" s="87" t="str">
        <f t="shared" si="164"/>
        <v>Thursday</v>
      </c>
      <c r="C2655" s="88" t="s">
        <v>1381</v>
      </c>
      <c r="D2655" s="88" t="s">
        <v>1183</v>
      </c>
      <c r="E2655" s="89">
        <v>25.96</v>
      </c>
      <c r="F2655" s="88" t="s">
        <v>9</v>
      </c>
      <c r="G2655" s="87">
        <f>Table1[[#This Row],[date]]</f>
        <v>45694</v>
      </c>
      <c r="H2655" s="94">
        <f>SUMIF($A$2:A6290,G2655,$E$2:E6290)</f>
        <v>359.05999999999995</v>
      </c>
      <c r="I2655" s="93" t="str">
        <f t="shared" si="165"/>
        <v>Thursday</v>
      </c>
      <c r="J2655" s="93" t="str">
        <f t="shared" si="166"/>
        <v>February</v>
      </c>
      <c r="K2655" s="93" t="str">
        <f t="shared" si="167"/>
        <v>2025</v>
      </c>
      <c r="L2655" s="6"/>
      <c r="M2655" s="6"/>
      <c r="N2655" s="6"/>
    </row>
    <row r="2656" spans="1:14" x14ac:dyDescent="0.3">
      <c r="A2656" s="92">
        <v>45694</v>
      </c>
      <c r="B2656" s="92" t="str">
        <f t="shared" si="164"/>
        <v>Thursday</v>
      </c>
      <c r="C2656" s="93" t="s">
        <v>1381</v>
      </c>
      <c r="D2656" s="93" t="s">
        <v>1174</v>
      </c>
      <c r="E2656" s="94">
        <v>30.86</v>
      </c>
      <c r="F2656" s="93" t="s">
        <v>12</v>
      </c>
      <c r="G2656" s="87">
        <f>Table1[[#This Row],[date]]</f>
        <v>45694</v>
      </c>
      <c r="H2656" s="94">
        <f>SUMIF($A$2:A6291,G2656,$E$2:E6291)</f>
        <v>359.05999999999995</v>
      </c>
      <c r="I2656" s="93" t="str">
        <f t="shared" si="165"/>
        <v>Thursday</v>
      </c>
      <c r="J2656" s="93" t="str">
        <f t="shared" si="166"/>
        <v>February</v>
      </c>
      <c r="K2656" s="93" t="str">
        <f t="shared" si="167"/>
        <v>2025</v>
      </c>
      <c r="L2656" s="6"/>
      <c r="M2656" s="6"/>
      <c r="N2656" s="6"/>
    </row>
    <row r="2657" spans="1:14" x14ac:dyDescent="0.3">
      <c r="A2657" s="87">
        <v>45694</v>
      </c>
      <c r="B2657" s="87" t="str">
        <f t="shared" si="164"/>
        <v>Thursday</v>
      </c>
      <c r="C2657" s="88" t="s">
        <v>1381</v>
      </c>
      <c r="D2657" s="88" t="s">
        <v>1170</v>
      </c>
      <c r="E2657" s="89">
        <v>35.76</v>
      </c>
      <c r="F2657" s="88" t="s">
        <v>41</v>
      </c>
      <c r="G2657" s="87">
        <f>Table1[[#This Row],[date]]</f>
        <v>45694</v>
      </c>
      <c r="H2657" s="94">
        <f>SUMIF($A$2:A6292,G2657,$E$2:E6292)</f>
        <v>359.05999999999995</v>
      </c>
      <c r="I2657" s="93" t="str">
        <f t="shared" si="165"/>
        <v>Thursday</v>
      </c>
      <c r="J2657" s="93" t="str">
        <f t="shared" si="166"/>
        <v>February</v>
      </c>
      <c r="K2657" s="93" t="str">
        <f t="shared" si="167"/>
        <v>2025</v>
      </c>
      <c r="L2657" s="6"/>
      <c r="M2657" s="6"/>
      <c r="N2657" s="6"/>
    </row>
    <row r="2658" spans="1:14" x14ac:dyDescent="0.3">
      <c r="A2658" s="92">
        <v>45694</v>
      </c>
      <c r="B2658" s="92" t="str">
        <f t="shared" si="164"/>
        <v>Thursday</v>
      </c>
      <c r="C2658" s="93" t="s">
        <v>1381</v>
      </c>
      <c r="D2658" s="93" t="s">
        <v>1175</v>
      </c>
      <c r="E2658" s="94">
        <v>35.76</v>
      </c>
      <c r="F2658" s="93" t="s">
        <v>16</v>
      </c>
      <c r="G2658" s="87">
        <f>Table1[[#This Row],[date]]</f>
        <v>45694</v>
      </c>
      <c r="H2658" s="94">
        <f>SUMIF($A$2:A6293,G2658,$E$2:E6293)</f>
        <v>359.05999999999995</v>
      </c>
      <c r="I2658" s="93" t="str">
        <f t="shared" si="165"/>
        <v>Thursday</v>
      </c>
      <c r="J2658" s="93" t="str">
        <f t="shared" si="166"/>
        <v>February</v>
      </c>
      <c r="K2658" s="93" t="str">
        <f t="shared" si="167"/>
        <v>2025</v>
      </c>
      <c r="L2658" s="6"/>
      <c r="M2658" s="6"/>
      <c r="N2658" s="6"/>
    </row>
    <row r="2659" spans="1:14" x14ac:dyDescent="0.3">
      <c r="A2659" s="87">
        <v>45694</v>
      </c>
      <c r="B2659" s="87" t="str">
        <f t="shared" si="164"/>
        <v>Thursday</v>
      </c>
      <c r="C2659" s="88" t="s">
        <v>1381</v>
      </c>
      <c r="D2659" s="88" t="s">
        <v>1182</v>
      </c>
      <c r="E2659" s="89">
        <v>35.76</v>
      </c>
      <c r="F2659" s="88" t="s">
        <v>16</v>
      </c>
      <c r="G2659" s="87">
        <f>Table1[[#This Row],[date]]</f>
        <v>45694</v>
      </c>
      <c r="H2659" s="94">
        <f>SUMIF($A$2:A6294,G2659,$E$2:E6294)</f>
        <v>359.05999999999995</v>
      </c>
      <c r="I2659" s="93" t="str">
        <f t="shared" si="165"/>
        <v>Thursday</v>
      </c>
      <c r="J2659" s="93" t="str">
        <f t="shared" si="166"/>
        <v>February</v>
      </c>
      <c r="K2659" s="93" t="str">
        <f t="shared" si="167"/>
        <v>2025</v>
      </c>
      <c r="L2659" s="6"/>
      <c r="M2659" s="6"/>
      <c r="N2659" s="6"/>
    </row>
    <row r="2660" spans="1:14" x14ac:dyDescent="0.3">
      <c r="A2660" s="92">
        <v>45694</v>
      </c>
      <c r="B2660" s="92" t="str">
        <f t="shared" si="164"/>
        <v>Thursday</v>
      </c>
      <c r="C2660" s="93" t="s">
        <v>1381</v>
      </c>
      <c r="D2660" s="93" t="s">
        <v>1195</v>
      </c>
      <c r="E2660" s="94">
        <v>35.76</v>
      </c>
      <c r="F2660" s="93" t="s">
        <v>16</v>
      </c>
      <c r="G2660" s="87">
        <f>Table1[[#This Row],[date]]</f>
        <v>45694</v>
      </c>
      <c r="H2660" s="94">
        <f>SUMIF($A$2:A6295,G2660,$E$2:E6295)</f>
        <v>359.05999999999995</v>
      </c>
      <c r="I2660" s="93" t="str">
        <f t="shared" si="165"/>
        <v>Thursday</v>
      </c>
      <c r="J2660" s="93" t="str">
        <f t="shared" si="166"/>
        <v>February</v>
      </c>
      <c r="K2660" s="93" t="str">
        <f t="shared" si="167"/>
        <v>2025</v>
      </c>
      <c r="L2660" s="6"/>
      <c r="M2660" s="6"/>
      <c r="N2660" s="6"/>
    </row>
    <row r="2661" spans="1:14" x14ac:dyDescent="0.3">
      <c r="A2661" s="92">
        <v>45694</v>
      </c>
      <c r="B2661" s="92" t="str">
        <f t="shared" si="164"/>
        <v>Thursday</v>
      </c>
      <c r="C2661" s="93" t="s">
        <v>1381</v>
      </c>
      <c r="D2661" s="93" t="s">
        <v>1196</v>
      </c>
      <c r="E2661" s="94">
        <v>21.06</v>
      </c>
      <c r="F2661" s="93" t="s">
        <v>33</v>
      </c>
      <c r="G2661" s="87">
        <f>Table1[[#This Row],[date]]</f>
        <v>45694</v>
      </c>
      <c r="H2661" s="94">
        <f>SUMIF($A$2:A6296,G2661,$E$2:E6296)</f>
        <v>359.05999999999995</v>
      </c>
      <c r="I2661" s="93" t="str">
        <f t="shared" si="165"/>
        <v>Thursday</v>
      </c>
      <c r="J2661" s="93" t="str">
        <f t="shared" si="166"/>
        <v>February</v>
      </c>
      <c r="K2661" s="93" t="str">
        <f t="shared" si="167"/>
        <v>2025</v>
      </c>
      <c r="L2661" s="6"/>
      <c r="M2661" s="6"/>
      <c r="N2661" s="6"/>
    </row>
    <row r="2662" spans="1:14" x14ac:dyDescent="0.3">
      <c r="A2662" s="87">
        <v>45694</v>
      </c>
      <c r="B2662" s="87" t="str">
        <f t="shared" si="164"/>
        <v>Thursday</v>
      </c>
      <c r="C2662" s="88" t="s">
        <v>1381</v>
      </c>
      <c r="D2662" s="88" t="s">
        <v>1197</v>
      </c>
      <c r="E2662" s="89">
        <v>35.76</v>
      </c>
      <c r="F2662" s="88" t="s">
        <v>16</v>
      </c>
      <c r="G2662" s="87">
        <f>Table1[[#This Row],[date]]</f>
        <v>45694</v>
      </c>
      <c r="H2662" s="94">
        <f>SUMIF($A$2:A6297,G2662,$E$2:E6297)</f>
        <v>359.05999999999995</v>
      </c>
      <c r="I2662" s="93" t="str">
        <f t="shared" si="165"/>
        <v>Thursday</v>
      </c>
      <c r="J2662" s="93" t="str">
        <f t="shared" si="166"/>
        <v>February</v>
      </c>
      <c r="K2662" s="93" t="str">
        <f t="shared" si="167"/>
        <v>2025</v>
      </c>
      <c r="L2662" s="6"/>
      <c r="M2662" s="6"/>
      <c r="N2662" s="6"/>
    </row>
    <row r="2663" spans="1:14" x14ac:dyDescent="0.3">
      <c r="A2663" s="92">
        <v>45694</v>
      </c>
      <c r="B2663" s="92" t="str">
        <f t="shared" si="164"/>
        <v>Thursday</v>
      </c>
      <c r="C2663" s="93" t="s">
        <v>1381</v>
      </c>
      <c r="D2663" s="93" t="s">
        <v>1198</v>
      </c>
      <c r="E2663" s="94">
        <v>35.76</v>
      </c>
      <c r="F2663" s="93" t="s">
        <v>16</v>
      </c>
      <c r="G2663" s="87">
        <f>Table1[[#This Row],[date]]</f>
        <v>45694</v>
      </c>
      <c r="H2663" s="94">
        <f>SUMIF($A$2:A6298,G2663,$E$2:E6298)</f>
        <v>359.05999999999995</v>
      </c>
      <c r="I2663" s="93" t="str">
        <f t="shared" si="165"/>
        <v>Thursday</v>
      </c>
      <c r="J2663" s="93" t="str">
        <f t="shared" si="166"/>
        <v>February</v>
      </c>
      <c r="K2663" s="93" t="str">
        <f t="shared" si="167"/>
        <v>2025</v>
      </c>
      <c r="L2663" s="6"/>
      <c r="M2663" s="6"/>
      <c r="N2663" s="6"/>
    </row>
    <row r="2664" spans="1:14" x14ac:dyDescent="0.3">
      <c r="A2664" s="87">
        <v>45694</v>
      </c>
      <c r="B2664" s="87" t="str">
        <f t="shared" si="164"/>
        <v>Thursday</v>
      </c>
      <c r="C2664" s="88" t="s">
        <v>1381</v>
      </c>
      <c r="D2664" s="88" t="s">
        <v>1175</v>
      </c>
      <c r="E2664" s="89">
        <v>35.76</v>
      </c>
      <c r="F2664" s="88" t="s">
        <v>5</v>
      </c>
      <c r="G2664" s="87">
        <f>Table1[[#This Row],[date]]</f>
        <v>45694</v>
      </c>
      <c r="H2664" s="94">
        <f>SUMIF($A$2:A6299,G2664,$E$2:E6299)</f>
        <v>359.05999999999995</v>
      </c>
      <c r="I2664" s="93" t="str">
        <f t="shared" si="165"/>
        <v>Thursday</v>
      </c>
      <c r="J2664" s="93" t="str">
        <f t="shared" si="166"/>
        <v>February</v>
      </c>
      <c r="K2664" s="93" t="str">
        <f t="shared" si="167"/>
        <v>2025</v>
      </c>
      <c r="L2664" s="6"/>
      <c r="M2664" s="6"/>
      <c r="N2664" s="6"/>
    </row>
    <row r="2665" spans="1:14" x14ac:dyDescent="0.3">
      <c r="A2665" s="92">
        <v>45695</v>
      </c>
      <c r="B2665" s="92" t="str">
        <f t="shared" si="164"/>
        <v>Friday</v>
      </c>
      <c r="C2665" s="93" t="s">
        <v>1381</v>
      </c>
      <c r="D2665" s="93" t="s">
        <v>1164</v>
      </c>
      <c r="E2665" s="94">
        <v>30.86</v>
      </c>
      <c r="F2665" s="93" t="s">
        <v>12</v>
      </c>
      <c r="G2665" s="87">
        <f>Table1[[#This Row],[date]]</f>
        <v>45695</v>
      </c>
      <c r="H2665" s="94">
        <f>SUMIF($A$2:A6300,G2665,$E$2:E6300)</f>
        <v>508.45999999999992</v>
      </c>
      <c r="I2665" s="93" t="str">
        <f t="shared" si="165"/>
        <v>Friday</v>
      </c>
      <c r="J2665" s="93" t="str">
        <f t="shared" si="166"/>
        <v>February</v>
      </c>
      <c r="K2665" s="93" t="str">
        <f t="shared" si="167"/>
        <v>2025</v>
      </c>
      <c r="L2665" s="6"/>
      <c r="M2665" s="6"/>
      <c r="N2665" s="6"/>
    </row>
    <row r="2666" spans="1:14" x14ac:dyDescent="0.3">
      <c r="A2666" s="87">
        <v>45695</v>
      </c>
      <c r="B2666" s="87" t="str">
        <f t="shared" si="164"/>
        <v>Friday</v>
      </c>
      <c r="C2666" s="88" t="s">
        <v>1381</v>
      </c>
      <c r="D2666" s="88" t="s">
        <v>1199</v>
      </c>
      <c r="E2666" s="89">
        <v>30.86</v>
      </c>
      <c r="F2666" s="88" t="s">
        <v>12</v>
      </c>
      <c r="G2666" s="87">
        <f>Table1[[#This Row],[date]]</f>
        <v>45695</v>
      </c>
      <c r="H2666" s="94">
        <f>SUMIF($A$2:A6301,G2666,$E$2:E6301)</f>
        <v>508.45999999999992</v>
      </c>
      <c r="I2666" s="93" t="str">
        <f t="shared" si="165"/>
        <v>Friday</v>
      </c>
      <c r="J2666" s="93" t="str">
        <f t="shared" si="166"/>
        <v>February</v>
      </c>
      <c r="K2666" s="93" t="str">
        <f t="shared" si="167"/>
        <v>2025</v>
      </c>
      <c r="L2666" s="6"/>
      <c r="M2666" s="6"/>
      <c r="N2666" s="6"/>
    </row>
    <row r="2667" spans="1:14" x14ac:dyDescent="0.3">
      <c r="A2667" s="92">
        <v>45695</v>
      </c>
      <c r="B2667" s="92" t="str">
        <f t="shared" si="164"/>
        <v>Friday</v>
      </c>
      <c r="C2667" s="93" t="s">
        <v>1381</v>
      </c>
      <c r="D2667" s="93" t="s">
        <v>1200</v>
      </c>
      <c r="E2667" s="94">
        <v>25.96</v>
      </c>
      <c r="F2667" s="93" t="s">
        <v>9</v>
      </c>
      <c r="G2667" s="87">
        <f>Table1[[#This Row],[date]]</f>
        <v>45695</v>
      </c>
      <c r="H2667" s="94">
        <f>SUMIF($A$2:A6302,G2667,$E$2:E6302)</f>
        <v>508.45999999999992</v>
      </c>
      <c r="I2667" s="93" t="str">
        <f t="shared" si="165"/>
        <v>Friday</v>
      </c>
      <c r="J2667" s="93" t="str">
        <f t="shared" si="166"/>
        <v>February</v>
      </c>
      <c r="K2667" s="93" t="str">
        <f t="shared" si="167"/>
        <v>2025</v>
      </c>
      <c r="L2667" s="6"/>
      <c r="M2667" s="6"/>
      <c r="N2667" s="6"/>
    </row>
    <row r="2668" spans="1:14" x14ac:dyDescent="0.3">
      <c r="A2668" s="87">
        <v>45695</v>
      </c>
      <c r="B2668" s="87" t="str">
        <f t="shared" si="164"/>
        <v>Friday</v>
      </c>
      <c r="C2668" s="88" t="s">
        <v>1381</v>
      </c>
      <c r="D2668" s="88" t="s">
        <v>1201</v>
      </c>
      <c r="E2668" s="89">
        <v>35.76</v>
      </c>
      <c r="F2668" s="88" t="s">
        <v>16</v>
      </c>
      <c r="G2668" s="87">
        <f>Table1[[#This Row],[date]]</f>
        <v>45695</v>
      </c>
      <c r="H2668" s="94">
        <f>SUMIF($A$2:A6303,G2668,$E$2:E6303)</f>
        <v>508.45999999999992</v>
      </c>
      <c r="I2668" s="93" t="str">
        <f t="shared" si="165"/>
        <v>Friday</v>
      </c>
      <c r="J2668" s="93" t="str">
        <f t="shared" si="166"/>
        <v>February</v>
      </c>
      <c r="K2668" s="93" t="str">
        <f t="shared" si="167"/>
        <v>2025</v>
      </c>
      <c r="L2668" s="6"/>
      <c r="M2668" s="6"/>
      <c r="N2668" s="6"/>
    </row>
    <row r="2669" spans="1:14" x14ac:dyDescent="0.3">
      <c r="A2669" s="92">
        <v>45695</v>
      </c>
      <c r="B2669" s="92" t="str">
        <f t="shared" si="164"/>
        <v>Friday</v>
      </c>
      <c r="C2669" s="93" t="s">
        <v>1381</v>
      </c>
      <c r="D2669" s="93" t="s">
        <v>1175</v>
      </c>
      <c r="E2669" s="94">
        <v>30.86</v>
      </c>
      <c r="F2669" s="93" t="s">
        <v>12</v>
      </c>
      <c r="G2669" s="87">
        <f>Table1[[#This Row],[date]]</f>
        <v>45695</v>
      </c>
      <c r="H2669" s="94">
        <f>SUMIF($A$2:A6304,G2669,$E$2:E6304)</f>
        <v>508.45999999999992</v>
      </c>
      <c r="I2669" s="93" t="str">
        <f t="shared" si="165"/>
        <v>Friday</v>
      </c>
      <c r="J2669" s="93" t="str">
        <f t="shared" si="166"/>
        <v>February</v>
      </c>
      <c r="K2669" s="93" t="str">
        <f t="shared" si="167"/>
        <v>2025</v>
      </c>
      <c r="L2669" s="6"/>
      <c r="M2669" s="6"/>
      <c r="N2669" s="6"/>
    </row>
    <row r="2670" spans="1:14" x14ac:dyDescent="0.3">
      <c r="A2670" s="87">
        <v>45695</v>
      </c>
      <c r="B2670" s="87" t="str">
        <f t="shared" si="164"/>
        <v>Friday</v>
      </c>
      <c r="C2670" s="88" t="s">
        <v>1381</v>
      </c>
      <c r="D2670" s="88" t="s">
        <v>1202</v>
      </c>
      <c r="E2670" s="89">
        <v>25.96</v>
      </c>
      <c r="F2670" s="88" t="s">
        <v>9</v>
      </c>
      <c r="G2670" s="87">
        <f>Table1[[#This Row],[date]]</f>
        <v>45695</v>
      </c>
      <c r="H2670" s="94">
        <f>SUMIF($A$2:A6305,G2670,$E$2:E6305)</f>
        <v>508.45999999999992</v>
      </c>
      <c r="I2670" s="93" t="str">
        <f t="shared" si="165"/>
        <v>Friday</v>
      </c>
      <c r="J2670" s="93" t="str">
        <f t="shared" si="166"/>
        <v>February</v>
      </c>
      <c r="K2670" s="93" t="str">
        <f t="shared" si="167"/>
        <v>2025</v>
      </c>
      <c r="L2670" s="6"/>
      <c r="M2670" s="6"/>
      <c r="N2670" s="6"/>
    </row>
    <row r="2671" spans="1:14" x14ac:dyDescent="0.3">
      <c r="A2671" s="92">
        <v>45695</v>
      </c>
      <c r="B2671" s="92" t="str">
        <f t="shared" si="164"/>
        <v>Friday</v>
      </c>
      <c r="C2671" s="93" t="s">
        <v>1381</v>
      </c>
      <c r="D2671" s="93" t="s">
        <v>1182</v>
      </c>
      <c r="E2671" s="94">
        <v>25.96</v>
      </c>
      <c r="F2671" s="93" t="s">
        <v>26</v>
      </c>
      <c r="G2671" s="87">
        <f>Table1[[#This Row],[date]]</f>
        <v>45695</v>
      </c>
      <c r="H2671" s="94">
        <f>SUMIF($A$2:A6306,G2671,$E$2:E6306)</f>
        <v>508.45999999999992</v>
      </c>
      <c r="I2671" s="93" t="str">
        <f t="shared" si="165"/>
        <v>Friday</v>
      </c>
      <c r="J2671" s="93" t="str">
        <f t="shared" si="166"/>
        <v>February</v>
      </c>
      <c r="K2671" s="93" t="str">
        <f t="shared" si="167"/>
        <v>2025</v>
      </c>
      <c r="L2671" s="6"/>
      <c r="M2671" s="6"/>
      <c r="N2671" s="6"/>
    </row>
    <row r="2672" spans="1:14" x14ac:dyDescent="0.3">
      <c r="A2672" s="87">
        <v>45695</v>
      </c>
      <c r="B2672" s="87" t="str">
        <f t="shared" si="164"/>
        <v>Friday</v>
      </c>
      <c r="C2672" s="88" t="s">
        <v>1381</v>
      </c>
      <c r="D2672" s="88" t="s">
        <v>1203</v>
      </c>
      <c r="E2672" s="89">
        <v>35.76</v>
      </c>
      <c r="F2672" s="88" t="s">
        <v>5</v>
      </c>
      <c r="G2672" s="87">
        <f>Table1[[#This Row],[date]]</f>
        <v>45695</v>
      </c>
      <c r="H2672" s="94">
        <f>SUMIF($A$2:A6307,G2672,$E$2:E6307)</f>
        <v>508.45999999999992</v>
      </c>
      <c r="I2672" s="93" t="str">
        <f t="shared" si="165"/>
        <v>Friday</v>
      </c>
      <c r="J2672" s="93" t="str">
        <f t="shared" si="166"/>
        <v>February</v>
      </c>
      <c r="K2672" s="93" t="str">
        <f t="shared" si="167"/>
        <v>2025</v>
      </c>
      <c r="L2672" s="6"/>
      <c r="M2672" s="6"/>
      <c r="N2672" s="6"/>
    </row>
    <row r="2673" spans="1:14" x14ac:dyDescent="0.3">
      <c r="A2673" s="92">
        <v>45695</v>
      </c>
      <c r="B2673" s="92" t="str">
        <f t="shared" si="164"/>
        <v>Friday</v>
      </c>
      <c r="C2673" s="93" t="s">
        <v>1381</v>
      </c>
      <c r="D2673" s="93" t="s">
        <v>1177</v>
      </c>
      <c r="E2673" s="94">
        <v>35.76</v>
      </c>
      <c r="F2673" s="93" t="s">
        <v>7</v>
      </c>
      <c r="G2673" s="87">
        <f>Table1[[#This Row],[date]]</f>
        <v>45695</v>
      </c>
      <c r="H2673" s="94">
        <f>SUMIF($A$2:A6308,G2673,$E$2:E6308)</f>
        <v>508.45999999999992</v>
      </c>
      <c r="I2673" s="93" t="str">
        <f t="shared" si="165"/>
        <v>Friday</v>
      </c>
      <c r="J2673" s="93" t="str">
        <f t="shared" si="166"/>
        <v>February</v>
      </c>
      <c r="K2673" s="93" t="str">
        <f t="shared" si="167"/>
        <v>2025</v>
      </c>
      <c r="L2673" s="6"/>
      <c r="M2673" s="6"/>
      <c r="N2673" s="6"/>
    </row>
    <row r="2674" spans="1:14" x14ac:dyDescent="0.3">
      <c r="A2674" s="87">
        <v>45695</v>
      </c>
      <c r="B2674" s="87" t="str">
        <f t="shared" si="164"/>
        <v>Friday</v>
      </c>
      <c r="C2674" s="88" t="s">
        <v>1381</v>
      </c>
      <c r="D2674" s="88" t="s">
        <v>1177</v>
      </c>
      <c r="E2674" s="89">
        <v>35.76</v>
      </c>
      <c r="F2674" s="88" t="s">
        <v>5</v>
      </c>
      <c r="G2674" s="87">
        <f>Table1[[#This Row],[date]]</f>
        <v>45695</v>
      </c>
      <c r="H2674" s="94">
        <f>SUMIF($A$2:A6309,G2674,$E$2:E6309)</f>
        <v>508.45999999999992</v>
      </c>
      <c r="I2674" s="93" t="str">
        <f t="shared" si="165"/>
        <v>Friday</v>
      </c>
      <c r="J2674" s="93" t="str">
        <f t="shared" si="166"/>
        <v>February</v>
      </c>
      <c r="K2674" s="93" t="str">
        <f t="shared" si="167"/>
        <v>2025</v>
      </c>
      <c r="L2674" s="6"/>
      <c r="M2674" s="6"/>
      <c r="N2674" s="6"/>
    </row>
    <row r="2675" spans="1:14" x14ac:dyDescent="0.3">
      <c r="A2675" s="92">
        <v>45695</v>
      </c>
      <c r="B2675" s="92" t="str">
        <f t="shared" si="164"/>
        <v>Friday</v>
      </c>
      <c r="C2675" s="93" t="s">
        <v>1381</v>
      </c>
      <c r="D2675" s="93" t="s">
        <v>1190</v>
      </c>
      <c r="E2675" s="94">
        <v>35.76</v>
      </c>
      <c r="F2675" s="93" t="s">
        <v>16</v>
      </c>
      <c r="G2675" s="87">
        <f>Table1[[#This Row],[date]]</f>
        <v>45695</v>
      </c>
      <c r="H2675" s="94">
        <f>SUMIF($A$2:A6310,G2675,$E$2:E6310)</f>
        <v>508.45999999999992</v>
      </c>
      <c r="I2675" s="93" t="str">
        <f t="shared" si="165"/>
        <v>Friday</v>
      </c>
      <c r="J2675" s="93" t="str">
        <f t="shared" si="166"/>
        <v>February</v>
      </c>
      <c r="K2675" s="93" t="str">
        <f t="shared" si="167"/>
        <v>2025</v>
      </c>
      <c r="L2675" s="6"/>
      <c r="M2675" s="6"/>
      <c r="N2675" s="6"/>
    </row>
    <row r="2676" spans="1:14" x14ac:dyDescent="0.3">
      <c r="A2676" s="87">
        <v>45695</v>
      </c>
      <c r="B2676" s="87" t="str">
        <f t="shared" si="164"/>
        <v>Friday</v>
      </c>
      <c r="C2676" s="88" t="s">
        <v>1381</v>
      </c>
      <c r="D2676" s="88" t="s">
        <v>1191</v>
      </c>
      <c r="E2676" s="89">
        <v>35.76</v>
      </c>
      <c r="F2676" s="88" t="s">
        <v>16</v>
      </c>
      <c r="G2676" s="87">
        <f>Table1[[#This Row],[date]]</f>
        <v>45695</v>
      </c>
      <c r="H2676" s="94">
        <f>SUMIF($A$2:A6311,G2676,$E$2:E6311)</f>
        <v>508.45999999999992</v>
      </c>
      <c r="I2676" s="93" t="str">
        <f t="shared" si="165"/>
        <v>Friday</v>
      </c>
      <c r="J2676" s="93" t="str">
        <f t="shared" si="166"/>
        <v>February</v>
      </c>
      <c r="K2676" s="93" t="str">
        <f t="shared" si="167"/>
        <v>2025</v>
      </c>
      <c r="L2676" s="6"/>
      <c r="M2676" s="6"/>
      <c r="N2676" s="6"/>
    </row>
    <row r="2677" spans="1:14" x14ac:dyDescent="0.3">
      <c r="A2677" s="92">
        <v>45695</v>
      </c>
      <c r="B2677" s="92" t="str">
        <f t="shared" si="164"/>
        <v>Friday</v>
      </c>
      <c r="C2677" s="93" t="s">
        <v>1381</v>
      </c>
      <c r="D2677" s="93" t="s">
        <v>1204</v>
      </c>
      <c r="E2677" s="94">
        <v>25.96</v>
      </c>
      <c r="F2677" s="93" t="s">
        <v>26</v>
      </c>
      <c r="G2677" s="87">
        <f>Table1[[#This Row],[date]]</f>
        <v>45695</v>
      </c>
      <c r="H2677" s="94">
        <f>SUMIF($A$2:A6312,G2677,$E$2:E6312)</f>
        <v>508.45999999999992</v>
      </c>
      <c r="I2677" s="93" t="str">
        <f t="shared" si="165"/>
        <v>Friday</v>
      </c>
      <c r="J2677" s="93" t="str">
        <f t="shared" si="166"/>
        <v>February</v>
      </c>
      <c r="K2677" s="93" t="str">
        <f t="shared" si="167"/>
        <v>2025</v>
      </c>
      <c r="L2677" s="6"/>
      <c r="M2677" s="6"/>
      <c r="N2677" s="6"/>
    </row>
    <row r="2678" spans="1:14" x14ac:dyDescent="0.3">
      <c r="A2678" s="87">
        <v>45695</v>
      </c>
      <c r="B2678" s="87" t="str">
        <f t="shared" si="164"/>
        <v>Friday</v>
      </c>
      <c r="C2678" s="88" t="s">
        <v>1381</v>
      </c>
      <c r="D2678" s="88" t="s">
        <v>1204</v>
      </c>
      <c r="E2678" s="89">
        <v>35.76</v>
      </c>
      <c r="F2678" s="88" t="s">
        <v>16</v>
      </c>
      <c r="G2678" s="87">
        <f>Table1[[#This Row],[date]]</f>
        <v>45695</v>
      </c>
      <c r="H2678" s="94">
        <f>SUMIF($A$2:A6313,G2678,$E$2:E6313)</f>
        <v>508.45999999999992</v>
      </c>
      <c r="I2678" s="93" t="str">
        <f t="shared" si="165"/>
        <v>Friday</v>
      </c>
      <c r="J2678" s="93" t="str">
        <f t="shared" si="166"/>
        <v>February</v>
      </c>
      <c r="K2678" s="93" t="str">
        <f t="shared" si="167"/>
        <v>2025</v>
      </c>
      <c r="L2678" s="6"/>
      <c r="M2678" s="6"/>
      <c r="N2678" s="6"/>
    </row>
    <row r="2679" spans="1:14" x14ac:dyDescent="0.3">
      <c r="A2679" s="92">
        <v>45695</v>
      </c>
      <c r="B2679" s="92" t="str">
        <f t="shared" si="164"/>
        <v>Friday</v>
      </c>
      <c r="C2679" s="93" t="s">
        <v>1381</v>
      </c>
      <c r="D2679" s="93" t="s">
        <v>1205</v>
      </c>
      <c r="E2679" s="94">
        <v>35.76</v>
      </c>
      <c r="F2679" s="93" t="s">
        <v>16</v>
      </c>
      <c r="G2679" s="87">
        <f>Table1[[#This Row],[date]]</f>
        <v>45695</v>
      </c>
      <c r="H2679" s="94">
        <f>SUMIF($A$2:A6314,G2679,$E$2:E6314)</f>
        <v>508.45999999999992</v>
      </c>
      <c r="I2679" s="93" t="str">
        <f t="shared" si="165"/>
        <v>Friday</v>
      </c>
      <c r="J2679" s="93" t="str">
        <f t="shared" si="166"/>
        <v>February</v>
      </c>
      <c r="K2679" s="93" t="str">
        <f t="shared" si="167"/>
        <v>2025</v>
      </c>
      <c r="L2679" s="6"/>
      <c r="M2679" s="6"/>
      <c r="N2679" s="6"/>
    </row>
    <row r="2680" spans="1:14" x14ac:dyDescent="0.3">
      <c r="A2680" s="87">
        <v>45695</v>
      </c>
      <c r="B2680" s="87" t="str">
        <f t="shared" si="164"/>
        <v>Friday</v>
      </c>
      <c r="C2680" s="88" t="s">
        <v>1381</v>
      </c>
      <c r="D2680" s="88" t="s">
        <v>1173</v>
      </c>
      <c r="E2680" s="89">
        <v>25.96</v>
      </c>
      <c r="F2680" s="88" t="s">
        <v>26</v>
      </c>
      <c r="G2680" s="87">
        <f>Table1[[#This Row],[date]]</f>
        <v>45695</v>
      </c>
      <c r="H2680" s="94">
        <f>SUMIF($A$2:A6315,G2680,$E$2:E6315)</f>
        <v>508.45999999999992</v>
      </c>
      <c r="I2680" s="93" t="str">
        <f t="shared" si="165"/>
        <v>Friday</v>
      </c>
      <c r="J2680" s="93" t="str">
        <f t="shared" si="166"/>
        <v>February</v>
      </c>
      <c r="K2680" s="93" t="str">
        <f t="shared" si="167"/>
        <v>2025</v>
      </c>
      <c r="L2680" s="6"/>
      <c r="M2680" s="6"/>
      <c r="N2680" s="6"/>
    </row>
    <row r="2681" spans="1:14" x14ac:dyDescent="0.3">
      <c r="A2681" s="92">
        <v>45696</v>
      </c>
      <c r="B2681" s="92" t="str">
        <f t="shared" si="164"/>
        <v>Saturday</v>
      </c>
      <c r="C2681" s="93" t="s">
        <v>1381</v>
      </c>
      <c r="D2681" s="93" t="s">
        <v>1175</v>
      </c>
      <c r="E2681" s="94">
        <v>25.96</v>
      </c>
      <c r="F2681" s="93" t="s">
        <v>9</v>
      </c>
      <c r="G2681" s="87">
        <f>Table1[[#This Row],[date]]</f>
        <v>45696</v>
      </c>
      <c r="H2681" s="94">
        <f>SUMIF($A$2:A6316,G2681,$E$2:E6316)</f>
        <v>186.62000000000003</v>
      </c>
      <c r="I2681" s="93" t="str">
        <f t="shared" si="165"/>
        <v>Saturday</v>
      </c>
      <c r="J2681" s="93" t="str">
        <f t="shared" si="166"/>
        <v>February</v>
      </c>
      <c r="K2681" s="93" t="str">
        <f t="shared" si="167"/>
        <v>2025</v>
      </c>
      <c r="L2681" s="6"/>
      <c r="M2681" s="6"/>
      <c r="N2681" s="6"/>
    </row>
    <row r="2682" spans="1:14" x14ac:dyDescent="0.3">
      <c r="A2682" s="87">
        <v>45696</v>
      </c>
      <c r="B2682" s="87" t="str">
        <f t="shared" si="164"/>
        <v>Saturday</v>
      </c>
      <c r="C2682" s="88" t="s">
        <v>1381</v>
      </c>
      <c r="D2682" s="88" t="s">
        <v>1165</v>
      </c>
      <c r="E2682" s="89">
        <v>30.86</v>
      </c>
      <c r="F2682" s="88" t="s">
        <v>12</v>
      </c>
      <c r="G2682" s="87">
        <f>Table1[[#This Row],[date]]</f>
        <v>45696</v>
      </c>
      <c r="H2682" s="94">
        <f>SUMIF($A$2:A6317,G2682,$E$2:E6317)</f>
        <v>186.62000000000003</v>
      </c>
      <c r="I2682" s="93" t="str">
        <f t="shared" si="165"/>
        <v>Saturday</v>
      </c>
      <c r="J2682" s="93" t="str">
        <f t="shared" si="166"/>
        <v>February</v>
      </c>
      <c r="K2682" s="93" t="str">
        <f t="shared" si="167"/>
        <v>2025</v>
      </c>
      <c r="L2682" s="6"/>
      <c r="M2682" s="6"/>
      <c r="N2682" s="6"/>
    </row>
    <row r="2683" spans="1:14" x14ac:dyDescent="0.3">
      <c r="A2683" s="92">
        <v>45696</v>
      </c>
      <c r="B2683" s="92" t="str">
        <f t="shared" si="164"/>
        <v>Saturday</v>
      </c>
      <c r="C2683" s="93" t="s">
        <v>1381</v>
      </c>
      <c r="D2683" s="93" t="s">
        <v>1206</v>
      </c>
      <c r="E2683" s="94">
        <v>25.96</v>
      </c>
      <c r="F2683" s="93" t="s">
        <v>26</v>
      </c>
      <c r="G2683" s="87">
        <f>Table1[[#This Row],[date]]</f>
        <v>45696</v>
      </c>
      <c r="H2683" s="94">
        <f>SUMIF($A$2:A6318,G2683,$E$2:E6318)</f>
        <v>186.62000000000003</v>
      </c>
      <c r="I2683" s="93" t="str">
        <f t="shared" si="165"/>
        <v>Saturday</v>
      </c>
      <c r="J2683" s="93" t="str">
        <f t="shared" si="166"/>
        <v>February</v>
      </c>
      <c r="K2683" s="93" t="str">
        <f t="shared" si="167"/>
        <v>2025</v>
      </c>
      <c r="L2683" s="6"/>
      <c r="M2683" s="6"/>
      <c r="N2683" s="6"/>
    </row>
    <row r="2684" spans="1:14" x14ac:dyDescent="0.3">
      <c r="A2684" s="87">
        <v>45696</v>
      </c>
      <c r="B2684" s="87" t="str">
        <f t="shared" si="164"/>
        <v>Saturday</v>
      </c>
      <c r="C2684" s="88" t="s">
        <v>1381</v>
      </c>
      <c r="D2684" s="88" t="s">
        <v>1207</v>
      </c>
      <c r="E2684" s="89">
        <v>25.96</v>
      </c>
      <c r="F2684" s="88" t="s">
        <v>9</v>
      </c>
      <c r="G2684" s="87">
        <f>Table1[[#This Row],[date]]</f>
        <v>45696</v>
      </c>
      <c r="H2684" s="94">
        <f>SUMIF($A$2:A6319,G2684,$E$2:E6319)</f>
        <v>186.62000000000003</v>
      </c>
      <c r="I2684" s="93" t="str">
        <f t="shared" si="165"/>
        <v>Saturday</v>
      </c>
      <c r="J2684" s="93" t="str">
        <f t="shared" si="166"/>
        <v>February</v>
      </c>
      <c r="K2684" s="93" t="str">
        <f t="shared" si="167"/>
        <v>2025</v>
      </c>
      <c r="L2684" s="6"/>
      <c r="M2684" s="6"/>
      <c r="N2684" s="6"/>
    </row>
    <row r="2685" spans="1:14" x14ac:dyDescent="0.3">
      <c r="A2685" s="92">
        <v>45696</v>
      </c>
      <c r="B2685" s="92" t="str">
        <f t="shared" si="164"/>
        <v>Saturday</v>
      </c>
      <c r="C2685" s="93" t="s">
        <v>1381</v>
      </c>
      <c r="D2685" s="93" t="s">
        <v>1179</v>
      </c>
      <c r="E2685" s="94">
        <v>25.96</v>
      </c>
      <c r="F2685" s="93" t="s">
        <v>9</v>
      </c>
      <c r="G2685" s="87">
        <f>Table1[[#This Row],[date]]</f>
        <v>45696</v>
      </c>
      <c r="H2685" s="94">
        <f>SUMIF($A$2:A6320,G2685,$E$2:E6320)</f>
        <v>186.62000000000003</v>
      </c>
      <c r="I2685" s="93" t="str">
        <f t="shared" si="165"/>
        <v>Saturday</v>
      </c>
      <c r="J2685" s="93" t="str">
        <f t="shared" si="166"/>
        <v>February</v>
      </c>
      <c r="K2685" s="93" t="str">
        <f t="shared" si="167"/>
        <v>2025</v>
      </c>
      <c r="L2685" s="6"/>
      <c r="M2685" s="6"/>
      <c r="N2685" s="6"/>
    </row>
    <row r="2686" spans="1:14" x14ac:dyDescent="0.3">
      <c r="A2686" s="87">
        <v>45696</v>
      </c>
      <c r="B2686" s="87" t="str">
        <f t="shared" si="164"/>
        <v>Saturday</v>
      </c>
      <c r="C2686" s="88" t="s">
        <v>1381</v>
      </c>
      <c r="D2686" s="88" t="s">
        <v>1182</v>
      </c>
      <c r="E2686" s="89">
        <v>25.96</v>
      </c>
      <c r="F2686" s="88" t="s">
        <v>9</v>
      </c>
      <c r="G2686" s="87">
        <f>Table1[[#This Row],[date]]</f>
        <v>45696</v>
      </c>
      <c r="H2686" s="94">
        <f>SUMIF($A$2:A6321,G2686,$E$2:E6321)</f>
        <v>186.62000000000003</v>
      </c>
      <c r="I2686" s="93" t="str">
        <f t="shared" si="165"/>
        <v>Saturday</v>
      </c>
      <c r="J2686" s="93" t="str">
        <f t="shared" si="166"/>
        <v>February</v>
      </c>
      <c r="K2686" s="93" t="str">
        <f t="shared" si="167"/>
        <v>2025</v>
      </c>
      <c r="L2686" s="6"/>
      <c r="M2686" s="6"/>
      <c r="N2686" s="6"/>
    </row>
    <row r="2687" spans="1:14" x14ac:dyDescent="0.3">
      <c r="A2687" s="92">
        <v>45696</v>
      </c>
      <c r="B2687" s="92" t="str">
        <f t="shared" si="164"/>
        <v>Saturday</v>
      </c>
      <c r="C2687" s="93" t="s">
        <v>1381</v>
      </c>
      <c r="D2687" s="93" t="s">
        <v>1122</v>
      </c>
      <c r="E2687" s="94">
        <v>25.96</v>
      </c>
      <c r="F2687" s="93" t="s">
        <v>9</v>
      </c>
      <c r="G2687" s="87">
        <f>Table1[[#This Row],[date]]</f>
        <v>45696</v>
      </c>
      <c r="H2687" s="94">
        <f>SUMIF($A$2:A6322,G2687,$E$2:E6322)</f>
        <v>186.62000000000003</v>
      </c>
      <c r="I2687" s="93" t="str">
        <f t="shared" si="165"/>
        <v>Saturday</v>
      </c>
      <c r="J2687" s="93" t="str">
        <f t="shared" si="166"/>
        <v>February</v>
      </c>
      <c r="K2687" s="93" t="str">
        <f t="shared" si="167"/>
        <v>2025</v>
      </c>
      <c r="L2687" s="6"/>
      <c r="M2687" s="6"/>
      <c r="N2687" s="6"/>
    </row>
    <row r="2688" spans="1:14" x14ac:dyDescent="0.3">
      <c r="A2688" s="92">
        <v>45697</v>
      </c>
      <c r="B2688" s="92" t="str">
        <f t="shared" si="164"/>
        <v>Sunday</v>
      </c>
      <c r="C2688" s="93" t="s">
        <v>1381</v>
      </c>
      <c r="D2688" s="93" t="s">
        <v>1173</v>
      </c>
      <c r="E2688" s="94">
        <v>35.76</v>
      </c>
      <c r="F2688" s="93" t="s">
        <v>16</v>
      </c>
      <c r="G2688" s="87">
        <f>Table1[[#This Row],[date]]</f>
        <v>45697</v>
      </c>
      <c r="H2688" s="94">
        <f>SUMIF($A$2:A6323,G2688,$E$2:E6323)</f>
        <v>297.33999999999997</v>
      </c>
      <c r="I2688" s="93" t="str">
        <f t="shared" si="165"/>
        <v>Sunday</v>
      </c>
      <c r="J2688" s="93" t="str">
        <f t="shared" si="166"/>
        <v>February</v>
      </c>
      <c r="K2688" s="93" t="str">
        <f t="shared" si="167"/>
        <v>2025</v>
      </c>
      <c r="L2688" s="6"/>
      <c r="M2688" s="6"/>
      <c r="N2688" s="6"/>
    </row>
    <row r="2689" spans="1:14" x14ac:dyDescent="0.3">
      <c r="A2689" s="87">
        <v>45697</v>
      </c>
      <c r="B2689" s="87" t="str">
        <f t="shared" si="164"/>
        <v>Sunday</v>
      </c>
      <c r="C2689" s="88" t="s">
        <v>1381</v>
      </c>
      <c r="D2689" s="88" t="s">
        <v>1169</v>
      </c>
      <c r="E2689" s="89">
        <v>30.86</v>
      </c>
      <c r="F2689" s="88" t="s">
        <v>12</v>
      </c>
      <c r="G2689" s="87">
        <f>Table1[[#This Row],[date]]</f>
        <v>45697</v>
      </c>
      <c r="H2689" s="94">
        <f>SUMIF($A$2:A6324,G2689,$E$2:E6324)</f>
        <v>297.33999999999997</v>
      </c>
      <c r="I2689" s="93" t="str">
        <f t="shared" si="165"/>
        <v>Sunday</v>
      </c>
      <c r="J2689" s="93" t="str">
        <f t="shared" si="166"/>
        <v>February</v>
      </c>
      <c r="K2689" s="93" t="str">
        <f t="shared" si="167"/>
        <v>2025</v>
      </c>
      <c r="L2689" s="6"/>
      <c r="M2689" s="6"/>
      <c r="N2689" s="6"/>
    </row>
    <row r="2690" spans="1:14" x14ac:dyDescent="0.3">
      <c r="A2690" s="92">
        <v>45697</v>
      </c>
      <c r="B2690" s="92" t="str">
        <f t="shared" ref="B2690:B2753" si="168">TEXT(A2690,"dddd")</f>
        <v>Sunday</v>
      </c>
      <c r="C2690" s="93" t="s">
        <v>1381</v>
      </c>
      <c r="D2690" s="93" t="s">
        <v>1175</v>
      </c>
      <c r="E2690" s="94">
        <v>25.96</v>
      </c>
      <c r="F2690" s="93" t="s">
        <v>9</v>
      </c>
      <c r="G2690" s="87">
        <f>Table1[[#This Row],[date]]</f>
        <v>45697</v>
      </c>
      <c r="H2690" s="94">
        <f>SUMIF($A$2:A6325,G2690,$E$2:E6325)</f>
        <v>297.33999999999997</v>
      </c>
      <c r="I2690" s="93" t="str">
        <f t="shared" si="165"/>
        <v>Sunday</v>
      </c>
      <c r="J2690" s="93" t="str">
        <f t="shared" si="166"/>
        <v>February</v>
      </c>
      <c r="K2690" s="93" t="str">
        <f t="shared" si="167"/>
        <v>2025</v>
      </c>
      <c r="L2690" s="6"/>
      <c r="M2690" s="6"/>
      <c r="N2690" s="6"/>
    </row>
    <row r="2691" spans="1:14" x14ac:dyDescent="0.3">
      <c r="A2691" s="87">
        <v>45697</v>
      </c>
      <c r="B2691" s="87" t="str">
        <f t="shared" si="168"/>
        <v>Sunday</v>
      </c>
      <c r="C2691" s="88" t="s">
        <v>1381</v>
      </c>
      <c r="D2691" s="88" t="s">
        <v>1208</v>
      </c>
      <c r="E2691" s="89">
        <v>35.76</v>
      </c>
      <c r="F2691" s="88" t="s">
        <v>5</v>
      </c>
      <c r="G2691" s="87">
        <f>Table1[[#This Row],[date]]</f>
        <v>45697</v>
      </c>
      <c r="H2691" s="94">
        <f>SUMIF($A$2:A6326,G2691,$E$2:E6326)</f>
        <v>297.33999999999997</v>
      </c>
      <c r="I2691" s="93" t="str">
        <f t="shared" si="165"/>
        <v>Sunday</v>
      </c>
      <c r="J2691" s="93" t="str">
        <f t="shared" si="166"/>
        <v>February</v>
      </c>
      <c r="K2691" s="93" t="str">
        <f t="shared" si="167"/>
        <v>2025</v>
      </c>
      <c r="L2691" s="6"/>
      <c r="M2691" s="6"/>
      <c r="N2691" s="6"/>
    </row>
    <row r="2692" spans="1:14" x14ac:dyDescent="0.3">
      <c r="A2692" s="92">
        <v>45697</v>
      </c>
      <c r="B2692" s="92" t="str">
        <f t="shared" si="168"/>
        <v>Sunday</v>
      </c>
      <c r="C2692" s="93" t="s">
        <v>1381</v>
      </c>
      <c r="D2692" s="93" t="s">
        <v>1201</v>
      </c>
      <c r="E2692" s="94">
        <v>35.76</v>
      </c>
      <c r="F2692" s="93" t="s">
        <v>16</v>
      </c>
      <c r="G2692" s="87">
        <f>Table1[[#This Row],[date]]</f>
        <v>45697</v>
      </c>
      <c r="H2692" s="94">
        <f>SUMIF($A$2:A6327,G2692,$E$2:E6327)</f>
        <v>297.33999999999997</v>
      </c>
      <c r="I2692" s="93" t="str">
        <f t="shared" si="165"/>
        <v>Sunday</v>
      </c>
      <c r="J2692" s="93" t="str">
        <f t="shared" si="166"/>
        <v>February</v>
      </c>
      <c r="K2692" s="93" t="str">
        <f t="shared" si="167"/>
        <v>2025</v>
      </c>
      <c r="L2692" s="6"/>
      <c r="M2692" s="6"/>
      <c r="N2692" s="6"/>
    </row>
    <row r="2693" spans="1:14" x14ac:dyDescent="0.3">
      <c r="A2693" s="87">
        <v>45697</v>
      </c>
      <c r="B2693" s="87" t="str">
        <f t="shared" si="168"/>
        <v>Sunday</v>
      </c>
      <c r="C2693" s="88" t="s">
        <v>1381</v>
      </c>
      <c r="D2693" s="88" t="s">
        <v>1201</v>
      </c>
      <c r="E2693" s="89">
        <v>35.76</v>
      </c>
      <c r="F2693" s="88" t="s">
        <v>5</v>
      </c>
      <c r="G2693" s="87">
        <f>Table1[[#This Row],[date]]</f>
        <v>45697</v>
      </c>
      <c r="H2693" s="94">
        <f>SUMIF($A$2:A6328,G2693,$E$2:E6328)</f>
        <v>297.33999999999997</v>
      </c>
      <c r="I2693" s="93" t="str">
        <f t="shared" si="165"/>
        <v>Sunday</v>
      </c>
      <c r="J2693" s="93" t="str">
        <f t="shared" si="166"/>
        <v>February</v>
      </c>
      <c r="K2693" s="93" t="str">
        <f t="shared" si="167"/>
        <v>2025</v>
      </c>
      <c r="L2693" s="6"/>
      <c r="M2693" s="6"/>
      <c r="N2693" s="6"/>
    </row>
    <row r="2694" spans="1:14" x14ac:dyDescent="0.3">
      <c r="A2694" s="92">
        <v>45697</v>
      </c>
      <c r="B2694" s="92" t="str">
        <f t="shared" si="168"/>
        <v>Sunday</v>
      </c>
      <c r="C2694" s="93" t="s">
        <v>1381</v>
      </c>
      <c r="D2694" s="93" t="s">
        <v>1190</v>
      </c>
      <c r="E2694" s="94">
        <v>35.76</v>
      </c>
      <c r="F2694" s="93" t="s">
        <v>7</v>
      </c>
      <c r="G2694" s="87">
        <f>Table1[[#This Row],[date]]</f>
        <v>45697</v>
      </c>
      <c r="H2694" s="94">
        <f>SUMIF($A$2:A6329,G2694,$E$2:E6329)</f>
        <v>297.33999999999997</v>
      </c>
      <c r="I2694" s="93" t="str">
        <f t="shared" ref="I2694:I2757" si="169">TEXT(G2694,"dddd")</f>
        <v>Sunday</v>
      </c>
      <c r="J2694" s="93" t="str">
        <f t="shared" si="166"/>
        <v>February</v>
      </c>
      <c r="K2694" s="93" t="str">
        <f t="shared" si="167"/>
        <v>2025</v>
      </c>
      <c r="L2694" s="6"/>
      <c r="M2694" s="6"/>
      <c r="N2694" s="6"/>
    </row>
    <row r="2695" spans="1:14" x14ac:dyDescent="0.3">
      <c r="A2695" s="87">
        <v>45697</v>
      </c>
      <c r="B2695" s="87" t="str">
        <f t="shared" si="168"/>
        <v>Sunday</v>
      </c>
      <c r="C2695" s="88" t="s">
        <v>1381</v>
      </c>
      <c r="D2695" s="88" t="s">
        <v>1191</v>
      </c>
      <c r="E2695" s="89">
        <v>35.76</v>
      </c>
      <c r="F2695" s="88" t="s">
        <v>16</v>
      </c>
      <c r="G2695" s="87">
        <f>Table1[[#This Row],[date]]</f>
        <v>45697</v>
      </c>
      <c r="H2695" s="94">
        <f>SUMIF($A$2:A6330,G2695,$E$2:E6330)</f>
        <v>297.33999999999997</v>
      </c>
      <c r="I2695" s="93" t="str">
        <f t="shared" si="169"/>
        <v>Sunday</v>
      </c>
      <c r="J2695" s="93" t="str">
        <f t="shared" ref="J2695:J2758" si="170">TEXT(G2695,"mmmm")</f>
        <v>February</v>
      </c>
      <c r="K2695" s="93" t="str">
        <f t="shared" ref="K2695:K2758" si="171">TEXT(G2695,"yyyy")</f>
        <v>2025</v>
      </c>
      <c r="L2695" s="6"/>
      <c r="M2695" s="6"/>
      <c r="N2695" s="6"/>
    </row>
    <row r="2696" spans="1:14" x14ac:dyDescent="0.3">
      <c r="A2696" s="92">
        <v>45697</v>
      </c>
      <c r="B2696" s="92" t="str">
        <f t="shared" si="168"/>
        <v>Sunday</v>
      </c>
      <c r="C2696" s="93" t="s">
        <v>1381</v>
      </c>
      <c r="D2696" s="93" t="s">
        <v>1173</v>
      </c>
      <c r="E2696" s="94">
        <v>25.96</v>
      </c>
      <c r="F2696" s="93" t="s">
        <v>26</v>
      </c>
      <c r="G2696" s="87">
        <f>Table1[[#This Row],[date]]</f>
        <v>45697</v>
      </c>
      <c r="H2696" s="94">
        <f>SUMIF($A$2:A6331,G2696,$E$2:E6331)</f>
        <v>297.33999999999997</v>
      </c>
      <c r="I2696" s="93" t="str">
        <f t="shared" si="169"/>
        <v>Sunday</v>
      </c>
      <c r="J2696" s="93" t="str">
        <f t="shared" si="170"/>
        <v>February</v>
      </c>
      <c r="K2696" s="93" t="str">
        <f t="shared" si="171"/>
        <v>2025</v>
      </c>
      <c r="L2696" s="6"/>
      <c r="M2696" s="6"/>
      <c r="N2696" s="6"/>
    </row>
    <row r="2697" spans="1:14" x14ac:dyDescent="0.3">
      <c r="A2697" s="87">
        <v>45698</v>
      </c>
      <c r="B2697" s="87" t="str">
        <f t="shared" si="168"/>
        <v>Monday</v>
      </c>
      <c r="C2697" s="88" t="s">
        <v>1381</v>
      </c>
      <c r="D2697" s="88" t="s">
        <v>1164</v>
      </c>
      <c r="E2697" s="89">
        <v>25.96</v>
      </c>
      <c r="F2697" s="88" t="s">
        <v>9</v>
      </c>
      <c r="G2697" s="87">
        <f>Table1[[#This Row],[date]]</f>
        <v>45698</v>
      </c>
      <c r="H2697" s="94">
        <f>SUMIF($A$2:A6332,G2697,$E$2:E6332)</f>
        <v>601.04</v>
      </c>
      <c r="I2697" s="93" t="str">
        <f t="shared" si="169"/>
        <v>Monday</v>
      </c>
      <c r="J2697" s="93" t="str">
        <f t="shared" si="170"/>
        <v>February</v>
      </c>
      <c r="K2697" s="93" t="str">
        <f t="shared" si="171"/>
        <v>2025</v>
      </c>
      <c r="L2697" s="6"/>
      <c r="M2697" s="6"/>
      <c r="N2697" s="6"/>
    </row>
    <row r="2698" spans="1:14" x14ac:dyDescent="0.3">
      <c r="A2698" s="92">
        <v>45698</v>
      </c>
      <c r="B2698" s="92" t="str">
        <f t="shared" si="168"/>
        <v>Monday</v>
      </c>
      <c r="C2698" s="93" t="s">
        <v>1381</v>
      </c>
      <c r="D2698" s="93" t="s">
        <v>1122</v>
      </c>
      <c r="E2698" s="94">
        <v>25.96</v>
      </c>
      <c r="F2698" s="93" t="s">
        <v>9</v>
      </c>
      <c r="G2698" s="87">
        <f>Table1[[#This Row],[date]]</f>
        <v>45698</v>
      </c>
      <c r="H2698" s="94">
        <f>SUMIF($A$2:A6333,G2698,$E$2:E6333)</f>
        <v>601.04</v>
      </c>
      <c r="I2698" s="93" t="str">
        <f t="shared" si="169"/>
        <v>Monday</v>
      </c>
      <c r="J2698" s="93" t="str">
        <f t="shared" si="170"/>
        <v>February</v>
      </c>
      <c r="K2698" s="93" t="str">
        <f t="shared" si="171"/>
        <v>2025</v>
      </c>
      <c r="L2698" s="6"/>
      <c r="M2698" s="6"/>
      <c r="N2698" s="6"/>
    </row>
    <row r="2699" spans="1:14" x14ac:dyDescent="0.3">
      <c r="A2699" s="92">
        <v>45698</v>
      </c>
      <c r="B2699" s="92" t="str">
        <f t="shared" si="168"/>
        <v>Monday</v>
      </c>
      <c r="C2699" s="93" t="s">
        <v>1381</v>
      </c>
      <c r="D2699" s="93" t="s">
        <v>1165</v>
      </c>
      <c r="E2699" s="94">
        <v>30.86</v>
      </c>
      <c r="F2699" s="93" t="s">
        <v>12</v>
      </c>
      <c r="G2699" s="87">
        <f>Table1[[#This Row],[date]]</f>
        <v>45698</v>
      </c>
      <c r="H2699" s="94">
        <f>SUMIF($A$2:A6334,G2699,$E$2:E6334)</f>
        <v>601.04</v>
      </c>
      <c r="I2699" s="93" t="str">
        <f t="shared" si="169"/>
        <v>Monday</v>
      </c>
      <c r="J2699" s="93" t="str">
        <f t="shared" si="170"/>
        <v>February</v>
      </c>
      <c r="K2699" s="93" t="str">
        <f t="shared" si="171"/>
        <v>2025</v>
      </c>
      <c r="L2699" s="6"/>
      <c r="M2699" s="6"/>
      <c r="N2699" s="6"/>
    </row>
    <row r="2700" spans="1:14" x14ac:dyDescent="0.3">
      <c r="A2700" s="87">
        <v>45698</v>
      </c>
      <c r="B2700" s="87" t="str">
        <f t="shared" si="168"/>
        <v>Monday</v>
      </c>
      <c r="C2700" s="88" t="s">
        <v>1381</v>
      </c>
      <c r="D2700" s="88" t="s">
        <v>1179</v>
      </c>
      <c r="E2700" s="89">
        <v>25.96</v>
      </c>
      <c r="F2700" s="88" t="s">
        <v>9</v>
      </c>
      <c r="G2700" s="87">
        <f>Table1[[#This Row],[date]]</f>
        <v>45698</v>
      </c>
      <c r="H2700" s="94">
        <f>SUMIF($A$2:A6335,G2700,$E$2:E6335)</f>
        <v>601.04</v>
      </c>
      <c r="I2700" s="93" t="str">
        <f t="shared" si="169"/>
        <v>Monday</v>
      </c>
      <c r="J2700" s="93" t="str">
        <f t="shared" si="170"/>
        <v>February</v>
      </c>
      <c r="K2700" s="93" t="str">
        <f t="shared" si="171"/>
        <v>2025</v>
      </c>
      <c r="L2700" s="6"/>
      <c r="M2700" s="6"/>
      <c r="N2700" s="6"/>
    </row>
    <row r="2701" spans="1:14" x14ac:dyDescent="0.3">
      <c r="A2701" s="92">
        <v>45698</v>
      </c>
      <c r="B2701" s="92" t="str">
        <f t="shared" si="168"/>
        <v>Monday</v>
      </c>
      <c r="C2701" s="93" t="s">
        <v>1381</v>
      </c>
      <c r="D2701" s="93" t="s">
        <v>1180</v>
      </c>
      <c r="E2701" s="94">
        <v>35.76</v>
      </c>
      <c r="F2701" s="93" t="s">
        <v>16</v>
      </c>
      <c r="G2701" s="87">
        <f>Table1[[#This Row],[date]]</f>
        <v>45698</v>
      </c>
      <c r="H2701" s="94">
        <f>SUMIF($A$2:A6336,G2701,$E$2:E6336)</f>
        <v>601.04</v>
      </c>
      <c r="I2701" s="93" t="str">
        <f t="shared" si="169"/>
        <v>Monday</v>
      </c>
      <c r="J2701" s="93" t="str">
        <f t="shared" si="170"/>
        <v>February</v>
      </c>
      <c r="K2701" s="93" t="str">
        <f t="shared" si="171"/>
        <v>2025</v>
      </c>
      <c r="L2701" s="6"/>
      <c r="M2701" s="6"/>
      <c r="N2701" s="6"/>
    </row>
    <row r="2702" spans="1:14" x14ac:dyDescent="0.3">
      <c r="A2702" s="87">
        <v>45698</v>
      </c>
      <c r="B2702" s="87" t="str">
        <f t="shared" si="168"/>
        <v>Monday</v>
      </c>
      <c r="C2702" s="88" t="s">
        <v>1381</v>
      </c>
      <c r="D2702" s="88" t="s">
        <v>1209</v>
      </c>
      <c r="E2702" s="89">
        <v>30.86</v>
      </c>
      <c r="F2702" s="88" t="s">
        <v>12</v>
      </c>
      <c r="G2702" s="87">
        <f>Table1[[#This Row],[date]]</f>
        <v>45698</v>
      </c>
      <c r="H2702" s="94">
        <f>SUMIF($A$2:A6337,G2702,$E$2:E6337)</f>
        <v>601.04</v>
      </c>
      <c r="I2702" s="93" t="str">
        <f t="shared" si="169"/>
        <v>Monday</v>
      </c>
      <c r="J2702" s="93" t="str">
        <f t="shared" si="170"/>
        <v>February</v>
      </c>
      <c r="K2702" s="93" t="str">
        <f t="shared" si="171"/>
        <v>2025</v>
      </c>
      <c r="L2702" s="6"/>
      <c r="M2702" s="6"/>
      <c r="N2702" s="6"/>
    </row>
    <row r="2703" spans="1:14" x14ac:dyDescent="0.3">
      <c r="A2703" s="92">
        <v>45698</v>
      </c>
      <c r="B2703" s="92" t="str">
        <f t="shared" si="168"/>
        <v>Monday</v>
      </c>
      <c r="C2703" s="93" t="s">
        <v>1381</v>
      </c>
      <c r="D2703" s="93" t="s">
        <v>1210</v>
      </c>
      <c r="E2703" s="94">
        <v>25.96</v>
      </c>
      <c r="F2703" s="93" t="s">
        <v>9</v>
      </c>
      <c r="G2703" s="87">
        <f>Table1[[#This Row],[date]]</f>
        <v>45698</v>
      </c>
      <c r="H2703" s="94">
        <f>SUMIF($A$2:A6338,G2703,$E$2:E6338)</f>
        <v>601.04</v>
      </c>
      <c r="I2703" s="93" t="str">
        <f t="shared" si="169"/>
        <v>Monday</v>
      </c>
      <c r="J2703" s="93" t="str">
        <f t="shared" si="170"/>
        <v>February</v>
      </c>
      <c r="K2703" s="93" t="str">
        <f t="shared" si="171"/>
        <v>2025</v>
      </c>
      <c r="L2703" s="6"/>
      <c r="M2703" s="6"/>
      <c r="N2703" s="6"/>
    </row>
    <row r="2704" spans="1:14" x14ac:dyDescent="0.3">
      <c r="A2704" s="87">
        <v>45698</v>
      </c>
      <c r="B2704" s="87" t="str">
        <f t="shared" si="168"/>
        <v>Monday</v>
      </c>
      <c r="C2704" s="88" t="s">
        <v>1381</v>
      </c>
      <c r="D2704" s="88" t="s">
        <v>1211</v>
      </c>
      <c r="E2704" s="89">
        <v>35.76</v>
      </c>
      <c r="F2704" s="88" t="s">
        <v>5</v>
      </c>
      <c r="G2704" s="87">
        <f>Table1[[#This Row],[date]]</f>
        <v>45698</v>
      </c>
      <c r="H2704" s="94">
        <f>SUMIF($A$2:A6339,G2704,$E$2:E6339)</f>
        <v>601.04</v>
      </c>
      <c r="I2704" s="93" t="str">
        <f t="shared" si="169"/>
        <v>Monday</v>
      </c>
      <c r="J2704" s="93" t="str">
        <f t="shared" si="170"/>
        <v>February</v>
      </c>
      <c r="K2704" s="93" t="str">
        <f t="shared" si="171"/>
        <v>2025</v>
      </c>
      <c r="L2704" s="6"/>
      <c r="M2704" s="6"/>
      <c r="N2704" s="6"/>
    </row>
    <row r="2705" spans="1:14" x14ac:dyDescent="0.3">
      <c r="A2705" s="92">
        <v>45698</v>
      </c>
      <c r="B2705" s="92" t="str">
        <f t="shared" si="168"/>
        <v>Monday</v>
      </c>
      <c r="C2705" s="93" t="s">
        <v>1381</v>
      </c>
      <c r="D2705" s="93" t="s">
        <v>1175</v>
      </c>
      <c r="E2705" s="94">
        <v>25.96</v>
      </c>
      <c r="F2705" s="93" t="s">
        <v>9</v>
      </c>
      <c r="G2705" s="87">
        <f>Table1[[#This Row],[date]]</f>
        <v>45698</v>
      </c>
      <c r="H2705" s="94">
        <f>SUMIF($A$2:A6340,G2705,$E$2:E6340)</f>
        <v>601.04</v>
      </c>
      <c r="I2705" s="93" t="str">
        <f t="shared" si="169"/>
        <v>Monday</v>
      </c>
      <c r="J2705" s="93" t="str">
        <f t="shared" si="170"/>
        <v>February</v>
      </c>
      <c r="K2705" s="93" t="str">
        <f t="shared" si="171"/>
        <v>2025</v>
      </c>
      <c r="L2705" s="6"/>
      <c r="M2705" s="6"/>
      <c r="N2705" s="6"/>
    </row>
    <row r="2706" spans="1:14" x14ac:dyDescent="0.3">
      <c r="A2706" s="87">
        <v>45698</v>
      </c>
      <c r="B2706" s="87" t="str">
        <f t="shared" si="168"/>
        <v>Monday</v>
      </c>
      <c r="C2706" s="88" t="s">
        <v>1381</v>
      </c>
      <c r="D2706" s="88" t="s">
        <v>1175</v>
      </c>
      <c r="E2706" s="89">
        <v>35.76</v>
      </c>
      <c r="F2706" s="88" t="s">
        <v>16</v>
      </c>
      <c r="G2706" s="87">
        <f>Table1[[#This Row],[date]]</f>
        <v>45698</v>
      </c>
      <c r="H2706" s="94">
        <f>SUMIF($A$2:A6341,G2706,$E$2:E6341)</f>
        <v>601.04</v>
      </c>
      <c r="I2706" s="93" t="str">
        <f t="shared" si="169"/>
        <v>Monday</v>
      </c>
      <c r="J2706" s="93" t="str">
        <f t="shared" si="170"/>
        <v>February</v>
      </c>
      <c r="K2706" s="93" t="str">
        <f t="shared" si="171"/>
        <v>2025</v>
      </c>
      <c r="L2706" s="6"/>
      <c r="M2706" s="6"/>
      <c r="N2706" s="6"/>
    </row>
    <row r="2707" spans="1:14" x14ac:dyDescent="0.3">
      <c r="A2707" s="87">
        <v>45698</v>
      </c>
      <c r="B2707" s="87" t="str">
        <f t="shared" si="168"/>
        <v>Monday</v>
      </c>
      <c r="C2707" s="88" t="s">
        <v>1381</v>
      </c>
      <c r="D2707" s="88" t="s">
        <v>1212</v>
      </c>
      <c r="E2707" s="89">
        <v>35.76</v>
      </c>
      <c r="F2707" s="88" t="s">
        <v>41</v>
      </c>
      <c r="G2707" s="87">
        <f>Table1[[#This Row],[date]]</f>
        <v>45698</v>
      </c>
      <c r="H2707" s="94">
        <f>SUMIF($A$2:A6342,G2707,$E$2:E6342)</f>
        <v>601.04</v>
      </c>
      <c r="I2707" s="93" t="str">
        <f t="shared" si="169"/>
        <v>Monday</v>
      </c>
      <c r="J2707" s="93" t="str">
        <f t="shared" si="170"/>
        <v>February</v>
      </c>
      <c r="K2707" s="93" t="str">
        <f t="shared" si="171"/>
        <v>2025</v>
      </c>
      <c r="L2707" s="6"/>
      <c r="M2707" s="6"/>
      <c r="N2707" s="6"/>
    </row>
    <row r="2708" spans="1:14" x14ac:dyDescent="0.3">
      <c r="A2708" s="92">
        <v>45698</v>
      </c>
      <c r="B2708" s="92" t="str">
        <f t="shared" si="168"/>
        <v>Monday</v>
      </c>
      <c r="C2708" s="93" t="s">
        <v>1381</v>
      </c>
      <c r="D2708" s="93" t="s">
        <v>1178</v>
      </c>
      <c r="E2708" s="94">
        <v>30.86</v>
      </c>
      <c r="F2708" s="93" t="s">
        <v>12</v>
      </c>
      <c r="G2708" s="87">
        <f>Table1[[#This Row],[date]]</f>
        <v>45698</v>
      </c>
      <c r="H2708" s="94">
        <f>SUMIF($A$2:A6343,G2708,$E$2:E6343)</f>
        <v>601.04</v>
      </c>
      <c r="I2708" s="93" t="str">
        <f t="shared" si="169"/>
        <v>Monday</v>
      </c>
      <c r="J2708" s="93" t="str">
        <f t="shared" si="170"/>
        <v>February</v>
      </c>
      <c r="K2708" s="93" t="str">
        <f t="shared" si="171"/>
        <v>2025</v>
      </c>
      <c r="L2708" s="6"/>
      <c r="M2708" s="6"/>
      <c r="N2708" s="6"/>
    </row>
    <row r="2709" spans="1:14" x14ac:dyDescent="0.3">
      <c r="A2709" s="87">
        <v>45698</v>
      </c>
      <c r="B2709" s="87" t="str">
        <f t="shared" si="168"/>
        <v>Monday</v>
      </c>
      <c r="C2709" s="88" t="s">
        <v>1381</v>
      </c>
      <c r="D2709" s="88" t="s">
        <v>1203</v>
      </c>
      <c r="E2709" s="89">
        <v>35.76</v>
      </c>
      <c r="F2709" s="88" t="s">
        <v>5</v>
      </c>
      <c r="G2709" s="87">
        <f>Table1[[#This Row],[date]]</f>
        <v>45698</v>
      </c>
      <c r="H2709" s="94">
        <f>SUMIF($A$2:A6344,G2709,$E$2:E6344)</f>
        <v>601.04</v>
      </c>
      <c r="I2709" s="93" t="str">
        <f t="shared" si="169"/>
        <v>Monday</v>
      </c>
      <c r="J2709" s="93" t="str">
        <f t="shared" si="170"/>
        <v>February</v>
      </c>
      <c r="K2709" s="93" t="str">
        <f t="shared" si="171"/>
        <v>2025</v>
      </c>
      <c r="L2709" s="6"/>
      <c r="M2709" s="6"/>
      <c r="N2709" s="6"/>
    </row>
    <row r="2710" spans="1:14" x14ac:dyDescent="0.3">
      <c r="A2710" s="92">
        <v>45698</v>
      </c>
      <c r="B2710" s="92" t="str">
        <f t="shared" si="168"/>
        <v>Monday</v>
      </c>
      <c r="C2710" s="93" t="s">
        <v>1381</v>
      </c>
      <c r="D2710" s="93" t="s">
        <v>1177</v>
      </c>
      <c r="E2710" s="94">
        <v>35.76</v>
      </c>
      <c r="F2710" s="93" t="s">
        <v>7</v>
      </c>
      <c r="G2710" s="87">
        <f>Table1[[#This Row],[date]]</f>
        <v>45698</v>
      </c>
      <c r="H2710" s="94">
        <f>SUMIF($A$2:A6345,G2710,$E$2:E6345)</f>
        <v>601.04</v>
      </c>
      <c r="I2710" s="93" t="str">
        <f t="shared" si="169"/>
        <v>Monday</v>
      </c>
      <c r="J2710" s="93" t="str">
        <f t="shared" si="170"/>
        <v>February</v>
      </c>
      <c r="K2710" s="93" t="str">
        <f t="shared" si="171"/>
        <v>2025</v>
      </c>
      <c r="L2710" s="6"/>
      <c r="M2710" s="6"/>
      <c r="N2710" s="6"/>
    </row>
    <row r="2711" spans="1:14" x14ac:dyDescent="0.3">
      <c r="A2711" s="87">
        <v>45698</v>
      </c>
      <c r="B2711" s="87" t="str">
        <f t="shared" si="168"/>
        <v>Monday</v>
      </c>
      <c r="C2711" s="88" t="s">
        <v>1381</v>
      </c>
      <c r="D2711" s="88" t="s">
        <v>1182</v>
      </c>
      <c r="E2711" s="89">
        <v>35.76</v>
      </c>
      <c r="F2711" s="88" t="s">
        <v>16</v>
      </c>
      <c r="G2711" s="87">
        <f>Table1[[#This Row],[date]]</f>
        <v>45698</v>
      </c>
      <c r="H2711" s="94">
        <f>SUMIF($A$2:A6346,G2711,$E$2:E6346)</f>
        <v>601.04</v>
      </c>
      <c r="I2711" s="93" t="str">
        <f t="shared" si="169"/>
        <v>Monday</v>
      </c>
      <c r="J2711" s="93" t="str">
        <f t="shared" si="170"/>
        <v>February</v>
      </c>
      <c r="K2711" s="93" t="str">
        <f t="shared" si="171"/>
        <v>2025</v>
      </c>
      <c r="L2711" s="6"/>
      <c r="M2711" s="6"/>
      <c r="N2711" s="6"/>
    </row>
    <row r="2712" spans="1:14" x14ac:dyDescent="0.3">
      <c r="A2712" s="92">
        <v>45698</v>
      </c>
      <c r="B2712" s="92" t="str">
        <f t="shared" si="168"/>
        <v>Monday</v>
      </c>
      <c r="C2712" s="93" t="s">
        <v>1381</v>
      </c>
      <c r="D2712" s="93" t="s">
        <v>890</v>
      </c>
      <c r="E2712" s="94">
        <v>25.96</v>
      </c>
      <c r="F2712" s="93" t="s">
        <v>9</v>
      </c>
      <c r="G2712" s="87">
        <f>Table1[[#This Row],[date]]</f>
        <v>45698</v>
      </c>
      <c r="H2712" s="94">
        <f>SUMIF($A$2:A6347,G2712,$E$2:E6347)</f>
        <v>601.04</v>
      </c>
      <c r="I2712" s="93" t="str">
        <f t="shared" si="169"/>
        <v>Monday</v>
      </c>
      <c r="J2712" s="93" t="str">
        <f t="shared" si="170"/>
        <v>February</v>
      </c>
      <c r="K2712" s="93" t="str">
        <f t="shared" si="171"/>
        <v>2025</v>
      </c>
      <c r="L2712" s="6"/>
      <c r="M2712" s="6"/>
      <c r="N2712" s="6"/>
    </row>
    <row r="2713" spans="1:14" x14ac:dyDescent="0.3">
      <c r="A2713" s="87">
        <v>45698</v>
      </c>
      <c r="B2713" s="87" t="str">
        <f t="shared" si="168"/>
        <v>Monday</v>
      </c>
      <c r="C2713" s="88" t="s">
        <v>1381</v>
      </c>
      <c r="D2713" s="88" t="s">
        <v>1169</v>
      </c>
      <c r="E2713" s="89">
        <v>30.86</v>
      </c>
      <c r="F2713" s="88" t="s">
        <v>12</v>
      </c>
      <c r="G2713" s="87">
        <f>Table1[[#This Row],[date]]</f>
        <v>45698</v>
      </c>
      <c r="H2713" s="94">
        <f>SUMIF($A$2:A6348,G2713,$E$2:E6348)</f>
        <v>601.04</v>
      </c>
      <c r="I2713" s="93" t="str">
        <f t="shared" si="169"/>
        <v>Monday</v>
      </c>
      <c r="J2713" s="93" t="str">
        <f t="shared" si="170"/>
        <v>February</v>
      </c>
      <c r="K2713" s="93" t="str">
        <f t="shared" si="171"/>
        <v>2025</v>
      </c>
      <c r="L2713" s="6"/>
      <c r="M2713" s="6"/>
      <c r="N2713" s="6"/>
    </row>
    <row r="2714" spans="1:14" x14ac:dyDescent="0.3">
      <c r="A2714" s="92">
        <v>45698</v>
      </c>
      <c r="B2714" s="92" t="str">
        <f t="shared" si="168"/>
        <v>Monday</v>
      </c>
      <c r="C2714" s="93" t="s">
        <v>1381</v>
      </c>
      <c r="D2714" s="93" t="s">
        <v>1190</v>
      </c>
      <c r="E2714" s="94">
        <v>35.76</v>
      </c>
      <c r="F2714" s="93" t="s">
        <v>5</v>
      </c>
      <c r="G2714" s="87">
        <f>Table1[[#This Row],[date]]</f>
        <v>45698</v>
      </c>
      <c r="H2714" s="94">
        <f>SUMIF($A$2:A6349,G2714,$E$2:E6349)</f>
        <v>601.04</v>
      </c>
      <c r="I2714" s="93" t="str">
        <f t="shared" si="169"/>
        <v>Monday</v>
      </c>
      <c r="J2714" s="93" t="str">
        <f t="shared" si="170"/>
        <v>February</v>
      </c>
      <c r="K2714" s="93" t="str">
        <f t="shared" si="171"/>
        <v>2025</v>
      </c>
      <c r="L2714" s="6"/>
      <c r="M2714" s="6"/>
      <c r="N2714" s="6"/>
    </row>
    <row r="2715" spans="1:14" x14ac:dyDescent="0.3">
      <c r="A2715" s="87">
        <v>45698</v>
      </c>
      <c r="B2715" s="87" t="str">
        <f t="shared" si="168"/>
        <v>Monday</v>
      </c>
      <c r="C2715" s="88" t="s">
        <v>1381</v>
      </c>
      <c r="D2715" s="88" t="s">
        <v>1213</v>
      </c>
      <c r="E2715" s="89">
        <v>35.76</v>
      </c>
      <c r="F2715" s="88" t="s">
        <v>5</v>
      </c>
      <c r="G2715" s="87">
        <f>Table1[[#This Row],[date]]</f>
        <v>45698</v>
      </c>
      <c r="H2715" s="94">
        <f>SUMIF($A$2:A6350,G2715,$E$2:E6350)</f>
        <v>601.04</v>
      </c>
      <c r="I2715" s="93" t="str">
        <f t="shared" si="169"/>
        <v>Monday</v>
      </c>
      <c r="J2715" s="93" t="str">
        <f t="shared" si="170"/>
        <v>February</v>
      </c>
      <c r="K2715" s="93" t="str">
        <f t="shared" si="171"/>
        <v>2025</v>
      </c>
      <c r="L2715" s="6"/>
      <c r="M2715" s="6"/>
      <c r="N2715" s="6"/>
    </row>
    <row r="2716" spans="1:14" x14ac:dyDescent="0.3">
      <c r="A2716" s="92">
        <v>45699</v>
      </c>
      <c r="B2716" s="92" t="str">
        <f t="shared" si="168"/>
        <v>Tuesday</v>
      </c>
      <c r="C2716" s="93" t="s">
        <v>1381</v>
      </c>
      <c r="D2716" s="93" t="s">
        <v>1175</v>
      </c>
      <c r="E2716" s="94">
        <v>25.96</v>
      </c>
      <c r="F2716" s="93" t="s">
        <v>9</v>
      </c>
      <c r="G2716" s="87">
        <f>Table1[[#This Row],[date]]</f>
        <v>45699</v>
      </c>
      <c r="H2716" s="94">
        <f>SUMIF($A$2:A6351,G2716,$E$2:E6351)</f>
        <v>401.17999999999995</v>
      </c>
      <c r="I2716" s="93" t="str">
        <f t="shared" si="169"/>
        <v>Tuesday</v>
      </c>
      <c r="J2716" s="93" t="str">
        <f t="shared" si="170"/>
        <v>February</v>
      </c>
      <c r="K2716" s="93" t="str">
        <f t="shared" si="171"/>
        <v>2025</v>
      </c>
      <c r="L2716" s="6"/>
      <c r="M2716" s="6"/>
      <c r="N2716" s="6"/>
    </row>
    <row r="2717" spans="1:14" x14ac:dyDescent="0.3">
      <c r="A2717" s="87">
        <v>45699</v>
      </c>
      <c r="B2717" s="87" t="str">
        <f t="shared" si="168"/>
        <v>Tuesday</v>
      </c>
      <c r="C2717" s="88" t="s">
        <v>1381</v>
      </c>
      <c r="D2717" s="88" t="s">
        <v>1188</v>
      </c>
      <c r="E2717" s="89">
        <v>25.96</v>
      </c>
      <c r="F2717" s="88" t="s">
        <v>9</v>
      </c>
      <c r="G2717" s="87">
        <f>Table1[[#This Row],[date]]</f>
        <v>45699</v>
      </c>
      <c r="H2717" s="94">
        <f>SUMIF($A$2:A6352,G2717,$E$2:E6352)</f>
        <v>401.17999999999995</v>
      </c>
      <c r="I2717" s="93" t="str">
        <f t="shared" si="169"/>
        <v>Tuesday</v>
      </c>
      <c r="J2717" s="93" t="str">
        <f t="shared" si="170"/>
        <v>February</v>
      </c>
      <c r="K2717" s="93" t="str">
        <f t="shared" si="171"/>
        <v>2025</v>
      </c>
      <c r="L2717" s="6"/>
      <c r="M2717" s="6"/>
      <c r="N2717" s="6"/>
    </row>
    <row r="2718" spans="1:14" x14ac:dyDescent="0.3">
      <c r="A2718" s="92">
        <v>45699</v>
      </c>
      <c r="B2718" s="92" t="str">
        <f t="shared" si="168"/>
        <v>Tuesday</v>
      </c>
      <c r="C2718" s="93" t="s">
        <v>1381</v>
      </c>
      <c r="D2718" s="93" t="s">
        <v>1178</v>
      </c>
      <c r="E2718" s="94">
        <v>30.86</v>
      </c>
      <c r="F2718" s="93" t="s">
        <v>12</v>
      </c>
      <c r="G2718" s="87">
        <f>Table1[[#This Row],[date]]</f>
        <v>45699</v>
      </c>
      <c r="H2718" s="94">
        <f>SUMIF($A$2:A6353,G2718,$E$2:E6353)</f>
        <v>401.17999999999995</v>
      </c>
      <c r="I2718" s="93" t="str">
        <f t="shared" si="169"/>
        <v>Tuesday</v>
      </c>
      <c r="J2718" s="93" t="str">
        <f t="shared" si="170"/>
        <v>February</v>
      </c>
      <c r="K2718" s="93" t="str">
        <f t="shared" si="171"/>
        <v>2025</v>
      </c>
      <c r="L2718" s="6"/>
      <c r="M2718" s="6"/>
      <c r="N2718" s="6"/>
    </row>
    <row r="2719" spans="1:14" x14ac:dyDescent="0.3">
      <c r="A2719" s="87">
        <v>45699</v>
      </c>
      <c r="B2719" s="87" t="str">
        <f t="shared" si="168"/>
        <v>Tuesday</v>
      </c>
      <c r="C2719" s="88" t="s">
        <v>1381</v>
      </c>
      <c r="D2719" s="88" t="s">
        <v>1201</v>
      </c>
      <c r="E2719" s="89">
        <v>35.76</v>
      </c>
      <c r="F2719" s="88" t="s">
        <v>16</v>
      </c>
      <c r="G2719" s="87">
        <f>Table1[[#This Row],[date]]</f>
        <v>45699</v>
      </c>
      <c r="H2719" s="94">
        <f>SUMIF($A$2:A6354,G2719,$E$2:E6354)</f>
        <v>401.17999999999995</v>
      </c>
      <c r="I2719" s="93" t="str">
        <f t="shared" si="169"/>
        <v>Tuesday</v>
      </c>
      <c r="J2719" s="93" t="str">
        <f t="shared" si="170"/>
        <v>February</v>
      </c>
      <c r="K2719" s="93" t="str">
        <f t="shared" si="171"/>
        <v>2025</v>
      </c>
      <c r="L2719" s="6"/>
      <c r="M2719" s="6"/>
      <c r="N2719" s="6"/>
    </row>
    <row r="2720" spans="1:14" x14ac:dyDescent="0.3">
      <c r="A2720" s="92">
        <v>45699</v>
      </c>
      <c r="B2720" s="92" t="str">
        <f t="shared" si="168"/>
        <v>Tuesday</v>
      </c>
      <c r="C2720" s="93" t="s">
        <v>1381</v>
      </c>
      <c r="D2720" s="93" t="s">
        <v>1168</v>
      </c>
      <c r="E2720" s="94">
        <v>35.76</v>
      </c>
      <c r="F2720" s="93" t="s">
        <v>7</v>
      </c>
      <c r="G2720" s="87">
        <f>Table1[[#This Row],[date]]</f>
        <v>45699</v>
      </c>
      <c r="H2720" s="94">
        <f>SUMIF($A$2:A6355,G2720,$E$2:E6355)</f>
        <v>401.17999999999995</v>
      </c>
      <c r="I2720" s="93" t="str">
        <f t="shared" si="169"/>
        <v>Tuesday</v>
      </c>
      <c r="J2720" s="93" t="str">
        <f t="shared" si="170"/>
        <v>February</v>
      </c>
      <c r="K2720" s="93" t="str">
        <f t="shared" si="171"/>
        <v>2025</v>
      </c>
      <c r="L2720" s="6"/>
      <c r="M2720" s="6"/>
      <c r="N2720" s="6"/>
    </row>
    <row r="2721" spans="1:14" x14ac:dyDescent="0.3">
      <c r="A2721" s="87">
        <v>45699</v>
      </c>
      <c r="B2721" s="87" t="str">
        <f t="shared" si="168"/>
        <v>Tuesday</v>
      </c>
      <c r="C2721" s="88" t="s">
        <v>1381</v>
      </c>
      <c r="D2721" s="88" t="s">
        <v>1206</v>
      </c>
      <c r="E2721" s="89">
        <v>30.86</v>
      </c>
      <c r="F2721" s="88" t="s">
        <v>12</v>
      </c>
      <c r="G2721" s="87">
        <f>Table1[[#This Row],[date]]</f>
        <v>45699</v>
      </c>
      <c r="H2721" s="94">
        <f>SUMIF($A$2:A6356,G2721,$E$2:E6356)</f>
        <v>401.17999999999995</v>
      </c>
      <c r="I2721" s="93" t="str">
        <f t="shared" si="169"/>
        <v>Tuesday</v>
      </c>
      <c r="J2721" s="93" t="str">
        <f t="shared" si="170"/>
        <v>February</v>
      </c>
      <c r="K2721" s="93" t="str">
        <f t="shared" si="171"/>
        <v>2025</v>
      </c>
      <c r="L2721" s="6"/>
      <c r="M2721" s="6"/>
      <c r="N2721" s="6"/>
    </row>
    <row r="2722" spans="1:14" x14ac:dyDescent="0.3">
      <c r="A2722" s="92">
        <v>45699</v>
      </c>
      <c r="B2722" s="92" t="str">
        <f t="shared" si="168"/>
        <v>Tuesday</v>
      </c>
      <c r="C2722" s="93" t="s">
        <v>1381</v>
      </c>
      <c r="D2722" s="93" t="s">
        <v>1214</v>
      </c>
      <c r="E2722" s="94">
        <v>21.06</v>
      </c>
      <c r="F2722" s="93" t="s">
        <v>33</v>
      </c>
      <c r="G2722" s="87">
        <f>Table1[[#This Row],[date]]</f>
        <v>45699</v>
      </c>
      <c r="H2722" s="94">
        <f>SUMIF($A$2:A6357,G2722,$E$2:E6357)</f>
        <v>401.17999999999995</v>
      </c>
      <c r="I2722" s="93" t="str">
        <f t="shared" si="169"/>
        <v>Tuesday</v>
      </c>
      <c r="J2722" s="93" t="str">
        <f t="shared" si="170"/>
        <v>February</v>
      </c>
      <c r="K2722" s="93" t="str">
        <f t="shared" si="171"/>
        <v>2025</v>
      </c>
      <c r="L2722" s="6"/>
      <c r="M2722" s="6"/>
      <c r="N2722" s="6"/>
    </row>
    <row r="2723" spans="1:14" x14ac:dyDescent="0.3">
      <c r="A2723" s="87">
        <v>45699</v>
      </c>
      <c r="B2723" s="87" t="str">
        <f t="shared" si="168"/>
        <v>Tuesday</v>
      </c>
      <c r="C2723" s="88" t="s">
        <v>1381</v>
      </c>
      <c r="D2723" s="88" t="s">
        <v>1175</v>
      </c>
      <c r="E2723" s="89">
        <v>35.76</v>
      </c>
      <c r="F2723" s="88" t="s">
        <v>5</v>
      </c>
      <c r="G2723" s="87">
        <f>Table1[[#This Row],[date]]</f>
        <v>45699</v>
      </c>
      <c r="H2723" s="94">
        <f>SUMIF($A$2:A6358,G2723,$E$2:E6358)</f>
        <v>401.17999999999995</v>
      </c>
      <c r="I2723" s="93" t="str">
        <f t="shared" si="169"/>
        <v>Tuesday</v>
      </c>
      <c r="J2723" s="93" t="str">
        <f t="shared" si="170"/>
        <v>February</v>
      </c>
      <c r="K2723" s="93" t="str">
        <f t="shared" si="171"/>
        <v>2025</v>
      </c>
      <c r="L2723" s="6"/>
      <c r="M2723" s="6"/>
      <c r="N2723" s="6"/>
    </row>
    <row r="2724" spans="1:14" x14ac:dyDescent="0.3">
      <c r="A2724" s="92">
        <v>45699</v>
      </c>
      <c r="B2724" s="92" t="str">
        <f t="shared" si="168"/>
        <v>Tuesday</v>
      </c>
      <c r="C2724" s="93" t="s">
        <v>1381</v>
      </c>
      <c r="D2724" s="93" t="s">
        <v>1175</v>
      </c>
      <c r="E2724" s="94">
        <v>30.86</v>
      </c>
      <c r="F2724" s="93" t="s">
        <v>12</v>
      </c>
      <c r="G2724" s="87">
        <f>Table1[[#This Row],[date]]</f>
        <v>45699</v>
      </c>
      <c r="H2724" s="94">
        <f>SUMIF($A$2:A6359,G2724,$E$2:E6359)</f>
        <v>401.17999999999995</v>
      </c>
      <c r="I2724" s="93" t="str">
        <f t="shared" si="169"/>
        <v>Tuesday</v>
      </c>
      <c r="J2724" s="93" t="str">
        <f t="shared" si="170"/>
        <v>February</v>
      </c>
      <c r="K2724" s="93" t="str">
        <f t="shared" si="171"/>
        <v>2025</v>
      </c>
      <c r="L2724" s="6"/>
      <c r="M2724" s="6"/>
      <c r="N2724" s="6"/>
    </row>
    <row r="2725" spans="1:14" x14ac:dyDescent="0.3">
      <c r="A2725" s="87">
        <v>45699</v>
      </c>
      <c r="B2725" s="87" t="str">
        <f t="shared" si="168"/>
        <v>Tuesday</v>
      </c>
      <c r="C2725" s="88" t="s">
        <v>1381</v>
      </c>
      <c r="D2725" s="88" t="s">
        <v>1215</v>
      </c>
      <c r="E2725" s="89">
        <v>30.86</v>
      </c>
      <c r="F2725" s="88" t="s">
        <v>12</v>
      </c>
      <c r="G2725" s="87">
        <f>Table1[[#This Row],[date]]</f>
        <v>45699</v>
      </c>
      <c r="H2725" s="94">
        <f>SUMIF($A$2:A6360,G2725,$E$2:E6360)</f>
        <v>401.17999999999995</v>
      </c>
      <c r="I2725" s="93" t="str">
        <f t="shared" si="169"/>
        <v>Tuesday</v>
      </c>
      <c r="J2725" s="93" t="str">
        <f t="shared" si="170"/>
        <v>February</v>
      </c>
      <c r="K2725" s="93" t="str">
        <f t="shared" si="171"/>
        <v>2025</v>
      </c>
      <c r="L2725" s="6"/>
      <c r="M2725" s="6"/>
      <c r="N2725" s="6"/>
    </row>
    <row r="2726" spans="1:14" x14ac:dyDescent="0.3">
      <c r="A2726" s="92">
        <v>45699</v>
      </c>
      <c r="B2726" s="92" t="str">
        <f t="shared" si="168"/>
        <v>Tuesday</v>
      </c>
      <c r="C2726" s="93" t="s">
        <v>1381</v>
      </c>
      <c r="D2726" s="93" t="s">
        <v>1122</v>
      </c>
      <c r="E2726" s="94">
        <v>25.96</v>
      </c>
      <c r="F2726" s="93" t="s">
        <v>9</v>
      </c>
      <c r="G2726" s="87">
        <f>Table1[[#This Row],[date]]</f>
        <v>45699</v>
      </c>
      <c r="H2726" s="94">
        <f>SUMIF($A$2:A6361,G2726,$E$2:E6361)</f>
        <v>401.17999999999995</v>
      </c>
      <c r="I2726" s="93" t="str">
        <f t="shared" si="169"/>
        <v>Tuesday</v>
      </c>
      <c r="J2726" s="93" t="str">
        <f t="shared" si="170"/>
        <v>February</v>
      </c>
      <c r="K2726" s="93" t="str">
        <f t="shared" si="171"/>
        <v>2025</v>
      </c>
      <c r="L2726" s="6"/>
      <c r="M2726" s="6"/>
      <c r="N2726" s="6"/>
    </row>
    <row r="2727" spans="1:14" x14ac:dyDescent="0.3">
      <c r="A2727" s="92">
        <v>45699</v>
      </c>
      <c r="B2727" s="92" t="str">
        <f t="shared" si="168"/>
        <v>Tuesday</v>
      </c>
      <c r="C2727" s="93" t="s">
        <v>1381</v>
      </c>
      <c r="D2727" s="93" t="s">
        <v>1216</v>
      </c>
      <c r="E2727" s="94">
        <v>35.76</v>
      </c>
      <c r="F2727" s="93" t="s">
        <v>5</v>
      </c>
      <c r="G2727" s="87">
        <f>Table1[[#This Row],[date]]</f>
        <v>45699</v>
      </c>
      <c r="H2727" s="94">
        <f>SUMIF($A$2:A6362,G2727,$E$2:E6362)</f>
        <v>401.17999999999995</v>
      </c>
      <c r="I2727" s="93" t="str">
        <f t="shared" si="169"/>
        <v>Tuesday</v>
      </c>
      <c r="J2727" s="93" t="str">
        <f t="shared" si="170"/>
        <v>February</v>
      </c>
      <c r="K2727" s="93" t="str">
        <f t="shared" si="171"/>
        <v>2025</v>
      </c>
      <c r="L2727" s="6"/>
      <c r="M2727" s="6"/>
      <c r="N2727" s="6"/>
    </row>
    <row r="2728" spans="1:14" x14ac:dyDescent="0.3">
      <c r="A2728" s="87">
        <v>45699</v>
      </c>
      <c r="B2728" s="87" t="str">
        <f t="shared" si="168"/>
        <v>Tuesday</v>
      </c>
      <c r="C2728" s="88" t="s">
        <v>1381</v>
      </c>
      <c r="D2728" s="88" t="s">
        <v>1216</v>
      </c>
      <c r="E2728" s="89">
        <v>35.76</v>
      </c>
      <c r="F2728" s="88" t="s">
        <v>16</v>
      </c>
      <c r="G2728" s="87">
        <f>Table1[[#This Row],[date]]</f>
        <v>45699</v>
      </c>
      <c r="H2728" s="94">
        <f>SUMIF($A$2:A6363,G2728,$E$2:E6363)</f>
        <v>401.17999999999995</v>
      </c>
      <c r="I2728" s="93" t="str">
        <f t="shared" si="169"/>
        <v>Tuesday</v>
      </c>
      <c r="J2728" s="93" t="str">
        <f t="shared" si="170"/>
        <v>February</v>
      </c>
      <c r="K2728" s="93" t="str">
        <f t="shared" si="171"/>
        <v>2025</v>
      </c>
      <c r="L2728" s="6"/>
      <c r="M2728" s="6"/>
      <c r="N2728" s="6"/>
    </row>
    <row r="2729" spans="1:14" x14ac:dyDescent="0.3">
      <c r="A2729" s="92">
        <v>45700</v>
      </c>
      <c r="B2729" s="92" t="str">
        <f t="shared" si="168"/>
        <v>Wednesday</v>
      </c>
      <c r="C2729" s="93" t="s">
        <v>1381</v>
      </c>
      <c r="D2729" s="93" t="s">
        <v>1212</v>
      </c>
      <c r="E2729" s="94">
        <v>35.76</v>
      </c>
      <c r="F2729" s="93" t="s">
        <v>41</v>
      </c>
      <c r="G2729" s="87">
        <f>Table1[[#This Row],[date]]</f>
        <v>45700</v>
      </c>
      <c r="H2729" s="94">
        <f>SUMIF($A$2:A6364,G2729,$E$2:E6364)</f>
        <v>508.45999999999992</v>
      </c>
      <c r="I2729" s="93" t="str">
        <f t="shared" si="169"/>
        <v>Wednesday</v>
      </c>
      <c r="J2729" s="93" t="str">
        <f t="shared" si="170"/>
        <v>February</v>
      </c>
      <c r="K2729" s="93" t="str">
        <f t="shared" si="171"/>
        <v>2025</v>
      </c>
      <c r="L2729" s="6"/>
      <c r="M2729" s="6"/>
      <c r="N2729" s="6"/>
    </row>
    <row r="2730" spans="1:14" x14ac:dyDescent="0.3">
      <c r="A2730" s="87">
        <v>45700</v>
      </c>
      <c r="B2730" s="87" t="str">
        <f t="shared" si="168"/>
        <v>Wednesday</v>
      </c>
      <c r="C2730" s="88" t="s">
        <v>1381</v>
      </c>
      <c r="D2730" s="88" t="s">
        <v>1175</v>
      </c>
      <c r="E2730" s="89">
        <v>25.96</v>
      </c>
      <c r="F2730" s="88" t="s">
        <v>9</v>
      </c>
      <c r="G2730" s="87">
        <f>Table1[[#This Row],[date]]</f>
        <v>45700</v>
      </c>
      <c r="H2730" s="94">
        <f>SUMIF($A$2:A6365,G2730,$E$2:E6365)</f>
        <v>508.45999999999992</v>
      </c>
      <c r="I2730" s="93" t="str">
        <f t="shared" si="169"/>
        <v>Wednesday</v>
      </c>
      <c r="J2730" s="93" t="str">
        <f t="shared" si="170"/>
        <v>February</v>
      </c>
      <c r="K2730" s="93" t="str">
        <f t="shared" si="171"/>
        <v>2025</v>
      </c>
      <c r="L2730" s="6"/>
      <c r="M2730" s="6"/>
      <c r="N2730" s="6"/>
    </row>
    <row r="2731" spans="1:14" x14ac:dyDescent="0.3">
      <c r="A2731" s="92">
        <v>45700</v>
      </c>
      <c r="B2731" s="92" t="str">
        <f t="shared" si="168"/>
        <v>Wednesday</v>
      </c>
      <c r="C2731" s="93" t="s">
        <v>1381</v>
      </c>
      <c r="D2731" s="93" t="s">
        <v>1175</v>
      </c>
      <c r="E2731" s="94">
        <v>35.76</v>
      </c>
      <c r="F2731" s="93" t="s">
        <v>16</v>
      </c>
      <c r="G2731" s="87">
        <f>Table1[[#This Row],[date]]</f>
        <v>45700</v>
      </c>
      <c r="H2731" s="94">
        <f>SUMIF($A$2:A6366,G2731,$E$2:E6366)</f>
        <v>508.45999999999992</v>
      </c>
      <c r="I2731" s="93" t="str">
        <f t="shared" si="169"/>
        <v>Wednesday</v>
      </c>
      <c r="J2731" s="93" t="str">
        <f t="shared" si="170"/>
        <v>February</v>
      </c>
      <c r="K2731" s="93" t="str">
        <f t="shared" si="171"/>
        <v>2025</v>
      </c>
      <c r="L2731" s="6"/>
      <c r="M2731" s="6"/>
      <c r="N2731" s="6"/>
    </row>
    <row r="2732" spans="1:14" x14ac:dyDescent="0.3">
      <c r="A2732" s="87">
        <v>45700</v>
      </c>
      <c r="B2732" s="87" t="str">
        <f t="shared" si="168"/>
        <v>Wednesday</v>
      </c>
      <c r="C2732" s="88" t="s">
        <v>1381</v>
      </c>
      <c r="D2732" s="88" t="s">
        <v>1165</v>
      </c>
      <c r="E2732" s="89">
        <v>30.86</v>
      </c>
      <c r="F2732" s="88" t="s">
        <v>12</v>
      </c>
      <c r="G2732" s="87">
        <f>Table1[[#This Row],[date]]</f>
        <v>45700</v>
      </c>
      <c r="H2732" s="94">
        <f>SUMIF($A$2:A6367,G2732,$E$2:E6367)</f>
        <v>508.45999999999992</v>
      </c>
      <c r="I2732" s="93" t="str">
        <f t="shared" si="169"/>
        <v>Wednesday</v>
      </c>
      <c r="J2732" s="93" t="str">
        <f t="shared" si="170"/>
        <v>February</v>
      </c>
      <c r="K2732" s="93" t="str">
        <f t="shared" si="171"/>
        <v>2025</v>
      </c>
      <c r="L2732" s="6"/>
      <c r="M2732" s="6"/>
      <c r="N2732" s="6"/>
    </row>
    <row r="2733" spans="1:14" x14ac:dyDescent="0.3">
      <c r="A2733" s="92">
        <v>45700</v>
      </c>
      <c r="B2733" s="92" t="str">
        <f t="shared" si="168"/>
        <v>Wednesday</v>
      </c>
      <c r="C2733" s="93" t="s">
        <v>1381</v>
      </c>
      <c r="D2733" s="93" t="s">
        <v>1200</v>
      </c>
      <c r="E2733" s="94">
        <v>25.96</v>
      </c>
      <c r="F2733" s="93" t="s">
        <v>9</v>
      </c>
      <c r="G2733" s="87">
        <f>Table1[[#This Row],[date]]</f>
        <v>45700</v>
      </c>
      <c r="H2733" s="94">
        <f>SUMIF($A$2:A6368,G2733,$E$2:E6368)</f>
        <v>508.45999999999992</v>
      </c>
      <c r="I2733" s="93" t="str">
        <f t="shared" si="169"/>
        <v>Wednesday</v>
      </c>
      <c r="J2733" s="93" t="str">
        <f t="shared" si="170"/>
        <v>February</v>
      </c>
      <c r="K2733" s="93" t="str">
        <f t="shared" si="171"/>
        <v>2025</v>
      </c>
      <c r="L2733" s="6"/>
      <c r="M2733" s="6"/>
      <c r="N2733" s="6"/>
    </row>
    <row r="2734" spans="1:14" x14ac:dyDescent="0.3">
      <c r="A2734" s="87">
        <v>45700</v>
      </c>
      <c r="B2734" s="87" t="str">
        <f t="shared" si="168"/>
        <v>Wednesday</v>
      </c>
      <c r="C2734" s="88" t="s">
        <v>1381</v>
      </c>
      <c r="D2734" s="88" t="s">
        <v>1217</v>
      </c>
      <c r="E2734" s="89">
        <v>25.96</v>
      </c>
      <c r="F2734" s="88" t="s">
        <v>9</v>
      </c>
      <c r="G2734" s="87">
        <f>Table1[[#This Row],[date]]</f>
        <v>45700</v>
      </c>
      <c r="H2734" s="94">
        <f>SUMIF($A$2:A6369,G2734,$E$2:E6369)</f>
        <v>508.45999999999992</v>
      </c>
      <c r="I2734" s="93" t="str">
        <f t="shared" si="169"/>
        <v>Wednesday</v>
      </c>
      <c r="J2734" s="93" t="str">
        <f t="shared" si="170"/>
        <v>February</v>
      </c>
      <c r="K2734" s="93" t="str">
        <f t="shared" si="171"/>
        <v>2025</v>
      </c>
      <c r="L2734" s="6"/>
      <c r="M2734" s="6"/>
      <c r="N2734" s="6"/>
    </row>
    <row r="2735" spans="1:14" x14ac:dyDescent="0.3">
      <c r="A2735" s="92">
        <v>45700</v>
      </c>
      <c r="B2735" s="92" t="str">
        <f t="shared" si="168"/>
        <v>Wednesday</v>
      </c>
      <c r="C2735" s="93" t="s">
        <v>1381</v>
      </c>
      <c r="D2735" s="93" t="s">
        <v>1218</v>
      </c>
      <c r="E2735" s="94">
        <v>25.96</v>
      </c>
      <c r="F2735" s="93" t="s">
        <v>9</v>
      </c>
      <c r="G2735" s="87">
        <f>Table1[[#This Row],[date]]</f>
        <v>45700</v>
      </c>
      <c r="H2735" s="94">
        <f>SUMIF($A$2:A6370,G2735,$E$2:E6370)</f>
        <v>508.45999999999992</v>
      </c>
      <c r="I2735" s="93" t="str">
        <f t="shared" si="169"/>
        <v>Wednesday</v>
      </c>
      <c r="J2735" s="93" t="str">
        <f t="shared" si="170"/>
        <v>February</v>
      </c>
      <c r="K2735" s="93" t="str">
        <f t="shared" si="171"/>
        <v>2025</v>
      </c>
      <c r="L2735" s="6"/>
      <c r="M2735" s="6"/>
      <c r="N2735" s="6"/>
    </row>
    <row r="2736" spans="1:14" x14ac:dyDescent="0.3">
      <c r="A2736" s="87">
        <v>45700</v>
      </c>
      <c r="B2736" s="87" t="str">
        <f t="shared" si="168"/>
        <v>Wednesday</v>
      </c>
      <c r="C2736" s="88" t="s">
        <v>1381</v>
      </c>
      <c r="D2736" s="88" t="s">
        <v>1172</v>
      </c>
      <c r="E2736" s="89">
        <v>35.76</v>
      </c>
      <c r="F2736" s="88" t="s">
        <v>7</v>
      </c>
      <c r="G2736" s="87">
        <f>Table1[[#This Row],[date]]</f>
        <v>45700</v>
      </c>
      <c r="H2736" s="94">
        <f>SUMIF($A$2:A6371,G2736,$E$2:E6371)</f>
        <v>508.45999999999992</v>
      </c>
      <c r="I2736" s="93" t="str">
        <f t="shared" si="169"/>
        <v>Wednesday</v>
      </c>
      <c r="J2736" s="93" t="str">
        <f t="shared" si="170"/>
        <v>February</v>
      </c>
      <c r="K2736" s="93" t="str">
        <f t="shared" si="171"/>
        <v>2025</v>
      </c>
      <c r="L2736" s="6"/>
      <c r="M2736" s="6"/>
      <c r="N2736" s="6"/>
    </row>
    <row r="2737" spans="1:14" x14ac:dyDescent="0.3">
      <c r="A2737" s="92">
        <v>45700</v>
      </c>
      <c r="B2737" s="92" t="str">
        <f t="shared" si="168"/>
        <v>Wednesday</v>
      </c>
      <c r="C2737" s="93" t="s">
        <v>1381</v>
      </c>
      <c r="D2737" s="93" t="s">
        <v>1176</v>
      </c>
      <c r="E2737" s="94">
        <v>35.76</v>
      </c>
      <c r="F2737" s="93" t="s">
        <v>7</v>
      </c>
      <c r="G2737" s="87">
        <f>Table1[[#This Row],[date]]</f>
        <v>45700</v>
      </c>
      <c r="H2737" s="94">
        <f>SUMIF($A$2:A6372,G2737,$E$2:E6372)</f>
        <v>508.45999999999992</v>
      </c>
      <c r="I2737" s="93" t="str">
        <f t="shared" si="169"/>
        <v>Wednesday</v>
      </c>
      <c r="J2737" s="93" t="str">
        <f t="shared" si="170"/>
        <v>February</v>
      </c>
      <c r="K2737" s="93" t="str">
        <f t="shared" si="171"/>
        <v>2025</v>
      </c>
      <c r="L2737" s="6"/>
      <c r="M2737" s="6"/>
      <c r="N2737" s="6"/>
    </row>
    <row r="2738" spans="1:14" x14ac:dyDescent="0.3">
      <c r="A2738" s="87">
        <v>45700</v>
      </c>
      <c r="B2738" s="87" t="str">
        <f t="shared" si="168"/>
        <v>Wednesday</v>
      </c>
      <c r="C2738" s="88" t="s">
        <v>1381</v>
      </c>
      <c r="D2738" s="88" t="s">
        <v>1203</v>
      </c>
      <c r="E2738" s="89">
        <v>35.76</v>
      </c>
      <c r="F2738" s="88" t="s">
        <v>5</v>
      </c>
      <c r="G2738" s="87">
        <f>Table1[[#This Row],[date]]</f>
        <v>45700</v>
      </c>
      <c r="H2738" s="94">
        <f>SUMIF($A$2:A6373,G2738,$E$2:E6373)</f>
        <v>508.45999999999992</v>
      </c>
      <c r="I2738" s="93" t="str">
        <f t="shared" si="169"/>
        <v>Wednesday</v>
      </c>
      <c r="J2738" s="93" t="str">
        <f t="shared" si="170"/>
        <v>February</v>
      </c>
      <c r="K2738" s="93" t="str">
        <f t="shared" si="171"/>
        <v>2025</v>
      </c>
      <c r="L2738" s="6"/>
      <c r="M2738" s="6"/>
      <c r="N2738" s="6"/>
    </row>
    <row r="2739" spans="1:14" x14ac:dyDescent="0.3">
      <c r="A2739" s="92">
        <v>45700</v>
      </c>
      <c r="B2739" s="92" t="str">
        <f t="shared" si="168"/>
        <v>Wednesday</v>
      </c>
      <c r="C2739" s="93" t="s">
        <v>1381</v>
      </c>
      <c r="D2739" s="93" t="s">
        <v>1177</v>
      </c>
      <c r="E2739" s="94">
        <v>35.76</v>
      </c>
      <c r="F2739" s="93" t="s">
        <v>7</v>
      </c>
      <c r="G2739" s="87">
        <f>Table1[[#This Row],[date]]</f>
        <v>45700</v>
      </c>
      <c r="H2739" s="94">
        <f>SUMIF($A$2:A6374,G2739,$E$2:E6374)</f>
        <v>508.45999999999992</v>
      </c>
      <c r="I2739" s="93" t="str">
        <f t="shared" si="169"/>
        <v>Wednesday</v>
      </c>
      <c r="J2739" s="93" t="str">
        <f t="shared" si="170"/>
        <v>February</v>
      </c>
      <c r="K2739" s="93" t="str">
        <f t="shared" si="171"/>
        <v>2025</v>
      </c>
      <c r="L2739" s="6"/>
      <c r="M2739" s="6"/>
      <c r="N2739" s="6"/>
    </row>
    <row r="2740" spans="1:14" x14ac:dyDescent="0.3">
      <c r="A2740" s="87">
        <v>45700</v>
      </c>
      <c r="B2740" s="87" t="str">
        <f t="shared" si="168"/>
        <v>Wednesday</v>
      </c>
      <c r="C2740" s="88" t="s">
        <v>1381</v>
      </c>
      <c r="D2740" s="88" t="s">
        <v>1172</v>
      </c>
      <c r="E2740" s="89">
        <v>25.96</v>
      </c>
      <c r="F2740" s="88" t="s">
        <v>9</v>
      </c>
      <c r="G2740" s="87">
        <f>Table1[[#This Row],[date]]</f>
        <v>45700</v>
      </c>
      <c r="H2740" s="94">
        <f>SUMIF($A$2:A6375,G2740,$E$2:E6375)</f>
        <v>508.45999999999992</v>
      </c>
      <c r="I2740" s="93" t="str">
        <f t="shared" si="169"/>
        <v>Wednesday</v>
      </c>
      <c r="J2740" s="93" t="str">
        <f t="shared" si="170"/>
        <v>February</v>
      </c>
      <c r="K2740" s="93" t="str">
        <f t="shared" si="171"/>
        <v>2025</v>
      </c>
      <c r="L2740" s="6"/>
      <c r="M2740" s="6"/>
      <c r="N2740" s="6"/>
    </row>
    <row r="2741" spans="1:14" x14ac:dyDescent="0.3">
      <c r="A2741" s="92">
        <v>45700</v>
      </c>
      <c r="B2741" s="92" t="str">
        <f t="shared" si="168"/>
        <v>Wednesday</v>
      </c>
      <c r="C2741" s="93" t="s">
        <v>1381</v>
      </c>
      <c r="D2741" s="93" t="s">
        <v>1122</v>
      </c>
      <c r="E2741" s="94">
        <v>25.96</v>
      </c>
      <c r="F2741" s="93" t="s">
        <v>9</v>
      </c>
      <c r="G2741" s="87">
        <f>Table1[[#This Row],[date]]</f>
        <v>45700</v>
      </c>
      <c r="H2741" s="94">
        <f>SUMIF($A$2:A6376,G2741,$E$2:E6376)</f>
        <v>508.45999999999992</v>
      </c>
      <c r="I2741" s="93" t="str">
        <f t="shared" si="169"/>
        <v>Wednesday</v>
      </c>
      <c r="J2741" s="93" t="str">
        <f t="shared" si="170"/>
        <v>February</v>
      </c>
      <c r="K2741" s="93" t="str">
        <f t="shared" si="171"/>
        <v>2025</v>
      </c>
      <c r="L2741" s="6"/>
      <c r="M2741" s="6"/>
      <c r="N2741" s="6"/>
    </row>
    <row r="2742" spans="1:14" x14ac:dyDescent="0.3">
      <c r="A2742" s="87">
        <v>45700</v>
      </c>
      <c r="B2742" s="87" t="str">
        <f t="shared" si="168"/>
        <v>Wednesday</v>
      </c>
      <c r="C2742" s="88" t="s">
        <v>1381</v>
      </c>
      <c r="D2742" s="88" t="s">
        <v>519</v>
      </c>
      <c r="E2742" s="89">
        <v>35.76</v>
      </c>
      <c r="F2742" s="88" t="s">
        <v>5</v>
      </c>
      <c r="G2742" s="87">
        <f>Table1[[#This Row],[date]]</f>
        <v>45700</v>
      </c>
      <c r="H2742" s="94">
        <f>SUMIF($A$2:A6377,G2742,$E$2:E6377)</f>
        <v>508.45999999999992</v>
      </c>
      <c r="I2742" s="93" t="str">
        <f t="shared" si="169"/>
        <v>Wednesday</v>
      </c>
      <c r="J2742" s="93" t="str">
        <f t="shared" si="170"/>
        <v>February</v>
      </c>
      <c r="K2742" s="93" t="str">
        <f t="shared" si="171"/>
        <v>2025</v>
      </c>
      <c r="L2742" s="6"/>
      <c r="M2742" s="6"/>
      <c r="N2742" s="6"/>
    </row>
    <row r="2743" spans="1:14" x14ac:dyDescent="0.3">
      <c r="A2743" s="92">
        <v>45700</v>
      </c>
      <c r="B2743" s="92" t="str">
        <f t="shared" si="168"/>
        <v>Wednesday</v>
      </c>
      <c r="C2743" s="93" t="s">
        <v>1381</v>
      </c>
      <c r="D2743" s="93" t="s">
        <v>1190</v>
      </c>
      <c r="E2743" s="94">
        <v>35.76</v>
      </c>
      <c r="F2743" s="93" t="s">
        <v>16</v>
      </c>
      <c r="G2743" s="87">
        <f>Table1[[#This Row],[date]]</f>
        <v>45700</v>
      </c>
      <c r="H2743" s="94">
        <f>SUMIF($A$2:A6378,G2743,$E$2:E6378)</f>
        <v>508.45999999999992</v>
      </c>
      <c r="I2743" s="93" t="str">
        <f t="shared" si="169"/>
        <v>Wednesday</v>
      </c>
      <c r="J2743" s="93" t="str">
        <f t="shared" si="170"/>
        <v>February</v>
      </c>
      <c r="K2743" s="93" t="str">
        <f t="shared" si="171"/>
        <v>2025</v>
      </c>
      <c r="L2743" s="6"/>
      <c r="M2743" s="6"/>
      <c r="N2743" s="6"/>
    </row>
    <row r="2744" spans="1:14" x14ac:dyDescent="0.3">
      <c r="A2744" s="87">
        <v>45700</v>
      </c>
      <c r="B2744" s="87" t="str">
        <f t="shared" si="168"/>
        <v>Wednesday</v>
      </c>
      <c r="C2744" s="88" t="s">
        <v>1381</v>
      </c>
      <c r="D2744" s="88" t="s">
        <v>1170</v>
      </c>
      <c r="E2744" s="89">
        <v>35.76</v>
      </c>
      <c r="F2744" s="88" t="s">
        <v>41</v>
      </c>
      <c r="G2744" s="87">
        <f>Table1[[#This Row],[date]]</f>
        <v>45700</v>
      </c>
      <c r="H2744" s="94">
        <f>SUMIF($A$2:A6379,G2744,$E$2:E6379)</f>
        <v>508.45999999999992</v>
      </c>
      <c r="I2744" s="93" t="str">
        <f t="shared" si="169"/>
        <v>Wednesday</v>
      </c>
      <c r="J2744" s="93" t="str">
        <f t="shared" si="170"/>
        <v>February</v>
      </c>
      <c r="K2744" s="93" t="str">
        <f t="shared" si="171"/>
        <v>2025</v>
      </c>
      <c r="L2744" s="6"/>
      <c r="M2744" s="6"/>
      <c r="N2744" s="6"/>
    </row>
    <row r="2745" spans="1:14" x14ac:dyDescent="0.3">
      <c r="A2745" s="92">
        <v>45701</v>
      </c>
      <c r="B2745" s="92" t="str">
        <f t="shared" si="168"/>
        <v>Thursday</v>
      </c>
      <c r="C2745" s="93" t="s">
        <v>1381</v>
      </c>
      <c r="D2745" s="93" t="s">
        <v>1165</v>
      </c>
      <c r="E2745" s="94">
        <v>30.86</v>
      </c>
      <c r="F2745" s="93" t="s">
        <v>12</v>
      </c>
      <c r="G2745" s="87">
        <f>Table1[[#This Row],[date]]</f>
        <v>45701</v>
      </c>
      <c r="H2745" s="94">
        <f>SUMIF($A$2:A6380,G2745,$E$2:E6380)</f>
        <v>370.32</v>
      </c>
      <c r="I2745" s="93" t="str">
        <f t="shared" si="169"/>
        <v>Thursday</v>
      </c>
      <c r="J2745" s="93" t="str">
        <f t="shared" si="170"/>
        <v>February</v>
      </c>
      <c r="K2745" s="93" t="str">
        <f t="shared" si="171"/>
        <v>2025</v>
      </c>
      <c r="L2745" s="6"/>
      <c r="M2745" s="6"/>
      <c r="N2745" s="6"/>
    </row>
    <row r="2746" spans="1:14" x14ac:dyDescent="0.3">
      <c r="A2746" s="87">
        <v>45701</v>
      </c>
      <c r="B2746" s="87" t="str">
        <f t="shared" si="168"/>
        <v>Thursday</v>
      </c>
      <c r="C2746" s="88" t="s">
        <v>1381</v>
      </c>
      <c r="D2746" s="88" t="s">
        <v>1164</v>
      </c>
      <c r="E2746" s="89">
        <v>25.96</v>
      </c>
      <c r="F2746" s="88" t="s">
        <v>9</v>
      </c>
      <c r="G2746" s="87">
        <f>Table1[[#This Row],[date]]</f>
        <v>45701</v>
      </c>
      <c r="H2746" s="94">
        <f>SUMIF($A$2:A6381,G2746,$E$2:E6381)</f>
        <v>370.32</v>
      </c>
      <c r="I2746" s="93" t="str">
        <f t="shared" si="169"/>
        <v>Thursday</v>
      </c>
      <c r="J2746" s="93" t="str">
        <f t="shared" si="170"/>
        <v>February</v>
      </c>
      <c r="K2746" s="93" t="str">
        <f t="shared" si="171"/>
        <v>2025</v>
      </c>
      <c r="L2746" s="6"/>
      <c r="M2746" s="6"/>
      <c r="N2746" s="6"/>
    </row>
    <row r="2747" spans="1:14" x14ac:dyDescent="0.3">
      <c r="A2747" s="92">
        <v>45701</v>
      </c>
      <c r="B2747" s="92" t="str">
        <f t="shared" si="168"/>
        <v>Thursday</v>
      </c>
      <c r="C2747" s="93" t="s">
        <v>1381</v>
      </c>
      <c r="D2747" s="93" t="s">
        <v>1219</v>
      </c>
      <c r="E2747" s="94">
        <v>21.06</v>
      </c>
      <c r="F2747" s="93" t="s">
        <v>33</v>
      </c>
      <c r="G2747" s="87">
        <f>Table1[[#This Row],[date]]</f>
        <v>45701</v>
      </c>
      <c r="H2747" s="94">
        <f>SUMIF($A$2:A6382,G2747,$E$2:E6382)</f>
        <v>370.32</v>
      </c>
      <c r="I2747" s="93" t="str">
        <f t="shared" si="169"/>
        <v>Thursday</v>
      </c>
      <c r="J2747" s="93" t="str">
        <f t="shared" si="170"/>
        <v>February</v>
      </c>
      <c r="K2747" s="93" t="str">
        <f t="shared" si="171"/>
        <v>2025</v>
      </c>
      <c r="L2747" s="6"/>
      <c r="M2747" s="6"/>
      <c r="N2747" s="6"/>
    </row>
    <row r="2748" spans="1:14" x14ac:dyDescent="0.3">
      <c r="A2748" s="87">
        <v>45701</v>
      </c>
      <c r="B2748" s="87" t="str">
        <f t="shared" si="168"/>
        <v>Thursday</v>
      </c>
      <c r="C2748" s="88" t="s">
        <v>1381</v>
      </c>
      <c r="D2748" s="88" t="s">
        <v>1180</v>
      </c>
      <c r="E2748" s="89">
        <v>35.76</v>
      </c>
      <c r="F2748" s="88" t="s">
        <v>16</v>
      </c>
      <c r="G2748" s="87">
        <f>Table1[[#This Row],[date]]</f>
        <v>45701</v>
      </c>
      <c r="H2748" s="94">
        <f>SUMIF($A$2:A6383,G2748,$E$2:E6383)</f>
        <v>370.32</v>
      </c>
      <c r="I2748" s="93" t="str">
        <f t="shared" si="169"/>
        <v>Thursday</v>
      </c>
      <c r="J2748" s="93" t="str">
        <f t="shared" si="170"/>
        <v>February</v>
      </c>
      <c r="K2748" s="93" t="str">
        <f t="shared" si="171"/>
        <v>2025</v>
      </c>
      <c r="L2748" s="6"/>
      <c r="M2748" s="6"/>
      <c r="N2748" s="6"/>
    </row>
    <row r="2749" spans="1:14" x14ac:dyDescent="0.3">
      <c r="A2749" s="92">
        <v>45701</v>
      </c>
      <c r="B2749" s="92" t="str">
        <f t="shared" si="168"/>
        <v>Thursday</v>
      </c>
      <c r="C2749" s="93" t="s">
        <v>1381</v>
      </c>
      <c r="D2749" s="93" t="s">
        <v>1168</v>
      </c>
      <c r="E2749" s="94">
        <v>30.86</v>
      </c>
      <c r="F2749" s="93" t="s">
        <v>12</v>
      </c>
      <c r="G2749" s="87">
        <f>Table1[[#This Row],[date]]</f>
        <v>45701</v>
      </c>
      <c r="H2749" s="94">
        <f>SUMIF($A$2:A6384,G2749,$E$2:E6384)</f>
        <v>370.32</v>
      </c>
      <c r="I2749" s="93" t="str">
        <f t="shared" si="169"/>
        <v>Thursday</v>
      </c>
      <c r="J2749" s="93" t="str">
        <f t="shared" si="170"/>
        <v>February</v>
      </c>
      <c r="K2749" s="93" t="str">
        <f t="shared" si="171"/>
        <v>2025</v>
      </c>
      <c r="L2749" s="6"/>
      <c r="M2749" s="6"/>
      <c r="N2749" s="6"/>
    </row>
    <row r="2750" spans="1:14" x14ac:dyDescent="0.3">
      <c r="A2750" s="87">
        <v>45701</v>
      </c>
      <c r="B2750" s="87" t="str">
        <f t="shared" si="168"/>
        <v>Thursday</v>
      </c>
      <c r="C2750" s="88" t="s">
        <v>1381</v>
      </c>
      <c r="D2750" s="88" t="s">
        <v>1169</v>
      </c>
      <c r="E2750" s="89">
        <v>30.86</v>
      </c>
      <c r="F2750" s="88" t="s">
        <v>12</v>
      </c>
      <c r="G2750" s="87">
        <f>Table1[[#This Row],[date]]</f>
        <v>45701</v>
      </c>
      <c r="H2750" s="94">
        <f>SUMIF($A$2:A6385,G2750,$E$2:E6385)</f>
        <v>370.32</v>
      </c>
      <c r="I2750" s="93" t="str">
        <f t="shared" si="169"/>
        <v>Thursday</v>
      </c>
      <c r="J2750" s="93" t="str">
        <f t="shared" si="170"/>
        <v>February</v>
      </c>
      <c r="K2750" s="93" t="str">
        <f t="shared" si="171"/>
        <v>2025</v>
      </c>
      <c r="L2750" s="6"/>
      <c r="M2750" s="6"/>
      <c r="N2750" s="6"/>
    </row>
    <row r="2751" spans="1:14" x14ac:dyDescent="0.3">
      <c r="A2751" s="92">
        <v>45701</v>
      </c>
      <c r="B2751" s="92" t="str">
        <f t="shared" si="168"/>
        <v>Thursday</v>
      </c>
      <c r="C2751" s="93" t="s">
        <v>1381</v>
      </c>
      <c r="D2751" s="93" t="s">
        <v>1175</v>
      </c>
      <c r="E2751" s="94">
        <v>25.96</v>
      </c>
      <c r="F2751" s="93" t="s">
        <v>9</v>
      </c>
      <c r="G2751" s="87">
        <f>Table1[[#This Row],[date]]</f>
        <v>45701</v>
      </c>
      <c r="H2751" s="94">
        <f>SUMIF($A$2:A6386,G2751,$E$2:E6386)</f>
        <v>370.32</v>
      </c>
      <c r="I2751" s="93" t="str">
        <f t="shared" si="169"/>
        <v>Thursday</v>
      </c>
      <c r="J2751" s="93" t="str">
        <f t="shared" si="170"/>
        <v>February</v>
      </c>
      <c r="K2751" s="93" t="str">
        <f t="shared" si="171"/>
        <v>2025</v>
      </c>
      <c r="L2751" s="6"/>
      <c r="M2751" s="6"/>
      <c r="N2751" s="6"/>
    </row>
    <row r="2752" spans="1:14" x14ac:dyDescent="0.3">
      <c r="A2752" s="92">
        <v>45701</v>
      </c>
      <c r="B2752" s="92" t="str">
        <f t="shared" si="168"/>
        <v>Thursday</v>
      </c>
      <c r="C2752" s="93" t="s">
        <v>1381</v>
      </c>
      <c r="D2752" s="93" t="s">
        <v>1190</v>
      </c>
      <c r="E2752" s="94">
        <v>30.86</v>
      </c>
      <c r="F2752" s="93" t="s">
        <v>12</v>
      </c>
      <c r="G2752" s="87">
        <f>Table1[[#This Row],[date]]</f>
        <v>45701</v>
      </c>
      <c r="H2752" s="94">
        <f>SUMIF($A$2:A6387,G2752,$E$2:E6387)</f>
        <v>370.32</v>
      </c>
      <c r="I2752" s="93" t="str">
        <f t="shared" si="169"/>
        <v>Thursday</v>
      </c>
      <c r="J2752" s="93" t="str">
        <f t="shared" si="170"/>
        <v>February</v>
      </c>
      <c r="K2752" s="93" t="str">
        <f t="shared" si="171"/>
        <v>2025</v>
      </c>
      <c r="L2752" s="6"/>
      <c r="M2752" s="6"/>
      <c r="N2752" s="6"/>
    </row>
    <row r="2753" spans="1:14" x14ac:dyDescent="0.3">
      <c r="A2753" s="87">
        <v>45701</v>
      </c>
      <c r="B2753" s="87" t="str">
        <f t="shared" si="168"/>
        <v>Thursday</v>
      </c>
      <c r="C2753" s="88" t="s">
        <v>1381</v>
      </c>
      <c r="D2753" s="88" t="s">
        <v>1191</v>
      </c>
      <c r="E2753" s="89">
        <v>30.86</v>
      </c>
      <c r="F2753" s="88" t="s">
        <v>12</v>
      </c>
      <c r="G2753" s="87">
        <f>Table1[[#This Row],[date]]</f>
        <v>45701</v>
      </c>
      <c r="H2753" s="94">
        <f>SUMIF($A$2:A6388,G2753,$E$2:E6388)</f>
        <v>370.32</v>
      </c>
      <c r="I2753" s="93" t="str">
        <f t="shared" si="169"/>
        <v>Thursday</v>
      </c>
      <c r="J2753" s="93" t="str">
        <f t="shared" si="170"/>
        <v>February</v>
      </c>
      <c r="K2753" s="93" t="str">
        <f t="shared" si="171"/>
        <v>2025</v>
      </c>
      <c r="L2753" s="6"/>
      <c r="M2753" s="6"/>
      <c r="N2753" s="6"/>
    </row>
    <row r="2754" spans="1:14" x14ac:dyDescent="0.3">
      <c r="A2754" s="92">
        <v>45701</v>
      </c>
      <c r="B2754" s="92" t="str">
        <f t="shared" ref="B2754:B2817" si="172">TEXT(A2754,"dddd")</f>
        <v>Thursday</v>
      </c>
      <c r="C2754" s="93" t="s">
        <v>1381</v>
      </c>
      <c r="D2754" s="93" t="s">
        <v>1220</v>
      </c>
      <c r="E2754" s="94">
        <v>35.76</v>
      </c>
      <c r="F2754" s="93" t="s">
        <v>5</v>
      </c>
      <c r="G2754" s="87">
        <f>Table1[[#This Row],[date]]</f>
        <v>45701</v>
      </c>
      <c r="H2754" s="94">
        <f>SUMIF($A$2:A6389,G2754,$E$2:E6389)</f>
        <v>370.32</v>
      </c>
      <c r="I2754" s="93" t="str">
        <f t="shared" si="169"/>
        <v>Thursday</v>
      </c>
      <c r="J2754" s="93" t="str">
        <f t="shared" si="170"/>
        <v>February</v>
      </c>
      <c r="K2754" s="93" t="str">
        <f t="shared" si="171"/>
        <v>2025</v>
      </c>
      <c r="L2754" s="6"/>
      <c r="M2754" s="6"/>
      <c r="N2754" s="6"/>
    </row>
    <row r="2755" spans="1:14" x14ac:dyDescent="0.3">
      <c r="A2755" s="87">
        <v>45701</v>
      </c>
      <c r="B2755" s="87" t="str">
        <f t="shared" si="172"/>
        <v>Thursday</v>
      </c>
      <c r="C2755" s="88" t="s">
        <v>1381</v>
      </c>
      <c r="D2755" s="88" t="s">
        <v>58</v>
      </c>
      <c r="E2755" s="89">
        <v>35.76</v>
      </c>
      <c r="F2755" s="88" t="s">
        <v>41</v>
      </c>
      <c r="G2755" s="87">
        <f>Table1[[#This Row],[date]]</f>
        <v>45701</v>
      </c>
      <c r="H2755" s="94">
        <f>SUMIF($A$2:A6390,G2755,$E$2:E6390)</f>
        <v>370.32</v>
      </c>
      <c r="I2755" s="93" t="str">
        <f t="shared" si="169"/>
        <v>Thursday</v>
      </c>
      <c r="J2755" s="93" t="str">
        <f t="shared" si="170"/>
        <v>February</v>
      </c>
      <c r="K2755" s="93" t="str">
        <f t="shared" si="171"/>
        <v>2025</v>
      </c>
      <c r="L2755" s="6"/>
      <c r="M2755" s="6"/>
      <c r="N2755" s="6"/>
    </row>
    <row r="2756" spans="1:14" x14ac:dyDescent="0.3">
      <c r="A2756" s="92">
        <v>45701</v>
      </c>
      <c r="B2756" s="92" t="str">
        <f t="shared" si="172"/>
        <v>Thursday</v>
      </c>
      <c r="C2756" s="93" t="s">
        <v>1381</v>
      </c>
      <c r="D2756" s="93" t="s">
        <v>1221</v>
      </c>
      <c r="E2756" s="94">
        <v>35.76</v>
      </c>
      <c r="F2756" s="93" t="s">
        <v>5</v>
      </c>
      <c r="G2756" s="87">
        <f>Table1[[#This Row],[date]]</f>
        <v>45701</v>
      </c>
      <c r="H2756" s="94">
        <f>SUMIF($A$2:A6391,G2756,$E$2:E6391)</f>
        <v>370.32</v>
      </c>
      <c r="I2756" s="93" t="str">
        <f t="shared" si="169"/>
        <v>Thursday</v>
      </c>
      <c r="J2756" s="93" t="str">
        <f t="shared" si="170"/>
        <v>February</v>
      </c>
      <c r="K2756" s="93" t="str">
        <f t="shared" si="171"/>
        <v>2025</v>
      </c>
      <c r="L2756" s="6"/>
      <c r="M2756" s="6"/>
      <c r="N2756" s="6"/>
    </row>
    <row r="2757" spans="1:14" x14ac:dyDescent="0.3">
      <c r="A2757" s="87">
        <v>45702</v>
      </c>
      <c r="B2757" s="87" t="str">
        <f t="shared" si="172"/>
        <v>Friday</v>
      </c>
      <c r="C2757" s="88" t="s">
        <v>1381</v>
      </c>
      <c r="D2757" s="88" t="s">
        <v>1175</v>
      </c>
      <c r="E2757" s="89">
        <v>25.96</v>
      </c>
      <c r="F2757" s="88" t="s">
        <v>9</v>
      </c>
      <c r="G2757" s="87">
        <f>Table1[[#This Row],[date]]</f>
        <v>45702</v>
      </c>
      <c r="H2757" s="94">
        <f>SUMIF($A$2:A6392,G2757,$E$2:E6392)</f>
        <v>457.99999999999994</v>
      </c>
      <c r="I2757" s="93" t="str">
        <f t="shared" si="169"/>
        <v>Friday</v>
      </c>
      <c r="J2757" s="93" t="str">
        <f t="shared" si="170"/>
        <v>February</v>
      </c>
      <c r="K2757" s="93" t="str">
        <f t="shared" si="171"/>
        <v>2025</v>
      </c>
      <c r="L2757" s="6"/>
      <c r="M2757" s="6"/>
      <c r="N2757" s="6"/>
    </row>
    <row r="2758" spans="1:14" x14ac:dyDescent="0.3">
      <c r="A2758" s="92">
        <v>45702</v>
      </c>
      <c r="B2758" s="92" t="str">
        <f t="shared" si="172"/>
        <v>Friday</v>
      </c>
      <c r="C2758" s="93" t="s">
        <v>1381</v>
      </c>
      <c r="D2758" s="93" t="s">
        <v>1222</v>
      </c>
      <c r="E2758" s="94">
        <v>35.76</v>
      </c>
      <c r="F2758" s="93" t="s">
        <v>7</v>
      </c>
      <c r="G2758" s="87">
        <f>Table1[[#This Row],[date]]</f>
        <v>45702</v>
      </c>
      <c r="H2758" s="94">
        <f>SUMIF($A$2:A6393,G2758,$E$2:E6393)</f>
        <v>457.99999999999994</v>
      </c>
      <c r="I2758" s="93" t="str">
        <f t="shared" ref="I2758:I2821" si="173">TEXT(G2758,"dddd")</f>
        <v>Friday</v>
      </c>
      <c r="J2758" s="93" t="str">
        <f t="shared" si="170"/>
        <v>February</v>
      </c>
      <c r="K2758" s="93" t="str">
        <f t="shared" si="171"/>
        <v>2025</v>
      </c>
      <c r="L2758" s="6"/>
      <c r="M2758" s="6"/>
      <c r="N2758" s="6"/>
    </row>
    <row r="2759" spans="1:14" x14ac:dyDescent="0.3">
      <c r="A2759" s="87">
        <v>45702</v>
      </c>
      <c r="B2759" s="87" t="str">
        <f t="shared" si="172"/>
        <v>Friday</v>
      </c>
      <c r="C2759" s="88" t="s">
        <v>1381</v>
      </c>
      <c r="D2759" s="88" t="s">
        <v>1210</v>
      </c>
      <c r="E2759" s="89">
        <v>25.96</v>
      </c>
      <c r="F2759" s="88" t="s">
        <v>9</v>
      </c>
      <c r="G2759" s="87">
        <f>Table1[[#This Row],[date]]</f>
        <v>45702</v>
      </c>
      <c r="H2759" s="94">
        <f>SUMIF($A$2:A6394,G2759,$E$2:E6394)</f>
        <v>457.99999999999994</v>
      </c>
      <c r="I2759" s="93" t="str">
        <f t="shared" si="173"/>
        <v>Friday</v>
      </c>
      <c r="J2759" s="93" t="str">
        <f t="shared" ref="J2759:J2822" si="174">TEXT(G2759,"mmmm")</f>
        <v>February</v>
      </c>
      <c r="K2759" s="93" t="str">
        <f t="shared" ref="K2759:K2822" si="175">TEXT(G2759,"yyyy")</f>
        <v>2025</v>
      </c>
      <c r="L2759" s="6"/>
      <c r="M2759" s="6"/>
      <c r="N2759" s="6"/>
    </row>
    <row r="2760" spans="1:14" x14ac:dyDescent="0.3">
      <c r="A2760" s="92">
        <v>45702</v>
      </c>
      <c r="B2760" s="92" t="str">
        <f t="shared" si="172"/>
        <v>Friday</v>
      </c>
      <c r="C2760" s="93" t="s">
        <v>1381</v>
      </c>
      <c r="D2760" s="93" t="s">
        <v>1210</v>
      </c>
      <c r="E2760" s="94">
        <v>21.06</v>
      </c>
      <c r="F2760" s="93" t="s">
        <v>33</v>
      </c>
      <c r="G2760" s="87">
        <f>Table1[[#This Row],[date]]</f>
        <v>45702</v>
      </c>
      <c r="H2760" s="94">
        <f>SUMIF($A$2:A6395,G2760,$E$2:E6395)</f>
        <v>457.99999999999994</v>
      </c>
      <c r="I2760" s="93" t="str">
        <f t="shared" si="173"/>
        <v>Friday</v>
      </c>
      <c r="J2760" s="93" t="str">
        <f t="shared" si="174"/>
        <v>February</v>
      </c>
      <c r="K2760" s="93" t="str">
        <f t="shared" si="175"/>
        <v>2025</v>
      </c>
      <c r="L2760" s="6"/>
      <c r="M2760" s="6"/>
      <c r="N2760" s="6"/>
    </row>
    <row r="2761" spans="1:14" x14ac:dyDescent="0.3">
      <c r="A2761" s="87">
        <v>45702</v>
      </c>
      <c r="B2761" s="87" t="str">
        <f t="shared" si="172"/>
        <v>Friday</v>
      </c>
      <c r="C2761" s="88" t="s">
        <v>1381</v>
      </c>
      <c r="D2761" s="88" t="s">
        <v>1223</v>
      </c>
      <c r="E2761" s="89">
        <v>30.86</v>
      </c>
      <c r="F2761" s="88" t="s">
        <v>12</v>
      </c>
      <c r="G2761" s="87">
        <f>Table1[[#This Row],[date]]</f>
        <v>45702</v>
      </c>
      <c r="H2761" s="94">
        <f>SUMIF($A$2:A6396,G2761,$E$2:E6396)</f>
        <v>457.99999999999994</v>
      </c>
      <c r="I2761" s="93" t="str">
        <f t="shared" si="173"/>
        <v>Friday</v>
      </c>
      <c r="J2761" s="93" t="str">
        <f t="shared" si="174"/>
        <v>February</v>
      </c>
      <c r="K2761" s="93" t="str">
        <f t="shared" si="175"/>
        <v>2025</v>
      </c>
      <c r="L2761" s="6"/>
      <c r="M2761" s="6"/>
      <c r="N2761" s="6"/>
    </row>
    <row r="2762" spans="1:14" x14ac:dyDescent="0.3">
      <c r="A2762" s="92">
        <v>45702</v>
      </c>
      <c r="B2762" s="92" t="str">
        <f t="shared" si="172"/>
        <v>Friday</v>
      </c>
      <c r="C2762" s="93" t="s">
        <v>1381</v>
      </c>
      <c r="D2762" s="93" t="s">
        <v>1212</v>
      </c>
      <c r="E2762" s="94">
        <v>35.76</v>
      </c>
      <c r="F2762" s="93" t="s">
        <v>41</v>
      </c>
      <c r="G2762" s="87">
        <f>Table1[[#This Row],[date]]</f>
        <v>45702</v>
      </c>
      <c r="H2762" s="94">
        <f>SUMIF($A$2:A6397,G2762,$E$2:E6397)</f>
        <v>457.99999999999994</v>
      </c>
      <c r="I2762" s="93" t="str">
        <f t="shared" si="173"/>
        <v>Friday</v>
      </c>
      <c r="J2762" s="93" t="str">
        <f t="shared" si="174"/>
        <v>February</v>
      </c>
      <c r="K2762" s="93" t="str">
        <f t="shared" si="175"/>
        <v>2025</v>
      </c>
      <c r="L2762" s="6"/>
      <c r="M2762" s="6"/>
      <c r="N2762" s="6"/>
    </row>
    <row r="2763" spans="1:14" x14ac:dyDescent="0.3">
      <c r="A2763" s="87">
        <v>45702</v>
      </c>
      <c r="B2763" s="87" t="str">
        <f t="shared" si="172"/>
        <v>Friday</v>
      </c>
      <c r="C2763" s="88" t="s">
        <v>1381</v>
      </c>
      <c r="D2763" s="88" t="s">
        <v>519</v>
      </c>
      <c r="E2763" s="89">
        <v>35.76</v>
      </c>
      <c r="F2763" s="88" t="s">
        <v>41</v>
      </c>
      <c r="G2763" s="87">
        <f>Table1[[#This Row],[date]]</f>
        <v>45702</v>
      </c>
      <c r="H2763" s="94">
        <f>SUMIF($A$2:A6398,G2763,$E$2:E6398)</f>
        <v>457.99999999999994</v>
      </c>
      <c r="I2763" s="93" t="str">
        <f t="shared" si="173"/>
        <v>Friday</v>
      </c>
      <c r="J2763" s="93" t="str">
        <f t="shared" si="174"/>
        <v>February</v>
      </c>
      <c r="K2763" s="93" t="str">
        <f t="shared" si="175"/>
        <v>2025</v>
      </c>
      <c r="L2763" s="6"/>
      <c r="M2763" s="6"/>
      <c r="N2763" s="6"/>
    </row>
    <row r="2764" spans="1:14" x14ac:dyDescent="0.3">
      <c r="A2764" s="92">
        <v>45702</v>
      </c>
      <c r="B2764" s="92" t="str">
        <f t="shared" si="172"/>
        <v>Friday</v>
      </c>
      <c r="C2764" s="93" t="s">
        <v>1381</v>
      </c>
      <c r="D2764" s="93" t="s">
        <v>519</v>
      </c>
      <c r="E2764" s="94">
        <v>35.76</v>
      </c>
      <c r="F2764" s="93" t="s">
        <v>5</v>
      </c>
      <c r="G2764" s="87">
        <f>Table1[[#This Row],[date]]</f>
        <v>45702</v>
      </c>
      <c r="H2764" s="94">
        <f>SUMIF($A$2:A6399,G2764,$E$2:E6399)</f>
        <v>457.99999999999994</v>
      </c>
      <c r="I2764" s="93" t="str">
        <f t="shared" si="173"/>
        <v>Friday</v>
      </c>
      <c r="J2764" s="93" t="str">
        <f t="shared" si="174"/>
        <v>February</v>
      </c>
      <c r="K2764" s="93" t="str">
        <f t="shared" si="175"/>
        <v>2025</v>
      </c>
      <c r="L2764" s="6"/>
      <c r="M2764" s="6"/>
      <c r="N2764" s="6"/>
    </row>
    <row r="2765" spans="1:14" x14ac:dyDescent="0.3">
      <c r="A2765" s="87">
        <v>45702</v>
      </c>
      <c r="B2765" s="87" t="str">
        <f t="shared" si="172"/>
        <v>Friday</v>
      </c>
      <c r="C2765" s="88" t="s">
        <v>1381</v>
      </c>
      <c r="D2765" s="88" t="s">
        <v>1224</v>
      </c>
      <c r="E2765" s="89">
        <v>35.76</v>
      </c>
      <c r="F2765" s="88" t="s">
        <v>7</v>
      </c>
      <c r="G2765" s="87">
        <f>Table1[[#This Row],[date]]</f>
        <v>45702</v>
      </c>
      <c r="H2765" s="94">
        <f>SUMIF($A$2:A6400,G2765,$E$2:E6400)</f>
        <v>457.99999999999994</v>
      </c>
      <c r="I2765" s="93" t="str">
        <f t="shared" si="173"/>
        <v>Friday</v>
      </c>
      <c r="J2765" s="93" t="str">
        <f t="shared" si="174"/>
        <v>February</v>
      </c>
      <c r="K2765" s="93" t="str">
        <f t="shared" si="175"/>
        <v>2025</v>
      </c>
      <c r="L2765" s="6"/>
      <c r="M2765" s="6"/>
      <c r="N2765" s="6"/>
    </row>
    <row r="2766" spans="1:14" x14ac:dyDescent="0.3">
      <c r="A2766" s="92">
        <v>45702</v>
      </c>
      <c r="B2766" s="92" t="str">
        <f t="shared" si="172"/>
        <v>Friday</v>
      </c>
      <c r="C2766" s="93" t="s">
        <v>1381</v>
      </c>
      <c r="D2766" s="93" t="s">
        <v>1224</v>
      </c>
      <c r="E2766" s="94">
        <v>35.76</v>
      </c>
      <c r="F2766" s="93" t="s">
        <v>41</v>
      </c>
      <c r="G2766" s="87">
        <f>Table1[[#This Row],[date]]</f>
        <v>45702</v>
      </c>
      <c r="H2766" s="94">
        <f>SUMIF($A$2:A6401,G2766,$E$2:E6401)</f>
        <v>457.99999999999994</v>
      </c>
      <c r="I2766" s="93" t="str">
        <f t="shared" si="173"/>
        <v>Friday</v>
      </c>
      <c r="J2766" s="93" t="str">
        <f t="shared" si="174"/>
        <v>February</v>
      </c>
      <c r="K2766" s="93" t="str">
        <f t="shared" si="175"/>
        <v>2025</v>
      </c>
      <c r="L2766" s="6"/>
      <c r="M2766" s="6"/>
      <c r="N2766" s="6"/>
    </row>
    <row r="2767" spans="1:14" x14ac:dyDescent="0.3">
      <c r="A2767" s="87">
        <v>45702</v>
      </c>
      <c r="B2767" s="87" t="str">
        <f t="shared" si="172"/>
        <v>Friday</v>
      </c>
      <c r="C2767" s="88" t="s">
        <v>1381</v>
      </c>
      <c r="D2767" s="88" t="s">
        <v>1172</v>
      </c>
      <c r="E2767" s="89">
        <v>25.96</v>
      </c>
      <c r="F2767" s="88" t="s">
        <v>9</v>
      </c>
      <c r="G2767" s="87">
        <f>Table1[[#This Row],[date]]</f>
        <v>45702</v>
      </c>
      <c r="H2767" s="94">
        <f>SUMIF($A$2:A6402,G2767,$E$2:E6402)</f>
        <v>457.99999999999994</v>
      </c>
      <c r="I2767" s="93" t="str">
        <f t="shared" si="173"/>
        <v>Friday</v>
      </c>
      <c r="J2767" s="93" t="str">
        <f t="shared" si="174"/>
        <v>February</v>
      </c>
      <c r="K2767" s="93" t="str">
        <f t="shared" si="175"/>
        <v>2025</v>
      </c>
      <c r="L2767" s="6"/>
      <c r="M2767" s="6"/>
      <c r="N2767" s="6"/>
    </row>
    <row r="2768" spans="1:14" x14ac:dyDescent="0.3">
      <c r="A2768" s="92">
        <v>45702</v>
      </c>
      <c r="B2768" s="92" t="str">
        <f t="shared" si="172"/>
        <v>Friday</v>
      </c>
      <c r="C2768" s="93" t="s">
        <v>1381</v>
      </c>
      <c r="D2768" s="93" t="s">
        <v>1172</v>
      </c>
      <c r="E2768" s="94">
        <v>35.76</v>
      </c>
      <c r="F2768" s="93" t="s">
        <v>16</v>
      </c>
      <c r="G2768" s="87">
        <f>Table1[[#This Row],[date]]</f>
        <v>45702</v>
      </c>
      <c r="H2768" s="94">
        <f>SUMIF($A$2:A6403,G2768,$E$2:E6403)</f>
        <v>457.99999999999994</v>
      </c>
      <c r="I2768" s="93" t="str">
        <f t="shared" si="173"/>
        <v>Friday</v>
      </c>
      <c r="J2768" s="93" t="str">
        <f t="shared" si="174"/>
        <v>February</v>
      </c>
      <c r="K2768" s="93" t="str">
        <f t="shared" si="175"/>
        <v>2025</v>
      </c>
      <c r="L2768" s="6"/>
      <c r="M2768" s="6"/>
      <c r="N2768" s="6"/>
    </row>
    <row r="2769" spans="1:14" x14ac:dyDescent="0.3">
      <c r="A2769" s="87">
        <v>45702</v>
      </c>
      <c r="B2769" s="87" t="str">
        <f t="shared" si="172"/>
        <v>Friday</v>
      </c>
      <c r="C2769" s="88" t="s">
        <v>1381</v>
      </c>
      <c r="D2769" s="88" t="s">
        <v>1214</v>
      </c>
      <c r="E2769" s="89">
        <v>21.06</v>
      </c>
      <c r="F2769" s="88" t="s">
        <v>33</v>
      </c>
      <c r="G2769" s="87">
        <f>Table1[[#This Row],[date]]</f>
        <v>45702</v>
      </c>
      <c r="H2769" s="94">
        <f>SUMIF($A$2:A6404,G2769,$E$2:E6404)</f>
        <v>457.99999999999994</v>
      </c>
      <c r="I2769" s="93" t="str">
        <f t="shared" si="173"/>
        <v>Friday</v>
      </c>
      <c r="J2769" s="93" t="str">
        <f t="shared" si="174"/>
        <v>February</v>
      </c>
      <c r="K2769" s="93" t="str">
        <f t="shared" si="175"/>
        <v>2025</v>
      </c>
      <c r="L2769" s="6"/>
      <c r="M2769" s="6"/>
      <c r="N2769" s="6"/>
    </row>
    <row r="2770" spans="1:14" x14ac:dyDescent="0.3">
      <c r="A2770" s="92">
        <v>45702</v>
      </c>
      <c r="B2770" s="92" t="str">
        <f t="shared" si="172"/>
        <v>Friday</v>
      </c>
      <c r="C2770" s="93" t="s">
        <v>1381</v>
      </c>
      <c r="D2770" s="93" t="s">
        <v>1225</v>
      </c>
      <c r="E2770" s="94">
        <v>30.86</v>
      </c>
      <c r="F2770" s="93" t="s">
        <v>12</v>
      </c>
      <c r="G2770" s="87">
        <f>Table1[[#This Row],[date]]</f>
        <v>45702</v>
      </c>
      <c r="H2770" s="94">
        <f>SUMIF($A$2:A6405,G2770,$E$2:E6405)</f>
        <v>457.99999999999994</v>
      </c>
      <c r="I2770" s="93" t="str">
        <f t="shared" si="173"/>
        <v>Friday</v>
      </c>
      <c r="J2770" s="93" t="str">
        <f t="shared" si="174"/>
        <v>February</v>
      </c>
      <c r="K2770" s="93" t="str">
        <f t="shared" si="175"/>
        <v>2025</v>
      </c>
      <c r="L2770" s="6"/>
      <c r="M2770" s="6"/>
      <c r="N2770" s="6"/>
    </row>
    <row r="2771" spans="1:14" x14ac:dyDescent="0.3">
      <c r="A2771" s="87">
        <v>45702</v>
      </c>
      <c r="B2771" s="87" t="str">
        <f t="shared" si="172"/>
        <v>Friday</v>
      </c>
      <c r="C2771" s="88" t="s">
        <v>1381</v>
      </c>
      <c r="D2771" s="88" t="s">
        <v>1226</v>
      </c>
      <c r="E2771" s="89">
        <v>25.96</v>
      </c>
      <c r="F2771" s="88" t="s">
        <v>9</v>
      </c>
      <c r="G2771" s="87">
        <f>Table1[[#This Row],[date]]</f>
        <v>45702</v>
      </c>
      <c r="H2771" s="94">
        <f>SUMIF($A$2:A6406,G2771,$E$2:E6406)</f>
        <v>457.99999999999994</v>
      </c>
      <c r="I2771" s="93" t="str">
        <f t="shared" si="173"/>
        <v>Friday</v>
      </c>
      <c r="J2771" s="93" t="str">
        <f t="shared" si="174"/>
        <v>February</v>
      </c>
      <c r="K2771" s="93" t="str">
        <f t="shared" si="175"/>
        <v>2025</v>
      </c>
      <c r="L2771" s="6"/>
      <c r="M2771" s="6"/>
      <c r="N2771" s="6"/>
    </row>
    <row r="2772" spans="1:14" x14ac:dyDescent="0.3">
      <c r="A2772" s="92">
        <v>45703</v>
      </c>
      <c r="B2772" s="92" t="str">
        <f t="shared" si="172"/>
        <v>Saturday</v>
      </c>
      <c r="C2772" s="93" t="s">
        <v>1381</v>
      </c>
      <c r="D2772" s="93" t="s">
        <v>1212</v>
      </c>
      <c r="E2772" s="94">
        <v>35.76</v>
      </c>
      <c r="F2772" s="93" t="s">
        <v>41</v>
      </c>
      <c r="G2772" s="87">
        <f>Table1[[#This Row],[date]]</f>
        <v>45703</v>
      </c>
      <c r="H2772" s="94">
        <f>SUMIF($A$2:A6407,G2772,$E$2:E6407)</f>
        <v>292.44</v>
      </c>
      <c r="I2772" s="93" t="str">
        <f t="shared" si="173"/>
        <v>Saturday</v>
      </c>
      <c r="J2772" s="93" t="str">
        <f t="shared" si="174"/>
        <v>February</v>
      </c>
      <c r="K2772" s="93" t="str">
        <f t="shared" si="175"/>
        <v>2025</v>
      </c>
      <c r="L2772" s="6"/>
      <c r="M2772" s="6"/>
      <c r="N2772" s="6"/>
    </row>
    <row r="2773" spans="1:14" x14ac:dyDescent="0.3">
      <c r="A2773" s="87">
        <v>45703</v>
      </c>
      <c r="B2773" s="87" t="str">
        <f t="shared" si="172"/>
        <v>Saturday</v>
      </c>
      <c r="C2773" s="88" t="s">
        <v>1381</v>
      </c>
      <c r="D2773" s="88" t="s">
        <v>1175</v>
      </c>
      <c r="E2773" s="89">
        <v>35.76</v>
      </c>
      <c r="F2773" s="88" t="s">
        <v>41</v>
      </c>
      <c r="G2773" s="87">
        <f>Table1[[#This Row],[date]]</f>
        <v>45703</v>
      </c>
      <c r="H2773" s="94">
        <f>SUMIF($A$2:A6408,G2773,$E$2:E6408)</f>
        <v>292.44</v>
      </c>
      <c r="I2773" s="93" t="str">
        <f t="shared" si="173"/>
        <v>Saturday</v>
      </c>
      <c r="J2773" s="93" t="str">
        <f t="shared" si="174"/>
        <v>February</v>
      </c>
      <c r="K2773" s="93" t="str">
        <f t="shared" si="175"/>
        <v>2025</v>
      </c>
      <c r="L2773" s="6"/>
      <c r="M2773" s="6"/>
      <c r="N2773" s="6"/>
    </row>
    <row r="2774" spans="1:14" x14ac:dyDescent="0.3">
      <c r="A2774" s="92">
        <v>45703</v>
      </c>
      <c r="B2774" s="92" t="str">
        <f t="shared" si="172"/>
        <v>Saturday</v>
      </c>
      <c r="C2774" s="93" t="s">
        <v>1381</v>
      </c>
      <c r="D2774" s="93" t="s">
        <v>1175</v>
      </c>
      <c r="E2774" s="94">
        <v>25.96</v>
      </c>
      <c r="F2774" s="93" t="s">
        <v>9</v>
      </c>
      <c r="G2774" s="87">
        <f>Table1[[#This Row],[date]]</f>
        <v>45703</v>
      </c>
      <c r="H2774" s="94">
        <f>SUMIF($A$2:A6409,G2774,$E$2:E6409)</f>
        <v>292.44</v>
      </c>
      <c r="I2774" s="93" t="str">
        <f t="shared" si="173"/>
        <v>Saturday</v>
      </c>
      <c r="J2774" s="93" t="str">
        <f t="shared" si="174"/>
        <v>February</v>
      </c>
      <c r="K2774" s="93" t="str">
        <f t="shared" si="175"/>
        <v>2025</v>
      </c>
      <c r="L2774" s="6"/>
      <c r="M2774" s="6"/>
      <c r="N2774" s="6"/>
    </row>
    <row r="2775" spans="1:14" x14ac:dyDescent="0.3">
      <c r="A2775" s="87">
        <v>45703</v>
      </c>
      <c r="B2775" s="87" t="str">
        <f t="shared" si="172"/>
        <v>Saturday</v>
      </c>
      <c r="C2775" s="88" t="s">
        <v>1381</v>
      </c>
      <c r="D2775" s="88" t="s">
        <v>890</v>
      </c>
      <c r="E2775" s="89">
        <v>30.86</v>
      </c>
      <c r="F2775" s="88" t="s">
        <v>12</v>
      </c>
      <c r="G2775" s="87">
        <f>Table1[[#This Row],[date]]</f>
        <v>45703</v>
      </c>
      <c r="H2775" s="94">
        <f>SUMIF($A$2:A6410,G2775,$E$2:E6410)</f>
        <v>292.44</v>
      </c>
      <c r="I2775" s="93" t="str">
        <f t="shared" si="173"/>
        <v>Saturday</v>
      </c>
      <c r="J2775" s="93" t="str">
        <f t="shared" si="174"/>
        <v>February</v>
      </c>
      <c r="K2775" s="93" t="str">
        <f t="shared" si="175"/>
        <v>2025</v>
      </c>
      <c r="L2775" s="6"/>
      <c r="M2775" s="6"/>
      <c r="N2775" s="6"/>
    </row>
    <row r="2776" spans="1:14" x14ac:dyDescent="0.3">
      <c r="A2776" s="92">
        <v>45703</v>
      </c>
      <c r="B2776" s="92" t="str">
        <f t="shared" si="172"/>
        <v>Saturday</v>
      </c>
      <c r="C2776" s="93" t="s">
        <v>1381</v>
      </c>
      <c r="D2776" s="93" t="s">
        <v>1212</v>
      </c>
      <c r="E2776" s="94">
        <v>30.86</v>
      </c>
      <c r="F2776" s="93" t="s">
        <v>12</v>
      </c>
      <c r="G2776" s="87">
        <f>Table1[[#This Row],[date]]</f>
        <v>45703</v>
      </c>
      <c r="H2776" s="94">
        <f>SUMIF($A$2:A6411,G2776,$E$2:E6411)</f>
        <v>292.44</v>
      </c>
      <c r="I2776" s="93" t="str">
        <f t="shared" si="173"/>
        <v>Saturday</v>
      </c>
      <c r="J2776" s="93" t="str">
        <f t="shared" si="174"/>
        <v>February</v>
      </c>
      <c r="K2776" s="93" t="str">
        <f t="shared" si="175"/>
        <v>2025</v>
      </c>
      <c r="L2776" s="6"/>
      <c r="M2776" s="6"/>
      <c r="N2776" s="6"/>
    </row>
    <row r="2777" spans="1:14" x14ac:dyDescent="0.3">
      <c r="A2777" s="87">
        <v>45703</v>
      </c>
      <c r="B2777" s="87" t="str">
        <f t="shared" si="172"/>
        <v>Saturday</v>
      </c>
      <c r="C2777" s="88" t="s">
        <v>1381</v>
      </c>
      <c r="D2777" s="88" t="s">
        <v>1196</v>
      </c>
      <c r="E2777" s="89">
        <v>35.76</v>
      </c>
      <c r="F2777" s="88" t="s">
        <v>41</v>
      </c>
      <c r="G2777" s="87">
        <f>Table1[[#This Row],[date]]</f>
        <v>45703</v>
      </c>
      <c r="H2777" s="94">
        <f>SUMIF($A$2:A6412,G2777,$E$2:E6412)</f>
        <v>292.44</v>
      </c>
      <c r="I2777" s="93" t="str">
        <f t="shared" si="173"/>
        <v>Saturday</v>
      </c>
      <c r="J2777" s="93" t="str">
        <f t="shared" si="174"/>
        <v>February</v>
      </c>
      <c r="K2777" s="93" t="str">
        <f t="shared" si="175"/>
        <v>2025</v>
      </c>
      <c r="L2777" s="6"/>
      <c r="M2777" s="6"/>
      <c r="N2777" s="6"/>
    </row>
    <row r="2778" spans="1:14" x14ac:dyDescent="0.3">
      <c r="A2778" s="92">
        <v>45703</v>
      </c>
      <c r="B2778" s="92" t="str">
        <f t="shared" si="172"/>
        <v>Saturday</v>
      </c>
      <c r="C2778" s="93" t="s">
        <v>1381</v>
      </c>
      <c r="D2778" s="93" t="s">
        <v>1227</v>
      </c>
      <c r="E2778" s="94">
        <v>25.96</v>
      </c>
      <c r="F2778" s="93" t="s">
        <v>9</v>
      </c>
      <c r="G2778" s="87">
        <f>Table1[[#This Row],[date]]</f>
        <v>45703</v>
      </c>
      <c r="H2778" s="94">
        <f>SUMIF($A$2:A6413,G2778,$E$2:E6413)</f>
        <v>292.44</v>
      </c>
      <c r="I2778" s="93" t="str">
        <f t="shared" si="173"/>
        <v>Saturday</v>
      </c>
      <c r="J2778" s="93" t="str">
        <f t="shared" si="174"/>
        <v>February</v>
      </c>
      <c r="K2778" s="93" t="str">
        <f t="shared" si="175"/>
        <v>2025</v>
      </c>
      <c r="L2778" s="6"/>
      <c r="M2778" s="6"/>
      <c r="N2778" s="6"/>
    </row>
    <row r="2779" spans="1:14" x14ac:dyDescent="0.3">
      <c r="A2779" s="87">
        <v>45703</v>
      </c>
      <c r="B2779" s="87" t="str">
        <f t="shared" si="172"/>
        <v>Saturday</v>
      </c>
      <c r="C2779" s="88" t="s">
        <v>1381</v>
      </c>
      <c r="D2779" s="88" t="s">
        <v>1213</v>
      </c>
      <c r="E2779" s="89">
        <v>35.76</v>
      </c>
      <c r="F2779" s="88" t="s">
        <v>7</v>
      </c>
      <c r="G2779" s="87">
        <f>Table1[[#This Row],[date]]</f>
        <v>45703</v>
      </c>
      <c r="H2779" s="94">
        <f>SUMIF($A$2:A6414,G2779,$E$2:E6414)</f>
        <v>292.44</v>
      </c>
      <c r="I2779" s="93" t="str">
        <f t="shared" si="173"/>
        <v>Saturday</v>
      </c>
      <c r="J2779" s="93" t="str">
        <f t="shared" si="174"/>
        <v>February</v>
      </c>
      <c r="K2779" s="93" t="str">
        <f t="shared" si="175"/>
        <v>2025</v>
      </c>
      <c r="L2779" s="6"/>
      <c r="M2779" s="6"/>
      <c r="N2779" s="6"/>
    </row>
    <row r="2780" spans="1:14" x14ac:dyDescent="0.3">
      <c r="A2780" s="92">
        <v>45703</v>
      </c>
      <c r="B2780" s="92" t="str">
        <f t="shared" si="172"/>
        <v>Saturday</v>
      </c>
      <c r="C2780" s="93" t="s">
        <v>1381</v>
      </c>
      <c r="D2780" s="93" t="s">
        <v>1191</v>
      </c>
      <c r="E2780" s="94">
        <v>35.76</v>
      </c>
      <c r="F2780" s="93" t="s">
        <v>7</v>
      </c>
      <c r="G2780" s="87">
        <f>Table1[[#This Row],[date]]</f>
        <v>45703</v>
      </c>
      <c r="H2780" s="94">
        <f>SUMIF($A$2:A6415,G2780,$E$2:E6415)</f>
        <v>292.44</v>
      </c>
      <c r="I2780" s="93" t="str">
        <f t="shared" si="173"/>
        <v>Saturday</v>
      </c>
      <c r="J2780" s="93" t="str">
        <f t="shared" si="174"/>
        <v>February</v>
      </c>
      <c r="K2780" s="93" t="str">
        <f t="shared" si="175"/>
        <v>2025</v>
      </c>
      <c r="L2780" s="6"/>
      <c r="M2780" s="6"/>
      <c r="N2780" s="6"/>
    </row>
    <row r="2781" spans="1:14" x14ac:dyDescent="0.3">
      <c r="A2781" s="87">
        <v>45704</v>
      </c>
      <c r="B2781" s="87" t="str">
        <f t="shared" si="172"/>
        <v>Sunday</v>
      </c>
      <c r="C2781" s="88" t="s">
        <v>1381</v>
      </c>
      <c r="D2781" s="88" t="s">
        <v>1228</v>
      </c>
      <c r="E2781" s="89">
        <v>25.96</v>
      </c>
      <c r="F2781" s="88" t="s">
        <v>9</v>
      </c>
      <c r="G2781" s="87">
        <f>Table1[[#This Row],[date]]</f>
        <v>45704</v>
      </c>
      <c r="H2781" s="94">
        <f>SUMIF($A$2:A6416,G2781,$E$2:E6416)</f>
        <v>313.5</v>
      </c>
      <c r="I2781" s="93" t="str">
        <f t="shared" si="173"/>
        <v>Sunday</v>
      </c>
      <c r="J2781" s="93" t="str">
        <f t="shared" si="174"/>
        <v>February</v>
      </c>
      <c r="K2781" s="93" t="str">
        <f t="shared" si="175"/>
        <v>2025</v>
      </c>
      <c r="L2781" s="6"/>
      <c r="M2781" s="6"/>
      <c r="N2781" s="6"/>
    </row>
    <row r="2782" spans="1:14" x14ac:dyDescent="0.3">
      <c r="A2782" s="92">
        <v>45704</v>
      </c>
      <c r="B2782" s="92" t="str">
        <f t="shared" si="172"/>
        <v>Sunday</v>
      </c>
      <c r="C2782" s="93" t="s">
        <v>1381</v>
      </c>
      <c r="D2782" s="93" t="s">
        <v>1181</v>
      </c>
      <c r="E2782" s="94">
        <v>25.96</v>
      </c>
      <c r="F2782" s="93" t="s">
        <v>9</v>
      </c>
      <c r="G2782" s="87">
        <f>Table1[[#This Row],[date]]</f>
        <v>45704</v>
      </c>
      <c r="H2782" s="94">
        <f>SUMIF($A$2:A6417,G2782,$E$2:E6417)</f>
        <v>313.5</v>
      </c>
      <c r="I2782" s="93" t="str">
        <f t="shared" si="173"/>
        <v>Sunday</v>
      </c>
      <c r="J2782" s="93" t="str">
        <f t="shared" si="174"/>
        <v>February</v>
      </c>
      <c r="K2782" s="93" t="str">
        <f t="shared" si="175"/>
        <v>2025</v>
      </c>
      <c r="L2782" s="6"/>
      <c r="M2782" s="6"/>
      <c r="N2782" s="6"/>
    </row>
    <row r="2783" spans="1:14" x14ac:dyDescent="0.3">
      <c r="A2783" s="87">
        <v>45704</v>
      </c>
      <c r="B2783" s="87" t="str">
        <f t="shared" si="172"/>
        <v>Sunday</v>
      </c>
      <c r="C2783" s="88" t="s">
        <v>1381</v>
      </c>
      <c r="D2783" s="88" t="s">
        <v>1181</v>
      </c>
      <c r="E2783" s="89">
        <v>30.86</v>
      </c>
      <c r="F2783" s="88" t="s">
        <v>12</v>
      </c>
      <c r="G2783" s="87">
        <f>Table1[[#This Row],[date]]</f>
        <v>45704</v>
      </c>
      <c r="H2783" s="94">
        <f>SUMIF($A$2:A6418,G2783,$E$2:E6418)</f>
        <v>313.5</v>
      </c>
      <c r="I2783" s="93" t="str">
        <f t="shared" si="173"/>
        <v>Sunday</v>
      </c>
      <c r="J2783" s="93" t="str">
        <f t="shared" si="174"/>
        <v>February</v>
      </c>
      <c r="K2783" s="93" t="str">
        <f t="shared" si="175"/>
        <v>2025</v>
      </c>
      <c r="L2783" s="6"/>
      <c r="M2783" s="6"/>
      <c r="N2783" s="6"/>
    </row>
    <row r="2784" spans="1:14" x14ac:dyDescent="0.3">
      <c r="A2784" s="92">
        <v>45704</v>
      </c>
      <c r="B2784" s="92" t="str">
        <f t="shared" si="172"/>
        <v>Sunday</v>
      </c>
      <c r="C2784" s="93" t="s">
        <v>1381</v>
      </c>
      <c r="D2784" s="93" t="s">
        <v>1168</v>
      </c>
      <c r="E2784" s="94">
        <v>35.76</v>
      </c>
      <c r="F2784" s="93" t="s">
        <v>7</v>
      </c>
      <c r="G2784" s="87">
        <f>Table1[[#This Row],[date]]</f>
        <v>45704</v>
      </c>
      <c r="H2784" s="94">
        <f>SUMIF($A$2:A6419,G2784,$E$2:E6419)</f>
        <v>313.5</v>
      </c>
      <c r="I2784" s="93" t="str">
        <f t="shared" si="173"/>
        <v>Sunday</v>
      </c>
      <c r="J2784" s="93" t="str">
        <f t="shared" si="174"/>
        <v>February</v>
      </c>
      <c r="K2784" s="93" t="str">
        <f t="shared" si="175"/>
        <v>2025</v>
      </c>
      <c r="L2784" s="6"/>
      <c r="M2784" s="6"/>
      <c r="N2784" s="6"/>
    </row>
    <row r="2785" spans="1:14" x14ac:dyDescent="0.3">
      <c r="A2785" s="87">
        <v>45704</v>
      </c>
      <c r="B2785" s="87" t="str">
        <f t="shared" si="172"/>
        <v>Sunday</v>
      </c>
      <c r="C2785" s="88" t="s">
        <v>1381</v>
      </c>
      <c r="D2785" s="88" t="s">
        <v>1172</v>
      </c>
      <c r="E2785" s="89">
        <v>25.96</v>
      </c>
      <c r="F2785" s="88" t="s">
        <v>9</v>
      </c>
      <c r="G2785" s="87">
        <f>Table1[[#This Row],[date]]</f>
        <v>45704</v>
      </c>
      <c r="H2785" s="94">
        <f>SUMIF($A$2:A6420,G2785,$E$2:E6420)</f>
        <v>313.5</v>
      </c>
      <c r="I2785" s="93" t="str">
        <f t="shared" si="173"/>
        <v>Sunday</v>
      </c>
      <c r="J2785" s="93" t="str">
        <f t="shared" si="174"/>
        <v>February</v>
      </c>
      <c r="K2785" s="93" t="str">
        <f t="shared" si="175"/>
        <v>2025</v>
      </c>
      <c r="L2785" s="6"/>
      <c r="M2785" s="6"/>
      <c r="N2785" s="6"/>
    </row>
    <row r="2786" spans="1:14" x14ac:dyDescent="0.3">
      <c r="A2786" s="92">
        <v>45704</v>
      </c>
      <c r="B2786" s="92" t="str">
        <f t="shared" si="172"/>
        <v>Sunday</v>
      </c>
      <c r="C2786" s="93" t="s">
        <v>1381</v>
      </c>
      <c r="D2786" s="93" t="s">
        <v>1208</v>
      </c>
      <c r="E2786" s="94">
        <v>35.76</v>
      </c>
      <c r="F2786" s="93" t="s">
        <v>7</v>
      </c>
      <c r="G2786" s="87">
        <f>Table1[[#This Row],[date]]</f>
        <v>45704</v>
      </c>
      <c r="H2786" s="94">
        <f>SUMIF($A$2:A6421,G2786,$E$2:E6421)</f>
        <v>313.5</v>
      </c>
      <c r="I2786" s="93" t="str">
        <f t="shared" si="173"/>
        <v>Sunday</v>
      </c>
      <c r="J2786" s="93" t="str">
        <f t="shared" si="174"/>
        <v>February</v>
      </c>
      <c r="K2786" s="93" t="str">
        <f t="shared" si="175"/>
        <v>2025</v>
      </c>
      <c r="L2786" s="6"/>
      <c r="M2786" s="6"/>
      <c r="N2786" s="6"/>
    </row>
    <row r="2787" spans="1:14" x14ac:dyDescent="0.3">
      <c r="A2787" s="87">
        <v>45704</v>
      </c>
      <c r="B2787" s="87" t="str">
        <f t="shared" si="172"/>
        <v>Sunday</v>
      </c>
      <c r="C2787" s="88" t="s">
        <v>1381</v>
      </c>
      <c r="D2787" s="88" t="s">
        <v>1208</v>
      </c>
      <c r="E2787" s="89">
        <v>35.76</v>
      </c>
      <c r="F2787" s="88" t="s">
        <v>5</v>
      </c>
      <c r="G2787" s="87">
        <f>Table1[[#This Row],[date]]</f>
        <v>45704</v>
      </c>
      <c r="H2787" s="94">
        <f>SUMIF($A$2:A6422,G2787,$E$2:E6422)</f>
        <v>313.5</v>
      </c>
      <c r="I2787" s="93" t="str">
        <f t="shared" si="173"/>
        <v>Sunday</v>
      </c>
      <c r="J2787" s="93" t="str">
        <f t="shared" si="174"/>
        <v>February</v>
      </c>
      <c r="K2787" s="93" t="str">
        <f t="shared" si="175"/>
        <v>2025</v>
      </c>
      <c r="L2787" s="6"/>
      <c r="M2787" s="6"/>
      <c r="N2787" s="6"/>
    </row>
    <row r="2788" spans="1:14" x14ac:dyDescent="0.3">
      <c r="A2788" s="92">
        <v>45704</v>
      </c>
      <c r="B2788" s="92" t="str">
        <f t="shared" si="172"/>
        <v>Sunday</v>
      </c>
      <c r="C2788" s="93" t="s">
        <v>1381</v>
      </c>
      <c r="D2788" s="93" t="s">
        <v>1175</v>
      </c>
      <c r="E2788" s="94">
        <v>35.76</v>
      </c>
      <c r="F2788" s="93" t="s">
        <v>7</v>
      </c>
      <c r="G2788" s="87">
        <f>Table1[[#This Row],[date]]</f>
        <v>45704</v>
      </c>
      <c r="H2788" s="94">
        <f>SUMIF($A$2:A6423,G2788,$E$2:E6423)</f>
        <v>313.5</v>
      </c>
      <c r="I2788" s="93" t="str">
        <f t="shared" si="173"/>
        <v>Sunday</v>
      </c>
      <c r="J2788" s="93" t="str">
        <f t="shared" si="174"/>
        <v>February</v>
      </c>
      <c r="K2788" s="93" t="str">
        <f t="shared" si="175"/>
        <v>2025</v>
      </c>
      <c r="L2788" s="6"/>
      <c r="M2788" s="6"/>
      <c r="N2788" s="6"/>
    </row>
    <row r="2789" spans="1:14" x14ac:dyDescent="0.3">
      <c r="A2789" s="87">
        <v>45704</v>
      </c>
      <c r="B2789" s="87" t="str">
        <f t="shared" si="172"/>
        <v>Sunday</v>
      </c>
      <c r="C2789" s="88" t="s">
        <v>1381</v>
      </c>
      <c r="D2789" s="88" t="s">
        <v>1175</v>
      </c>
      <c r="E2789" s="89">
        <v>30.86</v>
      </c>
      <c r="F2789" s="88" t="s">
        <v>12</v>
      </c>
      <c r="G2789" s="87">
        <f>Table1[[#This Row],[date]]</f>
        <v>45704</v>
      </c>
      <c r="H2789" s="94">
        <f>SUMIF($A$2:A6424,G2789,$E$2:E6424)</f>
        <v>313.5</v>
      </c>
      <c r="I2789" s="93" t="str">
        <f t="shared" si="173"/>
        <v>Sunday</v>
      </c>
      <c r="J2789" s="93" t="str">
        <f t="shared" si="174"/>
        <v>February</v>
      </c>
      <c r="K2789" s="93" t="str">
        <f t="shared" si="175"/>
        <v>2025</v>
      </c>
      <c r="L2789" s="6"/>
      <c r="M2789" s="6"/>
      <c r="N2789" s="6"/>
    </row>
    <row r="2790" spans="1:14" x14ac:dyDescent="0.3">
      <c r="A2790" s="92">
        <v>45704</v>
      </c>
      <c r="B2790" s="92" t="str">
        <f t="shared" si="172"/>
        <v>Sunday</v>
      </c>
      <c r="C2790" s="93" t="s">
        <v>1381</v>
      </c>
      <c r="D2790" s="93" t="s">
        <v>1229</v>
      </c>
      <c r="E2790" s="94">
        <v>30.86</v>
      </c>
      <c r="F2790" s="93" t="s">
        <v>12</v>
      </c>
      <c r="G2790" s="87">
        <f>Table1[[#This Row],[date]]</f>
        <v>45704</v>
      </c>
      <c r="H2790" s="94">
        <f>SUMIF($A$2:A6425,G2790,$E$2:E6425)</f>
        <v>313.5</v>
      </c>
      <c r="I2790" s="93" t="str">
        <f t="shared" si="173"/>
        <v>Sunday</v>
      </c>
      <c r="J2790" s="93" t="str">
        <f t="shared" si="174"/>
        <v>February</v>
      </c>
      <c r="K2790" s="93" t="str">
        <f t="shared" si="175"/>
        <v>2025</v>
      </c>
      <c r="L2790" s="6"/>
      <c r="M2790" s="6"/>
      <c r="N2790" s="6"/>
    </row>
    <row r="2791" spans="1:14" x14ac:dyDescent="0.3">
      <c r="A2791" s="87">
        <v>45705</v>
      </c>
      <c r="B2791" s="87" t="str">
        <f t="shared" si="172"/>
        <v>Monday</v>
      </c>
      <c r="C2791" s="88" t="s">
        <v>1381</v>
      </c>
      <c r="D2791" s="88" t="s">
        <v>1212</v>
      </c>
      <c r="E2791" s="89">
        <v>35.76</v>
      </c>
      <c r="F2791" s="88" t="s">
        <v>41</v>
      </c>
      <c r="G2791" s="87">
        <f>Table1[[#This Row],[date]]</f>
        <v>45705</v>
      </c>
      <c r="H2791" s="94">
        <f>SUMIF($A$2:A6426,G2791,$E$2:E6426)</f>
        <v>540.78</v>
      </c>
      <c r="I2791" s="93" t="str">
        <f t="shared" si="173"/>
        <v>Monday</v>
      </c>
      <c r="J2791" s="93" t="str">
        <f t="shared" si="174"/>
        <v>February</v>
      </c>
      <c r="K2791" s="93" t="str">
        <f t="shared" si="175"/>
        <v>2025</v>
      </c>
      <c r="L2791" s="6"/>
      <c r="M2791" s="6"/>
      <c r="N2791" s="6"/>
    </row>
    <row r="2792" spans="1:14" x14ac:dyDescent="0.3">
      <c r="A2792" s="92">
        <v>45705</v>
      </c>
      <c r="B2792" s="92" t="str">
        <f t="shared" si="172"/>
        <v>Monday</v>
      </c>
      <c r="C2792" s="93" t="s">
        <v>1381</v>
      </c>
      <c r="D2792" s="93" t="s">
        <v>1175</v>
      </c>
      <c r="E2792" s="94">
        <v>25.96</v>
      </c>
      <c r="F2792" s="93" t="s">
        <v>9</v>
      </c>
      <c r="G2792" s="87">
        <f>Table1[[#This Row],[date]]</f>
        <v>45705</v>
      </c>
      <c r="H2792" s="94">
        <f>SUMIF($A$2:A6427,G2792,$E$2:E6427)</f>
        <v>540.78</v>
      </c>
      <c r="I2792" s="93" t="str">
        <f t="shared" si="173"/>
        <v>Monday</v>
      </c>
      <c r="J2792" s="93" t="str">
        <f t="shared" si="174"/>
        <v>February</v>
      </c>
      <c r="K2792" s="93" t="str">
        <f t="shared" si="175"/>
        <v>2025</v>
      </c>
      <c r="L2792" s="6"/>
      <c r="M2792" s="6"/>
      <c r="N2792" s="6"/>
    </row>
    <row r="2793" spans="1:14" x14ac:dyDescent="0.3">
      <c r="A2793" s="87">
        <v>45705</v>
      </c>
      <c r="B2793" s="87" t="str">
        <f t="shared" si="172"/>
        <v>Monday</v>
      </c>
      <c r="C2793" s="88" t="s">
        <v>1381</v>
      </c>
      <c r="D2793" s="88" t="s">
        <v>1172</v>
      </c>
      <c r="E2793" s="89">
        <v>25.96</v>
      </c>
      <c r="F2793" s="88" t="s">
        <v>9</v>
      </c>
      <c r="G2793" s="87">
        <f>Table1[[#This Row],[date]]</f>
        <v>45705</v>
      </c>
      <c r="H2793" s="94">
        <f>SUMIF($A$2:A6428,G2793,$E$2:E6428)</f>
        <v>540.78</v>
      </c>
      <c r="I2793" s="93" t="str">
        <f t="shared" si="173"/>
        <v>Monday</v>
      </c>
      <c r="J2793" s="93" t="str">
        <f t="shared" si="174"/>
        <v>February</v>
      </c>
      <c r="K2793" s="93" t="str">
        <f t="shared" si="175"/>
        <v>2025</v>
      </c>
      <c r="L2793" s="6"/>
      <c r="M2793" s="6"/>
      <c r="N2793" s="6"/>
    </row>
    <row r="2794" spans="1:14" x14ac:dyDescent="0.3">
      <c r="A2794" s="92">
        <v>45705</v>
      </c>
      <c r="B2794" s="92" t="str">
        <f t="shared" si="172"/>
        <v>Monday</v>
      </c>
      <c r="C2794" s="93" t="s">
        <v>1381</v>
      </c>
      <c r="D2794" s="93" t="s">
        <v>1230</v>
      </c>
      <c r="E2794" s="94">
        <v>30.86</v>
      </c>
      <c r="F2794" s="93" t="s">
        <v>12</v>
      </c>
      <c r="G2794" s="87">
        <f>Table1[[#This Row],[date]]</f>
        <v>45705</v>
      </c>
      <c r="H2794" s="94">
        <f>SUMIF($A$2:A6429,G2794,$E$2:E6429)</f>
        <v>540.78</v>
      </c>
      <c r="I2794" s="93" t="str">
        <f t="shared" si="173"/>
        <v>Monday</v>
      </c>
      <c r="J2794" s="93" t="str">
        <f t="shared" si="174"/>
        <v>February</v>
      </c>
      <c r="K2794" s="93" t="str">
        <f t="shared" si="175"/>
        <v>2025</v>
      </c>
      <c r="L2794" s="6"/>
      <c r="M2794" s="6"/>
      <c r="N2794" s="6"/>
    </row>
    <row r="2795" spans="1:14" x14ac:dyDescent="0.3">
      <c r="A2795" s="87">
        <v>45705</v>
      </c>
      <c r="B2795" s="87" t="str">
        <f t="shared" si="172"/>
        <v>Monday</v>
      </c>
      <c r="C2795" s="88" t="s">
        <v>1381</v>
      </c>
      <c r="D2795" s="88" t="s">
        <v>1222</v>
      </c>
      <c r="E2795" s="89">
        <v>35.76</v>
      </c>
      <c r="F2795" s="88" t="s">
        <v>7</v>
      </c>
      <c r="G2795" s="87">
        <f>Table1[[#This Row],[date]]</f>
        <v>45705</v>
      </c>
      <c r="H2795" s="94">
        <f>SUMIF($A$2:A6430,G2795,$E$2:E6430)</f>
        <v>540.78</v>
      </c>
      <c r="I2795" s="93" t="str">
        <f t="shared" si="173"/>
        <v>Monday</v>
      </c>
      <c r="J2795" s="93" t="str">
        <f t="shared" si="174"/>
        <v>February</v>
      </c>
      <c r="K2795" s="93" t="str">
        <f t="shared" si="175"/>
        <v>2025</v>
      </c>
      <c r="L2795" s="6"/>
      <c r="M2795" s="6"/>
      <c r="N2795" s="6"/>
    </row>
    <row r="2796" spans="1:14" x14ac:dyDescent="0.3">
      <c r="A2796" s="92">
        <v>45705</v>
      </c>
      <c r="B2796" s="92" t="str">
        <f t="shared" si="172"/>
        <v>Monday</v>
      </c>
      <c r="C2796" s="93" t="s">
        <v>1381</v>
      </c>
      <c r="D2796" s="93" t="s">
        <v>1231</v>
      </c>
      <c r="E2796" s="94">
        <v>30.86</v>
      </c>
      <c r="F2796" s="93" t="s">
        <v>12</v>
      </c>
      <c r="G2796" s="87">
        <f>Table1[[#This Row],[date]]</f>
        <v>45705</v>
      </c>
      <c r="H2796" s="94">
        <f>SUMIF($A$2:A6431,G2796,$E$2:E6431)</f>
        <v>540.78</v>
      </c>
      <c r="I2796" s="93" t="str">
        <f t="shared" si="173"/>
        <v>Monday</v>
      </c>
      <c r="J2796" s="93" t="str">
        <f t="shared" si="174"/>
        <v>February</v>
      </c>
      <c r="K2796" s="93" t="str">
        <f t="shared" si="175"/>
        <v>2025</v>
      </c>
      <c r="L2796" s="6"/>
      <c r="M2796" s="6"/>
      <c r="N2796" s="6"/>
    </row>
    <row r="2797" spans="1:14" x14ac:dyDescent="0.3">
      <c r="A2797" s="92">
        <v>45705</v>
      </c>
      <c r="B2797" s="92" t="str">
        <f t="shared" si="172"/>
        <v>Monday</v>
      </c>
      <c r="C2797" s="93" t="s">
        <v>1381</v>
      </c>
      <c r="D2797" s="93" t="s">
        <v>1215</v>
      </c>
      <c r="E2797" s="94">
        <v>30.86</v>
      </c>
      <c r="F2797" s="93" t="s">
        <v>12</v>
      </c>
      <c r="G2797" s="87">
        <f>Table1[[#This Row],[date]]</f>
        <v>45705</v>
      </c>
      <c r="H2797" s="94">
        <f>SUMIF($A$2:A6432,G2797,$E$2:E6432)</f>
        <v>540.78</v>
      </c>
      <c r="I2797" s="93" t="str">
        <f t="shared" si="173"/>
        <v>Monday</v>
      </c>
      <c r="J2797" s="93" t="str">
        <f t="shared" si="174"/>
        <v>February</v>
      </c>
      <c r="K2797" s="93" t="str">
        <f t="shared" si="175"/>
        <v>2025</v>
      </c>
      <c r="L2797" s="6"/>
      <c r="M2797" s="6"/>
      <c r="N2797" s="6"/>
    </row>
    <row r="2798" spans="1:14" x14ac:dyDescent="0.3">
      <c r="A2798" s="87">
        <v>45705</v>
      </c>
      <c r="B2798" s="87" t="str">
        <f t="shared" si="172"/>
        <v>Monday</v>
      </c>
      <c r="C2798" s="88" t="s">
        <v>1381</v>
      </c>
      <c r="D2798" s="88" t="s">
        <v>1214</v>
      </c>
      <c r="E2798" s="89">
        <v>21.06</v>
      </c>
      <c r="F2798" s="88" t="s">
        <v>33</v>
      </c>
      <c r="G2798" s="87">
        <f>Table1[[#This Row],[date]]</f>
        <v>45705</v>
      </c>
      <c r="H2798" s="94">
        <f>SUMIF($A$2:A6433,G2798,$E$2:E6433)</f>
        <v>540.78</v>
      </c>
      <c r="I2798" s="93" t="str">
        <f t="shared" si="173"/>
        <v>Monday</v>
      </c>
      <c r="J2798" s="93" t="str">
        <f t="shared" si="174"/>
        <v>February</v>
      </c>
      <c r="K2798" s="93" t="str">
        <f t="shared" si="175"/>
        <v>2025</v>
      </c>
      <c r="L2798" s="6"/>
      <c r="M2798" s="6"/>
      <c r="N2798" s="6"/>
    </row>
    <row r="2799" spans="1:14" x14ac:dyDescent="0.3">
      <c r="A2799" s="92">
        <v>45705</v>
      </c>
      <c r="B2799" s="92" t="str">
        <f t="shared" si="172"/>
        <v>Monday</v>
      </c>
      <c r="C2799" s="93" t="s">
        <v>1381</v>
      </c>
      <c r="D2799" s="93" t="s">
        <v>1232</v>
      </c>
      <c r="E2799" s="94">
        <v>35.76</v>
      </c>
      <c r="F2799" s="93" t="s">
        <v>41</v>
      </c>
      <c r="G2799" s="87">
        <f>Table1[[#This Row],[date]]</f>
        <v>45705</v>
      </c>
      <c r="H2799" s="94">
        <f>SUMIF($A$2:A6434,G2799,$E$2:E6434)</f>
        <v>540.78</v>
      </c>
      <c r="I2799" s="93" t="str">
        <f t="shared" si="173"/>
        <v>Monday</v>
      </c>
      <c r="J2799" s="93" t="str">
        <f t="shared" si="174"/>
        <v>February</v>
      </c>
      <c r="K2799" s="93" t="str">
        <f t="shared" si="175"/>
        <v>2025</v>
      </c>
      <c r="L2799" s="6"/>
      <c r="M2799" s="6"/>
      <c r="N2799" s="6"/>
    </row>
    <row r="2800" spans="1:14" x14ac:dyDescent="0.3">
      <c r="A2800" s="87">
        <v>45705</v>
      </c>
      <c r="B2800" s="87" t="str">
        <f t="shared" si="172"/>
        <v>Monday</v>
      </c>
      <c r="C2800" s="88" t="s">
        <v>1381</v>
      </c>
      <c r="D2800" s="88" t="s">
        <v>1233</v>
      </c>
      <c r="E2800" s="89">
        <v>35.76</v>
      </c>
      <c r="F2800" s="88" t="s">
        <v>5</v>
      </c>
      <c r="G2800" s="87">
        <f>Table1[[#This Row],[date]]</f>
        <v>45705</v>
      </c>
      <c r="H2800" s="94">
        <f>SUMIF($A$2:A6435,G2800,$E$2:E6435)</f>
        <v>540.78</v>
      </c>
      <c r="I2800" s="93" t="str">
        <f t="shared" si="173"/>
        <v>Monday</v>
      </c>
      <c r="J2800" s="93" t="str">
        <f t="shared" si="174"/>
        <v>February</v>
      </c>
      <c r="K2800" s="93" t="str">
        <f t="shared" si="175"/>
        <v>2025</v>
      </c>
      <c r="L2800" s="6"/>
      <c r="M2800" s="6"/>
      <c r="N2800" s="6"/>
    </row>
    <row r="2801" spans="1:14" x14ac:dyDescent="0.3">
      <c r="A2801" s="92">
        <v>45705</v>
      </c>
      <c r="B2801" s="92" t="str">
        <f t="shared" si="172"/>
        <v>Monday</v>
      </c>
      <c r="C2801" s="93" t="s">
        <v>1381</v>
      </c>
      <c r="D2801" s="93" t="s">
        <v>1206</v>
      </c>
      <c r="E2801" s="94">
        <v>30.86</v>
      </c>
      <c r="F2801" s="93" t="s">
        <v>12</v>
      </c>
      <c r="G2801" s="87">
        <f>Table1[[#This Row],[date]]</f>
        <v>45705</v>
      </c>
      <c r="H2801" s="94">
        <f>SUMIF($A$2:A6436,G2801,$E$2:E6436)</f>
        <v>540.78</v>
      </c>
      <c r="I2801" s="93" t="str">
        <f t="shared" si="173"/>
        <v>Monday</v>
      </c>
      <c r="J2801" s="93" t="str">
        <f t="shared" si="174"/>
        <v>February</v>
      </c>
      <c r="K2801" s="93" t="str">
        <f t="shared" si="175"/>
        <v>2025</v>
      </c>
      <c r="L2801" s="6"/>
      <c r="M2801" s="6"/>
      <c r="N2801" s="6"/>
    </row>
    <row r="2802" spans="1:14" x14ac:dyDescent="0.3">
      <c r="A2802" s="87">
        <v>45705</v>
      </c>
      <c r="B2802" s="87" t="str">
        <f t="shared" si="172"/>
        <v>Monday</v>
      </c>
      <c r="C2802" s="88" t="s">
        <v>1381</v>
      </c>
      <c r="D2802" s="88" t="s">
        <v>1203</v>
      </c>
      <c r="E2802" s="89">
        <v>35.76</v>
      </c>
      <c r="F2802" s="88" t="s">
        <v>5</v>
      </c>
      <c r="G2802" s="87">
        <f>Table1[[#This Row],[date]]</f>
        <v>45705</v>
      </c>
      <c r="H2802" s="94">
        <f>SUMIF($A$2:A6437,G2802,$E$2:E6437)</f>
        <v>540.78</v>
      </c>
      <c r="I2802" s="93" t="str">
        <f t="shared" si="173"/>
        <v>Monday</v>
      </c>
      <c r="J2802" s="93" t="str">
        <f t="shared" si="174"/>
        <v>February</v>
      </c>
      <c r="K2802" s="93" t="str">
        <f t="shared" si="175"/>
        <v>2025</v>
      </c>
      <c r="L2802" s="6"/>
      <c r="M2802" s="6"/>
      <c r="N2802" s="6"/>
    </row>
    <row r="2803" spans="1:14" x14ac:dyDescent="0.3">
      <c r="A2803" s="92">
        <v>45705</v>
      </c>
      <c r="B2803" s="92" t="str">
        <f t="shared" si="172"/>
        <v>Monday</v>
      </c>
      <c r="C2803" s="93" t="s">
        <v>1381</v>
      </c>
      <c r="D2803" s="93" t="s">
        <v>1230</v>
      </c>
      <c r="E2803" s="94">
        <v>21.06</v>
      </c>
      <c r="F2803" s="93" t="s">
        <v>33</v>
      </c>
      <c r="G2803" s="87">
        <f>Table1[[#This Row],[date]]</f>
        <v>45705</v>
      </c>
      <c r="H2803" s="94">
        <f>SUMIF($A$2:A6438,G2803,$E$2:E6438)</f>
        <v>540.78</v>
      </c>
      <c r="I2803" s="93" t="str">
        <f t="shared" si="173"/>
        <v>Monday</v>
      </c>
      <c r="J2803" s="93" t="str">
        <f t="shared" si="174"/>
        <v>February</v>
      </c>
      <c r="K2803" s="93" t="str">
        <f t="shared" si="175"/>
        <v>2025</v>
      </c>
      <c r="L2803" s="6"/>
      <c r="M2803" s="6"/>
      <c r="N2803" s="6"/>
    </row>
    <row r="2804" spans="1:14" x14ac:dyDescent="0.3">
      <c r="A2804" s="87">
        <v>45705</v>
      </c>
      <c r="B2804" s="87" t="str">
        <f t="shared" si="172"/>
        <v>Monday</v>
      </c>
      <c r="C2804" s="88" t="s">
        <v>1381</v>
      </c>
      <c r="D2804" s="88" t="s">
        <v>1182</v>
      </c>
      <c r="E2804" s="89">
        <v>25.96</v>
      </c>
      <c r="F2804" s="88" t="s">
        <v>9</v>
      </c>
      <c r="G2804" s="87">
        <f>Table1[[#This Row],[date]]</f>
        <v>45705</v>
      </c>
      <c r="H2804" s="94">
        <f>SUMIF($A$2:A6439,G2804,$E$2:E6439)</f>
        <v>540.78</v>
      </c>
      <c r="I2804" s="93" t="str">
        <f t="shared" si="173"/>
        <v>Monday</v>
      </c>
      <c r="J2804" s="93" t="str">
        <f t="shared" si="174"/>
        <v>February</v>
      </c>
      <c r="K2804" s="93" t="str">
        <f t="shared" si="175"/>
        <v>2025</v>
      </c>
      <c r="L2804" s="6"/>
      <c r="M2804" s="6"/>
      <c r="N2804" s="6"/>
    </row>
    <row r="2805" spans="1:14" x14ac:dyDescent="0.3">
      <c r="A2805" s="92">
        <v>45705</v>
      </c>
      <c r="B2805" s="92" t="str">
        <f t="shared" si="172"/>
        <v>Monday</v>
      </c>
      <c r="C2805" s="93" t="s">
        <v>1381</v>
      </c>
      <c r="D2805" s="93" t="s">
        <v>1234</v>
      </c>
      <c r="E2805" s="94">
        <v>30.86</v>
      </c>
      <c r="F2805" s="93" t="s">
        <v>12</v>
      </c>
      <c r="G2805" s="87">
        <f>Table1[[#This Row],[date]]</f>
        <v>45705</v>
      </c>
      <c r="H2805" s="94">
        <f>SUMIF($A$2:A6440,G2805,$E$2:E6440)</f>
        <v>540.78</v>
      </c>
      <c r="I2805" s="93" t="str">
        <f t="shared" si="173"/>
        <v>Monday</v>
      </c>
      <c r="J2805" s="93" t="str">
        <f t="shared" si="174"/>
        <v>February</v>
      </c>
      <c r="K2805" s="93" t="str">
        <f t="shared" si="175"/>
        <v>2025</v>
      </c>
      <c r="L2805" s="6"/>
      <c r="M2805" s="6"/>
      <c r="N2805" s="6"/>
    </row>
    <row r="2806" spans="1:14" x14ac:dyDescent="0.3">
      <c r="A2806" s="87">
        <v>45705</v>
      </c>
      <c r="B2806" s="87" t="str">
        <f t="shared" si="172"/>
        <v>Monday</v>
      </c>
      <c r="C2806" s="88" t="s">
        <v>1381</v>
      </c>
      <c r="D2806" s="88" t="s">
        <v>1218</v>
      </c>
      <c r="E2806" s="89">
        <v>25.96</v>
      </c>
      <c r="F2806" s="88" t="s">
        <v>9</v>
      </c>
      <c r="G2806" s="87">
        <f>Table1[[#This Row],[date]]</f>
        <v>45705</v>
      </c>
      <c r="H2806" s="94">
        <f>SUMIF($A$2:A6441,G2806,$E$2:E6441)</f>
        <v>540.78</v>
      </c>
      <c r="I2806" s="93" t="str">
        <f t="shared" si="173"/>
        <v>Monday</v>
      </c>
      <c r="J2806" s="93" t="str">
        <f t="shared" si="174"/>
        <v>February</v>
      </c>
      <c r="K2806" s="93" t="str">
        <f t="shared" si="175"/>
        <v>2025</v>
      </c>
      <c r="L2806" s="6"/>
      <c r="M2806" s="6"/>
      <c r="N2806" s="6"/>
    </row>
    <row r="2807" spans="1:14" x14ac:dyDescent="0.3">
      <c r="A2807" s="92">
        <v>45705</v>
      </c>
      <c r="B2807" s="92" t="str">
        <f t="shared" si="172"/>
        <v>Monday</v>
      </c>
      <c r="C2807" s="93" t="s">
        <v>1381</v>
      </c>
      <c r="D2807" s="93" t="s">
        <v>1235</v>
      </c>
      <c r="E2807" s="94">
        <v>25.96</v>
      </c>
      <c r="F2807" s="93" t="s">
        <v>9</v>
      </c>
      <c r="G2807" s="87">
        <f>Table1[[#This Row],[date]]</f>
        <v>45705</v>
      </c>
      <c r="H2807" s="94">
        <f>SUMIF($A$2:A6442,G2807,$E$2:E6442)</f>
        <v>540.78</v>
      </c>
      <c r="I2807" s="93" t="str">
        <f t="shared" si="173"/>
        <v>Monday</v>
      </c>
      <c r="J2807" s="93" t="str">
        <f t="shared" si="174"/>
        <v>February</v>
      </c>
      <c r="K2807" s="93" t="str">
        <f t="shared" si="175"/>
        <v>2025</v>
      </c>
      <c r="L2807" s="6"/>
      <c r="M2807" s="6"/>
      <c r="N2807" s="6"/>
    </row>
    <row r="2808" spans="1:14" x14ac:dyDescent="0.3">
      <c r="A2808" s="92">
        <v>45705</v>
      </c>
      <c r="B2808" s="92" t="str">
        <f t="shared" si="172"/>
        <v>Monday</v>
      </c>
      <c r="C2808" s="93" t="s">
        <v>1381</v>
      </c>
      <c r="D2808" s="93" t="s">
        <v>1204</v>
      </c>
      <c r="E2808" s="94">
        <v>35.76</v>
      </c>
      <c r="F2808" s="93" t="s">
        <v>5</v>
      </c>
      <c r="G2808" s="87">
        <f>Table1[[#This Row],[date]]</f>
        <v>45705</v>
      </c>
      <c r="H2808" s="94">
        <f>SUMIF($A$2:A6443,G2808,$E$2:E6443)</f>
        <v>540.78</v>
      </c>
      <c r="I2808" s="93" t="str">
        <f t="shared" si="173"/>
        <v>Monday</v>
      </c>
      <c r="J2808" s="93" t="str">
        <f t="shared" si="174"/>
        <v>February</v>
      </c>
      <c r="K2808" s="93" t="str">
        <f t="shared" si="175"/>
        <v>2025</v>
      </c>
      <c r="L2808" s="6"/>
      <c r="M2808" s="6"/>
      <c r="N2808" s="6"/>
    </row>
    <row r="2809" spans="1:14" x14ac:dyDescent="0.3">
      <c r="A2809" s="87">
        <v>45706</v>
      </c>
      <c r="B2809" s="87" t="str">
        <f t="shared" si="172"/>
        <v>Tuesday</v>
      </c>
      <c r="C2809" s="88" t="s">
        <v>1381</v>
      </c>
      <c r="D2809" s="88" t="s">
        <v>1175</v>
      </c>
      <c r="E2809" s="89">
        <v>25.96</v>
      </c>
      <c r="F2809" s="88" t="s">
        <v>9</v>
      </c>
      <c r="G2809" s="87">
        <f>Table1[[#This Row],[date]]</f>
        <v>45706</v>
      </c>
      <c r="H2809" s="94">
        <f>SUMIF($A$2:A6444,G2809,$E$2:E6444)</f>
        <v>462.9</v>
      </c>
      <c r="I2809" s="93" t="str">
        <f t="shared" si="173"/>
        <v>Tuesday</v>
      </c>
      <c r="J2809" s="93" t="str">
        <f t="shared" si="174"/>
        <v>February</v>
      </c>
      <c r="K2809" s="93" t="str">
        <f t="shared" si="175"/>
        <v>2025</v>
      </c>
      <c r="L2809" s="6"/>
      <c r="M2809" s="6"/>
      <c r="N2809" s="6"/>
    </row>
    <row r="2810" spans="1:14" x14ac:dyDescent="0.3">
      <c r="A2810" s="87">
        <v>45706</v>
      </c>
      <c r="B2810" s="87" t="str">
        <f t="shared" si="172"/>
        <v>Tuesday</v>
      </c>
      <c r="C2810" s="88" t="s">
        <v>1381</v>
      </c>
      <c r="D2810" s="88" t="s">
        <v>1122</v>
      </c>
      <c r="E2810" s="89">
        <v>25.96</v>
      </c>
      <c r="F2810" s="88" t="s">
        <v>9</v>
      </c>
      <c r="G2810" s="87">
        <f>Table1[[#This Row],[date]]</f>
        <v>45706</v>
      </c>
      <c r="H2810" s="94">
        <f>SUMIF($A$2:A6445,G2810,$E$2:E6445)</f>
        <v>462.9</v>
      </c>
      <c r="I2810" s="93" t="str">
        <f t="shared" si="173"/>
        <v>Tuesday</v>
      </c>
      <c r="J2810" s="93" t="str">
        <f t="shared" si="174"/>
        <v>February</v>
      </c>
      <c r="K2810" s="93" t="str">
        <f t="shared" si="175"/>
        <v>2025</v>
      </c>
      <c r="L2810" s="6"/>
      <c r="M2810" s="6"/>
      <c r="N2810" s="6"/>
    </row>
    <row r="2811" spans="1:14" x14ac:dyDescent="0.3">
      <c r="A2811" s="92">
        <v>45706</v>
      </c>
      <c r="B2811" s="92" t="str">
        <f t="shared" si="172"/>
        <v>Tuesday</v>
      </c>
      <c r="C2811" s="93" t="s">
        <v>1381</v>
      </c>
      <c r="D2811" s="93" t="s">
        <v>1210</v>
      </c>
      <c r="E2811" s="94">
        <v>25.96</v>
      </c>
      <c r="F2811" s="93" t="s">
        <v>9</v>
      </c>
      <c r="G2811" s="87">
        <f>Table1[[#This Row],[date]]</f>
        <v>45706</v>
      </c>
      <c r="H2811" s="94">
        <f>SUMIF($A$2:A6446,G2811,$E$2:E6446)</f>
        <v>462.9</v>
      </c>
      <c r="I2811" s="93" t="str">
        <f t="shared" si="173"/>
        <v>Tuesday</v>
      </c>
      <c r="J2811" s="93" t="str">
        <f t="shared" si="174"/>
        <v>February</v>
      </c>
      <c r="K2811" s="93" t="str">
        <f t="shared" si="175"/>
        <v>2025</v>
      </c>
      <c r="L2811" s="6"/>
      <c r="M2811" s="6"/>
      <c r="N2811" s="6"/>
    </row>
    <row r="2812" spans="1:14" x14ac:dyDescent="0.3">
      <c r="A2812" s="87">
        <v>45706</v>
      </c>
      <c r="B2812" s="87" t="str">
        <f t="shared" si="172"/>
        <v>Tuesday</v>
      </c>
      <c r="C2812" s="88" t="s">
        <v>1381</v>
      </c>
      <c r="D2812" s="88" t="s">
        <v>1215</v>
      </c>
      <c r="E2812" s="89">
        <v>30.86</v>
      </c>
      <c r="F2812" s="88" t="s">
        <v>12</v>
      </c>
      <c r="G2812" s="87">
        <f>Table1[[#This Row],[date]]</f>
        <v>45706</v>
      </c>
      <c r="H2812" s="94">
        <f>SUMIF($A$2:A6447,G2812,$E$2:E6447)</f>
        <v>462.9</v>
      </c>
      <c r="I2812" s="93" t="str">
        <f t="shared" si="173"/>
        <v>Tuesday</v>
      </c>
      <c r="J2812" s="93" t="str">
        <f t="shared" si="174"/>
        <v>February</v>
      </c>
      <c r="K2812" s="93" t="str">
        <f t="shared" si="175"/>
        <v>2025</v>
      </c>
      <c r="L2812" s="6"/>
      <c r="M2812" s="6"/>
      <c r="N2812" s="6"/>
    </row>
    <row r="2813" spans="1:14" x14ac:dyDescent="0.3">
      <c r="A2813" s="92">
        <v>45706</v>
      </c>
      <c r="B2813" s="92" t="str">
        <f t="shared" si="172"/>
        <v>Tuesday</v>
      </c>
      <c r="C2813" s="93" t="s">
        <v>1381</v>
      </c>
      <c r="D2813" s="93" t="s">
        <v>1230</v>
      </c>
      <c r="E2813" s="94">
        <v>30.86</v>
      </c>
      <c r="F2813" s="93" t="s">
        <v>12</v>
      </c>
      <c r="G2813" s="87">
        <f>Table1[[#This Row],[date]]</f>
        <v>45706</v>
      </c>
      <c r="H2813" s="94">
        <f>SUMIF($A$2:A6448,G2813,$E$2:E6448)</f>
        <v>462.9</v>
      </c>
      <c r="I2813" s="93" t="str">
        <f t="shared" si="173"/>
        <v>Tuesday</v>
      </c>
      <c r="J2813" s="93" t="str">
        <f t="shared" si="174"/>
        <v>February</v>
      </c>
      <c r="K2813" s="93" t="str">
        <f t="shared" si="175"/>
        <v>2025</v>
      </c>
      <c r="L2813" s="6"/>
      <c r="M2813" s="6"/>
      <c r="N2813" s="6"/>
    </row>
    <row r="2814" spans="1:14" x14ac:dyDescent="0.3">
      <c r="A2814" s="87">
        <v>45706</v>
      </c>
      <c r="B2814" s="87" t="str">
        <f t="shared" si="172"/>
        <v>Tuesday</v>
      </c>
      <c r="C2814" s="88" t="s">
        <v>1381</v>
      </c>
      <c r="D2814" s="88" t="s">
        <v>1236</v>
      </c>
      <c r="E2814" s="89">
        <v>35.76</v>
      </c>
      <c r="F2814" s="88" t="s">
        <v>16</v>
      </c>
      <c r="G2814" s="87">
        <f>Table1[[#This Row],[date]]</f>
        <v>45706</v>
      </c>
      <c r="H2814" s="94">
        <f>SUMIF($A$2:A6449,G2814,$E$2:E6449)</f>
        <v>462.9</v>
      </c>
      <c r="I2814" s="93" t="str">
        <f t="shared" si="173"/>
        <v>Tuesday</v>
      </c>
      <c r="J2814" s="93" t="str">
        <f t="shared" si="174"/>
        <v>February</v>
      </c>
      <c r="K2814" s="93" t="str">
        <f t="shared" si="175"/>
        <v>2025</v>
      </c>
      <c r="L2814" s="6"/>
      <c r="M2814" s="6"/>
      <c r="N2814" s="6"/>
    </row>
    <row r="2815" spans="1:14" x14ac:dyDescent="0.3">
      <c r="A2815" s="92">
        <v>45706</v>
      </c>
      <c r="B2815" s="92" t="str">
        <f t="shared" si="172"/>
        <v>Tuesday</v>
      </c>
      <c r="C2815" s="93" t="s">
        <v>1381</v>
      </c>
      <c r="D2815" s="93" t="s">
        <v>1227</v>
      </c>
      <c r="E2815" s="94">
        <v>25.96</v>
      </c>
      <c r="F2815" s="93" t="s">
        <v>9</v>
      </c>
      <c r="G2815" s="87">
        <f>Table1[[#This Row],[date]]</f>
        <v>45706</v>
      </c>
      <c r="H2815" s="94">
        <f>SUMIF($A$2:A6450,G2815,$E$2:E6450)</f>
        <v>462.9</v>
      </c>
      <c r="I2815" s="93" t="str">
        <f t="shared" si="173"/>
        <v>Tuesday</v>
      </c>
      <c r="J2815" s="93" t="str">
        <f t="shared" si="174"/>
        <v>February</v>
      </c>
      <c r="K2815" s="93" t="str">
        <f t="shared" si="175"/>
        <v>2025</v>
      </c>
      <c r="L2815" s="6"/>
      <c r="M2815" s="6"/>
      <c r="N2815" s="6"/>
    </row>
    <row r="2816" spans="1:14" x14ac:dyDescent="0.3">
      <c r="A2816" s="87">
        <v>45706</v>
      </c>
      <c r="B2816" s="87" t="str">
        <f t="shared" si="172"/>
        <v>Tuesday</v>
      </c>
      <c r="C2816" s="88" t="s">
        <v>1381</v>
      </c>
      <c r="D2816" s="88" t="s">
        <v>1234</v>
      </c>
      <c r="E2816" s="89">
        <v>30.86</v>
      </c>
      <c r="F2816" s="88" t="s">
        <v>12</v>
      </c>
      <c r="G2816" s="87">
        <f>Table1[[#This Row],[date]]</f>
        <v>45706</v>
      </c>
      <c r="H2816" s="94">
        <f>SUMIF($A$2:A6451,G2816,$E$2:E6451)</f>
        <v>462.9</v>
      </c>
      <c r="I2816" s="93" t="str">
        <f t="shared" si="173"/>
        <v>Tuesday</v>
      </c>
      <c r="J2816" s="93" t="str">
        <f t="shared" si="174"/>
        <v>February</v>
      </c>
      <c r="K2816" s="93" t="str">
        <f t="shared" si="175"/>
        <v>2025</v>
      </c>
      <c r="L2816" s="6"/>
      <c r="M2816" s="6"/>
      <c r="N2816" s="6"/>
    </row>
    <row r="2817" spans="1:14" x14ac:dyDescent="0.3">
      <c r="A2817" s="92">
        <v>45706</v>
      </c>
      <c r="B2817" s="92" t="str">
        <f t="shared" si="172"/>
        <v>Tuesday</v>
      </c>
      <c r="C2817" s="93" t="s">
        <v>1381</v>
      </c>
      <c r="D2817" s="93" t="s">
        <v>1222</v>
      </c>
      <c r="E2817" s="94">
        <v>35.76</v>
      </c>
      <c r="F2817" s="93" t="s">
        <v>7</v>
      </c>
      <c r="G2817" s="87">
        <f>Table1[[#This Row],[date]]</f>
        <v>45706</v>
      </c>
      <c r="H2817" s="94">
        <f>SUMIF($A$2:A6452,G2817,$E$2:E6452)</f>
        <v>462.9</v>
      </c>
      <c r="I2817" s="93" t="str">
        <f t="shared" si="173"/>
        <v>Tuesday</v>
      </c>
      <c r="J2817" s="93" t="str">
        <f t="shared" si="174"/>
        <v>February</v>
      </c>
      <c r="K2817" s="93" t="str">
        <f t="shared" si="175"/>
        <v>2025</v>
      </c>
      <c r="L2817" s="6"/>
      <c r="M2817" s="6"/>
      <c r="N2817" s="6"/>
    </row>
    <row r="2818" spans="1:14" x14ac:dyDescent="0.3">
      <c r="A2818" s="87">
        <v>45706</v>
      </c>
      <c r="B2818" s="87" t="str">
        <f t="shared" ref="B2818:B2881" si="176">TEXT(A2818,"dddd")</f>
        <v>Tuesday</v>
      </c>
      <c r="C2818" s="88" t="s">
        <v>1381</v>
      </c>
      <c r="D2818" s="88" t="s">
        <v>1237</v>
      </c>
      <c r="E2818" s="89">
        <v>30.86</v>
      </c>
      <c r="F2818" s="88" t="s">
        <v>12</v>
      </c>
      <c r="G2818" s="87">
        <f>Table1[[#This Row],[date]]</f>
        <v>45706</v>
      </c>
      <c r="H2818" s="94">
        <f>SUMIF($A$2:A6453,G2818,$E$2:E6453)</f>
        <v>462.9</v>
      </c>
      <c r="I2818" s="93" t="str">
        <f t="shared" si="173"/>
        <v>Tuesday</v>
      </c>
      <c r="J2818" s="93" t="str">
        <f t="shared" si="174"/>
        <v>February</v>
      </c>
      <c r="K2818" s="93" t="str">
        <f t="shared" si="175"/>
        <v>2025</v>
      </c>
      <c r="L2818" s="6"/>
      <c r="M2818" s="6"/>
      <c r="N2818" s="6"/>
    </row>
    <row r="2819" spans="1:14" x14ac:dyDescent="0.3">
      <c r="A2819" s="92">
        <v>45706</v>
      </c>
      <c r="B2819" s="92" t="str">
        <f t="shared" si="176"/>
        <v>Tuesday</v>
      </c>
      <c r="C2819" s="93" t="s">
        <v>1381</v>
      </c>
      <c r="D2819" s="93" t="s">
        <v>1237</v>
      </c>
      <c r="E2819" s="94">
        <v>21.06</v>
      </c>
      <c r="F2819" s="93" t="s">
        <v>33</v>
      </c>
      <c r="G2819" s="87">
        <f>Table1[[#This Row],[date]]</f>
        <v>45706</v>
      </c>
      <c r="H2819" s="94">
        <f>SUMIF($A$2:A6454,G2819,$E$2:E6454)</f>
        <v>462.9</v>
      </c>
      <c r="I2819" s="93" t="str">
        <f t="shared" si="173"/>
        <v>Tuesday</v>
      </c>
      <c r="J2819" s="93" t="str">
        <f t="shared" si="174"/>
        <v>February</v>
      </c>
      <c r="K2819" s="93" t="str">
        <f t="shared" si="175"/>
        <v>2025</v>
      </c>
      <c r="L2819" s="6"/>
      <c r="M2819" s="6"/>
      <c r="N2819" s="6"/>
    </row>
    <row r="2820" spans="1:14" x14ac:dyDescent="0.3">
      <c r="A2820" s="87">
        <v>45706</v>
      </c>
      <c r="B2820" s="87" t="str">
        <f t="shared" si="176"/>
        <v>Tuesday</v>
      </c>
      <c r="C2820" s="88" t="s">
        <v>1381</v>
      </c>
      <c r="D2820" s="88" t="s">
        <v>1237</v>
      </c>
      <c r="E2820" s="89">
        <v>35.76</v>
      </c>
      <c r="F2820" s="88" t="s">
        <v>16</v>
      </c>
      <c r="G2820" s="87">
        <f>Table1[[#This Row],[date]]</f>
        <v>45706</v>
      </c>
      <c r="H2820" s="94">
        <f>SUMIF($A$2:A6455,G2820,$E$2:E6455)</f>
        <v>462.9</v>
      </c>
      <c r="I2820" s="93" t="str">
        <f t="shared" si="173"/>
        <v>Tuesday</v>
      </c>
      <c r="J2820" s="93" t="str">
        <f t="shared" si="174"/>
        <v>February</v>
      </c>
      <c r="K2820" s="93" t="str">
        <f t="shared" si="175"/>
        <v>2025</v>
      </c>
      <c r="L2820" s="6"/>
      <c r="M2820" s="6"/>
      <c r="N2820" s="6"/>
    </row>
    <row r="2821" spans="1:14" x14ac:dyDescent="0.3">
      <c r="A2821" s="87">
        <v>45706</v>
      </c>
      <c r="B2821" s="87" t="str">
        <f t="shared" si="176"/>
        <v>Tuesday</v>
      </c>
      <c r="C2821" s="88" t="s">
        <v>1381</v>
      </c>
      <c r="D2821" s="88" t="s">
        <v>1238</v>
      </c>
      <c r="E2821" s="89">
        <v>35.76</v>
      </c>
      <c r="F2821" s="88" t="s">
        <v>16</v>
      </c>
      <c r="G2821" s="87">
        <f>Table1[[#This Row],[date]]</f>
        <v>45706</v>
      </c>
      <c r="H2821" s="94">
        <f>SUMIF($A$2:A6456,G2821,$E$2:E6456)</f>
        <v>462.9</v>
      </c>
      <c r="I2821" s="93" t="str">
        <f t="shared" si="173"/>
        <v>Tuesday</v>
      </c>
      <c r="J2821" s="93" t="str">
        <f t="shared" si="174"/>
        <v>February</v>
      </c>
      <c r="K2821" s="93" t="str">
        <f t="shared" si="175"/>
        <v>2025</v>
      </c>
      <c r="L2821" s="6"/>
      <c r="M2821" s="6"/>
      <c r="N2821" s="6"/>
    </row>
    <row r="2822" spans="1:14" x14ac:dyDescent="0.3">
      <c r="A2822" s="92">
        <v>45706</v>
      </c>
      <c r="B2822" s="92" t="str">
        <f t="shared" si="176"/>
        <v>Tuesday</v>
      </c>
      <c r="C2822" s="93" t="s">
        <v>1381</v>
      </c>
      <c r="D2822" s="93" t="s">
        <v>1197</v>
      </c>
      <c r="E2822" s="94">
        <v>35.76</v>
      </c>
      <c r="F2822" s="93" t="s">
        <v>16</v>
      </c>
      <c r="G2822" s="87">
        <f>Table1[[#This Row],[date]]</f>
        <v>45706</v>
      </c>
      <c r="H2822" s="94">
        <f>SUMIF($A$2:A6457,G2822,$E$2:E6457)</f>
        <v>462.9</v>
      </c>
      <c r="I2822" s="93" t="str">
        <f t="shared" ref="I2822:I2885" si="177">TEXT(G2822,"dddd")</f>
        <v>Tuesday</v>
      </c>
      <c r="J2822" s="93" t="str">
        <f t="shared" si="174"/>
        <v>February</v>
      </c>
      <c r="K2822" s="93" t="str">
        <f t="shared" si="175"/>
        <v>2025</v>
      </c>
      <c r="L2822" s="6"/>
      <c r="M2822" s="6"/>
      <c r="N2822" s="6"/>
    </row>
    <row r="2823" spans="1:14" x14ac:dyDescent="0.3">
      <c r="A2823" s="87">
        <v>45706</v>
      </c>
      <c r="B2823" s="87" t="str">
        <f t="shared" si="176"/>
        <v>Tuesday</v>
      </c>
      <c r="C2823" s="88" t="s">
        <v>1381</v>
      </c>
      <c r="D2823" s="88" t="s">
        <v>1224</v>
      </c>
      <c r="E2823" s="89">
        <v>35.76</v>
      </c>
      <c r="F2823" s="88" t="s">
        <v>7</v>
      </c>
      <c r="G2823" s="87">
        <f>Table1[[#This Row],[date]]</f>
        <v>45706</v>
      </c>
      <c r="H2823" s="94">
        <f>SUMIF($A$2:A6458,G2823,$E$2:E6458)</f>
        <v>462.9</v>
      </c>
      <c r="I2823" s="93" t="str">
        <f t="shared" si="177"/>
        <v>Tuesday</v>
      </c>
      <c r="J2823" s="93" t="str">
        <f t="shared" ref="J2823:J2886" si="178">TEXT(G2823,"mmmm")</f>
        <v>February</v>
      </c>
      <c r="K2823" s="93" t="str">
        <f t="shared" ref="K2823:K2886" si="179">TEXT(G2823,"yyyy")</f>
        <v>2025</v>
      </c>
      <c r="L2823" s="6"/>
      <c r="M2823" s="6"/>
      <c r="N2823" s="6"/>
    </row>
    <row r="2824" spans="1:14" x14ac:dyDescent="0.3">
      <c r="A2824" s="87">
        <v>45707</v>
      </c>
      <c r="B2824" s="87" t="str">
        <f t="shared" si="176"/>
        <v>Wednesday</v>
      </c>
      <c r="C2824" s="88" t="s">
        <v>1381</v>
      </c>
      <c r="D2824" s="88" t="s">
        <v>1173</v>
      </c>
      <c r="E2824" s="89">
        <v>35.76</v>
      </c>
      <c r="F2824" s="88" t="s">
        <v>41</v>
      </c>
      <c r="G2824" s="87">
        <f>Table1[[#This Row],[date]]</f>
        <v>45707</v>
      </c>
      <c r="H2824" s="94">
        <f>SUMIF($A$2:A6459,G2824,$E$2:E6459)</f>
        <v>610.83999999999992</v>
      </c>
      <c r="I2824" s="93" t="str">
        <f t="shared" si="177"/>
        <v>Wednesday</v>
      </c>
      <c r="J2824" s="93" t="str">
        <f t="shared" si="178"/>
        <v>February</v>
      </c>
      <c r="K2824" s="93" t="str">
        <f t="shared" si="179"/>
        <v>2025</v>
      </c>
      <c r="L2824" s="6"/>
      <c r="M2824" s="6"/>
      <c r="N2824" s="6"/>
    </row>
    <row r="2825" spans="1:14" x14ac:dyDescent="0.3">
      <c r="A2825" s="92">
        <v>45707</v>
      </c>
      <c r="B2825" s="92" t="str">
        <f t="shared" si="176"/>
        <v>Wednesday</v>
      </c>
      <c r="C2825" s="93" t="s">
        <v>1381</v>
      </c>
      <c r="D2825" s="93" t="s">
        <v>1164</v>
      </c>
      <c r="E2825" s="94">
        <v>25.96</v>
      </c>
      <c r="F2825" s="93" t="s">
        <v>9</v>
      </c>
      <c r="G2825" s="87">
        <f>Table1[[#This Row],[date]]</f>
        <v>45707</v>
      </c>
      <c r="H2825" s="94">
        <f>SUMIF($A$2:A6460,G2825,$E$2:E6460)</f>
        <v>610.83999999999992</v>
      </c>
      <c r="I2825" s="93" t="str">
        <f t="shared" si="177"/>
        <v>Wednesday</v>
      </c>
      <c r="J2825" s="93" t="str">
        <f t="shared" si="178"/>
        <v>February</v>
      </c>
      <c r="K2825" s="93" t="str">
        <f t="shared" si="179"/>
        <v>2025</v>
      </c>
      <c r="L2825" s="6"/>
      <c r="M2825" s="6"/>
      <c r="N2825" s="6"/>
    </row>
    <row r="2826" spans="1:14" x14ac:dyDescent="0.3">
      <c r="A2826" s="87">
        <v>45707</v>
      </c>
      <c r="B2826" s="87" t="str">
        <f t="shared" si="176"/>
        <v>Wednesday</v>
      </c>
      <c r="C2826" s="88" t="s">
        <v>1381</v>
      </c>
      <c r="D2826" s="88" t="s">
        <v>1182</v>
      </c>
      <c r="E2826" s="89">
        <v>25.96</v>
      </c>
      <c r="F2826" s="88" t="s">
        <v>9</v>
      </c>
      <c r="G2826" s="87">
        <f>Table1[[#This Row],[date]]</f>
        <v>45707</v>
      </c>
      <c r="H2826" s="94">
        <f>SUMIF($A$2:A6461,G2826,$E$2:E6461)</f>
        <v>610.83999999999992</v>
      </c>
      <c r="I2826" s="93" t="str">
        <f t="shared" si="177"/>
        <v>Wednesday</v>
      </c>
      <c r="J2826" s="93" t="str">
        <f t="shared" si="178"/>
        <v>February</v>
      </c>
      <c r="K2826" s="93" t="str">
        <f t="shared" si="179"/>
        <v>2025</v>
      </c>
      <c r="L2826" s="6"/>
      <c r="M2826" s="6"/>
      <c r="N2826" s="6"/>
    </row>
    <row r="2827" spans="1:14" x14ac:dyDescent="0.3">
      <c r="A2827" s="92">
        <v>45707</v>
      </c>
      <c r="B2827" s="92" t="str">
        <f t="shared" si="176"/>
        <v>Wednesday</v>
      </c>
      <c r="C2827" s="93" t="s">
        <v>1381</v>
      </c>
      <c r="D2827" s="93" t="s">
        <v>1232</v>
      </c>
      <c r="E2827" s="94">
        <v>35.76</v>
      </c>
      <c r="F2827" s="93" t="s">
        <v>41</v>
      </c>
      <c r="G2827" s="87">
        <f>Table1[[#This Row],[date]]</f>
        <v>45707</v>
      </c>
      <c r="H2827" s="94">
        <f>SUMIF($A$2:A6462,G2827,$E$2:E6462)</f>
        <v>610.83999999999992</v>
      </c>
      <c r="I2827" s="93" t="str">
        <f t="shared" si="177"/>
        <v>Wednesday</v>
      </c>
      <c r="J2827" s="93" t="str">
        <f t="shared" si="178"/>
        <v>February</v>
      </c>
      <c r="K2827" s="93" t="str">
        <f t="shared" si="179"/>
        <v>2025</v>
      </c>
      <c r="L2827" s="6"/>
      <c r="M2827" s="6"/>
      <c r="N2827" s="6"/>
    </row>
    <row r="2828" spans="1:14" x14ac:dyDescent="0.3">
      <c r="A2828" s="87">
        <v>45707</v>
      </c>
      <c r="B2828" s="87" t="str">
        <f t="shared" si="176"/>
        <v>Wednesday</v>
      </c>
      <c r="C2828" s="88" t="s">
        <v>1381</v>
      </c>
      <c r="D2828" s="88" t="s">
        <v>1179</v>
      </c>
      <c r="E2828" s="89">
        <v>25.96</v>
      </c>
      <c r="F2828" s="88" t="s">
        <v>9</v>
      </c>
      <c r="G2828" s="87">
        <f>Table1[[#This Row],[date]]</f>
        <v>45707</v>
      </c>
      <c r="H2828" s="94">
        <f>SUMIF($A$2:A6463,G2828,$E$2:E6463)</f>
        <v>610.83999999999992</v>
      </c>
      <c r="I2828" s="93" t="str">
        <f t="shared" si="177"/>
        <v>Wednesday</v>
      </c>
      <c r="J2828" s="93" t="str">
        <f t="shared" si="178"/>
        <v>February</v>
      </c>
      <c r="K2828" s="93" t="str">
        <f t="shared" si="179"/>
        <v>2025</v>
      </c>
      <c r="L2828" s="6"/>
      <c r="M2828" s="6"/>
      <c r="N2828" s="6"/>
    </row>
    <row r="2829" spans="1:14" x14ac:dyDescent="0.3">
      <c r="A2829" s="92">
        <v>45707</v>
      </c>
      <c r="B2829" s="92" t="str">
        <f t="shared" si="176"/>
        <v>Wednesday</v>
      </c>
      <c r="C2829" s="93" t="s">
        <v>1381</v>
      </c>
      <c r="D2829" s="93" t="s">
        <v>1239</v>
      </c>
      <c r="E2829" s="94">
        <v>35.76</v>
      </c>
      <c r="F2829" s="93" t="s">
        <v>7</v>
      </c>
      <c r="G2829" s="87">
        <f>Table1[[#This Row],[date]]</f>
        <v>45707</v>
      </c>
      <c r="H2829" s="94">
        <f>SUMIF($A$2:A6464,G2829,$E$2:E6464)</f>
        <v>610.83999999999992</v>
      </c>
      <c r="I2829" s="93" t="str">
        <f t="shared" si="177"/>
        <v>Wednesday</v>
      </c>
      <c r="J2829" s="93" t="str">
        <f t="shared" si="178"/>
        <v>February</v>
      </c>
      <c r="K2829" s="93" t="str">
        <f t="shared" si="179"/>
        <v>2025</v>
      </c>
      <c r="L2829" s="6"/>
      <c r="M2829" s="6"/>
      <c r="N2829" s="6"/>
    </row>
    <row r="2830" spans="1:14" x14ac:dyDescent="0.3">
      <c r="A2830" s="87">
        <v>45707</v>
      </c>
      <c r="B2830" s="87" t="str">
        <f t="shared" si="176"/>
        <v>Wednesday</v>
      </c>
      <c r="C2830" s="88" t="s">
        <v>1381</v>
      </c>
      <c r="D2830" s="88" t="s">
        <v>1219</v>
      </c>
      <c r="E2830" s="89">
        <v>30.86</v>
      </c>
      <c r="F2830" s="88" t="s">
        <v>12</v>
      </c>
      <c r="G2830" s="87">
        <f>Table1[[#This Row],[date]]</f>
        <v>45707</v>
      </c>
      <c r="H2830" s="94">
        <f>SUMIF($A$2:A6465,G2830,$E$2:E6465)</f>
        <v>610.83999999999992</v>
      </c>
      <c r="I2830" s="93" t="str">
        <f t="shared" si="177"/>
        <v>Wednesday</v>
      </c>
      <c r="J2830" s="93" t="str">
        <f t="shared" si="178"/>
        <v>February</v>
      </c>
      <c r="K2830" s="93" t="str">
        <f t="shared" si="179"/>
        <v>2025</v>
      </c>
      <c r="L2830" s="6"/>
      <c r="M2830" s="6"/>
      <c r="N2830" s="6"/>
    </row>
    <row r="2831" spans="1:14" x14ac:dyDescent="0.3">
      <c r="A2831" s="92">
        <v>45707</v>
      </c>
      <c r="B2831" s="92" t="str">
        <f t="shared" si="176"/>
        <v>Wednesday</v>
      </c>
      <c r="C2831" s="93" t="s">
        <v>1381</v>
      </c>
      <c r="D2831" s="93" t="s">
        <v>1210</v>
      </c>
      <c r="E2831" s="94">
        <v>25.96</v>
      </c>
      <c r="F2831" s="93" t="s">
        <v>9</v>
      </c>
      <c r="G2831" s="87">
        <f>Table1[[#This Row],[date]]</f>
        <v>45707</v>
      </c>
      <c r="H2831" s="94">
        <f>SUMIF($A$2:A6466,G2831,$E$2:E6466)</f>
        <v>610.83999999999992</v>
      </c>
      <c r="I2831" s="93" t="str">
        <f t="shared" si="177"/>
        <v>Wednesday</v>
      </c>
      <c r="J2831" s="93" t="str">
        <f t="shared" si="178"/>
        <v>February</v>
      </c>
      <c r="K2831" s="93" t="str">
        <f t="shared" si="179"/>
        <v>2025</v>
      </c>
      <c r="L2831" s="6"/>
      <c r="M2831" s="6"/>
      <c r="N2831" s="6"/>
    </row>
    <row r="2832" spans="1:14" x14ac:dyDescent="0.3">
      <c r="A2832" s="87">
        <v>45707</v>
      </c>
      <c r="B2832" s="87" t="str">
        <f t="shared" si="176"/>
        <v>Wednesday</v>
      </c>
      <c r="C2832" s="88" t="s">
        <v>1381</v>
      </c>
      <c r="D2832" s="88" t="s">
        <v>1180</v>
      </c>
      <c r="E2832" s="89">
        <v>35.76</v>
      </c>
      <c r="F2832" s="88" t="s">
        <v>16</v>
      </c>
      <c r="G2832" s="87">
        <f>Table1[[#This Row],[date]]</f>
        <v>45707</v>
      </c>
      <c r="H2832" s="94">
        <f>SUMIF($A$2:A6467,G2832,$E$2:E6467)</f>
        <v>610.83999999999992</v>
      </c>
      <c r="I2832" s="93" t="str">
        <f t="shared" si="177"/>
        <v>Wednesday</v>
      </c>
      <c r="J2832" s="93" t="str">
        <f t="shared" si="178"/>
        <v>February</v>
      </c>
      <c r="K2832" s="93" t="str">
        <f t="shared" si="179"/>
        <v>2025</v>
      </c>
      <c r="L2832" s="6"/>
      <c r="M2832" s="6"/>
      <c r="N2832" s="6"/>
    </row>
    <row r="2833" spans="1:14" x14ac:dyDescent="0.3">
      <c r="A2833" s="92">
        <v>45707</v>
      </c>
      <c r="B2833" s="92" t="str">
        <f t="shared" si="176"/>
        <v>Wednesday</v>
      </c>
      <c r="C2833" s="93" t="s">
        <v>1381</v>
      </c>
      <c r="D2833" s="93" t="s">
        <v>1183</v>
      </c>
      <c r="E2833" s="94">
        <v>25.96</v>
      </c>
      <c r="F2833" s="93" t="s">
        <v>9</v>
      </c>
      <c r="G2833" s="87">
        <f>Table1[[#This Row],[date]]</f>
        <v>45707</v>
      </c>
      <c r="H2833" s="94">
        <f>SUMIF($A$2:A6468,G2833,$E$2:E6468)</f>
        <v>610.83999999999992</v>
      </c>
      <c r="I2833" s="93" t="str">
        <f t="shared" si="177"/>
        <v>Wednesday</v>
      </c>
      <c r="J2833" s="93" t="str">
        <f t="shared" si="178"/>
        <v>February</v>
      </c>
      <c r="K2833" s="93" t="str">
        <f t="shared" si="179"/>
        <v>2025</v>
      </c>
      <c r="L2833" s="6"/>
      <c r="M2833" s="6"/>
      <c r="N2833" s="6"/>
    </row>
    <row r="2834" spans="1:14" x14ac:dyDescent="0.3">
      <c r="A2834" s="87">
        <v>45707</v>
      </c>
      <c r="B2834" s="87" t="str">
        <f t="shared" si="176"/>
        <v>Wednesday</v>
      </c>
      <c r="C2834" s="88" t="s">
        <v>1381</v>
      </c>
      <c r="D2834" s="88" t="s">
        <v>1170</v>
      </c>
      <c r="E2834" s="89">
        <v>35.76</v>
      </c>
      <c r="F2834" s="88" t="s">
        <v>41</v>
      </c>
      <c r="G2834" s="87">
        <f>Table1[[#This Row],[date]]</f>
        <v>45707</v>
      </c>
      <c r="H2834" s="94">
        <f>SUMIF($A$2:A6469,G2834,$E$2:E6469)</f>
        <v>610.83999999999992</v>
      </c>
      <c r="I2834" s="93" t="str">
        <f t="shared" si="177"/>
        <v>Wednesday</v>
      </c>
      <c r="J2834" s="93" t="str">
        <f t="shared" si="178"/>
        <v>February</v>
      </c>
      <c r="K2834" s="93" t="str">
        <f t="shared" si="179"/>
        <v>2025</v>
      </c>
      <c r="L2834" s="6"/>
      <c r="M2834" s="6"/>
      <c r="N2834" s="6"/>
    </row>
    <row r="2835" spans="1:14" x14ac:dyDescent="0.3">
      <c r="A2835" s="92">
        <v>45707</v>
      </c>
      <c r="B2835" s="92" t="str">
        <f t="shared" si="176"/>
        <v>Wednesday</v>
      </c>
      <c r="C2835" s="93" t="s">
        <v>1381</v>
      </c>
      <c r="D2835" s="93" t="s">
        <v>1122</v>
      </c>
      <c r="E2835" s="94">
        <v>25.96</v>
      </c>
      <c r="F2835" s="93" t="s">
        <v>9</v>
      </c>
      <c r="G2835" s="87">
        <f>Table1[[#This Row],[date]]</f>
        <v>45707</v>
      </c>
      <c r="H2835" s="94">
        <f>SUMIF($A$2:A6470,G2835,$E$2:E6470)</f>
        <v>610.83999999999992</v>
      </c>
      <c r="I2835" s="93" t="str">
        <f t="shared" si="177"/>
        <v>Wednesday</v>
      </c>
      <c r="J2835" s="93" t="str">
        <f t="shared" si="178"/>
        <v>February</v>
      </c>
      <c r="K2835" s="93" t="str">
        <f t="shared" si="179"/>
        <v>2025</v>
      </c>
      <c r="L2835" s="6"/>
      <c r="M2835" s="6"/>
      <c r="N2835" s="6"/>
    </row>
    <row r="2836" spans="1:14" x14ac:dyDescent="0.3">
      <c r="A2836" s="92">
        <v>45707</v>
      </c>
      <c r="B2836" s="92" t="str">
        <f t="shared" si="176"/>
        <v>Wednesday</v>
      </c>
      <c r="C2836" s="93" t="s">
        <v>1381</v>
      </c>
      <c r="D2836" s="93" t="s">
        <v>1229</v>
      </c>
      <c r="E2836" s="94">
        <v>30.86</v>
      </c>
      <c r="F2836" s="93" t="s">
        <v>12</v>
      </c>
      <c r="G2836" s="87">
        <f>Table1[[#This Row],[date]]</f>
        <v>45707</v>
      </c>
      <c r="H2836" s="94">
        <f>SUMIF($A$2:A6471,G2836,$E$2:E6471)</f>
        <v>610.83999999999992</v>
      </c>
      <c r="I2836" s="93" t="str">
        <f t="shared" si="177"/>
        <v>Wednesday</v>
      </c>
      <c r="J2836" s="93" t="str">
        <f t="shared" si="178"/>
        <v>February</v>
      </c>
      <c r="K2836" s="93" t="str">
        <f t="shared" si="179"/>
        <v>2025</v>
      </c>
      <c r="L2836" s="6"/>
      <c r="M2836" s="6"/>
      <c r="N2836" s="6"/>
    </row>
    <row r="2837" spans="1:14" x14ac:dyDescent="0.3">
      <c r="A2837" s="87">
        <v>45707</v>
      </c>
      <c r="B2837" s="87" t="str">
        <f t="shared" si="176"/>
        <v>Wednesday</v>
      </c>
      <c r="C2837" s="88" t="s">
        <v>1381</v>
      </c>
      <c r="D2837" s="88" t="s">
        <v>1240</v>
      </c>
      <c r="E2837" s="89">
        <v>35.76</v>
      </c>
      <c r="F2837" s="88" t="s">
        <v>41</v>
      </c>
      <c r="G2837" s="87">
        <f>Table1[[#This Row],[date]]</f>
        <v>45707</v>
      </c>
      <c r="H2837" s="94">
        <f>SUMIF($A$2:A6472,G2837,$E$2:E6472)</f>
        <v>610.83999999999992</v>
      </c>
      <c r="I2837" s="93" t="str">
        <f t="shared" si="177"/>
        <v>Wednesday</v>
      </c>
      <c r="J2837" s="93" t="str">
        <f t="shared" si="178"/>
        <v>February</v>
      </c>
      <c r="K2837" s="93" t="str">
        <f t="shared" si="179"/>
        <v>2025</v>
      </c>
      <c r="L2837" s="6"/>
      <c r="M2837" s="6"/>
      <c r="N2837" s="6"/>
    </row>
    <row r="2838" spans="1:14" x14ac:dyDescent="0.3">
      <c r="A2838" s="92">
        <v>45707</v>
      </c>
      <c r="B2838" s="92" t="str">
        <f t="shared" si="176"/>
        <v>Wednesday</v>
      </c>
      <c r="C2838" s="93" t="s">
        <v>1381</v>
      </c>
      <c r="D2838" s="93" t="s">
        <v>1241</v>
      </c>
      <c r="E2838" s="94">
        <v>35.76</v>
      </c>
      <c r="F2838" s="93" t="s">
        <v>5</v>
      </c>
      <c r="G2838" s="87">
        <f>Table1[[#This Row],[date]]</f>
        <v>45707</v>
      </c>
      <c r="H2838" s="94">
        <f>SUMIF($A$2:A6473,G2838,$E$2:E6473)</f>
        <v>610.83999999999992</v>
      </c>
      <c r="I2838" s="93" t="str">
        <f t="shared" si="177"/>
        <v>Wednesday</v>
      </c>
      <c r="J2838" s="93" t="str">
        <f t="shared" si="178"/>
        <v>February</v>
      </c>
      <c r="K2838" s="93" t="str">
        <f t="shared" si="179"/>
        <v>2025</v>
      </c>
      <c r="L2838" s="6"/>
      <c r="M2838" s="6"/>
      <c r="N2838" s="6"/>
    </row>
    <row r="2839" spans="1:14" x14ac:dyDescent="0.3">
      <c r="A2839" s="87">
        <v>45707</v>
      </c>
      <c r="B2839" s="87" t="str">
        <f t="shared" si="176"/>
        <v>Wednesday</v>
      </c>
      <c r="C2839" s="88" t="s">
        <v>1381</v>
      </c>
      <c r="D2839" s="88" t="s">
        <v>1191</v>
      </c>
      <c r="E2839" s="89">
        <v>35.76</v>
      </c>
      <c r="F2839" s="88" t="s">
        <v>16</v>
      </c>
      <c r="G2839" s="87">
        <f>Table1[[#This Row],[date]]</f>
        <v>45707</v>
      </c>
      <c r="H2839" s="94">
        <f>SUMIF($A$2:A6474,G2839,$E$2:E6474)</f>
        <v>610.83999999999992</v>
      </c>
      <c r="I2839" s="93" t="str">
        <f t="shared" si="177"/>
        <v>Wednesday</v>
      </c>
      <c r="J2839" s="93" t="str">
        <f t="shared" si="178"/>
        <v>February</v>
      </c>
      <c r="K2839" s="93" t="str">
        <f t="shared" si="179"/>
        <v>2025</v>
      </c>
      <c r="L2839" s="6"/>
      <c r="M2839" s="6"/>
      <c r="N2839" s="6"/>
    </row>
    <row r="2840" spans="1:14" x14ac:dyDescent="0.3">
      <c r="A2840" s="92">
        <v>45707</v>
      </c>
      <c r="B2840" s="92" t="str">
        <f t="shared" si="176"/>
        <v>Wednesday</v>
      </c>
      <c r="C2840" s="93" t="s">
        <v>1381</v>
      </c>
      <c r="D2840" s="93" t="s">
        <v>1191</v>
      </c>
      <c r="E2840" s="94">
        <v>35.76</v>
      </c>
      <c r="F2840" s="93" t="s">
        <v>7</v>
      </c>
      <c r="G2840" s="87">
        <f>Table1[[#This Row],[date]]</f>
        <v>45707</v>
      </c>
      <c r="H2840" s="94">
        <f>SUMIF($A$2:A6475,G2840,$E$2:E6475)</f>
        <v>610.83999999999992</v>
      </c>
      <c r="I2840" s="93" t="str">
        <f t="shared" si="177"/>
        <v>Wednesday</v>
      </c>
      <c r="J2840" s="93" t="str">
        <f t="shared" si="178"/>
        <v>February</v>
      </c>
      <c r="K2840" s="93" t="str">
        <f t="shared" si="179"/>
        <v>2025</v>
      </c>
      <c r="L2840" s="6"/>
      <c r="M2840" s="6"/>
      <c r="N2840" s="6"/>
    </row>
    <row r="2841" spans="1:14" x14ac:dyDescent="0.3">
      <c r="A2841" s="87">
        <v>45707</v>
      </c>
      <c r="B2841" s="87" t="str">
        <f t="shared" si="176"/>
        <v>Wednesday</v>
      </c>
      <c r="C2841" s="88" t="s">
        <v>1381</v>
      </c>
      <c r="D2841" s="88" t="s">
        <v>1203</v>
      </c>
      <c r="E2841" s="89">
        <v>35.76</v>
      </c>
      <c r="F2841" s="88" t="s">
        <v>5</v>
      </c>
      <c r="G2841" s="87">
        <f>Table1[[#This Row],[date]]</f>
        <v>45707</v>
      </c>
      <c r="H2841" s="94">
        <f>SUMIF($A$2:A6476,G2841,$E$2:E6476)</f>
        <v>610.83999999999992</v>
      </c>
      <c r="I2841" s="93" t="str">
        <f t="shared" si="177"/>
        <v>Wednesday</v>
      </c>
      <c r="J2841" s="93" t="str">
        <f t="shared" si="178"/>
        <v>February</v>
      </c>
      <c r="K2841" s="93" t="str">
        <f t="shared" si="179"/>
        <v>2025</v>
      </c>
      <c r="L2841" s="6"/>
      <c r="M2841" s="6"/>
      <c r="N2841" s="6"/>
    </row>
    <row r="2842" spans="1:14" x14ac:dyDescent="0.3">
      <c r="A2842" s="92">
        <v>45707</v>
      </c>
      <c r="B2842" s="92" t="str">
        <f t="shared" si="176"/>
        <v>Wednesday</v>
      </c>
      <c r="C2842" s="93" t="s">
        <v>1381</v>
      </c>
      <c r="D2842" s="93" t="s">
        <v>1194</v>
      </c>
      <c r="E2842" s="94">
        <v>35.76</v>
      </c>
      <c r="F2842" s="93" t="s">
        <v>16</v>
      </c>
      <c r="G2842" s="87">
        <f>Table1[[#This Row],[date]]</f>
        <v>45707</v>
      </c>
      <c r="H2842" s="94">
        <f>SUMIF($A$2:A6477,G2842,$E$2:E6477)</f>
        <v>610.83999999999992</v>
      </c>
      <c r="I2842" s="93" t="str">
        <f t="shared" si="177"/>
        <v>Wednesday</v>
      </c>
      <c r="J2842" s="93" t="str">
        <f t="shared" si="178"/>
        <v>February</v>
      </c>
      <c r="K2842" s="93" t="str">
        <f t="shared" si="179"/>
        <v>2025</v>
      </c>
      <c r="L2842" s="6"/>
      <c r="M2842" s="6"/>
      <c r="N2842" s="6"/>
    </row>
    <row r="2843" spans="1:14" x14ac:dyDescent="0.3">
      <c r="A2843" s="87">
        <v>45708</v>
      </c>
      <c r="B2843" s="87" t="str">
        <f t="shared" si="176"/>
        <v>Thursday</v>
      </c>
      <c r="C2843" s="88" t="s">
        <v>1381</v>
      </c>
      <c r="D2843" s="88" t="s">
        <v>1173</v>
      </c>
      <c r="E2843" s="89">
        <v>35.76</v>
      </c>
      <c r="F2843" s="88" t="s">
        <v>41</v>
      </c>
      <c r="G2843" s="87">
        <f>Table1[[#This Row],[date]]</f>
        <v>45708</v>
      </c>
      <c r="H2843" s="94">
        <f>SUMIF($A$2:A6478,G2843,$E$2:E6478)</f>
        <v>477.59999999999991</v>
      </c>
      <c r="I2843" s="93" t="str">
        <f t="shared" si="177"/>
        <v>Thursday</v>
      </c>
      <c r="J2843" s="93" t="str">
        <f t="shared" si="178"/>
        <v>February</v>
      </c>
      <c r="K2843" s="93" t="str">
        <f t="shared" si="179"/>
        <v>2025</v>
      </c>
      <c r="L2843" s="6"/>
      <c r="M2843" s="6"/>
      <c r="N2843" s="6"/>
    </row>
    <row r="2844" spans="1:14" x14ac:dyDescent="0.3">
      <c r="A2844" s="92">
        <v>45708</v>
      </c>
      <c r="B2844" s="92" t="str">
        <f t="shared" si="176"/>
        <v>Thursday</v>
      </c>
      <c r="C2844" s="93" t="s">
        <v>1381</v>
      </c>
      <c r="D2844" s="93" t="s">
        <v>1179</v>
      </c>
      <c r="E2844" s="94">
        <v>25.96</v>
      </c>
      <c r="F2844" s="93" t="s">
        <v>9</v>
      </c>
      <c r="G2844" s="87">
        <f>Table1[[#This Row],[date]]</f>
        <v>45708</v>
      </c>
      <c r="H2844" s="94">
        <f>SUMIF($A$2:A6479,G2844,$E$2:E6479)</f>
        <v>477.59999999999991</v>
      </c>
      <c r="I2844" s="93" t="str">
        <f t="shared" si="177"/>
        <v>Thursday</v>
      </c>
      <c r="J2844" s="93" t="str">
        <f t="shared" si="178"/>
        <v>February</v>
      </c>
      <c r="K2844" s="93" t="str">
        <f t="shared" si="179"/>
        <v>2025</v>
      </c>
      <c r="L2844" s="6"/>
      <c r="M2844" s="6"/>
      <c r="N2844" s="6"/>
    </row>
    <row r="2845" spans="1:14" x14ac:dyDescent="0.3">
      <c r="A2845" s="87">
        <v>45708</v>
      </c>
      <c r="B2845" s="87" t="str">
        <f t="shared" si="176"/>
        <v>Thursday</v>
      </c>
      <c r="C2845" s="88" t="s">
        <v>1381</v>
      </c>
      <c r="D2845" s="88" t="s">
        <v>1175</v>
      </c>
      <c r="E2845" s="89">
        <v>35.76</v>
      </c>
      <c r="F2845" s="88" t="s">
        <v>41</v>
      </c>
      <c r="G2845" s="87">
        <f>Table1[[#This Row],[date]]</f>
        <v>45708</v>
      </c>
      <c r="H2845" s="94">
        <f>SUMIF($A$2:A6480,G2845,$E$2:E6480)</f>
        <v>477.59999999999991</v>
      </c>
      <c r="I2845" s="93" t="str">
        <f t="shared" si="177"/>
        <v>Thursday</v>
      </c>
      <c r="J2845" s="93" t="str">
        <f t="shared" si="178"/>
        <v>February</v>
      </c>
      <c r="K2845" s="93" t="str">
        <f t="shared" si="179"/>
        <v>2025</v>
      </c>
      <c r="L2845" s="6"/>
      <c r="M2845" s="6"/>
      <c r="N2845" s="6"/>
    </row>
    <row r="2846" spans="1:14" x14ac:dyDescent="0.3">
      <c r="A2846" s="92">
        <v>45708</v>
      </c>
      <c r="B2846" s="92" t="str">
        <f t="shared" si="176"/>
        <v>Thursday</v>
      </c>
      <c r="C2846" s="93" t="s">
        <v>1381</v>
      </c>
      <c r="D2846" s="93" t="s">
        <v>1175</v>
      </c>
      <c r="E2846" s="94">
        <v>25.96</v>
      </c>
      <c r="F2846" s="93" t="s">
        <v>9</v>
      </c>
      <c r="G2846" s="87">
        <f>Table1[[#This Row],[date]]</f>
        <v>45708</v>
      </c>
      <c r="H2846" s="94">
        <f>SUMIF($A$2:A6481,G2846,$E$2:E6481)</f>
        <v>477.59999999999991</v>
      </c>
      <c r="I2846" s="93" t="str">
        <f t="shared" si="177"/>
        <v>Thursday</v>
      </c>
      <c r="J2846" s="93" t="str">
        <f t="shared" si="178"/>
        <v>February</v>
      </c>
      <c r="K2846" s="93" t="str">
        <f t="shared" si="179"/>
        <v>2025</v>
      </c>
      <c r="L2846" s="6"/>
      <c r="M2846" s="6"/>
      <c r="N2846" s="6"/>
    </row>
    <row r="2847" spans="1:14" x14ac:dyDescent="0.3">
      <c r="A2847" s="92">
        <v>45708</v>
      </c>
      <c r="B2847" s="92" t="str">
        <f t="shared" si="176"/>
        <v>Thursday</v>
      </c>
      <c r="C2847" s="93" t="s">
        <v>1381</v>
      </c>
      <c r="D2847" s="93" t="s">
        <v>1210</v>
      </c>
      <c r="E2847" s="94">
        <v>25.96</v>
      </c>
      <c r="F2847" s="93" t="s">
        <v>9</v>
      </c>
      <c r="G2847" s="87">
        <f>Table1[[#This Row],[date]]</f>
        <v>45708</v>
      </c>
      <c r="H2847" s="94">
        <f>SUMIF($A$2:A6482,G2847,$E$2:E6482)</f>
        <v>477.59999999999991</v>
      </c>
      <c r="I2847" s="93" t="str">
        <f t="shared" si="177"/>
        <v>Thursday</v>
      </c>
      <c r="J2847" s="93" t="str">
        <f t="shared" si="178"/>
        <v>February</v>
      </c>
      <c r="K2847" s="93" t="str">
        <f t="shared" si="179"/>
        <v>2025</v>
      </c>
      <c r="L2847" s="6"/>
      <c r="M2847" s="6"/>
      <c r="N2847" s="6"/>
    </row>
    <row r="2848" spans="1:14" x14ac:dyDescent="0.3">
      <c r="A2848" s="87">
        <v>45708</v>
      </c>
      <c r="B2848" s="87" t="str">
        <f t="shared" si="176"/>
        <v>Thursday</v>
      </c>
      <c r="C2848" s="88" t="s">
        <v>1381</v>
      </c>
      <c r="D2848" s="88" t="s">
        <v>1215</v>
      </c>
      <c r="E2848" s="89">
        <v>30.86</v>
      </c>
      <c r="F2848" s="88" t="s">
        <v>12</v>
      </c>
      <c r="G2848" s="87">
        <f>Table1[[#This Row],[date]]</f>
        <v>45708</v>
      </c>
      <c r="H2848" s="94">
        <f>SUMIF($A$2:A6483,G2848,$E$2:E6483)</f>
        <v>477.59999999999991</v>
      </c>
      <c r="I2848" s="93" t="str">
        <f t="shared" si="177"/>
        <v>Thursday</v>
      </c>
      <c r="J2848" s="93" t="str">
        <f t="shared" si="178"/>
        <v>February</v>
      </c>
      <c r="K2848" s="93" t="str">
        <f t="shared" si="179"/>
        <v>2025</v>
      </c>
      <c r="L2848" s="6"/>
      <c r="M2848" s="6"/>
      <c r="N2848" s="6"/>
    </row>
    <row r="2849" spans="1:14" x14ac:dyDescent="0.3">
      <c r="A2849" s="92">
        <v>45708</v>
      </c>
      <c r="B2849" s="92" t="str">
        <f t="shared" si="176"/>
        <v>Thursday</v>
      </c>
      <c r="C2849" s="93" t="s">
        <v>1381</v>
      </c>
      <c r="D2849" s="93" t="s">
        <v>1208</v>
      </c>
      <c r="E2849" s="94">
        <v>35.76</v>
      </c>
      <c r="F2849" s="93" t="s">
        <v>5</v>
      </c>
      <c r="G2849" s="87">
        <f>Table1[[#This Row],[date]]</f>
        <v>45708</v>
      </c>
      <c r="H2849" s="94">
        <f>SUMIF($A$2:A6484,G2849,$E$2:E6484)</f>
        <v>477.59999999999991</v>
      </c>
      <c r="I2849" s="93" t="str">
        <f t="shared" si="177"/>
        <v>Thursday</v>
      </c>
      <c r="J2849" s="93" t="str">
        <f t="shared" si="178"/>
        <v>February</v>
      </c>
      <c r="K2849" s="93" t="str">
        <f t="shared" si="179"/>
        <v>2025</v>
      </c>
      <c r="L2849" s="6"/>
      <c r="M2849" s="6"/>
      <c r="N2849" s="6"/>
    </row>
    <row r="2850" spans="1:14" x14ac:dyDescent="0.3">
      <c r="A2850" s="87">
        <v>45708</v>
      </c>
      <c r="B2850" s="87" t="str">
        <f t="shared" si="176"/>
        <v>Thursday</v>
      </c>
      <c r="C2850" s="88" t="s">
        <v>1381</v>
      </c>
      <c r="D2850" s="88" t="s">
        <v>1242</v>
      </c>
      <c r="E2850" s="89">
        <v>21.06</v>
      </c>
      <c r="F2850" s="88" t="s">
        <v>33</v>
      </c>
      <c r="G2850" s="87">
        <f>Table1[[#This Row],[date]]</f>
        <v>45708</v>
      </c>
      <c r="H2850" s="94">
        <f>SUMIF($A$2:A6485,G2850,$E$2:E6485)</f>
        <v>477.59999999999991</v>
      </c>
      <c r="I2850" s="93" t="str">
        <f t="shared" si="177"/>
        <v>Thursday</v>
      </c>
      <c r="J2850" s="93" t="str">
        <f t="shared" si="178"/>
        <v>February</v>
      </c>
      <c r="K2850" s="93" t="str">
        <f t="shared" si="179"/>
        <v>2025</v>
      </c>
      <c r="L2850" s="6"/>
      <c r="M2850" s="6"/>
      <c r="N2850" s="6"/>
    </row>
    <row r="2851" spans="1:14" x14ac:dyDescent="0.3">
      <c r="A2851" s="92">
        <v>45708</v>
      </c>
      <c r="B2851" s="92" t="str">
        <f t="shared" si="176"/>
        <v>Thursday</v>
      </c>
      <c r="C2851" s="93" t="s">
        <v>1381</v>
      </c>
      <c r="D2851" s="93" t="s">
        <v>1168</v>
      </c>
      <c r="E2851" s="94">
        <v>35.76</v>
      </c>
      <c r="F2851" s="93" t="s">
        <v>41</v>
      </c>
      <c r="G2851" s="87">
        <f>Table1[[#This Row],[date]]</f>
        <v>45708</v>
      </c>
      <c r="H2851" s="94">
        <f>SUMIF($A$2:A6486,G2851,$E$2:E6486)</f>
        <v>477.59999999999991</v>
      </c>
      <c r="I2851" s="93" t="str">
        <f t="shared" si="177"/>
        <v>Thursday</v>
      </c>
      <c r="J2851" s="93" t="str">
        <f t="shared" si="178"/>
        <v>February</v>
      </c>
      <c r="K2851" s="93" t="str">
        <f t="shared" si="179"/>
        <v>2025</v>
      </c>
      <c r="L2851" s="6"/>
      <c r="M2851" s="6"/>
      <c r="N2851" s="6"/>
    </row>
    <row r="2852" spans="1:14" x14ac:dyDescent="0.3">
      <c r="A2852" s="87">
        <v>45708</v>
      </c>
      <c r="B2852" s="87" t="str">
        <f t="shared" si="176"/>
        <v>Thursday</v>
      </c>
      <c r="C2852" s="88" t="s">
        <v>1381</v>
      </c>
      <c r="D2852" s="88" t="s">
        <v>1243</v>
      </c>
      <c r="E2852" s="89">
        <v>35.76</v>
      </c>
      <c r="F2852" s="88" t="s">
        <v>41</v>
      </c>
      <c r="G2852" s="87">
        <f>Table1[[#This Row],[date]]</f>
        <v>45708</v>
      </c>
      <c r="H2852" s="94">
        <f>SUMIF($A$2:A6487,G2852,$E$2:E6487)</f>
        <v>477.59999999999991</v>
      </c>
      <c r="I2852" s="93" t="str">
        <f t="shared" si="177"/>
        <v>Thursday</v>
      </c>
      <c r="J2852" s="93" t="str">
        <f t="shared" si="178"/>
        <v>February</v>
      </c>
      <c r="K2852" s="93" t="str">
        <f t="shared" si="179"/>
        <v>2025</v>
      </c>
      <c r="L2852" s="6"/>
      <c r="M2852" s="6"/>
      <c r="N2852" s="6"/>
    </row>
    <row r="2853" spans="1:14" x14ac:dyDescent="0.3">
      <c r="A2853" s="92">
        <v>45708</v>
      </c>
      <c r="B2853" s="92" t="str">
        <f t="shared" si="176"/>
        <v>Thursday</v>
      </c>
      <c r="C2853" s="93" t="s">
        <v>1381</v>
      </c>
      <c r="D2853" s="93" t="s">
        <v>1243</v>
      </c>
      <c r="E2853" s="94">
        <v>35.76</v>
      </c>
      <c r="F2853" s="93" t="s">
        <v>7</v>
      </c>
      <c r="G2853" s="87">
        <f>Table1[[#This Row],[date]]</f>
        <v>45708</v>
      </c>
      <c r="H2853" s="94">
        <f>SUMIF($A$2:A6488,G2853,$E$2:E6488)</f>
        <v>477.59999999999991</v>
      </c>
      <c r="I2853" s="93" t="str">
        <f t="shared" si="177"/>
        <v>Thursday</v>
      </c>
      <c r="J2853" s="93" t="str">
        <f t="shared" si="178"/>
        <v>February</v>
      </c>
      <c r="K2853" s="93" t="str">
        <f t="shared" si="179"/>
        <v>2025</v>
      </c>
      <c r="L2853" s="6"/>
      <c r="M2853" s="6"/>
      <c r="N2853" s="6"/>
    </row>
    <row r="2854" spans="1:14" x14ac:dyDescent="0.3">
      <c r="A2854" s="92">
        <v>45708</v>
      </c>
      <c r="B2854" s="92" t="str">
        <f t="shared" si="176"/>
        <v>Thursday</v>
      </c>
      <c r="C2854" s="93" t="s">
        <v>1381</v>
      </c>
      <c r="D2854" s="93" t="s">
        <v>1244</v>
      </c>
      <c r="E2854" s="94">
        <v>25.96</v>
      </c>
      <c r="F2854" s="93" t="s">
        <v>9</v>
      </c>
      <c r="G2854" s="87">
        <f>Table1[[#This Row],[date]]</f>
        <v>45708</v>
      </c>
      <c r="H2854" s="94">
        <f>SUMIF($A$2:A6489,G2854,$E$2:E6489)</f>
        <v>477.59999999999991</v>
      </c>
      <c r="I2854" s="93" t="str">
        <f t="shared" si="177"/>
        <v>Thursday</v>
      </c>
      <c r="J2854" s="93" t="str">
        <f t="shared" si="178"/>
        <v>February</v>
      </c>
      <c r="K2854" s="93" t="str">
        <f t="shared" si="179"/>
        <v>2025</v>
      </c>
      <c r="L2854" s="6"/>
      <c r="M2854" s="6"/>
      <c r="N2854" s="6"/>
    </row>
    <row r="2855" spans="1:14" x14ac:dyDescent="0.3">
      <c r="A2855" s="87">
        <v>45708</v>
      </c>
      <c r="B2855" s="87" t="str">
        <f t="shared" si="176"/>
        <v>Thursday</v>
      </c>
      <c r="C2855" s="88" t="s">
        <v>1381</v>
      </c>
      <c r="D2855" s="88" t="s">
        <v>1245</v>
      </c>
      <c r="E2855" s="89">
        <v>35.76</v>
      </c>
      <c r="F2855" s="88" t="s">
        <v>7</v>
      </c>
      <c r="G2855" s="87">
        <f>Table1[[#This Row],[date]]</f>
        <v>45708</v>
      </c>
      <c r="H2855" s="94">
        <f>SUMIF($A$2:A6490,G2855,$E$2:E6490)</f>
        <v>477.59999999999991</v>
      </c>
      <c r="I2855" s="93" t="str">
        <f t="shared" si="177"/>
        <v>Thursday</v>
      </c>
      <c r="J2855" s="93" t="str">
        <f t="shared" si="178"/>
        <v>February</v>
      </c>
      <c r="K2855" s="93" t="str">
        <f t="shared" si="179"/>
        <v>2025</v>
      </c>
      <c r="L2855" s="6"/>
      <c r="M2855" s="6"/>
      <c r="N2855" s="6"/>
    </row>
    <row r="2856" spans="1:14" x14ac:dyDescent="0.3">
      <c r="A2856" s="92">
        <v>45708</v>
      </c>
      <c r="B2856" s="92" t="str">
        <f t="shared" si="176"/>
        <v>Thursday</v>
      </c>
      <c r="C2856" s="93" t="s">
        <v>1381</v>
      </c>
      <c r="D2856" s="93" t="s">
        <v>1246</v>
      </c>
      <c r="E2856" s="94">
        <v>35.76</v>
      </c>
      <c r="F2856" s="93" t="s">
        <v>16</v>
      </c>
      <c r="G2856" s="87">
        <f>Table1[[#This Row],[date]]</f>
        <v>45708</v>
      </c>
      <c r="H2856" s="94">
        <f>SUMIF($A$2:A6491,G2856,$E$2:E6491)</f>
        <v>477.59999999999991</v>
      </c>
      <c r="I2856" s="93" t="str">
        <f t="shared" si="177"/>
        <v>Thursday</v>
      </c>
      <c r="J2856" s="93" t="str">
        <f t="shared" si="178"/>
        <v>February</v>
      </c>
      <c r="K2856" s="93" t="str">
        <f t="shared" si="179"/>
        <v>2025</v>
      </c>
      <c r="L2856" s="6"/>
      <c r="M2856" s="6"/>
      <c r="N2856" s="6"/>
    </row>
    <row r="2857" spans="1:14" x14ac:dyDescent="0.3">
      <c r="A2857" s="87">
        <v>45708</v>
      </c>
      <c r="B2857" s="87" t="str">
        <f t="shared" si="176"/>
        <v>Thursday</v>
      </c>
      <c r="C2857" s="88" t="s">
        <v>1381</v>
      </c>
      <c r="D2857" s="88" t="s">
        <v>1181</v>
      </c>
      <c r="E2857" s="89">
        <v>35.76</v>
      </c>
      <c r="F2857" s="88" t="s">
        <v>5</v>
      </c>
      <c r="G2857" s="87">
        <f>Table1[[#This Row],[date]]</f>
        <v>45708</v>
      </c>
      <c r="H2857" s="94">
        <f>SUMIF($A$2:A6492,G2857,$E$2:E6492)</f>
        <v>477.59999999999991</v>
      </c>
      <c r="I2857" s="93" t="str">
        <f t="shared" si="177"/>
        <v>Thursday</v>
      </c>
      <c r="J2857" s="93" t="str">
        <f t="shared" si="178"/>
        <v>February</v>
      </c>
      <c r="K2857" s="93" t="str">
        <f t="shared" si="179"/>
        <v>2025</v>
      </c>
      <c r="L2857" s="6"/>
      <c r="M2857" s="6"/>
      <c r="N2857" s="6"/>
    </row>
    <row r="2858" spans="1:14" x14ac:dyDescent="0.3">
      <c r="A2858" s="92">
        <v>45709</v>
      </c>
      <c r="B2858" s="92" t="str">
        <f t="shared" si="176"/>
        <v>Friday</v>
      </c>
      <c r="C2858" s="93" t="s">
        <v>1381</v>
      </c>
      <c r="D2858" s="93" t="s">
        <v>1175</v>
      </c>
      <c r="E2858" s="94">
        <v>25.96</v>
      </c>
      <c r="F2858" s="93" t="s">
        <v>9</v>
      </c>
      <c r="G2858" s="87">
        <f>Table1[[#This Row],[date]]</f>
        <v>45709</v>
      </c>
      <c r="H2858" s="94">
        <f>SUMIF($A$2:A6493,G2858,$E$2:E6493)</f>
        <v>555.48</v>
      </c>
      <c r="I2858" s="93" t="str">
        <f t="shared" si="177"/>
        <v>Friday</v>
      </c>
      <c r="J2858" s="93" t="str">
        <f t="shared" si="178"/>
        <v>February</v>
      </c>
      <c r="K2858" s="93" t="str">
        <f t="shared" si="179"/>
        <v>2025</v>
      </c>
      <c r="L2858" s="6"/>
      <c r="M2858" s="6"/>
      <c r="N2858" s="6"/>
    </row>
    <row r="2859" spans="1:14" x14ac:dyDescent="0.3">
      <c r="A2859" s="87">
        <v>45709</v>
      </c>
      <c r="B2859" s="87" t="str">
        <f t="shared" si="176"/>
        <v>Friday</v>
      </c>
      <c r="C2859" s="88" t="s">
        <v>1381</v>
      </c>
      <c r="D2859" s="88" t="s">
        <v>1247</v>
      </c>
      <c r="E2859" s="89">
        <v>35.76</v>
      </c>
      <c r="F2859" s="88" t="s">
        <v>5</v>
      </c>
      <c r="G2859" s="87">
        <f>Table1[[#This Row],[date]]</f>
        <v>45709</v>
      </c>
      <c r="H2859" s="94">
        <f>SUMIF($A$2:A6494,G2859,$E$2:E6494)</f>
        <v>555.48</v>
      </c>
      <c r="I2859" s="93" t="str">
        <f t="shared" si="177"/>
        <v>Friday</v>
      </c>
      <c r="J2859" s="93" t="str">
        <f t="shared" si="178"/>
        <v>February</v>
      </c>
      <c r="K2859" s="93" t="str">
        <f t="shared" si="179"/>
        <v>2025</v>
      </c>
      <c r="L2859" s="6"/>
      <c r="M2859" s="6"/>
      <c r="N2859" s="6"/>
    </row>
    <row r="2860" spans="1:14" x14ac:dyDescent="0.3">
      <c r="A2860" s="92">
        <v>45709</v>
      </c>
      <c r="B2860" s="92" t="str">
        <f t="shared" si="176"/>
        <v>Friday</v>
      </c>
      <c r="C2860" s="93" t="s">
        <v>1381</v>
      </c>
      <c r="D2860" s="93" t="s">
        <v>1248</v>
      </c>
      <c r="E2860" s="94">
        <v>35.76</v>
      </c>
      <c r="F2860" s="93" t="s">
        <v>41</v>
      </c>
      <c r="G2860" s="87">
        <f>Table1[[#This Row],[date]]</f>
        <v>45709</v>
      </c>
      <c r="H2860" s="94">
        <f>SUMIF($A$2:A6495,G2860,$E$2:E6495)</f>
        <v>555.48</v>
      </c>
      <c r="I2860" s="93" t="str">
        <f t="shared" si="177"/>
        <v>Friday</v>
      </c>
      <c r="J2860" s="93" t="str">
        <f t="shared" si="178"/>
        <v>February</v>
      </c>
      <c r="K2860" s="93" t="str">
        <f t="shared" si="179"/>
        <v>2025</v>
      </c>
      <c r="L2860" s="6"/>
      <c r="M2860" s="6"/>
      <c r="N2860" s="6"/>
    </row>
    <row r="2861" spans="1:14" x14ac:dyDescent="0.3">
      <c r="A2861" s="87">
        <v>45709</v>
      </c>
      <c r="B2861" s="87" t="str">
        <f t="shared" si="176"/>
        <v>Friday</v>
      </c>
      <c r="C2861" s="88" t="s">
        <v>1381</v>
      </c>
      <c r="D2861" s="88" t="s">
        <v>1249</v>
      </c>
      <c r="E2861" s="89">
        <v>21.06</v>
      </c>
      <c r="F2861" s="88" t="s">
        <v>33</v>
      </c>
      <c r="G2861" s="87">
        <f>Table1[[#This Row],[date]]</f>
        <v>45709</v>
      </c>
      <c r="H2861" s="94">
        <f>SUMIF($A$2:A6496,G2861,$E$2:E6496)</f>
        <v>555.48</v>
      </c>
      <c r="I2861" s="93" t="str">
        <f t="shared" si="177"/>
        <v>Friday</v>
      </c>
      <c r="J2861" s="93" t="str">
        <f t="shared" si="178"/>
        <v>February</v>
      </c>
      <c r="K2861" s="93" t="str">
        <f t="shared" si="179"/>
        <v>2025</v>
      </c>
      <c r="L2861" s="6"/>
      <c r="M2861" s="6"/>
      <c r="N2861" s="6"/>
    </row>
    <row r="2862" spans="1:14" x14ac:dyDescent="0.3">
      <c r="A2862" s="92">
        <v>45709</v>
      </c>
      <c r="B2862" s="92" t="str">
        <f t="shared" si="176"/>
        <v>Friday</v>
      </c>
      <c r="C2862" s="93" t="s">
        <v>1381</v>
      </c>
      <c r="D2862" s="93" t="s">
        <v>1244</v>
      </c>
      <c r="E2862" s="94">
        <v>25.96</v>
      </c>
      <c r="F2862" s="93" t="s">
        <v>9</v>
      </c>
      <c r="G2862" s="87">
        <f>Table1[[#This Row],[date]]</f>
        <v>45709</v>
      </c>
      <c r="H2862" s="94">
        <f>SUMIF($A$2:A6497,G2862,$E$2:E6497)</f>
        <v>555.48</v>
      </c>
      <c r="I2862" s="93" t="str">
        <f t="shared" si="177"/>
        <v>Friday</v>
      </c>
      <c r="J2862" s="93" t="str">
        <f t="shared" si="178"/>
        <v>February</v>
      </c>
      <c r="K2862" s="93" t="str">
        <f t="shared" si="179"/>
        <v>2025</v>
      </c>
      <c r="L2862" s="6"/>
      <c r="M2862" s="6"/>
      <c r="N2862" s="6"/>
    </row>
    <row r="2863" spans="1:14" x14ac:dyDescent="0.3">
      <c r="A2863" s="87">
        <v>45709</v>
      </c>
      <c r="B2863" s="87" t="str">
        <f t="shared" si="176"/>
        <v>Friday</v>
      </c>
      <c r="C2863" s="88" t="s">
        <v>1381</v>
      </c>
      <c r="D2863" s="88" t="s">
        <v>1175</v>
      </c>
      <c r="E2863" s="89">
        <v>30.86</v>
      </c>
      <c r="F2863" s="88" t="s">
        <v>12</v>
      </c>
      <c r="G2863" s="87">
        <f>Table1[[#This Row],[date]]</f>
        <v>45709</v>
      </c>
      <c r="H2863" s="94">
        <f>SUMIF($A$2:A6498,G2863,$E$2:E6498)</f>
        <v>555.48</v>
      </c>
      <c r="I2863" s="93" t="str">
        <f t="shared" si="177"/>
        <v>Friday</v>
      </c>
      <c r="J2863" s="93" t="str">
        <f t="shared" si="178"/>
        <v>February</v>
      </c>
      <c r="K2863" s="93" t="str">
        <f t="shared" si="179"/>
        <v>2025</v>
      </c>
      <c r="L2863" s="6"/>
      <c r="M2863" s="6"/>
      <c r="N2863" s="6"/>
    </row>
    <row r="2864" spans="1:14" x14ac:dyDescent="0.3">
      <c r="A2864" s="92">
        <v>45709</v>
      </c>
      <c r="B2864" s="92" t="str">
        <f t="shared" si="176"/>
        <v>Friday</v>
      </c>
      <c r="C2864" s="93" t="s">
        <v>1381</v>
      </c>
      <c r="D2864" s="93" t="s">
        <v>1122</v>
      </c>
      <c r="E2864" s="94">
        <v>25.96</v>
      </c>
      <c r="F2864" s="93" t="s">
        <v>9</v>
      </c>
      <c r="G2864" s="87">
        <f>Table1[[#This Row],[date]]</f>
        <v>45709</v>
      </c>
      <c r="H2864" s="94">
        <f>SUMIF($A$2:A6499,G2864,$E$2:E6499)</f>
        <v>555.48</v>
      </c>
      <c r="I2864" s="93" t="str">
        <f t="shared" si="177"/>
        <v>Friday</v>
      </c>
      <c r="J2864" s="93" t="str">
        <f t="shared" si="178"/>
        <v>February</v>
      </c>
      <c r="K2864" s="93" t="str">
        <f t="shared" si="179"/>
        <v>2025</v>
      </c>
      <c r="L2864" s="6"/>
      <c r="M2864" s="6"/>
      <c r="N2864" s="6"/>
    </row>
    <row r="2865" spans="1:14" x14ac:dyDescent="0.3">
      <c r="A2865" s="87">
        <v>45709</v>
      </c>
      <c r="B2865" s="87" t="str">
        <f t="shared" si="176"/>
        <v>Friday</v>
      </c>
      <c r="C2865" s="88" t="s">
        <v>1381</v>
      </c>
      <c r="D2865" s="88" t="s">
        <v>1250</v>
      </c>
      <c r="E2865" s="89">
        <v>25.96</v>
      </c>
      <c r="F2865" s="88" t="s">
        <v>9</v>
      </c>
      <c r="G2865" s="87">
        <f>Table1[[#This Row],[date]]</f>
        <v>45709</v>
      </c>
      <c r="H2865" s="94">
        <f>SUMIF($A$2:A6500,G2865,$E$2:E6500)</f>
        <v>555.48</v>
      </c>
      <c r="I2865" s="93" t="str">
        <f t="shared" si="177"/>
        <v>Friday</v>
      </c>
      <c r="J2865" s="93" t="str">
        <f t="shared" si="178"/>
        <v>February</v>
      </c>
      <c r="K2865" s="93" t="str">
        <f t="shared" si="179"/>
        <v>2025</v>
      </c>
      <c r="L2865" s="6"/>
      <c r="M2865" s="6"/>
      <c r="N2865" s="6"/>
    </row>
    <row r="2866" spans="1:14" x14ac:dyDescent="0.3">
      <c r="A2866" s="92">
        <v>45709</v>
      </c>
      <c r="B2866" s="92" t="str">
        <f t="shared" si="176"/>
        <v>Friday</v>
      </c>
      <c r="C2866" s="93" t="s">
        <v>1381</v>
      </c>
      <c r="D2866" s="93" t="s">
        <v>1210</v>
      </c>
      <c r="E2866" s="94">
        <v>25.96</v>
      </c>
      <c r="F2866" s="93" t="s">
        <v>9</v>
      </c>
      <c r="G2866" s="87">
        <f>Table1[[#This Row],[date]]</f>
        <v>45709</v>
      </c>
      <c r="H2866" s="94">
        <f>SUMIF($A$2:A6501,G2866,$E$2:E6501)</f>
        <v>555.48</v>
      </c>
      <c r="I2866" s="93" t="str">
        <f t="shared" si="177"/>
        <v>Friday</v>
      </c>
      <c r="J2866" s="93" t="str">
        <f t="shared" si="178"/>
        <v>February</v>
      </c>
      <c r="K2866" s="93" t="str">
        <f t="shared" si="179"/>
        <v>2025</v>
      </c>
      <c r="L2866" s="6"/>
      <c r="M2866" s="6"/>
      <c r="N2866" s="6"/>
    </row>
    <row r="2867" spans="1:14" x14ac:dyDescent="0.3">
      <c r="A2867" s="87">
        <v>45709</v>
      </c>
      <c r="B2867" s="87" t="str">
        <f t="shared" si="176"/>
        <v>Friday</v>
      </c>
      <c r="C2867" s="88" t="s">
        <v>1381</v>
      </c>
      <c r="D2867" s="88" t="s">
        <v>1179</v>
      </c>
      <c r="E2867" s="89">
        <v>25.96</v>
      </c>
      <c r="F2867" s="88" t="s">
        <v>9</v>
      </c>
      <c r="G2867" s="87">
        <f>Table1[[#This Row],[date]]</f>
        <v>45709</v>
      </c>
      <c r="H2867" s="94">
        <f>SUMIF($A$2:A6502,G2867,$E$2:E6502)</f>
        <v>555.48</v>
      </c>
      <c r="I2867" s="93" t="str">
        <f t="shared" si="177"/>
        <v>Friday</v>
      </c>
      <c r="J2867" s="93" t="str">
        <f t="shared" si="178"/>
        <v>February</v>
      </c>
      <c r="K2867" s="93" t="str">
        <f t="shared" si="179"/>
        <v>2025</v>
      </c>
      <c r="L2867" s="6"/>
      <c r="M2867" s="6"/>
      <c r="N2867" s="6"/>
    </row>
    <row r="2868" spans="1:14" x14ac:dyDescent="0.3">
      <c r="A2868" s="92">
        <v>45709</v>
      </c>
      <c r="B2868" s="92" t="str">
        <f t="shared" si="176"/>
        <v>Friday</v>
      </c>
      <c r="C2868" s="93" t="s">
        <v>1381</v>
      </c>
      <c r="D2868" s="93" t="s">
        <v>1215</v>
      </c>
      <c r="E2868" s="94">
        <v>25.96</v>
      </c>
      <c r="F2868" s="93" t="s">
        <v>9</v>
      </c>
      <c r="G2868" s="87">
        <f>Table1[[#This Row],[date]]</f>
        <v>45709</v>
      </c>
      <c r="H2868" s="94">
        <f>SUMIF($A$2:A6503,G2868,$E$2:E6503)</f>
        <v>555.48</v>
      </c>
      <c r="I2868" s="93" t="str">
        <f t="shared" si="177"/>
        <v>Friday</v>
      </c>
      <c r="J2868" s="93" t="str">
        <f t="shared" si="178"/>
        <v>February</v>
      </c>
      <c r="K2868" s="93" t="str">
        <f t="shared" si="179"/>
        <v>2025</v>
      </c>
      <c r="L2868" s="6"/>
      <c r="M2868" s="6"/>
      <c r="N2868" s="6"/>
    </row>
    <row r="2869" spans="1:14" x14ac:dyDescent="0.3">
      <c r="A2869" s="92">
        <v>45709</v>
      </c>
      <c r="B2869" s="92" t="str">
        <f t="shared" si="176"/>
        <v>Friday</v>
      </c>
      <c r="C2869" s="93" t="s">
        <v>1381</v>
      </c>
      <c r="D2869" s="93" t="s">
        <v>1173</v>
      </c>
      <c r="E2869" s="94">
        <v>35.76</v>
      </c>
      <c r="F2869" s="93" t="s">
        <v>41</v>
      </c>
      <c r="G2869" s="87">
        <f>Table1[[#This Row],[date]]</f>
        <v>45709</v>
      </c>
      <c r="H2869" s="94">
        <f>SUMIF($A$2:A6504,G2869,$E$2:E6504)</f>
        <v>555.48</v>
      </c>
      <c r="I2869" s="93" t="str">
        <f t="shared" si="177"/>
        <v>Friday</v>
      </c>
      <c r="J2869" s="93" t="str">
        <f t="shared" si="178"/>
        <v>February</v>
      </c>
      <c r="K2869" s="93" t="str">
        <f t="shared" si="179"/>
        <v>2025</v>
      </c>
      <c r="L2869" s="6"/>
      <c r="M2869" s="6"/>
      <c r="N2869" s="6"/>
    </row>
    <row r="2870" spans="1:14" x14ac:dyDescent="0.3">
      <c r="A2870" s="92">
        <v>45709</v>
      </c>
      <c r="B2870" s="92" t="str">
        <f t="shared" si="176"/>
        <v>Friday</v>
      </c>
      <c r="C2870" s="93" t="s">
        <v>1381</v>
      </c>
      <c r="D2870" s="93" t="s">
        <v>1251</v>
      </c>
      <c r="E2870" s="94">
        <v>35.76</v>
      </c>
      <c r="F2870" s="93" t="s">
        <v>16</v>
      </c>
      <c r="G2870" s="87">
        <f>Table1[[#This Row],[date]]</f>
        <v>45709</v>
      </c>
      <c r="H2870" s="94">
        <f>SUMIF($A$2:A6505,G2870,$E$2:E6505)</f>
        <v>555.48</v>
      </c>
      <c r="I2870" s="93" t="str">
        <f t="shared" si="177"/>
        <v>Friday</v>
      </c>
      <c r="J2870" s="93" t="str">
        <f t="shared" si="178"/>
        <v>February</v>
      </c>
      <c r="K2870" s="93" t="str">
        <f t="shared" si="179"/>
        <v>2025</v>
      </c>
      <c r="L2870" s="6"/>
      <c r="M2870" s="6"/>
      <c r="N2870" s="6"/>
    </row>
    <row r="2871" spans="1:14" x14ac:dyDescent="0.3">
      <c r="A2871" s="87">
        <v>45709</v>
      </c>
      <c r="B2871" s="87" t="str">
        <f t="shared" si="176"/>
        <v>Friday</v>
      </c>
      <c r="C2871" s="88" t="s">
        <v>1381</v>
      </c>
      <c r="D2871" s="88" t="s">
        <v>1203</v>
      </c>
      <c r="E2871" s="89">
        <v>35.76</v>
      </c>
      <c r="F2871" s="88" t="s">
        <v>5</v>
      </c>
      <c r="G2871" s="87">
        <f>Table1[[#This Row],[date]]</f>
        <v>45709</v>
      </c>
      <c r="H2871" s="94">
        <f>SUMIF($A$2:A6506,G2871,$E$2:E6506)</f>
        <v>555.48</v>
      </c>
      <c r="I2871" s="93" t="str">
        <f t="shared" si="177"/>
        <v>Friday</v>
      </c>
      <c r="J2871" s="93" t="str">
        <f t="shared" si="178"/>
        <v>February</v>
      </c>
      <c r="K2871" s="93" t="str">
        <f t="shared" si="179"/>
        <v>2025</v>
      </c>
      <c r="L2871" s="6"/>
      <c r="M2871" s="6"/>
      <c r="N2871" s="6"/>
    </row>
    <row r="2872" spans="1:14" x14ac:dyDescent="0.3">
      <c r="A2872" s="92">
        <v>45709</v>
      </c>
      <c r="B2872" s="92" t="str">
        <f t="shared" si="176"/>
        <v>Friday</v>
      </c>
      <c r="C2872" s="93" t="s">
        <v>1381</v>
      </c>
      <c r="D2872" s="93" t="s">
        <v>1177</v>
      </c>
      <c r="E2872" s="94">
        <v>35.76</v>
      </c>
      <c r="F2872" s="93" t="s">
        <v>7</v>
      </c>
      <c r="G2872" s="87">
        <f>Table1[[#This Row],[date]]</f>
        <v>45709</v>
      </c>
      <c r="H2872" s="94">
        <f>SUMIF($A$2:A6507,G2872,$E$2:E6507)</f>
        <v>555.48</v>
      </c>
      <c r="I2872" s="93" t="str">
        <f t="shared" si="177"/>
        <v>Friday</v>
      </c>
      <c r="J2872" s="93" t="str">
        <f t="shared" si="178"/>
        <v>February</v>
      </c>
      <c r="K2872" s="93" t="str">
        <f t="shared" si="179"/>
        <v>2025</v>
      </c>
      <c r="L2872" s="6"/>
      <c r="M2872" s="6"/>
      <c r="N2872" s="6"/>
    </row>
    <row r="2873" spans="1:14" x14ac:dyDescent="0.3">
      <c r="A2873" s="87">
        <v>45709</v>
      </c>
      <c r="B2873" s="87" t="str">
        <f t="shared" si="176"/>
        <v>Friday</v>
      </c>
      <c r="C2873" s="88" t="s">
        <v>1381</v>
      </c>
      <c r="D2873" s="88" t="s">
        <v>1177</v>
      </c>
      <c r="E2873" s="89">
        <v>35.76</v>
      </c>
      <c r="F2873" s="88" t="s">
        <v>5</v>
      </c>
      <c r="G2873" s="87">
        <f>Table1[[#This Row],[date]]</f>
        <v>45709</v>
      </c>
      <c r="H2873" s="94">
        <f>SUMIF($A$2:A6508,G2873,$E$2:E6508)</f>
        <v>555.48</v>
      </c>
      <c r="I2873" s="93" t="str">
        <f t="shared" si="177"/>
        <v>Friday</v>
      </c>
      <c r="J2873" s="93" t="str">
        <f t="shared" si="178"/>
        <v>February</v>
      </c>
      <c r="K2873" s="93" t="str">
        <f t="shared" si="179"/>
        <v>2025</v>
      </c>
      <c r="L2873" s="6"/>
      <c r="M2873" s="6"/>
      <c r="N2873" s="6"/>
    </row>
    <row r="2874" spans="1:14" x14ac:dyDescent="0.3">
      <c r="A2874" s="92">
        <v>45709</v>
      </c>
      <c r="B2874" s="92" t="str">
        <f t="shared" si="176"/>
        <v>Friday</v>
      </c>
      <c r="C2874" s="93" t="s">
        <v>1381</v>
      </c>
      <c r="D2874" s="93" t="s">
        <v>1190</v>
      </c>
      <c r="E2874" s="94">
        <v>35.76</v>
      </c>
      <c r="F2874" s="93" t="s">
        <v>16</v>
      </c>
      <c r="G2874" s="87">
        <f>Table1[[#This Row],[date]]</f>
        <v>45709</v>
      </c>
      <c r="H2874" s="94">
        <f>SUMIF($A$2:A6509,G2874,$E$2:E6509)</f>
        <v>555.48</v>
      </c>
      <c r="I2874" s="93" t="str">
        <f t="shared" si="177"/>
        <v>Friday</v>
      </c>
      <c r="J2874" s="93" t="str">
        <f t="shared" si="178"/>
        <v>February</v>
      </c>
      <c r="K2874" s="93" t="str">
        <f t="shared" si="179"/>
        <v>2025</v>
      </c>
      <c r="L2874" s="6"/>
      <c r="M2874" s="6"/>
      <c r="N2874" s="6"/>
    </row>
    <row r="2875" spans="1:14" x14ac:dyDescent="0.3">
      <c r="A2875" s="92">
        <v>45709</v>
      </c>
      <c r="B2875" s="92" t="str">
        <f t="shared" si="176"/>
        <v>Friday</v>
      </c>
      <c r="C2875" s="93" t="s">
        <v>1381</v>
      </c>
      <c r="D2875" s="93" t="s">
        <v>1196</v>
      </c>
      <c r="E2875" s="94">
        <v>35.76</v>
      </c>
      <c r="F2875" s="93" t="s">
        <v>41</v>
      </c>
      <c r="G2875" s="87">
        <f>Table1[[#This Row],[date]]</f>
        <v>45709</v>
      </c>
      <c r="H2875" s="94">
        <f>SUMIF($A$2:A6510,G2875,$E$2:E6510)</f>
        <v>555.48</v>
      </c>
      <c r="I2875" s="93" t="str">
        <f t="shared" si="177"/>
        <v>Friday</v>
      </c>
      <c r="J2875" s="93" t="str">
        <f t="shared" si="178"/>
        <v>February</v>
      </c>
      <c r="K2875" s="93" t="str">
        <f t="shared" si="179"/>
        <v>2025</v>
      </c>
      <c r="L2875" s="6"/>
      <c r="M2875" s="6"/>
      <c r="N2875" s="6"/>
    </row>
    <row r="2876" spans="1:14" x14ac:dyDescent="0.3">
      <c r="A2876" s="87">
        <v>45710</v>
      </c>
      <c r="B2876" s="87" t="str">
        <f t="shared" si="176"/>
        <v>Saturday</v>
      </c>
      <c r="C2876" s="88" t="s">
        <v>1381</v>
      </c>
      <c r="D2876" s="88" t="s">
        <v>1252</v>
      </c>
      <c r="E2876" s="89">
        <v>35.76</v>
      </c>
      <c r="F2876" s="88" t="s">
        <v>7</v>
      </c>
      <c r="G2876" s="87">
        <f>Table1[[#This Row],[date]]</f>
        <v>45710</v>
      </c>
      <c r="H2876" s="94">
        <f>SUMIF($A$2:A6511,G2876,$E$2:E6511)</f>
        <v>139.60000000000002</v>
      </c>
      <c r="I2876" s="93" t="str">
        <f t="shared" si="177"/>
        <v>Saturday</v>
      </c>
      <c r="J2876" s="93" t="str">
        <f t="shared" si="178"/>
        <v>February</v>
      </c>
      <c r="K2876" s="93" t="str">
        <f t="shared" si="179"/>
        <v>2025</v>
      </c>
      <c r="L2876" s="6"/>
      <c r="M2876" s="6"/>
      <c r="N2876" s="6"/>
    </row>
    <row r="2877" spans="1:14" x14ac:dyDescent="0.3">
      <c r="A2877" s="92">
        <v>45710</v>
      </c>
      <c r="B2877" s="92" t="str">
        <f t="shared" si="176"/>
        <v>Saturday</v>
      </c>
      <c r="C2877" s="93" t="s">
        <v>1381</v>
      </c>
      <c r="D2877" s="93" t="s">
        <v>1253</v>
      </c>
      <c r="E2877" s="94">
        <v>25.96</v>
      </c>
      <c r="F2877" s="93" t="s">
        <v>9</v>
      </c>
      <c r="G2877" s="87">
        <f>Table1[[#This Row],[date]]</f>
        <v>45710</v>
      </c>
      <c r="H2877" s="94">
        <f>SUMIF($A$2:A6512,G2877,$E$2:E6512)</f>
        <v>139.60000000000002</v>
      </c>
      <c r="I2877" s="93" t="str">
        <f t="shared" si="177"/>
        <v>Saturday</v>
      </c>
      <c r="J2877" s="93" t="str">
        <f t="shared" si="178"/>
        <v>February</v>
      </c>
      <c r="K2877" s="93" t="str">
        <f t="shared" si="179"/>
        <v>2025</v>
      </c>
      <c r="L2877" s="6"/>
      <c r="M2877" s="6"/>
      <c r="N2877" s="6"/>
    </row>
    <row r="2878" spans="1:14" x14ac:dyDescent="0.3">
      <c r="A2878" s="87">
        <v>45710</v>
      </c>
      <c r="B2878" s="87" t="str">
        <f t="shared" si="176"/>
        <v>Saturday</v>
      </c>
      <c r="C2878" s="88" t="s">
        <v>1381</v>
      </c>
      <c r="D2878" s="88" t="s">
        <v>1202</v>
      </c>
      <c r="E2878" s="89">
        <v>25.96</v>
      </c>
      <c r="F2878" s="88" t="s">
        <v>9</v>
      </c>
      <c r="G2878" s="87">
        <f>Table1[[#This Row],[date]]</f>
        <v>45710</v>
      </c>
      <c r="H2878" s="94">
        <f>SUMIF($A$2:A6513,G2878,$E$2:E6513)</f>
        <v>139.60000000000002</v>
      </c>
      <c r="I2878" s="93" t="str">
        <f t="shared" si="177"/>
        <v>Saturday</v>
      </c>
      <c r="J2878" s="93" t="str">
        <f t="shared" si="178"/>
        <v>February</v>
      </c>
      <c r="K2878" s="93" t="str">
        <f t="shared" si="179"/>
        <v>2025</v>
      </c>
      <c r="L2878" s="6"/>
      <c r="M2878" s="6"/>
      <c r="N2878" s="6"/>
    </row>
    <row r="2879" spans="1:14" x14ac:dyDescent="0.3">
      <c r="A2879" s="92">
        <v>45710</v>
      </c>
      <c r="B2879" s="92" t="str">
        <f t="shared" si="176"/>
        <v>Saturday</v>
      </c>
      <c r="C2879" s="93" t="s">
        <v>1381</v>
      </c>
      <c r="D2879" s="93" t="s">
        <v>107</v>
      </c>
      <c r="E2879" s="94">
        <v>21.06</v>
      </c>
      <c r="F2879" s="93" t="s">
        <v>33</v>
      </c>
      <c r="G2879" s="87">
        <f>Table1[[#This Row],[date]]</f>
        <v>45710</v>
      </c>
      <c r="H2879" s="94">
        <f>SUMIF($A$2:A6514,G2879,$E$2:E6514)</f>
        <v>139.60000000000002</v>
      </c>
      <c r="I2879" s="93" t="str">
        <f t="shared" si="177"/>
        <v>Saturday</v>
      </c>
      <c r="J2879" s="93" t="str">
        <f t="shared" si="178"/>
        <v>February</v>
      </c>
      <c r="K2879" s="93" t="str">
        <f t="shared" si="179"/>
        <v>2025</v>
      </c>
      <c r="L2879" s="6"/>
      <c r="M2879" s="6"/>
      <c r="N2879" s="6"/>
    </row>
    <row r="2880" spans="1:14" x14ac:dyDescent="0.3">
      <c r="A2880" s="87">
        <v>45710</v>
      </c>
      <c r="B2880" s="87" t="str">
        <f t="shared" si="176"/>
        <v>Saturday</v>
      </c>
      <c r="C2880" s="88" t="s">
        <v>1381</v>
      </c>
      <c r="D2880" s="88" t="s">
        <v>1174</v>
      </c>
      <c r="E2880" s="89">
        <v>30.86</v>
      </c>
      <c r="F2880" s="88" t="s">
        <v>12</v>
      </c>
      <c r="G2880" s="87">
        <f>Table1[[#This Row],[date]]</f>
        <v>45710</v>
      </c>
      <c r="H2880" s="94">
        <f>SUMIF($A$2:A6515,G2880,$E$2:E6515)</f>
        <v>139.60000000000002</v>
      </c>
      <c r="I2880" s="93" t="str">
        <f t="shared" si="177"/>
        <v>Saturday</v>
      </c>
      <c r="J2880" s="93" t="str">
        <f t="shared" si="178"/>
        <v>February</v>
      </c>
      <c r="K2880" s="93" t="str">
        <f t="shared" si="179"/>
        <v>2025</v>
      </c>
      <c r="L2880" s="6"/>
      <c r="M2880" s="6"/>
      <c r="N2880" s="6"/>
    </row>
    <row r="2881" spans="1:14" x14ac:dyDescent="0.3">
      <c r="A2881" s="92">
        <v>45711</v>
      </c>
      <c r="B2881" s="92" t="str">
        <f t="shared" si="176"/>
        <v>Sunday</v>
      </c>
      <c r="C2881" s="93" t="s">
        <v>1381</v>
      </c>
      <c r="D2881" s="93" t="s">
        <v>1168</v>
      </c>
      <c r="E2881" s="94">
        <v>30.86</v>
      </c>
      <c r="F2881" s="93" t="s">
        <v>12</v>
      </c>
      <c r="G2881" s="87">
        <f>Table1[[#This Row],[date]]</f>
        <v>45711</v>
      </c>
      <c r="H2881" s="94">
        <f>SUMIF($A$2:A6516,G2881,$E$2:E6516)</f>
        <v>159.19999999999999</v>
      </c>
      <c r="I2881" s="93" t="str">
        <f t="shared" si="177"/>
        <v>Sunday</v>
      </c>
      <c r="J2881" s="93" t="str">
        <f t="shared" si="178"/>
        <v>February</v>
      </c>
      <c r="K2881" s="93" t="str">
        <f t="shared" si="179"/>
        <v>2025</v>
      </c>
      <c r="L2881" s="6"/>
      <c r="M2881" s="6"/>
      <c r="N2881" s="6"/>
    </row>
    <row r="2882" spans="1:14" x14ac:dyDescent="0.3">
      <c r="A2882" s="87">
        <v>45711</v>
      </c>
      <c r="B2882" s="87" t="str">
        <f t="shared" ref="B2882:B2945" si="180">TEXT(A2882,"dddd")</f>
        <v>Sunday</v>
      </c>
      <c r="C2882" s="88" t="s">
        <v>1381</v>
      </c>
      <c r="D2882" s="88" t="s">
        <v>1175</v>
      </c>
      <c r="E2882" s="89">
        <v>30.86</v>
      </c>
      <c r="F2882" s="88" t="s">
        <v>12</v>
      </c>
      <c r="G2882" s="87">
        <f>Table1[[#This Row],[date]]</f>
        <v>45711</v>
      </c>
      <c r="H2882" s="94">
        <f>SUMIF($A$2:A6517,G2882,$E$2:E6517)</f>
        <v>159.19999999999999</v>
      </c>
      <c r="I2882" s="93" t="str">
        <f t="shared" si="177"/>
        <v>Sunday</v>
      </c>
      <c r="J2882" s="93" t="str">
        <f t="shared" si="178"/>
        <v>February</v>
      </c>
      <c r="K2882" s="93" t="str">
        <f t="shared" si="179"/>
        <v>2025</v>
      </c>
      <c r="L2882" s="6"/>
      <c r="M2882" s="6"/>
      <c r="N2882" s="6"/>
    </row>
    <row r="2883" spans="1:14" x14ac:dyDescent="0.3">
      <c r="A2883" s="87">
        <v>45711</v>
      </c>
      <c r="B2883" s="87" t="str">
        <f t="shared" si="180"/>
        <v>Sunday</v>
      </c>
      <c r="C2883" s="88" t="s">
        <v>1381</v>
      </c>
      <c r="D2883" s="88" t="s">
        <v>1254</v>
      </c>
      <c r="E2883" s="89">
        <v>35.76</v>
      </c>
      <c r="F2883" s="88" t="s">
        <v>41</v>
      </c>
      <c r="G2883" s="87">
        <f>Table1[[#This Row],[date]]</f>
        <v>45711</v>
      </c>
      <c r="H2883" s="94">
        <f>SUMIF($A$2:A6518,G2883,$E$2:E6518)</f>
        <v>159.19999999999999</v>
      </c>
      <c r="I2883" s="93" t="str">
        <f t="shared" si="177"/>
        <v>Sunday</v>
      </c>
      <c r="J2883" s="93" t="str">
        <f t="shared" si="178"/>
        <v>February</v>
      </c>
      <c r="K2883" s="93" t="str">
        <f t="shared" si="179"/>
        <v>2025</v>
      </c>
      <c r="L2883" s="6"/>
      <c r="M2883" s="6"/>
      <c r="N2883" s="6"/>
    </row>
    <row r="2884" spans="1:14" x14ac:dyDescent="0.3">
      <c r="A2884" s="92">
        <v>45711</v>
      </c>
      <c r="B2884" s="92" t="str">
        <f t="shared" si="180"/>
        <v>Sunday</v>
      </c>
      <c r="C2884" s="93" t="s">
        <v>1381</v>
      </c>
      <c r="D2884" s="93" t="s">
        <v>1168</v>
      </c>
      <c r="E2884" s="94">
        <v>35.76</v>
      </c>
      <c r="F2884" s="93" t="s">
        <v>16</v>
      </c>
      <c r="G2884" s="87">
        <f>Table1[[#This Row],[date]]</f>
        <v>45711</v>
      </c>
      <c r="H2884" s="94">
        <f>SUMIF($A$2:A6519,G2884,$E$2:E6519)</f>
        <v>159.19999999999999</v>
      </c>
      <c r="I2884" s="93" t="str">
        <f t="shared" si="177"/>
        <v>Sunday</v>
      </c>
      <c r="J2884" s="93" t="str">
        <f t="shared" si="178"/>
        <v>February</v>
      </c>
      <c r="K2884" s="93" t="str">
        <f t="shared" si="179"/>
        <v>2025</v>
      </c>
      <c r="L2884" s="6"/>
      <c r="M2884" s="6"/>
      <c r="N2884" s="6"/>
    </row>
    <row r="2885" spans="1:14" x14ac:dyDescent="0.3">
      <c r="A2885" s="87">
        <v>45711</v>
      </c>
      <c r="B2885" s="87" t="str">
        <f t="shared" si="180"/>
        <v>Sunday</v>
      </c>
      <c r="C2885" s="88" t="s">
        <v>1381</v>
      </c>
      <c r="D2885" s="88" t="s">
        <v>1255</v>
      </c>
      <c r="E2885" s="89">
        <v>25.96</v>
      </c>
      <c r="F2885" s="88" t="s">
        <v>9</v>
      </c>
      <c r="G2885" s="87">
        <f>Table1[[#This Row],[date]]</f>
        <v>45711</v>
      </c>
      <c r="H2885" s="94">
        <f>SUMIF($A$2:A6520,G2885,$E$2:E6520)</f>
        <v>159.19999999999999</v>
      </c>
      <c r="I2885" s="93" t="str">
        <f t="shared" si="177"/>
        <v>Sunday</v>
      </c>
      <c r="J2885" s="93" t="str">
        <f t="shared" si="178"/>
        <v>February</v>
      </c>
      <c r="K2885" s="93" t="str">
        <f t="shared" si="179"/>
        <v>2025</v>
      </c>
      <c r="L2885" s="6"/>
      <c r="M2885" s="6"/>
      <c r="N2885" s="6"/>
    </row>
    <row r="2886" spans="1:14" x14ac:dyDescent="0.3">
      <c r="A2886" s="92">
        <v>45712</v>
      </c>
      <c r="B2886" s="92" t="str">
        <f t="shared" si="180"/>
        <v>Monday</v>
      </c>
      <c r="C2886" s="93" t="s">
        <v>1381</v>
      </c>
      <c r="D2886" s="93" t="s">
        <v>1232</v>
      </c>
      <c r="E2886" s="94">
        <v>30.86</v>
      </c>
      <c r="F2886" s="93" t="s">
        <v>12</v>
      </c>
      <c r="G2886" s="87">
        <f>Table1[[#This Row],[date]]</f>
        <v>45712</v>
      </c>
      <c r="H2886" s="94">
        <f>SUMIF($A$2:A6521,G2886,$E$2:E6521)</f>
        <v>630.43999999999994</v>
      </c>
      <c r="I2886" s="93" t="str">
        <f t="shared" ref="I2886:I2949" si="181">TEXT(G2886,"dddd")</f>
        <v>Monday</v>
      </c>
      <c r="J2886" s="93" t="str">
        <f t="shared" si="178"/>
        <v>February</v>
      </c>
      <c r="K2886" s="93" t="str">
        <f t="shared" si="179"/>
        <v>2025</v>
      </c>
      <c r="L2886" s="6"/>
      <c r="M2886" s="6"/>
      <c r="N2886" s="6"/>
    </row>
    <row r="2887" spans="1:14" x14ac:dyDescent="0.3">
      <c r="A2887" s="87">
        <v>45712</v>
      </c>
      <c r="B2887" s="87" t="str">
        <f t="shared" si="180"/>
        <v>Monday</v>
      </c>
      <c r="C2887" s="88" t="s">
        <v>1381</v>
      </c>
      <c r="D2887" s="88" t="s">
        <v>1256</v>
      </c>
      <c r="E2887" s="89">
        <v>35.76</v>
      </c>
      <c r="F2887" s="88" t="s">
        <v>5</v>
      </c>
      <c r="G2887" s="87">
        <f>Table1[[#This Row],[date]]</f>
        <v>45712</v>
      </c>
      <c r="H2887" s="94">
        <f>SUMIF($A$2:A6522,G2887,$E$2:E6522)</f>
        <v>630.43999999999994</v>
      </c>
      <c r="I2887" s="93" t="str">
        <f t="shared" si="181"/>
        <v>Monday</v>
      </c>
      <c r="J2887" s="93" t="str">
        <f t="shared" ref="J2887:J2950" si="182">TEXT(G2887,"mmmm")</f>
        <v>February</v>
      </c>
      <c r="K2887" s="93" t="str">
        <f t="shared" ref="K2887:K2950" si="183">TEXT(G2887,"yyyy")</f>
        <v>2025</v>
      </c>
      <c r="L2887" s="6"/>
      <c r="M2887" s="6"/>
      <c r="N2887" s="6"/>
    </row>
    <row r="2888" spans="1:14" x14ac:dyDescent="0.3">
      <c r="A2888" s="92">
        <v>45712</v>
      </c>
      <c r="B2888" s="92" t="str">
        <f t="shared" si="180"/>
        <v>Monday</v>
      </c>
      <c r="C2888" s="93" t="s">
        <v>1381</v>
      </c>
      <c r="D2888" s="93" t="s">
        <v>1175</v>
      </c>
      <c r="E2888" s="94">
        <v>25.96</v>
      </c>
      <c r="F2888" s="93" t="s">
        <v>9</v>
      </c>
      <c r="G2888" s="87">
        <f>Table1[[#This Row],[date]]</f>
        <v>45712</v>
      </c>
      <c r="H2888" s="94">
        <f>SUMIF($A$2:A6523,G2888,$E$2:E6523)</f>
        <v>630.43999999999994</v>
      </c>
      <c r="I2888" s="93" t="str">
        <f t="shared" si="181"/>
        <v>Monday</v>
      </c>
      <c r="J2888" s="93" t="str">
        <f t="shared" si="182"/>
        <v>February</v>
      </c>
      <c r="K2888" s="93" t="str">
        <f t="shared" si="183"/>
        <v>2025</v>
      </c>
      <c r="L2888" s="6"/>
      <c r="M2888" s="6"/>
      <c r="N2888" s="6"/>
    </row>
    <row r="2889" spans="1:14" x14ac:dyDescent="0.3">
      <c r="A2889" s="87">
        <v>45712</v>
      </c>
      <c r="B2889" s="87" t="str">
        <f t="shared" si="180"/>
        <v>Monday</v>
      </c>
      <c r="C2889" s="88" t="s">
        <v>1381</v>
      </c>
      <c r="D2889" s="88" t="s">
        <v>1257</v>
      </c>
      <c r="E2889" s="89">
        <v>30.86</v>
      </c>
      <c r="F2889" s="88" t="s">
        <v>12</v>
      </c>
      <c r="G2889" s="87">
        <f>Table1[[#This Row],[date]]</f>
        <v>45712</v>
      </c>
      <c r="H2889" s="94">
        <f>SUMIF($A$2:A6524,G2889,$E$2:E6524)</f>
        <v>630.43999999999994</v>
      </c>
      <c r="I2889" s="93" t="str">
        <f t="shared" si="181"/>
        <v>Monday</v>
      </c>
      <c r="J2889" s="93" t="str">
        <f t="shared" si="182"/>
        <v>February</v>
      </c>
      <c r="K2889" s="93" t="str">
        <f t="shared" si="183"/>
        <v>2025</v>
      </c>
      <c r="L2889" s="6"/>
      <c r="M2889" s="6"/>
      <c r="N2889" s="6"/>
    </row>
    <row r="2890" spans="1:14" x14ac:dyDescent="0.3">
      <c r="A2890" s="87">
        <v>45712</v>
      </c>
      <c r="B2890" s="87" t="str">
        <f t="shared" si="180"/>
        <v>Monday</v>
      </c>
      <c r="C2890" s="88" t="s">
        <v>1381</v>
      </c>
      <c r="D2890" s="88" t="s">
        <v>1256</v>
      </c>
      <c r="E2890" s="89">
        <v>35.76</v>
      </c>
      <c r="F2890" s="88" t="s">
        <v>16</v>
      </c>
      <c r="G2890" s="87">
        <f>Table1[[#This Row],[date]]</f>
        <v>45712</v>
      </c>
      <c r="H2890" s="94">
        <f>SUMIF($A$2:A6525,G2890,$E$2:E6525)</f>
        <v>630.43999999999994</v>
      </c>
      <c r="I2890" s="93" t="str">
        <f t="shared" si="181"/>
        <v>Monday</v>
      </c>
      <c r="J2890" s="93" t="str">
        <f t="shared" si="182"/>
        <v>February</v>
      </c>
      <c r="K2890" s="93" t="str">
        <f t="shared" si="183"/>
        <v>2025</v>
      </c>
      <c r="L2890" s="6"/>
      <c r="M2890" s="6"/>
      <c r="N2890" s="6"/>
    </row>
    <row r="2891" spans="1:14" x14ac:dyDescent="0.3">
      <c r="A2891" s="92">
        <v>45712</v>
      </c>
      <c r="B2891" s="92" t="str">
        <f t="shared" si="180"/>
        <v>Monday</v>
      </c>
      <c r="C2891" s="93" t="s">
        <v>1381</v>
      </c>
      <c r="D2891" s="93" t="s">
        <v>1203</v>
      </c>
      <c r="E2891" s="94">
        <v>35.76</v>
      </c>
      <c r="F2891" s="93" t="s">
        <v>5</v>
      </c>
      <c r="G2891" s="87">
        <f>Table1[[#This Row],[date]]</f>
        <v>45712</v>
      </c>
      <c r="H2891" s="94">
        <f>SUMIF($A$2:A6526,G2891,$E$2:E6526)</f>
        <v>630.43999999999994</v>
      </c>
      <c r="I2891" s="93" t="str">
        <f t="shared" si="181"/>
        <v>Monday</v>
      </c>
      <c r="J2891" s="93" t="str">
        <f t="shared" si="182"/>
        <v>February</v>
      </c>
      <c r="K2891" s="93" t="str">
        <f t="shared" si="183"/>
        <v>2025</v>
      </c>
      <c r="L2891" s="6"/>
      <c r="M2891" s="6"/>
      <c r="N2891" s="6"/>
    </row>
    <row r="2892" spans="1:14" x14ac:dyDescent="0.3">
      <c r="A2892" s="87">
        <v>45712</v>
      </c>
      <c r="B2892" s="87" t="str">
        <f t="shared" si="180"/>
        <v>Monday</v>
      </c>
      <c r="C2892" s="88" t="s">
        <v>1381</v>
      </c>
      <c r="D2892" s="88" t="s">
        <v>1203</v>
      </c>
      <c r="E2892" s="89">
        <v>35.76</v>
      </c>
      <c r="F2892" s="88" t="s">
        <v>16</v>
      </c>
      <c r="G2892" s="87">
        <f>Table1[[#This Row],[date]]</f>
        <v>45712</v>
      </c>
      <c r="H2892" s="94">
        <f>SUMIF($A$2:A6527,G2892,$E$2:E6527)</f>
        <v>630.43999999999994</v>
      </c>
      <c r="I2892" s="93" t="str">
        <f t="shared" si="181"/>
        <v>Monday</v>
      </c>
      <c r="J2892" s="93" t="str">
        <f t="shared" si="182"/>
        <v>February</v>
      </c>
      <c r="K2892" s="93" t="str">
        <f t="shared" si="183"/>
        <v>2025</v>
      </c>
      <c r="L2892" s="6"/>
      <c r="M2892" s="6"/>
      <c r="N2892" s="6"/>
    </row>
    <row r="2893" spans="1:14" x14ac:dyDescent="0.3">
      <c r="A2893" s="92">
        <v>45712</v>
      </c>
      <c r="B2893" s="92" t="str">
        <f t="shared" si="180"/>
        <v>Monday</v>
      </c>
      <c r="C2893" s="93" t="s">
        <v>1381</v>
      </c>
      <c r="D2893" s="93" t="s">
        <v>1175</v>
      </c>
      <c r="E2893" s="94">
        <v>30.86</v>
      </c>
      <c r="F2893" s="93" t="s">
        <v>12</v>
      </c>
      <c r="G2893" s="87">
        <f>Table1[[#This Row],[date]]</f>
        <v>45712</v>
      </c>
      <c r="H2893" s="94">
        <f>SUMIF($A$2:A6528,G2893,$E$2:E6528)</f>
        <v>630.43999999999994</v>
      </c>
      <c r="I2893" s="93" t="str">
        <f t="shared" si="181"/>
        <v>Monday</v>
      </c>
      <c r="J2893" s="93" t="str">
        <f t="shared" si="182"/>
        <v>February</v>
      </c>
      <c r="K2893" s="93" t="str">
        <f t="shared" si="183"/>
        <v>2025</v>
      </c>
      <c r="L2893" s="6"/>
      <c r="M2893" s="6"/>
      <c r="N2893" s="6"/>
    </row>
    <row r="2894" spans="1:14" x14ac:dyDescent="0.3">
      <c r="A2894" s="87">
        <v>45712</v>
      </c>
      <c r="B2894" s="87" t="str">
        <f t="shared" si="180"/>
        <v>Monday</v>
      </c>
      <c r="C2894" s="88" t="s">
        <v>1381</v>
      </c>
      <c r="D2894" s="88" t="s">
        <v>1258</v>
      </c>
      <c r="E2894" s="89">
        <v>35.76</v>
      </c>
      <c r="F2894" s="88" t="s">
        <v>16</v>
      </c>
      <c r="G2894" s="87">
        <f>Table1[[#This Row],[date]]</f>
        <v>45712</v>
      </c>
      <c r="H2894" s="94">
        <f>SUMIF($A$2:A6529,G2894,$E$2:E6529)</f>
        <v>630.43999999999994</v>
      </c>
      <c r="I2894" s="93" t="str">
        <f t="shared" si="181"/>
        <v>Monday</v>
      </c>
      <c r="J2894" s="93" t="str">
        <f t="shared" si="182"/>
        <v>February</v>
      </c>
      <c r="K2894" s="93" t="str">
        <f t="shared" si="183"/>
        <v>2025</v>
      </c>
      <c r="L2894" s="6"/>
      <c r="M2894" s="6"/>
      <c r="N2894" s="6"/>
    </row>
    <row r="2895" spans="1:14" x14ac:dyDescent="0.3">
      <c r="A2895" s="92">
        <v>45712</v>
      </c>
      <c r="B2895" s="92" t="str">
        <f t="shared" si="180"/>
        <v>Monday</v>
      </c>
      <c r="C2895" s="93" t="s">
        <v>1381</v>
      </c>
      <c r="D2895" s="93" t="s">
        <v>1196</v>
      </c>
      <c r="E2895" s="94">
        <v>35.76</v>
      </c>
      <c r="F2895" s="93" t="s">
        <v>41</v>
      </c>
      <c r="G2895" s="87">
        <f>Table1[[#This Row],[date]]</f>
        <v>45712</v>
      </c>
      <c r="H2895" s="94">
        <f>SUMIF($A$2:A6530,G2895,$E$2:E6530)</f>
        <v>630.43999999999994</v>
      </c>
      <c r="I2895" s="93" t="str">
        <f t="shared" si="181"/>
        <v>Monday</v>
      </c>
      <c r="J2895" s="93" t="str">
        <f t="shared" si="182"/>
        <v>February</v>
      </c>
      <c r="K2895" s="93" t="str">
        <f t="shared" si="183"/>
        <v>2025</v>
      </c>
      <c r="L2895" s="6"/>
      <c r="M2895" s="6"/>
      <c r="N2895" s="6"/>
    </row>
    <row r="2896" spans="1:14" x14ac:dyDescent="0.3">
      <c r="A2896" s="87">
        <v>45712</v>
      </c>
      <c r="B2896" s="87" t="str">
        <f t="shared" si="180"/>
        <v>Monday</v>
      </c>
      <c r="C2896" s="88" t="s">
        <v>1381</v>
      </c>
      <c r="D2896" s="88" t="s">
        <v>1189</v>
      </c>
      <c r="E2896" s="89">
        <v>35.76</v>
      </c>
      <c r="F2896" s="88" t="s">
        <v>5</v>
      </c>
      <c r="G2896" s="87">
        <f>Table1[[#This Row],[date]]</f>
        <v>45712</v>
      </c>
      <c r="H2896" s="94">
        <f>SUMIF($A$2:A6531,G2896,$E$2:E6531)</f>
        <v>630.43999999999994</v>
      </c>
      <c r="I2896" s="93" t="str">
        <f t="shared" si="181"/>
        <v>Monday</v>
      </c>
      <c r="J2896" s="93" t="str">
        <f t="shared" si="182"/>
        <v>February</v>
      </c>
      <c r="K2896" s="93" t="str">
        <f t="shared" si="183"/>
        <v>2025</v>
      </c>
      <c r="L2896" s="6"/>
      <c r="M2896" s="6"/>
      <c r="N2896" s="6"/>
    </row>
    <row r="2897" spans="1:14" x14ac:dyDescent="0.3">
      <c r="A2897" s="92">
        <v>45712</v>
      </c>
      <c r="B2897" s="92" t="str">
        <f t="shared" si="180"/>
        <v>Monday</v>
      </c>
      <c r="C2897" s="93" t="s">
        <v>1381</v>
      </c>
      <c r="D2897" s="93" t="s">
        <v>1182</v>
      </c>
      <c r="E2897" s="94">
        <v>25.96</v>
      </c>
      <c r="F2897" s="93" t="s">
        <v>9</v>
      </c>
      <c r="G2897" s="87">
        <f>Table1[[#This Row],[date]]</f>
        <v>45712</v>
      </c>
      <c r="H2897" s="94">
        <f>SUMIF($A$2:A6532,G2897,$E$2:E6532)</f>
        <v>630.43999999999994</v>
      </c>
      <c r="I2897" s="93" t="str">
        <f t="shared" si="181"/>
        <v>Monday</v>
      </c>
      <c r="J2897" s="93" t="str">
        <f t="shared" si="182"/>
        <v>February</v>
      </c>
      <c r="K2897" s="93" t="str">
        <f t="shared" si="183"/>
        <v>2025</v>
      </c>
      <c r="L2897" s="6"/>
      <c r="M2897" s="6"/>
      <c r="N2897" s="6"/>
    </row>
    <row r="2898" spans="1:14" x14ac:dyDescent="0.3">
      <c r="A2898" s="92">
        <v>45712</v>
      </c>
      <c r="B2898" s="92" t="str">
        <f t="shared" si="180"/>
        <v>Monday</v>
      </c>
      <c r="C2898" s="93" t="s">
        <v>1381</v>
      </c>
      <c r="D2898" s="93" t="s">
        <v>1234</v>
      </c>
      <c r="E2898" s="94">
        <v>30.86</v>
      </c>
      <c r="F2898" s="93" t="s">
        <v>12</v>
      </c>
      <c r="G2898" s="87">
        <f>Table1[[#This Row],[date]]</f>
        <v>45712</v>
      </c>
      <c r="H2898" s="94">
        <f>SUMIF($A$2:A6533,G2898,$E$2:E6533)</f>
        <v>630.43999999999994</v>
      </c>
      <c r="I2898" s="93" t="str">
        <f t="shared" si="181"/>
        <v>Monday</v>
      </c>
      <c r="J2898" s="93" t="str">
        <f t="shared" si="182"/>
        <v>February</v>
      </c>
      <c r="K2898" s="93" t="str">
        <f t="shared" si="183"/>
        <v>2025</v>
      </c>
      <c r="L2898" s="6"/>
      <c r="M2898" s="6"/>
      <c r="N2898" s="6"/>
    </row>
    <row r="2899" spans="1:14" x14ac:dyDescent="0.3">
      <c r="A2899" s="87">
        <v>45712</v>
      </c>
      <c r="B2899" s="87" t="str">
        <f t="shared" si="180"/>
        <v>Monday</v>
      </c>
      <c r="C2899" s="88" t="s">
        <v>1381</v>
      </c>
      <c r="D2899" s="88" t="s">
        <v>1174</v>
      </c>
      <c r="E2899" s="89">
        <v>30.86</v>
      </c>
      <c r="F2899" s="88" t="s">
        <v>12</v>
      </c>
      <c r="G2899" s="87">
        <f>Table1[[#This Row],[date]]</f>
        <v>45712</v>
      </c>
      <c r="H2899" s="94">
        <f>SUMIF($A$2:A6534,G2899,$E$2:E6534)</f>
        <v>630.43999999999994</v>
      </c>
      <c r="I2899" s="93" t="str">
        <f t="shared" si="181"/>
        <v>Monday</v>
      </c>
      <c r="J2899" s="93" t="str">
        <f t="shared" si="182"/>
        <v>February</v>
      </c>
      <c r="K2899" s="93" t="str">
        <f t="shared" si="183"/>
        <v>2025</v>
      </c>
      <c r="L2899" s="6"/>
      <c r="M2899" s="6"/>
      <c r="N2899" s="6"/>
    </row>
    <row r="2900" spans="1:14" x14ac:dyDescent="0.3">
      <c r="A2900" s="87">
        <v>45712</v>
      </c>
      <c r="B2900" s="87" t="str">
        <f t="shared" si="180"/>
        <v>Monday</v>
      </c>
      <c r="C2900" s="88" t="s">
        <v>1381</v>
      </c>
      <c r="D2900" s="88" t="s">
        <v>890</v>
      </c>
      <c r="E2900" s="89">
        <v>30.86</v>
      </c>
      <c r="F2900" s="88" t="s">
        <v>12</v>
      </c>
      <c r="G2900" s="87">
        <f>Table1[[#This Row],[date]]</f>
        <v>45712</v>
      </c>
      <c r="H2900" s="94">
        <f>SUMIF($A$2:A6535,G2900,$E$2:E6535)</f>
        <v>630.43999999999994</v>
      </c>
      <c r="I2900" s="93" t="str">
        <f t="shared" si="181"/>
        <v>Monday</v>
      </c>
      <c r="J2900" s="93" t="str">
        <f t="shared" si="182"/>
        <v>February</v>
      </c>
      <c r="K2900" s="93" t="str">
        <f t="shared" si="183"/>
        <v>2025</v>
      </c>
      <c r="L2900" s="6"/>
      <c r="M2900" s="6"/>
      <c r="N2900" s="6"/>
    </row>
    <row r="2901" spans="1:14" x14ac:dyDescent="0.3">
      <c r="A2901" s="92">
        <v>45712</v>
      </c>
      <c r="B2901" s="92" t="str">
        <f t="shared" si="180"/>
        <v>Monday</v>
      </c>
      <c r="C2901" s="93" t="s">
        <v>1381</v>
      </c>
      <c r="D2901" s="93" t="s">
        <v>1191</v>
      </c>
      <c r="E2901" s="94">
        <v>35.76</v>
      </c>
      <c r="F2901" s="93" t="s">
        <v>7</v>
      </c>
      <c r="G2901" s="87">
        <f>Table1[[#This Row],[date]]</f>
        <v>45712</v>
      </c>
      <c r="H2901" s="94">
        <f>SUMIF($A$2:A6536,G2901,$E$2:E6536)</f>
        <v>630.43999999999994</v>
      </c>
      <c r="I2901" s="93" t="str">
        <f t="shared" si="181"/>
        <v>Monday</v>
      </c>
      <c r="J2901" s="93" t="str">
        <f t="shared" si="182"/>
        <v>February</v>
      </c>
      <c r="K2901" s="93" t="str">
        <f t="shared" si="183"/>
        <v>2025</v>
      </c>
      <c r="L2901" s="6"/>
      <c r="M2901" s="6"/>
      <c r="N2901" s="6"/>
    </row>
    <row r="2902" spans="1:14" x14ac:dyDescent="0.3">
      <c r="A2902" s="87">
        <v>45712</v>
      </c>
      <c r="B2902" s="87" t="str">
        <f t="shared" si="180"/>
        <v>Monday</v>
      </c>
      <c r="C2902" s="88" t="s">
        <v>1381</v>
      </c>
      <c r="D2902" s="88" t="s">
        <v>1259</v>
      </c>
      <c r="E2902" s="89">
        <v>35.76</v>
      </c>
      <c r="F2902" s="88" t="s">
        <v>5</v>
      </c>
      <c r="G2902" s="87">
        <f>Table1[[#This Row],[date]]</f>
        <v>45712</v>
      </c>
      <c r="H2902" s="94">
        <f>SUMIF($A$2:A6537,G2902,$E$2:E6537)</f>
        <v>630.43999999999994</v>
      </c>
      <c r="I2902" s="93" t="str">
        <f t="shared" si="181"/>
        <v>Monday</v>
      </c>
      <c r="J2902" s="93" t="str">
        <f t="shared" si="182"/>
        <v>February</v>
      </c>
      <c r="K2902" s="93" t="str">
        <f t="shared" si="183"/>
        <v>2025</v>
      </c>
      <c r="L2902" s="6"/>
      <c r="M2902" s="6"/>
      <c r="N2902" s="6"/>
    </row>
    <row r="2903" spans="1:14" x14ac:dyDescent="0.3">
      <c r="A2903" s="92">
        <v>45712</v>
      </c>
      <c r="B2903" s="92" t="str">
        <f t="shared" si="180"/>
        <v>Monday</v>
      </c>
      <c r="C2903" s="93" t="s">
        <v>1381</v>
      </c>
      <c r="D2903" s="93" t="s">
        <v>1191</v>
      </c>
      <c r="E2903" s="94">
        <v>35.76</v>
      </c>
      <c r="F2903" s="93" t="s">
        <v>16</v>
      </c>
      <c r="G2903" s="87">
        <f>Table1[[#This Row],[date]]</f>
        <v>45712</v>
      </c>
      <c r="H2903" s="94">
        <f>SUMIF($A$2:A6538,G2903,$E$2:E6538)</f>
        <v>630.43999999999994</v>
      </c>
      <c r="I2903" s="93" t="str">
        <f t="shared" si="181"/>
        <v>Monday</v>
      </c>
      <c r="J2903" s="93" t="str">
        <f t="shared" si="182"/>
        <v>February</v>
      </c>
      <c r="K2903" s="93" t="str">
        <f t="shared" si="183"/>
        <v>2025</v>
      </c>
      <c r="L2903" s="6"/>
      <c r="M2903" s="6"/>
      <c r="N2903" s="6"/>
    </row>
    <row r="2904" spans="1:14" x14ac:dyDescent="0.3">
      <c r="A2904" s="87">
        <v>45712</v>
      </c>
      <c r="B2904" s="87" t="str">
        <f t="shared" si="180"/>
        <v>Monday</v>
      </c>
      <c r="C2904" s="88" t="s">
        <v>1381</v>
      </c>
      <c r="D2904" s="88" t="s">
        <v>1168</v>
      </c>
      <c r="E2904" s="89">
        <v>35.76</v>
      </c>
      <c r="F2904" s="88" t="s">
        <v>16</v>
      </c>
      <c r="G2904" s="87">
        <f>Table1[[#This Row],[date]]</f>
        <v>45712</v>
      </c>
      <c r="H2904" s="94">
        <f>SUMIF($A$2:A6539,G2904,$E$2:E6539)</f>
        <v>630.43999999999994</v>
      </c>
      <c r="I2904" s="93" t="str">
        <f t="shared" si="181"/>
        <v>Monday</v>
      </c>
      <c r="J2904" s="93" t="str">
        <f t="shared" si="182"/>
        <v>February</v>
      </c>
      <c r="K2904" s="93" t="str">
        <f t="shared" si="183"/>
        <v>2025</v>
      </c>
      <c r="L2904" s="6"/>
      <c r="M2904" s="6"/>
      <c r="N2904" s="6"/>
    </row>
    <row r="2905" spans="1:14" x14ac:dyDescent="0.3">
      <c r="A2905" s="92">
        <v>45713</v>
      </c>
      <c r="B2905" s="92" t="str">
        <f t="shared" si="180"/>
        <v>Tuesday</v>
      </c>
      <c r="C2905" s="93" t="s">
        <v>1381</v>
      </c>
      <c r="D2905" s="93" t="s">
        <v>1165</v>
      </c>
      <c r="E2905" s="94">
        <v>30.86</v>
      </c>
      <c r="F2905" s="93" t="s">
        <v>12</v>
      </c>
      <c r="G2905" s="87">
        <f>Table1[[#This Row],[date]]</f>
        <v>45713</v>
      </c>
      <c r="H2905" s="94">
        <f>SUMIF($A$2:A6540,G2905,$E$2:E6540)</f>
        <v>303.7</v>
      </c>
      <c r="I2905" s="93" t="str">
        <f t="shared" si="181"/>
        <v>Tuesday</v>
      </c>
      <c r="J2905" s="93" t="str">
        <f t="shared" si="182"/>
        <v>February</v>
      </c>
      <c r="K2905" s="93" t="str">
        <f t="shared" si="183"/>
        <v>2025</v>
      </c>
      <c r="L2905" s="6"/>
      <c r="M2905" s="6"/>
      <c r="N2905" s="6"/>
    </row>
    <row r="2906" spans="1:14" x14ac:dyDescent="0.3">
      <c r="A2906" s="87">
        <v>45713</v>
      </c>
      <c r="B2906" s="87" t="str">
        <f t="shared" si="180"/>
        <v>Tuesday</v>
      </c>
      <c r="C2906" s="88" t="s">
        <v>1381</v>
      </c>
      <c r="D2906" s="88" t="s">
        <v>1164</v>
      </c>
      <c r="E2906" s="89">
        <v>25.96</v>
      </c>
      <c r="F2906" s="88" t="s">
        <v>9</v>
      </c>
      <c r="G2906" s="87">
        <f>Table1[[#This Row],[date]]</f>
        <v>45713</v>
      </c>
      <c r="H2906" s="94">
        <f>SUMIF($A$2:A6541,G2906,$E$2:E6541)</f>
        <v>303.7</v>
      </c>
      <c r="I2906" s="93" t="str">
        <f t="shared" si="181"/>
        <v>Tuesday</v>
      </c>
      <c r="J2906" s="93" t="str">
        <f t="shared" si="182"/>
        <v>February</v>
      </c>
      <c r="K2906" s="93" t="str">
        <f t="shared" si="183"/>
        <v>2025</v>
      </c>
      <c r="L2906" s="6"/>
      <c r="M2906" s="6"/>
      <c r="N2906" s="6"/>
    </row>
    <row r="2907" spans="1:14" x14ac:dyDescent="0.3">
      <c r="A2907" s="92">
        <v>45713</v>
      </c>
      <c r="B2907" s="92" t="str">
        <f t="shared" si="180"/>
        <v>Tuesday</v>
      </c>
      <c r="C2907" s="93" t="s">
        <v>1381</v>
      </c>
      <c r="D2907" s="93" t="s">
        <v>1164</v>
      </c>
      <c r="E2907" s="94">
        <v>30.86</v>
      </c>
      <c r="F2907" s="93" t="s">
        <v>12</v>
      </c>
      <c r="G2907" s="87">
        <f>Table1[[#This Row],[date]]</f>
        <v>45713</v>
      </c>
      <c r="H2907" s="94">
        <f>SUMIF($A$2:A6542,G2907,$E$2:E6542)</f>
        <v>303.7</v>
      </c>
      <c r="I2907" s="93" t="str">
        <f t="shared" si="181"/>
        <v>Tuesday</v>
      </c>
      <c r="J2907" s="93" t="str">
        <f t="shared" si="182"/>
        <v>February</v>
      </c>
      <c r="K2907" s="93" t="str">
        <f t="shared" si="183"/>
        <v>2025</v>
      </c>
      <c r="L2907" s="6"/>
      <c r="M2907" s="6"/>
      <c r="N2907" s="6"/>
    </row>
    <row r="2908" spans="1:14" x14ac:dyDescent="0.3">
      <c r="A2908" s="87">
        <v>45713</v>
      </c>
      <c r="B2908" s="87" t="str">
        <f t="shared" si="180"/>
        <v>Tuesday</v>
      </c>
      <c r="C2908" s="88" t="s">
        <v>1381</v>
      </c>
      <c r="D2908" s="88" t="s">
        <v>1249</v>
      </c>
      <c r="E2908" s="89">
        <v>21.06</v>
      </c>
      <c r="F2908" s="88" t="s">
        <v>33</v>
      </c>
      <c r="G2908" s="87">
        <f>Table1[[#This Row],[date]]</f>
        <v>45713</v>
      </c>
      <c r="H2908" s="94">
        <f>SUMIF($A$2:A6543,G2908,$E$2:E6543)</f>
        <v>303.7</v>
      </c>
      <c r="I2908" s="93" t="str">
        <f t="shared" si="181"/>
        <v>Tuesday</v>
      </c>
      <c r="J2908" s="93" t="str">
        <f t="shared" si="182"/>
        <v>February</v>
      </c>
      <c r="K2908" s="93" t="str">
        <f t="shared" si="183"/>
        <v>2025</v>
      </c>
      <c r="L2908" s="6"/>
      <c r="M2908" s="6"/>
      <c r="N2908" s="6"/>
    </row>
    <row r="2909" spans="1:14" x14ac:dyDescent="0.3">
      <c r="A2909" s="92">
        <v>45713</v>
      </c>
      <c r="B2909" s="92" t="str">
        <f t="shared" si="180"/>
        <v>Tuesday</v>
      </c>
      <c r="C2909" s="93" t="s">
        <v>1381</v>
      </c>
      <c r="D2909" s="93" t="s">
        <v>1182</v>
      </c>
      <c r="E2909" s="94">
        <v>25.96</v>
      </c>
      <c r="F2909" s="93" t="s">
        <v>9</v>
      </c>
      <c r="G2909" s="87">
        <f>Table1[[#This Row],[date]]</f>
        <v>45713</v>
      </c>
      <c r="H2909" s="94">
        <f>SUMIF($A$2:A6544,G2909,$E$2:E6544)</f>
        <v>303.7</v>
      </c>
      <c r="I2909" s="93" t="str">
        <f t="shared" si="181"/>
        <v>Tuesday</v>
      </c>
      <c r="J2909" s="93" t="str">
        <f t="shared" si="182"/>
        <v>February</v>
      </c>
      <c r="K2909" s="93" t="str">
        <f t="shared" si="183"/>
        <v>2025</v>
      </c>
      <c r="L2909" s="6"/>
      <c r="M2909" s="6"/>
      <c r="N2909" s="6"/>
    </row>
    <row r="2910" spans="1:14" x14ac:dyDescent="0.3">
      <c r="A2910" s="92">
        <v>45713</v>
      </c>
      <c r="B2910" s="92" t="str">
        <f t="shared" si="180"/>
        <v>Tuesday</v>
      </c>
      <c r="C2910" s="93" t="s">
        <v>1381</v>
      </c>
      <c r="D2910" s="93" t="s">
        <v>1196</v>
      </c>
      <c r="E2910" s="94">
        <v>35.76</v>
      </c>
      <c r="F2910" s="93" t="s">
        <v>41</v>
      </c>
      <c r="G2910" s="87">
        <f>Table1[[#This Row],[date]]</f>
        <v>45713</v>
      </c>
      <c r="H2910" s="94">
        <f>SUMIF($A$2:A6545,G2910,$E$2:E6545)</f>
        <v>303.7</v>
      </c>
      <c r="I2910" s="93" t="str">
        <f t="shared" si="181"/>
        <v>Tuesday</v>
      </c>
      <c r="J2910" s="93" t="str">
        <f t="shared" si="182"/>
        <v>February</v>
      </c>
      <c r="K2910" s="93" t="str">
        <f t="shared" si="183"/>
        <v>2025</v>
      </c>
      <c r="L2910" s="6"/>
      <c r="M2910" s="6"/>
      <c r="N2910" s="6"/>
    </row>
    <row r="2911" spans="1:14" x14ac:dyDescent="0.3">
      <c r="A2911" s="87">
        <v>45713</v>
      </c>
      <c r="B2911" s="87" t="str">
        <f t="shared" si="180"/>
        <v>Tuesday</v>
      </c>
      <c r="C2911" s="88" t="s">
        <v>1381</v>
      </c>
      <c r="D2911" s="88" t="s">
        <v>1173</v>
      </c>
      <c r="E2911" s="89">
        <v>35.76</v>
      </c>
      <c r="F2911" s="88" t="s">
        <v>41</v>
      </c>
      <c r="G2911" s="87">
        <f>Table1[[#This Row],[date]]</f>
        <v>45713</v>
      </c>
      <c r="H2911" s="94">
        <f>SUMIF($A$2:A6546,G2911,$E$2:E6546)</f>
        <v>303.7</v>
      </c>
      <c r="I2911" s="93" t="str">
        <f t="shared" si="181"/>
        <v>Tuesday</v>
      </c>
      <c r="J2911" s="93" t="str">
        <f t="shared" si="182"/>
        <v>February</v>
      </c>
      <c r="K2911" s="93" t="str">
        <f t="shared" si="183"/>
        <v>2025</v>
      </c>
      <c r="L2911" s="6"/>
      <c r="M2911" s="6"/>
      <c r="N2911" s="6"/>
    </row>
    <row r="2912" spans="1:14" x14ac:dyDescent="0.3">
      <c r="A2912" s="92">
        <v>45713</v>
      </c>
      <c r="B2912" s="92" t="str">
        <f t="shared" si="180"/>
        <v>Tuesday</v>
      </c>
      <c r="C2912" s="93" t="s">
        <v>1381</v>
      </c>
      <c r="D2912" s="93" t="s">
        <v>29</v>
      </c>
      <c r="E2912" s="94">
        <v>25.96</v>
      </c>
      <c r="F2912" s="93" t="s">
        <v>9</v>
      </c>
      <c r="G2912" s="87">
        <f>Table1[[#This Row],[date]]</f>
        <v>45713</v>
      </c>
      <c r="H2912" s="94">
        <f>SUMIF($A$2:A6547,G2912,$E$2:E6547)</f>
        <v>303.7</v>
      </c>
      <c r="I2912" s="93" t="str">
        <f t="shared" si="181"/>
        <v>Tuesday</v>
      </c>
      <c r="J2912" s="93" t="str">
        <f t="shared" si="182"/>
        <v>February</v>
      </c>
      <c r="K2912" s="93" t="str">
        <f t="shared" si="183"/>
        <v>2025</v>
      </c>
      <c r="L2912" s="6"/>
      <c r="M2912" s="6"/>
      <c r="N2912" s="6"/>
    </row>
    <row r="2913" spans="1:14" x14ac:dyDescent="0.3">
      <c r="A2913" s="92">
        <v>45713</v>
      </c>
      <c r="B2913" s="92" t="str">
        <f t="shared" si="180"/>
        <v>Tuesday</v>
      </c>
      <c r="C2913" s="93" t="s">
        <v>1381</v>
      </c>
      <c r="D2913" s="93" t="s">
        <v>1246</v>
      </c>
      <c r="E2913" s="94">
        <v>35.76</v>
      </c>
      <c r="F2913" s="93" t="s">
        <v>16</v>
      </c>
      <c r="G2913" s="87">
        <f>Table1[[#This Row],[date]]</f>
        <v>45713</v>
      </c>
      <c r="H2913" s="94">
        <f>SUMIF($A$2:A6548,G2913,$E$2:E6548)</f>
        <v>303.7</v>
      </c>
      <c r="I2913" s="93" t="str">
        <f t="shared" si="181"/>
        <v>Tuesday</v>
      </c>
      <c r="J2913" s="93" t="str">
        <f t="shared" si="182"/>
        <v>February</v>
      </c>
      <c r="K2913" s="93" t="str">
        <f t="shared" si="183"/>
        <v>2025</v>
      </c>
      <c r="L2913" s="6"/>
      <c r="M2913" s="6"/>
      <c r="N2913" s="6"/>
    </row>
    <row r="2914" spans="1:14" x14ac:dyDescent="0.3">
      <c r="A2914" s="87">
        <v>45713</v>
      </c>
      <c r="B2914" s="87" t="str">
        <f t="shared" si="180"/>
        <v>Tuesday</v>
      </c>
      <c r="C2914" s="88" t="s">
        <v>1381</v>
      </c>
      <c r="D2914" s="88" t="s">
        <v>1164</v>
      </c>
      <c r="E2914" s="89">
        <v>35.76</v>
      </c>
      <c r="F2914" s="88" t="s">
        <v>41</v>
      </c>
      <c r="G2914" s="87">
        <f>Table1[[#This Row],[date]]</f>
        <v>45713</v>
      </c>
      <c r="H2914" s="94">
        <f>SUMIF($A$2:A6549,G2914,$E$2:E6549)</f>
        <v>303.7</v>
      </c>
      <c r="I2914" s="93" t="str">
        <f t="shared" si="181"/>
        <v>Tuesday</v>
      </c>
      <c r="J2914" s="93" t="str">
        <f t="shared" si="182"/>
        <v>February</v>
      </c>
      <c r="K2914" s="93" t="str">
        <f t="shared" si="183"/>
        <v>2025</v>
      </c>
      <c r="L2914" s="6"/>
      <c r="M2914" s="6"/>
      <c r="N2914" s="6"/>
    </row>
    <row r="2915" spans="1:14" x14ac:dyDescent="0.3">
      <c r="A2915" s="92">
        <v>45714</v>
      </c>
      <c r="B2915" s="92" t="str">
        <f t="shared" si="180"/>
        <v>Wednesday</v>
      </c>
      <c r="C2915" s="93" t="s">
        <v>1381</v>
      </c>
      <c r="D2915" s="93" t="s">
        <v>1182</v>
      </c>
      <c r="E2915" s="94">
        <v>25.96</v>
      </c>
      <c r="F2915" s="93" t="s">
        <v>9</v>
      </c>
      <c r="G2915" s="87">
        <f>Table1[[#This Row],[date]]</f>
        <v>45714</v>
      </c>
      <c r="H2915" s="94">
        <f>SUMIF($A$2:A6550,G2915,$E$2:E6550)</f>
        <v>503.55999999999995</v>
      </c>
      <c r="I2915" s="93" t="str">
        <f t="shared" si="181"/>
        <v>Wednesday</v>
      </c>
      <c r="J2915" s="93" t="str">
        <f t="shared" si="182"/>
        <v>February</v>
      </c>
      <c r="K2915" s="93" t="str">
        <f t="shared" si="183"/>
        <v>2025</v>
      </c>
      <c r="L2915" s="6"/>
      <c r="M2915" s="6"/>
      <c r="N2915" s="6"/>
    </row>
    <row r="2916" spans="1:14" x14ac:dyDescent="0.3">
      <c r="A2916" s="87">
        <v>45714</v>
      </c>
      <c r="B2916" s="87" t="str">
        <f t="shared" si="180"/>
        <v>Wednesday</v>
      </c>
      <c r="C2916" s="88" t="s">
        <v>1381</v>
      </c>
      <c r="D2916" s="88" t="s">
        <v>1260</v>
      </c>
      <c r="E2916" s="89">
        <v>30.86</v>
      </c>
      <c r="F2916" s="88" t="s">
        <v>12</v>
      </c>
      <c r="G2916" s="87">
        <f>Table1[[#This Row],[date]]</f>
        <v>45714</v>
      </c>
      <c r="H2916" s="94">
        <f>SUMIF($A$2:A6551,G2916,$E$2:E6551)</f>
        <v>503.55999999999995</v>
      </c>
      <c r="I2916" s="93" t="str">
        <f t="shared" si="181"/>
        <v>Wednesday</v>
      </c>
      <c r="J2916" s="93" t="str">
        <f t="shared" si="182"/>
        <v>February</v>
      </c>
      <c r="K2916" s="93" t="str">
        <f t="shared" si="183"/>
        <v>2025</v>
      </c>
      <c r="L2916" s="6"/>
      <c r="M2916" s="6"/>
      <c r="N2916" s="6"/>
    </row>
    <row r="2917" spans="1:14" x14ac:dyDescent="0.3">
      <c r="A2917" s="87">
        <v>45714</v>
      </c>
      <c r="B2917" s="87" t="str">
        <f t="shared" si="180"/>
        <v>Wednesday</v>
      </c>
      <c r="C2917" s="88" t="s">
        <v>1381</v>
      </c>
      <c r="D2917" s="88" t="s">
        <v>1167</v>
      </c>
      <c r="E2917" s="89">
        <v>35.76</v>
      </c>
      <c r="F2917" s="88" t="s">
        <v>7</v>
      </c>
      <c r="G2917" s="87">
        <f>Table1[[#This Row],[date]]</f>
        <v>45714</v>
      </c>
      <c r="H2917" s="94">
        <f>SUMIF($A$2:A6552,G2917,$E$2:E6552)</f>
        <v>503.55999999999995</v>
      </c>
      <c r="I2917" s="93" t="str">
        <f t="shared" si="181"/>
        <v>Wednesday</v>
      </c>
      <c r="J2917" s="93" t="str">
        <f t="shared" si="182"/>
        <v>February</v>
      </c>
      <c r="K2917" s="93" t="str">
        <f t="shared" si="183"/>
        <v>2025</v>
      </c>
      <c r="L2917" s="6"/>
      <c r="M2917" s="6"/>
      <c r="N2917" s="6"/>
    </row>
    <row r="2918" spans="1:14" x14ac:dyDescent="0.3">
      <c r="A2918" s="92">
        <v>45714</v>
      </c>
      <c r="B2918" s="92" t="str">
        <f t="shared" si="180"/>
        <v>Wednesday</v>
      </c>
      <c r="C2918" s="93" t="s">
        <v>1381</v>
      </c>
      <c r="D2918" s="93" t="s">
        <v>1180</v>
      </c>
      <c r="E2918" s="94">
        <v>35.76</v>
      </c>
      <c r="F2918" s="93" t="s">
        <v>16</v>
      </c>
      <c r="G2918" s="87">
        <f>Table1[[#This Row],[date]]</f>
        <v>45714</v>
      </c>
      <c r="H2918" s="94">
        <f>SUMIF($A$2:A6553,G2918,$E$2:E6553)</f>
        <v>503.55999999999995</v>
      </c>
      <c r="I2918" s="93" t="str">
        <f t="shared" si="181"/>
        <v>Wednesday</v>
      </c>
      <c r="J2918" s="93" t="str">
        <f t="shared" si="182"/>
        <v>February</v>
      </c>
      <c r="K2918" s="93" t="str">
        <f t="shared" si="183"/>
        <v>2025</v>
      </c>
      <c r="L2918" s="6"/>
      <c r="M2918" s="6"/>
      <c r="N2918" s="6"/>
    </row>
    <row r="2919" spans="1:14" x14ac:dyDescent="0.3">
      <c r="A2919" s="87">
        <v>45714</v>
      </c>
      <c r="B2919" s="87" t="str">
        <f t="shared" si="180"/>
        <v>Wednesday</v>
      </c>
      <c r="C2919" s="88" t="s">
        <v>1381</v>
      </c>
      <c r="D2919" s="88" t="s">
        <v>1203</v>
      </c>
      <c r="E2919" s="89">
        <v>35.76</v>
      </c>
      <c r="F2919" s="88" t="s">
        <v>5</v>
      </c>
      <c r="G2919" s="87">
        <f>Table1[[#This Row],[date]]</f>
        <v>45714</v>
      </c>
      <c r="H2919" s="94">
        <f>SUMIF($A$2:A6554,G2919,$E$2:E6554)</f>
        <v>503.55999999999995</v>
      </c>
      <c r="I2919" s="93" t="str">
        <f t="shared" si="181"/>
        <v>Wednesday</v>
      </c>
      <c r="J2919" s="93" t="str">
        <f t="shared" si="182"/>
        <v>February</v>
      </c>
      <c r="K2919" s="93" t="str">
        <f t="shared" si="183"/>
        <v>2025</v>
      </c>
      <c r="L2919" s="6"/>
      <c r="M2919" s="6"/>
      <c r="N2919" s="6"/>
    </row>
    <row r="2920" spans="1:14" x14ac:dyDescent="0.3">
      <c r="A2920" s="92">
        <v>45714</v>
      </c>
      <c r="B2920" s="92" t="str">
        <f t="shared" si="180"/>
        <v>Wednesday</v>
      </c>
      <c r="C2920" s="93" t="s">
        <v>1381</v>
      </c>
      <c r="D2920" s="93" t="s">
        <v>1122</v>
      </c>
      <c r="E2920" s="94">
        <v>25.96</v>
      </c>
      <c r="F2920" s="93" t="s">
        <v>9</v>
      </c>
      <c r="G2920" s="87">
        <f>Table1[[#This Row],[date]]</f>
        <v>45714</v>
      </c>
      <c r="H2920" s="94">
        <f>SUMIF($A$2:A6555,G2920,$E$2:E6555)</f>
        <v>503.55999999999995</v>
      </c>
      <c r="I2920" s="93" t="str">
        <f t="shared" si="181"/>
        <v>Wednesday</v>
      </c>
      <c r="J2920" s="93" t="str">
        <f t="shared" si="182"/>
        <v>February</v>
      </c>
      <c r="K2920" s="93" t="str">
        <f t="shared" si="183"/>
        <v>2025</v>
      </c>
      <c r="L2920" s="6"/>
      <c r="M2920" s="6"/>
      <c r="N2920" s="6"/>
    </row>
    <row r="2921" spans="1:14" x14ac:dyDescent="0.3">
      <c r="A2921" s="87">
        <v>45714</v>
      </c>
      <c r="B2921" s="87" t="str">
        <f t="shared" si="180"/>
        <v>Wednesday</v>
      </c>
      <c r="C2921" s="88" t="s">
        <v>1381</v>
      </c>
      <c r="D2921" s="88" t="s">
        <v>1261</v>
      </c>
      <c r="E2921" s="89">
        <v>25.96</v>
      </c>
      <c r="F2921" s="88" t="s">
        <v>9</v>
      </c>
      <c r="G2921" s="87">
        <f>Table1[[#This Row],[date]]</f>
        <v>45714</v>
      </c>
      <c r="H2921" s="94">
        <f>SUMIF($A$2:A6556,G2921,$E$2:E6556)</f>
        <v>503.55999999999995</v>
      </c>
      <c r="I2921" s="93" t="str">
        <f t="shared" si="181"/>
        <v>Wednesday</v>
      </c>
      <c r="J2921" s="93" t="str">
        <f t="shared" si="182"/>
        <v>February</v>
      </c>
      <c r="K2921" s="93" t="str">
        <f t="shared" si="183"/>
        <v>2025</v>
      </c>
      <c r="L2921" s="6"/>
      <c r="M2921" s="6"/>
      <c r="N2921" s="6"/>
    </row>
    <row r="2922" spans="1:14" x14ac:dyDescent="0.3">
      <c r="A2922" s="92">
        <v>45714</v>
      </c>
      <c r="B2922" s="92" t="str">
        <f t="shared" si="180"/>
        <v>Wednesday</v>
      </c>
      <c r="C2922" s="93" t="s">
        <v>1381</v>
      </c>
      <c r="D2922" s="93" t="s">
        <v>1259</v>
      </c>
      <c r="E2922" s="94">
        <v>25.96</v>
      </c>
      <c r="F2922" s="93" t="s">
        <v>26</v>
      </c>
      <c r="G2922" s="87">
        <f>Table1[[#This Row],[date]]</f>
        <v>45714</v>
      </c>
      <c r="H2922" s="94">
        <f>SUMIF($A$2:A6557,G2922,$E$2:E6557)</f>
        <v>503.55999999999995</v>
      </c>
      <c r="I2922" s="93" t="str">
        <f t="shared" si="181"/>
        <v>Wednesday</v>
      </c>
      <c r="J2922" s="93" t="str">
        <f t="shared" si="182"/>
        <v>February</v>
      </c>
      <c r="K2922" s="93" t="str">
        <f t="shared" si="183"/>
        <v>2025</v>
      </c>
      <c r="L2922" s="6"/>
      <c r="M2922" s="6"/>
      <c r="N2922" s="6"/>
    </row>
    <row r="2923" spans="1:14" x14ac:dyDescent="0.3">
      <c r="A2923" s="87">
        <v>45714</v>
      </c>
      <c r="B2923" s="87" t="str">
        <f t="shared" si="180"/>
        <v>Wednesday</v>
      </c>
      <c r="C2923" s="88" t="s">
        <v>1381</v>
      </c>
      <c r="D2923" s="88" t="s">
        <v>1262</v>
      </c>
      <c r="E2923" s="89">
        <v>35.76</v>
      </c>
      <c r="F2923" s="88" t="s">
        <v>7</v>
      </c>
      <c r="G2923" s="87">
        <f>Table1[[#This Row],[date]]</f>
        <v>45714</v>
      </c>
      <c r="H2923" s="94">
        <f>SUMIF($A$2:A6558,G2923,$E$2:E6558)</f>
        <v>503.55999999999995</v>
      </c>
      <c r="I2923" s="93" t="str">
        <f t="shared" si="181"/>
        <v>Wednesday</v>
      </c>
      <c r="J2923" s="93" t="str">
        <f t="shared" si="182"/>
        <v>February</v>
      </c>
      <c r="K2923" s="93" t="str">
        <f t="shared" si="183"/>
        <v>2025</v>
      </c>
      <c r="L2923" s="6"/>
      <c r="M2923" s="6"/>
      <c r="N2923" s="6"/>
    </row>
    <row r="2924" spans="1:14" x14ac:dyDescent="0.3">
      <c r="A2924" s="92">
        <v>45714</v>
      </c>
      <c r="B2924" s="92" t="str">
        <f t="shared" si="180"/>
        <v>Wednesday</v>
      </c>
      <c r="C2924" s="93" t="s">
        <v>1381</v>
      </c>
      <c r="D2924" s="93" t="s">
        <v>1262</v>
      </c>
      <c r="E2924" s="94">
        <v>25.96</v>
      </c>
      <c r="F2924" s="93" t="s">
        <v>9</v>
      </c>
      <c r="G2924" s="87">
        <f>Table1[[#This Row],[date]]</f>
        <v>45714</v>
      </c>
      <c r="H2924" s="94">
        <f>SUMIF($A$2:A6559,G2924,$E$2:E6559)</f>
        <v>503.55999999999995</v>
      </c>
      <c r="I2924" s="93" t="str">
        <f t="shared" si="181"/>
        <v>Wednesday</v>
      </c>
      <c r="J2924" s="93" t="str">
        <f t="shared" si="182"/>
        <v>February</v>
      </c>
      <c r="K2924" s="93" t="str">
        <f t="shared" si="183"/>
        <v>2025</v>
      </c>
      <c r="L2924" s="6"/>
      <c r="M2924" s="6"/>
      <c r="N2924" s="6"/>
    </row>
    <row r="2925" spans="1:14" x14ac:dyDescent="0.3">
      <c r="A2925" s="87">
        <v>45714</v>
      </c>
      <c r="B2925" s="87" t="str">
        <f t="shared" si="180"/>
        <v>Wednesday</v>
      </c>
      <c r="C2925" s="88" t="s">
        <v>1381</v>
      </c>
      <c r="D2925" s="88" t="s">
        <v>1202</v>
      </c>
      <c r="E2925" s="89">
        <v>25.96</v>
      </c>
      <c r="F2925" s="88" t="s">
        <v>9</v>
      </c>
      <c r="G2925" s="87">
        <f>Table1[[#This Row],[date]]</f>
        <v>45714</v>
      </c>
      <c r="H2925" s="94">
        <f>SUMIF($A$2:A6560,G2925,$E$2:E6560)</f>
        <v>503.55999999999995</v>
      </c>
      <c r="I2925" s="93" t="str">
        <f t="shared" si="181"/>
        <v>Wednesday</v>
      </c>
      <c r="J2925" s="93" t="str">
        <f t="shared" si="182"/>
        <v>February</v>
      </c>
      <c r="K2925" s="93" t="str">
        <f t="shared" si="183"/>
        <v>2025</v>
      </c>
      <c r="L2925" s="6"/>
      <c r="M2925" s="6"/>
      <c r="N2925" s="6"/>
    </row>
    <row r="2926" spans="1:14" x14ac:dyDescent="0.3">
      <c r="A2926" s="92">
        <v>45714</v>
      </c>
      <c r="B2926" s="92" t="str">
        <f t="shared" si="180"/>
        <v>Wednesday</v>
      </c>
      <c r="C2926" s="93" t="s">
        <v>1381</v>
      </c>
      <c r="D2926" s="93" t="s">
        <v>1176</v>
      </c>
      <c r="E2926" s="94">
        <v>35.76</v>
      </c>
      <c r="F2926" s="93" t="s">
        <v>5</v>
      </c>
      <c r="G2926" s="87">
        <f>Table1[[#This Row],[date]]</f>
        <v>45714</v>
      </c>
      <c r="H2926" s="94">
        <f>SUMIF($A$2:A6561,G2926,$E$2:E6561)</f>
        <v>503.55999999999995</v>
      </c>
      <c r="I2926" s="93" t="str">
        <f t="shared" si="181"/>
        <v>Wednesday</v>
      </c>
      <c r="J2926" s="93" t="str">
        <f t="shared" si="182"/>
        <v>February</v>
      </c>
      <c r="K2926" s="93" t="str">
        <f t="shared" si="183"/>
        <v>2025</v>
      </c>
      <c r="L2926" s="6"/>
      <c r="M2926" s="6"/>
      <c r="N2926" s="6"/>
    </row>
    <row r="2927" spans="1:14" x14ac:dyDescent="0.3">
      <c r="A2927" s="87">
        <v>45714</v>
      </c>
      <c r="B2927" s="87" t="str">
        <f t="shared" si="180"/>
        <v>Wednesday</v>
      </c>
      <c r="C2927" s="88" t="s">
        <v>1381</v>
      </c>
      <c r="D2927" s="88" t="s">
        <v>1177</v>
      </c>
      <c r="E2927" s="89">
        <v>35.76</v>
      </c>
      <c r="F2927" s="88" t="s">
        <v>7</v>
      </c>
      <c r="G2927" s="87">
        <f>Table1[[#This Row],[date]]</f>
        <v>45714</v>
      </c>
      <c r="H2927" s="94">
        <f>SUMIF($A$2:A6562,G2927,$E$2:E6562)</f>
        <v>503.55999999999995</v>
      </c>
      <c r="I2927" s="93" t="str">
        <f t="shared" si="181"/>
        <v>Wednesday</v>
      </c>
      <c r="J2927" s="93" t="str">
        <f t="shared" si="182"/>
        <v>February</v>
      </c>
      <c r="K2927" s="93" t="str">
        <f t="shared" si="183"/>
        <v>2025</v>
      </c>
      <c r="L2927" s="6"/>
      <c r="M2927" s="6"/>
      <c r="N2927" s="6"/>
    </row>
    <row r="2928" spans="1:14" x14ac:dyDescent="0.3">
      <c r="A2928" s="87">
        <v>45714</v>
      </c>
      <c r="B2928" s="87" t="str">
        <f t="shared" si="180"/>
        <v>Wednesday</v>
      </c>
      <c r="C2928" s="88" t="s">
        <v>1381</v>
      </c>
      <c r="D2928" s="88" t="s">
        <v>1178</v>
      </c>
      <c r="E2928" s="89">
        <v>30.86</v>
      </c>
      <c r="F2928" s="88" t="s">
        <v>12</v>
      </c>
      <c r="G2928" s="87">
        <f>Table1[[#This Row],[date]]</f>
        <v>45714</v>
      </c>
      <c r="H2928" s="94">
        <f>SUMIF($A$2:A6563,G2928,$E$2:E6563)</f>
        <v>503.55999999999995</v>
      </c>
      <c r="I2928" s="93" t="str">
        <f t="shared" si="181"/>
        <v>Wednesday</v>
      </c>
      <c r="J2928" s="93" t="str">
        <f t="shared" si="182"/>
        <v>February</v>
      </c>
      <c r="K2928" s="93" t="str">
        <f t="shared" si="183"/>
        <v>2025</v>
      </c>
      <c r="L2928" s="6"/>
      <c r="M2928" s="6"/>
      <c r="N2928" s="6"/>
    </row>
    <row r="2929" spans="1:14" x14ac:dyDescent="0.3">
      <c r="A2929" s="92">
        <v>45714</v>
      </c>
      <c r="B2929" s="92" t="str">
        <f t="shared" si="180"/>
        <v>Wednesday</v>
      </c>
      <c r="C2929" s="93" t="s">
        <v>1381</v>
      </c>
      <c r="D2929" s="93" t="s">
        <v>1175</v>
      </c>
      <c r="E2929" s="94">
        <v>35.76</v>
      </c>
      <c r="F2929" s="93" t="s">
        <v>5</v>
      </c>
      <c r="G2929" s="87">
        <f>Table1[[#This Row],[date]]</f>
        <v>45714</v>
      </c>
      <c r="H2929" s="94">
        <f>SUMIF($A$2:A6564,G2929,$E$2:E6564)</f>
        <v>503.55999999999995</v>
      </c>
      <c r="I2929" s="93" t="str">
        <f t="shared" si="181"/>
        <v>Wednesday</v>
      </c>
      <c r="J2929" s="93" t="str">
        <f t="shared" si="182"/>
        <v>February</v>
      </c>
      <c r="K2929" s="93" t="str">
        <f t="shared" si="183"/>
        <v>2025</v>
      </c>
      <c r="L2929" s="6"/>
      <c r="M2929" s="6"/>
      <c r="N2929" s="6"/>
    </row>
    <row r="2930" spans="1:14" x14ac:dyDescent="0.3">
      <c r="A2930" s="87">
        <v>45714</v>
      </c>
      <c r="B2930" s="87" t="str">
        <f t="shared" si="180"/>
        <v>Wednesday</v>
      </c>
      <c r="C2930" s="88" t="s">
        <v>1381</v>
      </c>
      <c r="D2930" s="88" t="s">
        <v>1175</v>
      </c>
      <c r="E2930" s="89">
        <v>35.76</v>
      </c>
      <c r="F2930" s="88" t="s">
        <v>41</v>
      </c>
      <c r="G2930" s="87">
        <f>Table1[[#This Row],[date]]</f>
        <v>45714</v>
      </c>
      <c r="H2930" s="94">
        <f>SUMIF($A$2:A6565,G2930,$E$2:E6565)</f>
        <v>503.55999999999995</v>
      </c>
      <c r="I2930" s="93" t="str">
        <f t="shared" si="181"/>
        <v>Wednesday</v>
      </c>
      <c r="J2930" s="93" t="str">
        <f t="shared" si="182"/>
        <v>February</v>
      </c>
      <c r="K2930" s="93" t="str">
        <f t="shared" si="183"/>
        <v>2025</v>
      </c>
      <c r="L2930" s="6"/>
      <c r="M2930" s="6"/>
      <c r="N2930" s="6"/>
    </row>
    <row r="2931" spans="1:14" x14ac:dyDescent="0.3">
      <c r="A2931" s="92">
        <v>45715</v>
      </c>
      <c r="B2931" s="92" t="str">
        <f t="shared" si="180"/>
        <v>Thursday</v>
      </c>
      <c r="C2931" s="93" t="s">
        <v>1381</v>
      </c>
      <c r="D2931" s="93" t="s">
        <v>1175</v>
      </c>
      <c r="E2931" s="94">
        <v>35.76</v>
      </c>
      <c r="F2931" s="93" t="s">
        <v>41</v>
      </c>
      <c r="G2931" s="87">
        <f>Table1[[#This Row],[date]]</f>
        <v>45715</v>
      </c>
      <c r="H2931" s="94">
        <f>SUMIF($A$2:A6566,G2931,$E$2:E6566)</f>
        <v>523.16</v>
      </c>
      <c r="I2931" s="93" t="str">
        <f t="shared" si="181"/>
        <v>Thursday</v>
      </c>
      <c r="J2931" s="93" t="str">
        <f t="shared" si="182"/>
        <v>February</v>
      </c>
      <c r="K2931" s="93" t="str">
        <f t="shared" si="183"/>
        <v>2025</v>
      </c>
      <c r="L2931" s="6"/>
      <c r="M2931" s="6"/>
      <c r="N2931" s="6"/>
    </row>
    <row r="2932" spans="1:14" x14ac:dyDescent="0.3">
      <c r="A2932" s="87">
        <v>45715</v>
      </c>
      <c r="B2932" s="87" t="str">
        <f t="shared" si="180"/>
        <v>Thursday</v>
      </c>
      <c r="C2932" s="88" t="s">
        <v>1381</v>
      </c>
      <c r="D2932" s="88" t="s">
        <v>1173</v>
      </c>
      <c r="E2932" s="89">
        <v>35.76</v>
      </c>
      <c r="F2932" s="88" t="s">
        <v>41</v>
      </c>
      <c r="G2932" s="87">
        <f>Table1[[#This Row],[date]]</f>
        <v>45715</v>
      </c>
      <c r="H2932" s="94">
        <f>SUMIF($A$2:A6567,G2932,$E$2:E6567)</f>
        <v>523.16</v>
      </c>
      <c r="I2932" s="93" t="str">
        <f t="shared" si="181"/>
        <v>Thursday</v>
      </c>
      <c r="J2932" s="93" t="str">
        <f t="shared" si="182"/>
        <v>February</v>
      </c>
      <c r="K2932" s="93" t="str">
        <f t="shared" si="183"/>
        <v>2025</v>
      </c>
      <c r="L2932" s="6"/>
      <c r="M2932" s="6"/>
      <c r="N2932" s="6"/>
    </row>
    <row r="2933" spans="1:14" x14ac:dyDescent="0.3">
      <c r="A2933" s="92">
        <v>45715</v>
      </c>
      <c r="B2933" s="92" t="str">
        <f t="shared" si="180"/>
        <v>Thursday</v>
      </c>
      <c r="C2933" s="93" t="s">
        <v>1381</v>
      </c>
      <c r="D2933" s="93" t="s">
        <v>1249</v>
      </c>
      <c r="E2933" s="94">
        <v>21.06</v>
      </c>
      <c r="F2933" s="93" t="s">
        <v>33</v>
      </c>
      <c r="G2933" s="87">
        <f>Table1[[#This Row],[date]]</f>
        <v>45715</v>
      </c>
      <c r="H2933" s="94">
        <f>SUMIF($A$2:A6568,G2933,$E$2:E6568)</f>
        <v>523.16</v>
      </c>
      <c r="I2933" s="93" t="str">
        <f t="shared" si="181"/>
        <v>Thursday</v>
      </c>
      <c r="J2933" s="93" t="str">
        <f t="shared" si="182"/>
        <v>February</v>
      </c>
      <c r="K2933" s="93" t="str">
        <f t="shared" si="183"/>
        <v>2025</v>
      </c>
      <c r="L2933" s="6"/>
      <c r="M2933" s="6"/>
      <c r="N2933" s="6"/>
    </row>
    <row r="2934" spans="1:14" x14ac:dyDescent="0.3">
      <c r="A2934" s="87">
        <v>45715</v>
      </c>
      <c r="B2934" s="87" t="str">
        <f t="shared" si="180"/>
        <v>Thursday</v>
      </c>
      <c r="C2934" s="88" t="s">
        <v>1381</v>
      </c>
      <c r="D2934" s="88" t="s">
        <v>1180</v>
      </c>
      <c r="E2934" s="89">
        <v>35.76</v>
      </c>
      <c r="F2934" s="88" t="s">
        <v>16</v>
      </c>
      <c r="G2934" s="87">
        <f>Table1[[#This Row],[date]]</f>
        <v>45715</v>
      </c>
      <c r="H2934" s="94">
        <f>SUMIF($A$2:A6569,G2934,$E$2:E6569)</f>
        <v>523.16</v>
      </c>
      <c r="I2934" s="93" t="str">
        <f t="shared" si="181"/>
        <v>Thursday</v>
      </c>
      <c r="J2934" s="93" t="str">
        <f t="shared" si="182"/>
        <v>February</v>
      </c>
      <c r="K2934" s="93" t="str">
        <f t="shared" si="183"/>
        <v>2025</v>
      </c>
      <c r="L2934" s="6"/>
      <c r="M2934" s="6"/>
      <c r="N2934" s="6"/>
    </row>
    <row r="2935" spans="1:14" x14ac:dyDescent="0.3">
      <c r="A2935" s="92">
        <v>45715</v>
      </c>
      <c r="B2935" s="92" t="str">
        <f t="shared" si="180"/>
        <v>Thursday</v>
      </c>
      <c r="C2935" s="93" t="s">
        <v>1381</v>
      </c>
      <c r="D2935" s="93" t="s">
        <v>1263</v>
      </c>
      <c r="E2935" s="94">
        <v>35.76</v>
      </c>
      <c r="F2935" s="93" t="s">
        <v>16</v>
      </c>
      <c r="G2935" s="87">
        <f>Table1[[#This Row],[date]]</f>
        <v>45715</v>
      </c>
      <c r="H2935" s="94">
        <f>SUMIF($A$2:A6570,G2935,$E$2:E6570)</f>
        <v>523.16</v>
      </c>
      <c r="I2935" s="93" t="str">
        <f t="shared" si="181"/>
        <v>Thursday</v>
      </c>
      <c r="J2935" s="93" t="str">
        <f t="shared" si="182"/>
        <v>February</v>
      </c>
      <c r="K2935" s="93" t="str">
        <f t="shared" si="183"/>
        <v>2025</v>
      </c>
      <c r="L2935" s="6"/>
      <c r="M2935" s="6"/>
      <c r="N2935" s="6"/>
    </row>
    <row r="2936" spans="1:14" x14ac:dyDescent="0.3">
      <c r="A2936" s="87">
        <v>45715</v>
      </c>
      <c r="B2936" s="87" t="str">
        <f t="shared" si="180"/>
        <v>Thursday</v>
      </c>
      <c r="C2936" s="88" t="s">
        <v>1381</v>
      </c>
      <c r="D2936" s="88" t="s">
        <v>1264</v>
      </c>
      <c r="E2936" s="89">
        <v>30.86</v>
      </c>
      <c r="F2936" s="88" t="s">
        <v>12</v>
      </c>
      <c r="G2936" s="87">
        <f>Table1[[#This Row],[date]]</f>
        <v>45715</v>
      </c>
      <c r="H2936" s="94">
        <f>SUMIF($A$2:A6571,G2936,$E$2:E6571)</f>
        <v>523.16</v>
      </c>
      <c r="I2936" s="93" t="str">
        <f t="shared" si="181"/>
        <v>Thursday</v>
      </c>
      <c r="J2936" s="93" t="str">
        <f t="shared" si="182"/>
        <v>February</v>
      </c>
      <c r="K2936" s="93" t="str">
        <f t="shared" si="183"/>
        <v>2025</v>
      </c>
      <c r="L2936" s="6"/>
      <c r="M2936" s="6"/>
      <c r="N2936" s="6"/>
    </row>
    <row r="2937" spans="1:14" x14ac:dyDescent="0.3">
      <c r="A2937" s="92">
        <v>45715</v>
      </c>
      <c r="B2937" s="92" t="str">
        <f t="shared" si="180"/>
        <v>Thursday</v>
      </c>
      <c r="C2937" s="93" t="s">
        <v>1381</v>
      </c>
      <c r="D2937" s="93" t="s">
        <v>1175</v>
      </c>
      <c r="E2937" s="94">
        <v>25.96</v>
      </c>
      <c r="F2937" s="93" t="s">
        <v>9</v>
      </c>
      <c r="G2937" s="87">
        <f>Table1[[#This Row],[date]]</f>
        <v>45715</v>
      </c>
      <c r="H2937" s="94">
        <f>SUMIF($A$2:A6572,G2937,$E$2:E6572)</f>
        <v>523.16</v>
      </c>
      <c r="I2937" s="93" t="str">
        <f t="shared" si="181"/>
        <v>Thursday</v>
      </c>
      <c r="J2937" s="93" t="str">
        <f t="shared" si="182"/>
        <v>February</v>
      </c>
      <c r="K2937" s="93" t="str">
        <f t="shared" si="183"/>
        <v>2025</v>
      </c>
      <c r="L2937" s="6"/>
      <c r="M2937" s="6"/>
      <c r="N2937" s="6"/>
    </row>
    <row r="2938" spans="1:14" x14ac:dyDescent="0.3">
      <c r="A2938" s="87">
        <v>45715</v>
      </c>
      <c r="B2938" s="87" t="str">
        <f t="shared" si="180"/>
        <v>Thursday</v>
      </c>
      <c r="C2938" s="88" t="s">
        <v>1381</v>
      </c>
      <c r="D2938" s="88" t="s">
        <v>1265</v>
      </c>
      <c r="E2938" s="89">
        <v>35.76</v>
      </c>
      <c r="F2938" s="88" t="s">
        <v>5</v>
      </c>
      <c r="G2938" s="87">
        <f>Table1[[#This Row],[date]]</f>
        <v>45715</v>
      </c>
      <c r="H2938" s="94">
        <f>SUMIF($A$2:A6573,G2938,$E$2:E6573)</f>
        <v>523.16</v>
      </c>
      <c r="I2938" s="93" t="str">
        <f t="shared" si="181"/>
        <v>Thursday</v>
      </c>
      <c r="J2938" s="93" t="str">
        <f t="shared" si="182"/>
        <v>February</v>
      </c>
      <c r="K2938" s="93" t="str">
        <f t="shared" si="183"/>
        <v>2025</v>
      </c>
      <c r="L2938" s="6"/>
      <c r="M2938" s="6"/>
      <c r="N2938" s="6"/>
    </row>
    <row r="2939" spans="1:14" x14ac:dyDescent="0.3">
      <c r="A2939" s="92">
        <v>45715</v>
      </c>
      <c r="B2939" s="92" t="str">
        <f t="shared" si="180"/>
        <v>Thursday</v>
      </c>
      <c r="C2939" s="93" t="s">
        <v>1381</v>
      </c>
      <c r="D2939" s="93" t="s">
        <v>1182</v>
      </c>
      <c r="E2939" s="94">
        <v>25.96</v>
      </c>
      <c r="F2939" s="93" t="s">
        <v>9</v>
      </c>
      <c r="G2939" s="87">
        <f>Table1[[#This Row],[date]]</f>
        <v>45715</v>
      </c>
      <c r="H2939" s="94">
        <f>SUMIF($A$2:A6574,G2939,$E$2:E6574)</f>
        <v>523.16</v>
      </c>
      <c r="I2939" s="93" t="str">
        <f t="shared" si="181"/>
        <v>Thursday</v>
      </c>
      <c r="J2939" s="93" t="str">
        <f t="shared" si="182"/>
        <v>February</v>
      </c>
      <c r="K2939" s="93" t="str">
        <f t="shared" si="183"/>
        <v>2025</v>
      </c>
      <c r="L2939" s="6"/>
      <c r="M2939" s="6"/>
      <c r="N2939" s="6"/>
    </row>
    <row r="2940" spans="1:14" x14ac:dyDescent="0.3">
      <c r="A2940" s="92">
        <v>45715</v>
      </c>
      <c r="B2940" s="92" t="str">
        <f t="shared" si="180"/>
        <v>Thursday</v>
      </c>
      <c r="C2940" s="93" t="s">
        <v>1381</v>
      </c>
      <c r="D2940" s="93" t="s">
        <v>1202</v>
      </c>
      <c r="E2940" s="94">
        <v>25.96</v>
      </c>
      <c r="F2940" s="93" t="s">
        <v>9</v>
      </c>
      <c r="G2940" s="87">
        <f>Table1[[#This Row],[date]]</f>
        <v>45715</v>
      </c>
      <c r="H2940" s="94">
        <f>SUMIF($A$2:A6575,G2940,$E$2:E6575)</f>
        <v>523.16</v>
      </c>
      <c r="I2940" s="93" t="str">
        <f t="shared" si="181"/>
        <v>Thursday</v>
      </c>
      <c r="J2940" s="93" t="str">
        <f t="shared" si="182"/>
        <v>February</v>
      </c>
      <c r="K2940" s="93" t="str">
        <f t="shared" si="183"/>
        <v>2025</v>
      </c>
      <c r="L2940" s="6"/>
      <c r="M2940" s="6"/>
      <c r="N2940" s="6"/>
    </row>
    <row r="2941" spans="1:14" x14ac:dyDescent="0.3">
      <c r="A2941" s="92">
        <v>45715</v>
      </c>
      <c r="B2941" s="92" t="str">
        <f t="shared" si="180"/>
        <v>Thursday</v>
      </c>
      <c r="C2941" s="93" t="s">
        <v>1381</v>
      </c>
      <c r="D2941" s="93" t="s">
        <v>1266</v>
      </c>
      <c r="E2941" s="94">
        <v>35.76</v>
      </c>
      <c r="F2941" s="93" t="s">
        <v>5</v>
      </c>
      <c r="G2941" s="87">
        <f>Table1[[#This Row],[date]]</f>
        <v>45715</v>
      </c>
      <c r="H2941" s="94">
        <f>SUMIF($A$2:A6576,G2941,$E$2:E6576)</f>
        <v>523.16</v>
      </c>
      <c r="I2941" s="93" t="str">
        <f t="shared" si="181"/>
        <v>Thursday</v>
      </c>
      <c r="J2941" s="93" t="str">
        <f t="shared" si="182"/>
        <v>February</v>
      </c>
      <c r="K2941" s="93" t="str">
        <f t="shared" si="183"/>
        <v>2025</v>
      </c>
      <c r="L2941" s="6"/>
      <c r="M2941" s="6"/>
      <c r="N2941" s="6"/>
    </row>
    <row r="2942" spans="1:14" x14ac:dyDescent="0.3">
      <c r="A2942" s="87">
        <v>45715</v>
      </c>
      <c r="B2942" s="87" t="str">
        <f t="shared" si="180"/>
        <v>Thursday</v>
      </c>
      <c r="C2942" s="88" t="s">
        <v>1381</v>
      </c>
      <c r="D2942" s="88" t="s">
        <v>1220</v>
      </c>
      <c r="E2942" s="89">
        <v>35.76</v>
      </c>
      <c r="F2942" s="88" t="s">
        <v>5</v>
      </c>
      <c r="G2942" s="87">
        <f>Table1[[#This Row],[date]]</f>
        <v>45715</v>
      </c>
      <c r="H2942" s="94">
        <f>SUMIF($A$2:A6577,G2942,$E$2:E6577)</f>
        <v>523.16</v>
      </c>
      <c r="I2942" s="93" t="str">
        <f t="shared" si="181"/>
        <v>Thursday</v>
      </c>
      <c r="J2942" s="93" t="str">
        <f t="shared" si="182"/>
        <v>February</v>
      </c>
      <c r="K2942" s="93" t="str">
        <f t="shared" si="183"/>
        <v>2025</v>
      </c>
      <c r="L2942" s="6"/>
      <c r="M2942" s="6"/>
      <c r="N2942" s="6"/>
    </row>
    <row r="2943" spans="1:14" x14ac:dyDescent="0.3">
      <c r="A2943" s="92">
        <v>45715</v>
      </c>
      <c r="B2943" s="92" t="str">
        <f t="shared" si="180"/>
        <v>Thursday</v>
      </c>
      <c r="C2943" s="93" t="s">
        <v>1381</v>
      </c>
      <c r="D2943" s="93" t="s">
        <v>1196</v>
      </c>
      <c r="E2943" s="94">
        <v>35.76</v>
      </c>
      <c r="F2943" s="93" t="s">
        <v>41</v>
      </c>
      <c r="G2943" s="87">
        <f>Table1[[#This Row],[date]]</f>
        <v>45715</v>
      </c>
      <c r="H2943" s="94">
        <f>SUMIF($A$2:A6578,G2943,$E$2:E6578)</f>
        <v>523.16</v>
      </c>
      <c r="I2943" s="93" t="str">
        <f t="shared" si="181"/>
        <v>Thursday</v>
      </c>
      <c r="J2943" s="93" t="str">
        <f t="shared" si="182"/>
        <v>February</v>
      </c>
      <c r="K2943" s="93" t="str">
        <f t="shared" si="183"/>
        <v>2025</v>
      </c>
      <c r="L2943" s="6"/>
      <c r="M2943" s="6"/>
      <c r="N2943" s="6"/>
    </row>
    <row r="2944" spans="1:14" x14ac:dyDescent="0.3">
      <c r="A2944" s="87">
        <v>45715</v>
      </c>
      <c r="B2944" s="87" t="str">
        <f t="shared" si="180"/>
        <v>Thursday</v>
      </c>
      <c r="C2944" s="88" t="s">
        <v>1381</v>
      </c>
      <c r="D2944" s="88" t="s">
        <v>1191</v>
      </c>
      <c r="E2944" s="89">
        <v>35.76</v>
      </c>
      <c r="F2944" s="88" t="s">
        <v>16</v>
      </c>
      <c r="G2944" s="87">
        <f>Table1[[#This Row],[date]]</f>
        <v>45715</v>
      </c>
      <c r="H2944" s="94">
        <f>SUMIF($A$2:A6579,G2944,$E$2:E6579)</f>
        <v>523.16</v>
      </c>
      <c r="I2944" s="93" t="str">
        <f t="shared" si="181"/>
        <v>Thursday</v>
      </c>
      <c r="J2944" s="93" t="str">
        <f t="shared" si="182"/>
        <v>February</v>
      </c>
      <c r="K2944" s="93" t="str">
        <f t="shared" si="183"/>
        <v>2025</v>
      </c>
      <c r="L2944" s="6"/>
      <c r="M2944" s="6"/>
      <c r="N2944" s="6"/>
    </row>
    <row r="2945" spans="1:14" x14ac:dyDescent="0.3">
      <c r="A2945" s="87">
        <v>45715</v>
      </c>
      <c r="B2945" s="87" t="str">
        <f t="shared" si="180"/>
        <v>Thursday</v>
      </c>
      <c r="C2945" s="88" t="s">
        <v>1381</v>
      </c>
      <c r="D2945" s="88" t="s">
        <v>1227</v>
      </c>
      <c r="E2945" s="89">
        <v>35.76</v>
      </c>
      <c r="F2945" s="88" t="s">
        <v>5</v>
      </c>
      <c r="G2945" s="87">
        <f>Table1[[#This Row],[date]]</f>
        <v>45715</v>
      </c>
      <c r="H2945" s="94">
        <f>SUMIF($A$2:A6580,G2945,$E$2:E6580)</f>
        <v>523.16</v>
      </c>
      <c r="I2945" s="93" t="str">
        <f t="shared" si="181"/>
        <v>Thursday</v>
      </c>
      <c r="J2945" s="93" t="str">
        <f t="shared" si="182"/>
        <v>February</v>
      </c>
      <c r="K2945" s="93" t="str">
        <f t="shared" si="183"/>
        <v>2025</v>
      </c>
      <c r="L2945" s="6"/>
      <c r="M2945" s="6"/>
      <c r="N2945" s="6"/>
    </row>
    <row r="2946" spans="1:14" x14ac:dyDescent="0.3">
      <c r="A2946" s="92">
        <v>45715</v>
      </c>
      <c r="B2946" s="92" t="str">
        <f t="shared" ref="B2946:B3009" si="184">TEXT(A2946,"dddd")</f>
        <v>Thursday</v>
      </c>
      <c r="C2946" s="93" t="s">
        <v>1381</v>
      </c>
      <c r="D2946" s="93" t="s">
        <v>58</v>
      </c>
      <c r="E2946" s="94">
        <v>35.76</v>
      </c>
      <c r="F2946" s="93" t="s">
        <v>41</v>
      </c>
      <c r="G2946" s="87">
        <f>Table1[[#This Row],[date]]</f>
        <v>45715</v>
      </c>
      <c r="H2946" s="94">
        <f>SUMIF($A$2:A6581,G2946,$E$2:E6581)</f>
        <v>523.16</v>
      </c>
      <c r="I2946" s="93" t="str">
        <f t="shared" si="181"/>
        <v>Thursday</v>
      </c>
      <c r="J2946" s="93" t="str">
        <f t="shared" si="182"/>
        <v>February</v>
      </c>
      <c r="K2946" s="93" t="str">
        <f t="shared" si="183"/>
        <v>2025</v>
      </c>
      <c r="L2946" s="6"/>
      <c r="M2946" s="6"/>
      <c r="N2946" s="6"/>
    </row>
    <row r="2947" spans="1:14" x14ac:dyDescent="0.3">
      <c r="A2947" s="87">
        <v>45716</v>
      </c>
      <c r="B2947" s="87" t="str">
        <f t="shared" si="184"/>
        <v>Friday</v>
      </c>
      <c r="C2947" s="88" t="s">
        <v>1381</v>
      </c>
      <c r="D2947" s="88" t="s">
        <v>1175</v>
      </c>
      <c r="E2947" s="89">
        <v>30.86</v>
      </c>
      <c r="F2947" s="88" t="s">
        <v>12</v>
      </c>
      <c r="G2947" s="87">
        <f>Table1[[#This Row],[date]]</f>
        <v>45716</v>
      </c>
      <c r="H2947" s="94">
        <f>SUMIF($A$2:A6582,G2947,$E$2:E6582)</f>
        <v>360.52</v>
      </c>
      <c r="I2947" s="93" t="str">
        <f t="shared" si="181"/>
        <v>Friday</v>
      </c>
      <c r="J2947" s="93" t="str">
        <f t="shared" si="182"/>
        <v>February</v>
      </c>
      <c r="K2947" s="93" t="str">
        <f t="shared" si="183"/>
        <v>2025</v>
      </c>
      <c r="L2947" s="6"/>
      <c r="M2947" s="6"/>
      <c r="N2947" s="6"/>
    </row>
    <row r="2948" spans="1:14" x14ac:dyDescent="0.3">
      <c r="A2948" s="87">
        <v>45716</v>
      </c>
      <c r="B2948" s="87" t="str">
        <f t="shared" si="184"/>
        <v>Friday</v>
      </c>
      <c r="C2948" s="88" t="s">
        <v>1381</v>
      </c>
      <c r="D2948" s="88" t="s">
        <v>1173</v>
      </c>
      <c r="E2948" s="89">
        <v>35.76</v>
      </c>
      <c r="F2948" s="88" t="s">
        <v>41</v>
      </c>
      <c r="G2948" s="87">
        <f>Table1[[#This Row],[date]]</f>
        <v>45716</v>
      </c>
      <c r="H2948" s="94">
        <f>SUMIF($A$2:A6583,G2948,$E$2:E6583)</f>
        <v>360.52</v>
      </c>
      <c r="I2948" s="93" t="str">
        <f t="shared" si="181"/>
        <v>Friday</v>
      </c>
      <c r="J2948" s="93" t="str">
        <f t="shared" si="182"/>
        <v>February</v>
      </c>
      <c r="K2948" s="93" t="str">
        <f t="shared" si="183"/>
        <v>2025</v>
      </c>
      <c r="L2948" s="6"/>
      <c r="M2948" s="6"/>
      <c r="N2948" s="6"/>
    </row>
    <row r="2949" spans="1:14" x14ac:dyDescent="0.3">
      <c r="A2949" s="92">
        <v>45716</v>
      </c>
      <c r="B2949" s="92" t="str">
        <f t="shared" si="184"/>
        <v>Friday</v>
      </c>
      <c r="C2949" s="93" t="s">
        <v>1381</v>
      </c>
      <c r="D2949" s="93" t="s">
        <v>1267</v>
      </c>
      <c r="E2949" s="94">
        <v>21.06</v>
      </c>
      <c r="F2949" s="93" t="s">
        <v>33</v>
      </c>
      <c r="G2949" s="87">
        <f>Table1[[#This Row],[date]]</f>
        <v>45716</v>
      </c>
      <c r="H2949" s="94">
        <f>SUMIF($A$2:A6584,G2949,$E$2:E6584)</f>
        <v>360.52</v>
      </c>
      <c r="I2949" s="93" t="str">
        <f t="shared" si="181"/>
        <v>Friday</v>
      </c>
      <c r="J2949" s="93" t="str">
        <f t="shared" si="182"/>
        <v>February</v>
      </c>
      <c r="K2949" s="93" t="str">
        <f t="shared" si="183"/>
        <v>2025</v>
      </c>
      <c r="L2949" s="6"/>
      <c r="M2949" s="6"/>
      <c r="N2949" s="6"/>
    </row>
    <row r="2950" spans="1:14" x14ac:dyDescent="0.3">
      <c r="A2950" s="87">
        <v>45716</v>
      </c>
      <c r="B2950" s="87" t="str">
        <f t="shared" si="184"/>
        <v>Friday</v>
      </c>
      <c r="C2950" s="88" t="s">
        <v>1381</v>
      </c>
      <c r="D2950" s="88" t="s">
        <v>1174</v>
      </c>
      <c r="E2950" s="89">
        <v>30.86</v>
      </c>
      <c r="F2950" s="88" t="s">
        <v>12</v>
      </c>
      <c r="G2950" s="87">
        <f>Table1[[#This Row],[date]]</f>
        <v>45716</v>
      </c>
      <c r="H2950" s="94">
        <f>SUMIF($A$2:A6585,G2950,$E$2:E6585)</f>
        <v>360.52</v>
      </c>
      <c r="I2950" s="93" t="str">
        <f t="shared" ref="I2950:I3013" si="185">TEXT(G2950,"dddd")</f>
        <v>Friday</v>
      </c>
      <c r="J2950" s="93" t="str">
        <f t="shared" si="182"/>
        <v>February</v>
      </c>
      <c r="K2950" s="93" t="str">
        <f t="shared" si="183"/>
        <v>2025</v>
      </c>
      <c r="L2950" s="6"/>
      <c r="M2950" s="6"/>
      <c r="N2950" s="6"/>
    </row>
    <row r="2951" spans="1:14" x14ac:dyDescent="0.3">
      <c r="A2951" s="92">
        <v>45716</v>
      </c>
      <c r="B2951" s="92" t="str">
        <f t="shared" si="184"/>
        <v>Friday</v>
      </c>
      <c r="C2951" s="93" t="s">
        <v>1381</v>
      </c>
      <c r="D2951" s="93" t="s">
        <v>1122</v>
      </c>
      <c r="E2951" s="94">
        <v>25.96</v>
      </c>
      <c r="F2951" s="93" t="s">
        <v>9</v>
      </c>
      <c r="G2951" s="87">
        <f>Table1[[#This Row],[date]]</f>
        <v>45716</v>
      </c>
      <c r="H2951" s="94">
        <f>SUMIF($A$2:A6586,G2951,$E$2:E6586)</f>
        <v>360.52</v>
      </c>
      <c r="I2951" s="93" t="str">
        <f t="shared" si="185"/>
        <v>Friday</v>
      </c>
      <c r="J2951" s="93" t="str">
        <f t="shared" ref="J2951:J3014" si="186">TEXT(G2951,"mmmm")</f>
        <v>February</v>
      </c>
      <c r="K2951" s="93" t="str">
        <f t="shared" ref="K2951:K3014" si="187">TEXT(G2951,"yyyy")</f>
        <v>2025</v>
      </c>
      <c r="L2951" s="6"/>
      <c r="M2951" s="6"/>
      <c r="N2951" s="6"/>
    </row>
    <row r="2952" spans="1:14" x14ac:dyDescent="0.3">
      <c r="A2952" s="92">
        <v>45716</v>
      </c>
      <c r="B2952" s="92" t="str">
        <f t="shared" si="184"/>
        <v>Friday</v>
      </c>
      <c r="C2952" s="93" t="s">
        <v>1381</v>
      </c>
      <c r="D2952" s="93" t="s">
        <v>1175</v>
      </c>
      <c r="E2952" s="94">
        <v>25.96</v>
      </c>
      <c r="F2952" s="93" t="s">
        <v>9</v>
      </c>
      <c r="G2952" s="87">
        <f>Table1[[#This Row],[date]]</f>
        <v>45716</v>
      </c>
      <c r="H2952" s="94">
        <f>SUMIF($A$2:A6587,G2952,$E$2:E6587)</f>
        <v>360.52</v>
      </c>
      <c r="I2952" s="93" t="str">
        <f t="shared" si="185"/>
        <v>Friday</v>
      </c>
      <c r="J2952" s="93" t="str">
        <f t="shared" si="186"/>
        <v>February</v>
      </c>
      <c r="K2952" s="93" t="str">
        <f t="shared" si="187"/>
        <v>2025</v>
      </c>
      <c r="L2952" s="6"/>
      <c r="M2952" s="6"/>
      <c r="N2952" s="6"/>
    </row>
    <row r="2953" spans="1:14" x14ac:dyDescent="0.3">
      <c r="A2953" s="87">
        <v>45716</v>
      </c>
      <c r="B2953" s="87" t="str">
        <f t="shared" si="184"/>
        <v>Friday</v>
      </c>
      <c r="C2953" s="88" t="s">
        <v>1381</v>
      </c>
      <c r="D2953" s="88" t="s">
        <v>1203</v>
      </c>
      <c r="E2953" s="89">
        <v>35.76</v>
      </c>
      <c r="F2953" s="88" t="s">
        <v>5</v>
      </c>
      <c r="G2953" s="87">
        <f>Table1[[#This Row],[date]]</f>
        <v>45716</v>
      </c>
      <c r="H2953" s="94">
        <f>SUMIF($A$2:A6588,G2953,$E$2:E6588)</f>
        <v>360.52</v>
      </c>
      <c r="I2953" s="93" t="str">
        <f t="shared" si="185"/>
        <v>Friday</v>
      </c>
      <c r="J2953" s="93" t="str">
        <f t="shared" si="186"/>
        <v>February</v>
      </c>
      <c r="K2953" s="93" t="str">
        <f t="shared" si="187"/>
        <v>2025</v>
      </c>
      <c r="L2953" s="6"/>
      <c r="M2953" s="6"/>
      <c r="N2953" s="6"/>
    </row>
    <row r="2954" spans="1:14" x14ac:dyDescent="0.3">
      <c r="A2954" s="87">
        <v>45716</v>
      </c>
      <c r="B2954" s="87" t="str">
        <f t="shared" si="184"/>
        <v>Friday</v>
      </c>
      <c r="C2954" s="88" t="s">
        <v>1381</v>
      </c>
      <c r="D2954" s="88" t="s">
        <v>1168</v>
      </c>
      <c r="E2954" s="89">
        <v>35.76</v>
      </c>
      <c r="F2954" s="88" t="s">
        <v>16</v>
      </c>
      <c r="G2954" s="87">
        <f>Table1[[#This Row],[date]]</f>
        <v>45716</v>
      </c>
      <c r="H2954" s="94">
        <f>SUMIF($A$2:A6589,G2954,$E$2:E6589)</f>
        <v>360.52</v>
      </c>
      <c r="I2954" s="93" t="str">
        <f t="shared" si="185"/>
        <v>Friday</v>
      </c>
      <c r="J2954" s="93" t="str">
        <f t="shared" si="186"/>
        <v>February</v>
      </c>
      <c r="K2954" s="93" t="str">
        <f t="shared" si="187"/>
        <v>2025</v>
      </c>
      <c r="L2954" s="6"/>
      <c r="M2954" s="6"/>
      <c r="N2954" s="6"/>
    </row>
    <row r="2955" spans="1:14" x14ac:dyDescent="0.3">
      <c r="A2955" s="92">
        <v>45716</v>
      </c>
      <c r="B2955" s="92" t="str">
        <f t="shared" si="184"/>
        <v>Friday</v>
      </c>
      <c r="C2955" s="93" t="s">
        <v>1381</v>
      </c>
      <c r="D2955" s="93" t="s">
        <v>1182</v>
      </c>
      <c r="E2955" s="94">
        <v>25.96</v>
      </c>
      <c r="F2955" s="93" t="s">
        <v>9</v>
      </c>
      <c r="G2955" s="87">
        <f>Table1[[#This Row],[date]]</f>
        <v>45716</v>
      </c>
      <c r="H2955" s="94">
        <f>SUMIF($A$2:A6590,G2955,$E$2:E6590)</f>
        <v>360.52</v>
      </c>
      <c r="I2955" s="93" t="str">
        <f t="shared" si="185"/>
        <v>Friday</v>
      </c>
      <c r="J2955" s="93" t="str">
        <f t="shared" si="186"/>
        <v>February</v>
      </c>
      <c r="K2955" s="93" t="str">
        <f t="shared" si="187"/>
        <v>2025</v>
      </c>
      <c r="L2955" s="6"/>
      <c r="M2955" s="6"/>
      <c r="N2955" s="6"/>
    </row>
    <row r="2956" spans="1:14" x14ac:dyDescent="0.3">
      <c r="A2956" s="92">
        <v>45716</v>
      </c>
      <c r="B2956" s="92" t="str">
        <f t="shared" si="184"/>
        <v>Friday</v>
      </c>
      <c r="C2956" s="93" t="s">
        <v>1381</v>
      </c>
      <c r="D2956" s="93" t="s">
        <v>1268</v>
      </c>
      <c r="E2956" s="94">
        <v>30.86</v>
      </c>
      <c r="F2956" s="93" t="s">
        <v>12</v>
      </c>
      <c r="G2956" s="87">
        <f>Table1[[#This Row],[date]]</f>
        <v>45716</v>
      </c>
      <c r="H2956" s="94">
        <f>SUMIF($A$2:A6591,G2956,$E$2:E6591)</f>
        <v>360.52</v>
      </c>
      <c r="I2956" s="93" t="str">
        <f t="shared" si="185"/>
        <v>Friday</v>
      </c>
      <c r="J2956" s="93" t="str">
        <f t="shared" si="186"/>
        <v>February</v>
      </c>
      <c r="K2956" s="93" t="str">
        <f t="shared" si="187"/>
        <v>2025</v>
      </c>
      <c r="L2956" s="6"/>
      <c r="M2956" s="6"/>
      <c r="N2956" s="6"/>
    </row>
    <row r="2957" spans="1:14" x14ac:dyDescent="0.3">
      <c r="A2957" s="92">
        <v>45716</v>
      </c>
      <c r="B2957" s="92" t="str">
        <f t="shared" si="184"/>
        <v>Friday</v>
      </c>
      <c r="C2957" s="93" t="s">
        <v>1381</v>
      </c>
      <c r="D2957" s="93" t="s">
        <v>1202</v>
      </c>
      <c r="E2957" s="94">
        <v>25.96</v>
      </c>
      <c r="F2957" s="93" t="s">
        <v>9</v>
      </c>
      <c r="G2957" s="87">
        <f>Table1[[#This Row],[date]]</f>
        <v>45716</v>
      </c>
      <c r="H2957" s="94">
        <f>SUMIF($A$2:A6592,G2957,$E$2:E6592)</f>
        <v>360.52</v>
      </c>
      <c r="I2957" s="93" t="str">
        <f t="shared" si="185"/>
        <v>Friday</v>
      </c>
      <c r="J2957" s="93" t="str">
        <f t="shared" si="186"/>
        <v>February</v>
      </c>
      <c r="K2957" s="93" t="str">
        <f t="shared" si="187"/>
        <v>2025</v>
      </c>
      <c r="L2957" s="6"/>
      <c r="M2957" s="6"/>
      <c r="N2957" s="6"/>
    </row>
    <row r="2958" spans="1:14" x14ac:dyDescent="0.3">
      <c r="A2958" s="87">
        <v>45716</v>
      </c>
      <c r="B2958" s="87" t="str">
        <f t="shared" si="184"/>
        <v>Friday</v>
      </c>
      <c r="C2958" s="88" t="s">
        <v>1381</v>
      </c>
      <c r="D2958" s="88" t="s">
        <v>1269</v>
      </c>
      <c r="E2958" s="89">
        <v>35.76</v>
      </c>
      <c r="F2958" s="88" t="s">
        <v>5</v>
      </c>
      <c r="G2958" s="87">
        <f>Table1[[#This Row],[date]]</f>
        <v>45716</v>
      </c>
      <c r="H2958" s="94">
        <f>SUMIF($A$2:A6593,G2958,$E$2:E6593)</f>
        <v>360.52</v>
      </c>
      <c r="I2958" s="93" t="str">
        <f t="shared" si="185"/>
        <v>Friday</v>
      </c>
      <c r="J2958" s="93" t="str">
        <f t="shared" si="186"/>
        <v>February</v>
      </c>
      <c r="K2958" s="93" t="str">
        <f t="shared" si="187"/>
        <v>2025</v>
      </c>
      <c r="L2958" s="6"/>
      <c r="M2958" s="6"/>
      <c r="N2958" s="6"/>
    </row>
    <row r="2959" spans="1:14" x14ac:dyDescent="0.3">
      <c r="A2959" s="92">
        <v>45717</v>
      </c>
      <c r="B2959" s="92" t="str">
        <f t="shared" si="184"/>
        <v>Saturday</v>
      </c>
      <c r="C2959" s="93" t="s">
        <v>1381</v>
      </c>
      <c r="D2959" s="93" t="s">
        <v>1196</v>
      </c>
      <c r="E2959" s="94">
        <v>35.76</v>
      </c>
      <c r="F2959" s="93" t="s">
        <v>41</v>
      </c>
      <c r="G2959" s="87">
        <f>Table1[[#This Row],[date]]</f>
        <v>45717</v>
      </c>
      <c r="H2959" s="94">
        <f>SUMIF($A$2:A6594,G2959,$E$2:E6594)</f>
        <v>206.22</v>
      </c>
      <c r="I2959" s="93" t="str">
        <f t="shared" si="185"/>
        <v>Saturday</v>
      </c>
      <c r="J2959" s="93" t="str">
        <f t="shared" si="186"/>
        <v>March</v>
      </c>
      <c r="K2959" s="93" t="str">
        <f t="shared" si="187"/>
        <v>2025</v>
      </c>
      <c r="L2959" s="6"/>
      <c r="M2959" s="6"/>
      <c r="N2959" s="6"/>
    </row>
    <row r="2960" spans="1:14" x14ac:dyDescent="0.3">
      <c r="A2960" s="87">
        <v>45717</v>
      </c>
      <c r="B2960" s="87" t="str">
        <f t="shared" si="184"/>
        <v>Saturday</v>
      </c>
      <c r="C2960" s="88" t="s">
        <v>1381</v>
      </c>
      <c r="D2960" s="88" t="s">
        <v>1202</v>
      </c>
      <c r="E2960" s="89">
        <v>25.96</v>
      </c>
      <c r="F2960" s="88" t="s">
        <v>9</v>
      </c>
      <c r="G2960" s="87">
        <f>Table1[[#This Row],[date]]</f>
        <v>45717</v>
      </c>
      <c r="H2960" s="94">
        <f>SUMIF($A$2:A6595,G2960,$E$2:E6595)</f>
        <v>206.22</v>
      </c>
      <c r="I2960" s="93" t="str">
        <f t="shared" si="185"/>
        <v>Saturday</v>
      </c>
      <c r="J2960" s="93" t="str">
        <f t="shared" si="186"/>
        <v>March</v>
      </c>
      <c r="K2960" s="93" t="str">
        <f t="shared" si="187"/>
        <v>2025</v>
      </c>
      <c r="L2960" s="6"/>
      <c r="M2960" s="6"/>
      <c r="N2960" s="6"/>
    </row>
    <row r="2961" spans="1:14" x14ac:dyDescent="0.3">
      <c r="A2961" s="92">
        <v>45717</v>
      </c>
      <c r="B2961" s="92" t="str">
        <f t="shared" si="184"/>
        <v>Saturday</v>
      </c>
      <c r="C2961" s="93" t="s">
        <v>1381</v>
      </c>
      <c r="D2961" s="93" t="s">
        <v>1210</v>
      </c>
      <c r="E2961" s="94">
        <v>25.96</v>
      </c>
      <c r="F2961" s="93" t="s">
        <v>9</v>
      </c>
      <c r="G2961" s="87">
        <f>Table1[[#This Row],[date]]</f>
        <v>45717</v>
      </c>
      <c r="H2961" s="94">
        <f>SUMIF($A$2:A6596,G2961,$E$2:E6596)</f>
        <v>206.22</v>
      </c>
      <c r="I2961" s="93" t="str">
        <f t="shared" si="185"/>
        <v>Saturday</v>
      </c>
      <c r="J2961" s="93" t="str">
        <f t="shared" si="186"/>
        <v>March</v>
      </c>
      <c r="K2961" s="93" t="str">
        <f t="shared" si="187"/>
        <v>2025</v>
      </c>
      <c r="L2961" s="6"/>
      <c r="M2961" s="6"/>
      <c r="N2961" s="6"/>
    </row>
    <row r="2962" spans="1:14" x14ac:dyDescent="0.3">
      <c r="A2962" s="87">
        <v>45717</v>
      </c>
      <c r="B2962" s="87" t="str">
        <f t="shared" si="184"/>
        <v>Saturday</v>
      </c>
      <c r="C2962" s="88" t="s">
        <v>1381</v>
      </c>
      <c r="D2962" s="88" t="s">
        <v>1266</v>
      </c>
      <c r="E2962" s="89">
        <v>35.76</v>
      </c>
      <c r="F2962" s="88" t="s">
        <v>5</v>
      </c>
      <c r="G2962" s="87">
        <f>Table1[[#This Row],[date]]</f>
        <v>45717</v>
      </c>
      <c r="H2962" s="94">
        <f>SUMIF($A$2:A6597,G2962,$E$2:E6597)</f>
        <v>206.22</v>
      </c>
      <c r="I2962" s="93" t="str">
        <f t="shared" si="185"/>
        <v>Saturday</v>
      </c>
      <c r="J2962" s="93" t="str">
        <f t="shared" si="186"/>
        <v>March</v>
      </c>
      <c r="K2962" s="93" t="str">
        <f t="shared" si="187"/>
        <v>2025</v>
      </c>
      <c r="L2962" s="6"/>
      <c r="M2962" s="6"/>
      <c r="N2962" s="6"/>
    </row>
    <row r="2963" spans="1:14" x14ac:dyDescent="0.3">
      <c r="A2963" s="92">
        <v>45717</v>
      </c>
      <c r="B2963" s="92" t="str">
        <f t="shared" si="184"/>
        <v>Saturday</v>
      </c>
      <c r="C2963" s="93" t="s">
        <v>1381</v>
      </c>
      <c r="D2963" s="93" t="s">
        <v>1164</v>
      </c>
      <c r="E2963" s="94">
        <v>25.96</v>
      </c>
      <c r="F2963" s="93" t="s">
        <v>9</v>
      </c>
      <c r="G2963" s="87">
        <f>Table1[[#This Row],[date]]</f>
        <v>45717</v>
      </c>
      <c r="H2963" s="94">
        <f>SUMIF($A$2:A6598,G2963,$E$2:E6598)</f>
        <v>206.22</v>
      </c>
      <c r="I2963" s="93" t="str">
        <f t="shared" si="185"/>
        <v>Saturday</v>
      </c>
      <c r="J2963" s="93" t="str">
        <f t="shared" si="186"/>
        <v>March</v>
      </c>
      <c r="K2963" s="93" t="str">
        <f t="shared" si="187"/>
        <v>2025</v>
      </c>
      <c r="L2963" s="6"/>
      <c r="M2963" s="6"/>
      <c r="N2963" s="6"/>
    </row>
    <row r="2964" spans="1:14" x14ac:dyDescent="0.3">
      <c r="A2964" s="87">
        <v>45717</v>
      </c>
      <c r="B2964" s="87" t="str">
        <f t="shared" si="184"/>
        <v>Saturday</v>
      </c>
      <c r="C2964" s="88" t="s">
        <v>1381</v>
      </c>
      <c r="D2964" s="88" t="s">
        <v>1169</v>
      </c>
      <c r="E2964" s="89">
        <v>30.86</v>
      </c>
      <c r="F2964" s="88" t="s">
        <v>12</v>
      </c>
      <c r="G2964" s="87">
        <f>Table1[[#This Row],[date]]</f>
        <v>45717</v>
      </c>
      <c r="H2964" s="94">
        <f>SUMIF($A$2:A6599,G2964,$E$2:E6599)</f>
        <v>206.22</v>
      </c>
      <c r="I2964" s="93" t="str">
        <f t="shared" si="185"/>
        <v>Saturday</v>
      </c>
      <c r="J2964" s="93" t="str">
        <f t="shared" si="186"/>
        <v>March</v>
      </c>
      <c r="K2964" s="93" t="str">
        <f t="shared" si="187"/>
        <v>2025</v>
      </c>
      <c r="L2964" s="6"/>
      <c r="M2964" s="6"/>
      <c r="N2964" s="6"/>
    </row>
    <row r="2965" spans="1:14" x14ac:dyDescent="0.3">
      <c r="A2965" s="87">
        <v>45717</v>
      </c>
      <c r="B2965" s="87" t="str">
        <f t="shared" si="184"/>
        <v>Saturday</v>
      </c>
      <c r="C2965" s="88" t="s">
        <v>1381</v>
      </c>
      <c r="D2965" s="88" t="s">
        <v>1270</v>
      </c>
      <c r="E2965" s="89">
        <v>25.96</v>
      </c>
      <c r="F2965" s="88" t="s">
        <v>9</v>
      </c>
      <c r="G2965" s="87">
        <f>Table1[[#This Row],[date]]</f>
        <v>45717</v>
      </c>
      <c r="H2965" s="94">
        <f>SUMIF($A$2:A6600,G2965,$E$2:E6600)</f>
        <v>206.22</v>
      </c>
      <c r="I2965" s="93" t="str">
        <f t="shared" si="185"/>
        <v>Saturday</v>
      </c>
      <c r="J2965" s="93" t="str">
        <f t="shared" si="186"/>
        <v>March</v>
      </c>
      <c r="K2965" s="93" t="str">
        <f t="shared" si="187"/>
        <v>2025</v>
      </c>
      <c r="L2965" s="6"/>
      <c r="M2965" s="6"/>
      <c r="N2965" s="6"/>
    </row>
    <row r="2966" spans="1:14" x14ac:dyDescent="0.3">
      <c r="A2966" s="92">
        <v>45718</v>
      </c>
      <c r="B2966" s="92" t="str">
        <f t="shared" si="184"/>
        <v>Sunday</v>
      </c>
      <c r="C2966" s="93" t="s">
        <v>1381</v>
      </c>
      <c r="D2966" s="93" t="s">
        <v>1175</v>
      </c>
      <c r="E2966" s="94">
        <v>35.76</v>
      </c>
      <c r="F2966" s="93" t="s">
        <v>16</v>
      </c>
      <c r="G2966" s="87">
        <f>Table1[[#This Row],[date]]</f>
        <v>45718</v>
      </c>
      <c r="H2966" s="94">
        <f>SUMIF($A$2:A6601,G2966,$E$2:E6601)</f>
        <v>185.16000000000003</v>
      </c>
      <c r="I2966" s="93" t="str">
        <f t="shared" si="185"/>
        <v>Sunday</v>
      </c>
      <c r="J2966" s="93" t="str">
        <f t="shared" si="186"/>
        <v>March</v>
      </c>
      <c r="K2966" s="93" t="str">
        <f t="shared" si="187"/>
        <v>2025</v>
      </c>
      <c r="L2966" s="6"/>
      <c r="M2966" s="6"/>
      <c r="N2966" s="6"/>
    </row>
    <row r="2967" spans="1:14" x14ac:dyDescent="0.3">
      <c r="A2967" s="87">
        <v>45718</v>
      </c>
      <c r="B2967" s="87" t="str">
        <f t="shared" si="184"/>
        <v>Sunday</v>
      </c>
      <c r="C2967" s="88" t="s">
        <v>1381</v>
      </c>
      <c r="D2967" s="88" t="s">
        <v>1201</v>
      </c>
      <c r="E2967" s="89">
        <v>35.76</v>
      </c>
      <c r="F2967" s="88" t="s">
        <v>5</v>
      </c>
      <c r="G2967" s="87">
        <f>Table1[[#This Row],[date]]</f>
        <v>45718</v>
      </c>
      <c r="H2967" s="94">
        <f>SUMIF($A$2:A6602,G2967,$E$2:E6602)</f>
        <v>185.16000000000003</v>
      </c>
      <c r="I2967" s="93" t="str">
        <f t="shared" si="185"/>
        <v>Sunday</v>
      </c>
      <c r="J2967" s="93" t="str">
        <f t="shared" si="186"/>
        <v>March</v>
      </c>
      <c r="K2967" s="93" t="str">
        <f t="shared" si="187"/>
        <v>2025</v>
      </c>
      <c r="L2967" s="6"/>
      <c r="M2967" s="6"/>
      <c r="N2967" s="6"/>
    </row>
    <row r="2968" spans="1:14" x14ac:dyDescent="0.3">
      <c r="A2968" s="92">
        <v>45718</v>
      </c>
      <c r="B2968" s="92" t="str">
        <f t="shared" si="184"/>
        <v>Sunday</v>
      </c>
      <c r="C2968" s="93" t="s">
        <v>1381</v>
      </c>
      <c r="D2968" s="93" t="s">
        <v>1229</v>
      </c>
      <c r="E2968" s="94">
        <v>30.86</v>
      </c>
      <c r="F2968" s="93" t="s">
        <v>12</v>
      </c>
      <c r="G2968" s="87">
        <f>Table1[[#This Row],[date]]</f>
        <v>45718</v>
      </c>
      <c r="H2968" s="94">
        <f>SUMIF($A$2:A6603,G2968,$E$2:E6603)</f>
        <v>185.16000000000003</v>
      </c>
      <c r="I2968" s="93" t="str">
        <f t="shared" si="185"/>
        <v>Sunday</v>
      </c>
      <c r="J2968" s="93" t="str">
        <f t="shared" si="186"/>
        <v>March</v>
      </c>
      <c r="K2968" s="93" t="str">
        <f t="shared" si="187"/>
        <v>2025</v>
      </c>
      <c r="L2968" s="6"/>
      <c r="M2968" s="6"/>
      <c r="N2968" s="6"/>
    </row>
    <row r="2969" spans="1:14" x14ac:dyDescent="0.3">
      <c r="A2969" s="87">
        <v>45718</v>
      </c>
      <c r="B2969" s="87" t="str">
        <f t="shared" si="184"/>
        <v>Sunday</v>
      </c>
      <c r="C2969" s="88" t="s">
        <v>1381</v>
      </c>
      <c r="D2969" s="88" t="s">
        <v>1164</v>
      </c>
      <c r="E2969" s="89">
        <v>30.86</v>
      </c>
      <c r="F2969" s="88" t="s">
        <v>12</v>
      </c>
      <c r="G2969" s="87">
        <f>Table1[[#This Row],[date]]</f>
        <v>45718</v>
      </c>
      <c r="H2969" s="94">
        <f>SUMIF($A$2:A6604,G2969,$E$2:E6604)</f>
        <v>185.16000000000003</v>
      </c>
      <c r="I2969" s="93" t="str">
        <f t="shared" si="185"/>
        <v>Sunday</v>
      </c>
      <c r="J2969" s="93" t="str">
        <f t="shared" si="186"/>
        <v>March</v>
      </c>
      <c r="K2969" s="93" t="str">
        <f t="shared" si="187"/>
        <v>2025</v>
      </c>
      <c r="L2969" s="6"/>
      <c r="M2969" s="6"/>
      <c r="N2969" s="6"/>
    </row>
    <row r="2970" spans="1:14" x14ac:dyDescent="0.3">
      <c r="A2970" s="92">
        <v>45718</v>
      </c>
      <c r="B2970" s="92" t="str">
        <f t="shared" si="184"/>
        <v>Sunday</v>
      </c>
      <c r="C2970" s="93" t="s">
        <v>1381</v>
      </c>
      <c r="D2970" s="93" t="s">
        <v>1164</v>
      </c>
      <c r="E2970" s="94">
        <v>25.96</v>
      </c>
      <c r="F2970" s="93" t="s">
        <v>9</v>
      </c>
      <c r="G2970" s="87">
        <f>Table1[[#This Row],[date]]</f>
        <v>45718</v>
      </c>
      <c r="H2970" s="94">
        <f>SUMIF($A$2:A6605,G2970,$E$2:E6605)</f>
        <v>185.16000000000003</v>
      </c>
      <c r="I2970" s="93" t="str">
        <f t="shared" si="185"/>
        <v>Sunday</v>
      </c>
      <c r="J2970" s="93" t="str">
        <f t="shared" si="186"/>
        <v>March</v>
      </c>
      <c r="K2970" s="93" t="str">
        <f t="shared" si="187"/>
        <v>2025</v>
      </c>
      <c r="L2970" s="6"/>
      <c r="M2970" s="6"/>
      <c r="N2970" s="6"/>
    </row>
    <row r="2971" spans="1:14" x14ac:dyDescent="0.3">
      <c r="A2971" s="87">
        <v>45718</v>
      </c>
      <c r="B2971" s="87" t="str">
        <f t="shared" si="184"/>
        <v>Sunday</v>
      </c>
      <c r="C2971" s="88" t="s">
        <v>1381</v>
      </c>
      <c r="D2971" s="88" t="s">
        <v>1202</v>
      </c>
      <c r="E2971" s="89">
        <v>25.96</v>
      </c>
      <c r="F2971" s="88" t="s">
        <v>9</v>
      </c>
      <c r="G2971" s="87">
        <f>Table1[[#This Row],[date]]</f>
        <v>45718</v>
      </c>
      <c r="H2971" s="94">
        <f>SUMIF($A$2:A6606,G2971,$E$2:E6606)</f>
        <v>185.16000000000003</v>
      </c>
      <c r="I2971" s="93" t="str">
        <f t="shared" si="185"/>
        <v>Sunday</v>
      </c>
      <c r="J2971" s="93" t="str">
        <f t="shared" si="186"/>
        <v>March</v>
      </c>
      <c r="K2971" s="93" t="str">
        <f t="shared" si="187"/>
        <v>2025</v>
      </c>
      <c r="L2971" s="6"/>
      <c r="M2971" s="6"/>
      <c r="N2971" s="6"/>
    </row>
    <row r="2972" spans="1:14" x14ac:dyDescent="0.3">
      <c r="A2972" s="92">
        <v>45719</v>
      </c>
      <c r="B2972" s="92" t="str">
        <f t="shared" si="184"/>
        <v>Monday</v>
      </c>
      <c r="C2972" s="93" t="s">
        <v>1381</v>
      </c>
      <c r="D2972" s="93" t="s">
        <v>1173</v>
      </c>
      <c r="E2972" s="94">
        <v>35.76</v>
      </c>
      <c r="F2972" s="93" t="s">
        <v>41</v>
      </c>
      <c r="G2972" s="87">
        <f>Table1[[#This Row],[date]]</f>
        <v>45719</v>
      </c>
      <c r="H2972" s="94">
        <f>SUMIF($A$2:A6607,G2972,$E$2:E6607)</f>
        <v>640.2399999999999</v>
      </c>
      <c r="I2972" s="93" t="str">
        <f t="shared" si="185"/>
        <v>Monday</v>
      </c>
      <c r="J2972" s="93" t="str">
        <f t="shared" si="186"/>
        <v>March</v>
      </c>
      <c r="K2972" s="93" t="str">
        <f t="shared" si="187"/>
        <v>2025</v>
      </c>
      <c r="L2972" s="6"/>
      <c r="M2972" s="6"/>
      <c r="N2972" s="6"/>
    </row>
    <row r="2973" spans="1:14" x14ac:dyDescent="0.3">
      <c r="A2973" s="87">
        <v>45719</v>
      </c>
      <c r="B2973" s="87" t="str">
        <f t="shared" si="184"/>
        <v>Monday</v>
      </c>
      <c r="C2973" s="88" t="s">
        <v>1381</v>
      </c>
      <c r="D2973" s="88" t="s">
        <v>1256</v>
      </c>
      <c r="E2973" s="89">
        <v>35.76</v>
      </c>
      <c r="F2973" s="88" t="s">
        <v>16</v>
      </c>
      <c r="G2973" s="87">
        <f>Table1[[#This Row],[date]]</f>
        <v>45719</v>
      </c>
      <c r="H2973" s="94">
        <f>SUMIF($A$2:A6608,G2973,$E$2:E6608)</f>
        <v>640.2399999999999</v>
      </c>
      <c r="I2973" s="93" t="str">
        <f t="shared" si="185"/>
        <v>Monday</v>
      </c>
      <c r="J2973" s="93" t="str">
        <f t="shared" si="186"/>
        <v>March</v>
      </c>
      <c r="K2973" s="93" t="str">
        <f t="shared" si="187"/>
        <v>2025</v>
      </c>
      <c r="L2973" s="6"/>
      <c r="M2973" s="6"/>
      <c r="N2973" s="6"/>
    </row>
    <row r="2974" spans="1:14" x14ac:dyDescent="0.3">
      <c r="A2974" s="92">
        <v>45719</v>
      </c>
      <c r="B2974" s="92" t="str">
        <f t="shared" si="184"/>
        <v>Monday</v>
      </c>
      <c r="C2974" s="93" t="s">
        <v>1381</v>
      </c>
      <c r="D2974" s="93" t="s">
        <v>1256</v>
      </c>
      <c r="E2974" s="94">
        <v>35.76</v>
      </c>
      <c r="F2974" s="93" t="s">
        <v>5</v>
      </c>
      <c r="G2974" s="87">
        <f>Table1[[#This Row],[date]]</f>
        <v>45719</v>
      </c>
      <c r="H2974" s="94">
        <f>SUMIF($A$2:A6609,G2974,$E$2:E6609)</f>
        <v>640.2399999999999</v>
      </c>
      <c r="I2974" s="93" t="str">
        <f t="shared" si="185"/>
        <v>Monday</v>
      </c>
      <c r="J2974" s="93" t="str">
        <f t="shared" si="186"/>
        <v>March</v>
      </c>
      <c r="K2974" s="93" t="str">
        <f t="shared" si="187"/>
        <v>2025</v>
      </c>
      <c r="L2974" s="6"/>
      <c r="M2974" s="6"/>
      <c r="N2974" s="6"/>
    </row>
    <row r="2975" spans="1:14" x14ac:dyDescent="0.3">
      <c r="A2975" s="87">
        <v>45719</v>
      </c>
      <c r="B2975" s="87" t="str">
        <f t="shared" si="184"/>
        <v>Monday</v>
      </c>
      <c r="C2975" s="88" t="s">
        <v>1381</v>
      </c>
      <c r="D2975" s="88" t="s">
        <v>1239</v>
      </c>
      <c r="E2975" s="89">
        <v>35.76</v>
      </c>
      <c r="F2975" s="88" t="s">
        <v>7</v>
      </c>
      <c r="G2975" s="87">
        <f>Table1[[#This Row],[date]]</f>
        <v>45719</v>
      </c>
      <c r="H2975" s="94">
        <f>SUMIF($A$2:A6610,G2975,$E$2:E6610)</f>
        <v>640.2399999999999</v>
      </c>
      <c r="I2975" s="93" t="str">
        <f t="shared" si="185"/>
        <v>Monday</v>
      </c>
      <c r="J2975" s="93" t="str">
        <f t="shared" si="186"/>
        <v>March</v>
      </c>
      <c r="K2975" s="93" t="str">
        <f t="shared" si="187"/>
        <v>2025</v>
      </c>
      <c r="L2975" s="6"/>
      <c r="M2975" s="6"/>
      <c r="N2975" s="6"/>
    </row>
    <row r="2976" spans="1:14" x14ac:dyDescent="0.3">
      <c r="A2976" s="92">
        <v>45719</v>
      </c>
      <c r="B2976" s="92" t="str">
        <f t="shared" si="184"/>
        <v>Monday</v>
      </c>
      <c r="C2976" s="93" t="s">
        <v>1381</v>
      </c>
      <c r="D2976" s="93" t="s">
        <v>1271</v>
      </c>
      <c r="E2976" s="94">
        <v>35.76</v>
      </c>
      <c r="F2976" s="93" t="s">
        <v>7</v>
      </c>
      <c r="G2976" s="87">
        <f>Table1[[#This Row],[date]]</f>
        <v>45719</v>
      </c>
      <c r="H2976" s="94">
        <f>SUMIF($A$2:A6611,G2976,$E$2:E6611)</f>
        <v>640.2399999999999</v>
      </c>
      <c r="I2976" s="93" t="str">
        <f t="shared" si="185"/>
        <v>Monday</v>
      </c>
      <c r="J2976" s="93" t="str">
        <f t="shared" si="186"/>
        <v>March</v>
      </c>
      <c r="K2976" s="93" t="str">
        <f t="shared" si="187"/>
        <v>2025</v>
      </c>
      <c r="L2976" s="6"/>
      <c r="M2976" s="6"/>
      <c r="N2976" s="6"/>
    </row>
    <row r="2977" spans="1:14" x14ac:dyDescent="0.3">
      <c r="A2977" s="87">
        <v>45719</v>
      </c>
      <c r="B2977" s="87" t="str">
        <f t="shared" si="184"/>
        <v>Monday</v>
      </c>
      <c r="C2977" s="88" t="s">
        <v>1381</v>
      </c>
      <c r="D2977" s="88" t="s">
        <v>1196</v>
      </c>
      <c r="E2977" s="89">
        <v>35.76</v>
      </c>
      <c r="F2977" s="88" t="s">
        <v>41</v>
      </c>
      <c r="G2977" s="87">
        <f>Table1[[#This Row],[date]]</f>
        <v>45719</v>
      </c>
      <c r="H2977" s="94">
        <f>SUMIF($A$2:A6612,G2977,$E$2:E6612)</f>
        <v>640.2399999999999</v>
      </c>
      <c r="I2977" s="93" t="str">
        <f t="shared" si="185"/>
        <v>Monday</v>
      </c>
      <c r="J2977" s="93" t="str">
        <f t="shared" si="186"/>
        <v>March</v>
      </c>
      <c r="K2977" s="93" t="str">
        <f t="shared" si="187"/>
        <v>2025</v>
      </c>
      <c r="L2977" s="6"/>
      <c r="M2977" s="6"/>
      <c r="N2977" s="6"/>
    </row>
    <row r="2978" spans="1:14" x14ac:dyDescent="0.3">
      <c r="A2978" s="92">
        <v>45719</v>
      </c>
      <c r="B2978" s="92" t="str">
        <f t="shared" si="184"/>
        <v>Monday</v>
      </c>
      <c r="C2978" s="93" t="s">
        <v>1381</v>
      </c>
      <c r="D2978" s="93" t="s">
        <v>1203</v>
      </c>
      <c r="E2978" s="94">
        <v>35.76</v>
      </c>
      <c r="F2978" s="93" t="s">
        <v>5</v>
      </c>
      <c r="G2978" s="87">
        <f>Table1[[#This Row],[date]]</f>
        <v>45719</v>
      </c>
      <c r="H2978" s="94">
        <f>SUMIF($A$2:A6613,G2978,$E$2:E6613)</f>
        <v>640.2399999999999</v>
      </c>
      <c r="I2978" s="93" t="str">
        <f t="shared" si="185"/>
        <v>Monday</v>
      </c>
      <c r="J2978" s="93" t="str">
        <f t="shared" si="186"/>
        <v>March</v>
      </c>
      <c r="K2978" s="93" t="str">
        <f t="shared" si="187"/>
        <v>2025</v>
      </c>
      <c r="L2978" s="6"/>
      <c r="M2978" s="6"/>
      <c r="N2978" s="6"/>
    </row>
    <row r="2979" spans="1:14" x14ac:dyDescent="0.3">
      <c r="A2979" s="87">
        <v>45719</v>
      </c>
      <c r="B2979" s="87" t="str">
        <f t="shared" si="184"/>
        <v>Monday</v>
      </c>
      <c r="C2979" s="88" t="s">
        <v>1381</v>
      </c>
      <c r="D2979" s="88" t="s">
        <v>1179</v>
      </c>
      <c r="E2979" s="89">
        <v>25.96</v>
      </c>
      <c r="F2979" s="88" t="s">
        <v>9</v>
      </c>
      <c r="G2979" s="87">
        <f>Table1[[#This Row],[date]]</f>
        <v>45719</v>
      </c>
      <c r="H2979" s="94">
        <f>SUMIF($A$2:A6614,G2979,$E$2:E6614)</f>
        <v>640.2399999999999</v>
      </c>
      <c r="I2979" s="93" t="str">
        <f t="shared" si="185"/>
        <v>Monday</v>
      </c>
      <c r="J2979" s="93" t="str">
        <f t="shared" si="186"/>
        <v>March</v>
      </c>
      <c r="K2979" s="93" t="str">
        <f t="shared" si="187"/>
        <v>2025</v>
      </c>
      <c r="L2979" s="6"/>
      <c r="M2979" s="6"/>
      <c r="N2979" s="6"/>
    </row>
    <row r="2980" spans="1:14" x14ac:dyDescent="0.3">
      <c r="A2980" s="92">
        <v>45719</v>
      </c>
      <c r="B2980" s="92" t="str">
        <f t="shared" si="184"/>
        <v>Monday</v>
      </c>
      <c r="C2980" s="93" t="s">
        <v>1381</v>
      </c>
      <c r="D2980" s="93" t="s">
        <v>1208</v>
      </c>
      <c r="E2980" s="94">
        <v>35.76</v>
      </c>
      <c r="F2980" s="93" t="s">
        <v>16</v>
      </c>
      <c r="G2980" s="87">
        <f>Table1[[#This Row],[date]]</f>
        <v>45719</v>
      </c>
      <c r="H2980" s="94">
        <f>SUMIF($A$2:A6615,G2980,$E$2:E6615)</f>
        <v>640.2399999999999</v>
      </c>
      <c r="I2980" s="93" t="str">
        <f t="shared" si="185"/>
        <v>Monday</v>
      </c>
      <c r="J2980" s="93" t="str">
        <f t="shared" si="186"/>
        <v>March</v>
      </c>
      <c r="K2980" s="93" t="str">
        <f t="shared" si="187"/>
        <v>2025</v>
      </c>
      <c r="L2980" s="6"/>
      <c r="M2980" s="6"/>
      <c r="N2980" s="6"/>
    </row>
    <row r="2981" spans="1:14" x14ac:dyDescent="0.3">
      <c r="A2981" s="92">
        <v>45719</v>
      </c>
      <c r="B2981" s="92" t="str">
        <f t="shared" si="184"/>
        <v>Monday</v>
      </c>
      <c r="C2981" s="93" t="s">
        <v>1381</v>
      </c>
      <c r="D2981" s="93" t="s">
        <v>1176</v>
      </c>
      <c r="E2981" s="94">
        <v>35.76</v>
      </c>
      <c r="F2981" s="93" t="s">
        <v>5</v>
      </c>
      <c r="G2981" s="87">
        <f>Table1[[#This Row],[date]]</f>
        <v>45719</v>
      </c>
      <c r="H2981" s="94">
        <f>SUMIF($A$2:A6616,G2981,$E$2:E6616)</f>
        <v>640.2399999999999</v>
      </c>
      <c r="I2981" s="93" t="str">
        <f t="shared" si="185"/>
        <v>Monday</v>
      </c>
      <c r="J2981" s="93" t="str">
        <f t="shared" si="186"/>
        <v>March</v>
      </c>
      <c r="K2981" s="93" t="str">
        <f t="shared" si="187"/>
        <v>2025</v>
      </c>
      <c r="L2981" s="6"/>
      <c r="M2981" s="6"/>
      <c r="N2981" s="6"/>
    </row>
    <row r="2982" spans="1:14" x14ac:dyDescent="0.3">
      <c r="A2982" s="87">
        <v>45719</v>
      </c>
      <c r="B2982" s="87" t="str">
        <f t="shared" si="184"/>
        <v>Monday</v>
      </c>
      <c r="C2982" s="88" t="s">
        <v>1381</v>
      </c>
      <c r="D2982" s="88" t="s">
        <v>1170</v>
      </c>
      <c r="E2982" s="89">
        <v>35.76</v>
      </c>
      <c r="F2982" s="88" t="s">
        <v>41</v>
      </c>
      <c r="G2982" s="87">
        <f>Table1[[#This Row],[date]]</f>
        <v>45719</v>
      </c>
      <c r="H2982" s="94">
        <f>SUMIF($A$2:A6617,G2982,$E$2:E6617)</f>
        <v>640.2399999999999</v>
      </c>
      <c r="I2982" s="93" t="str">
        <f t="shared" si="185"/>
        <v>Monday</v>
      </c>
      <c r="J2982" s="93" t="str">
        <f t="shared" si="186"/>
        <v>March</v>
      </c>
      <c r="K2982" s="93" t="str">
        <f t="shared" si="187"/>
        <v>2025</v>
      </c>
      <c r="L2982" s="6"/>
      <c r="M2982" s="6"/>
      <c r="N2982" s="6"/>
    </row>
    <row r="2983" spans="1:14" x14ac:dyDescent="0.3">
      <c r="A2983" s="87">
        <v>45719</v>
      </c>
      <c r="B2983" s="87" t="str">
        <f t="shared" si="184"/>
        <v>Monday</v>
      </c>
      <c r="C2983" s="88" t="s">
        <v>1381</v>
      </c>
      <c r="D2983" s="88" t="s">
        <v>1182</v>
      </c>
      <c r="E2983" s="89">
        <v>25.96</v>
      </c>
      <c r="F2983" s="88" t="s">
        <v>9</v>
      </c>
      <c r="G2983" s="87">
        <f>Table1[[#This Row],[date]]</f>
        <v>45719</v>
      </c>
      <c r="H2983" s="94">
        <f>SUMIF($A$2:A6618,G2983,$E$2:E6618)</f>
        <v>640.2399999999999</v>
      </c>
      <c r="I2983" s="93" t="str">
        <f t="shared" si="185"/>
        <v>Monday</v>
      </c>
      <c r="J2983" s="93" t="str">
        <f t="shared" si="186"/>
        <v>March</v>
      </c>
      <c r="K2983" s="93" t="str">
        <f t="shared" si="187"/>
        <v>2025</v>
      </c>
      <c r="L2983" s="6"/>
      <c r="M2983" s="6"/>
      <c r="N2983" s="6"/>
    </row>
    <row r="2984" spans="1:14" x14ac:dyDescent="0.3">
      <c r="A2984" s="92">
        <v>45719</v>
      </c>
      <c r="B2984" s="92" t="str">
        <f t="shared" si="184"/>
        <v>Monday</v>
      </c>
      <c r="C2984" s="93" t="s">
        <v>1381</v>
      </c>
      <c r="D2984" s="93" t="s">
        <v>1268</v>
      </c>
      <c r="E2984" s="94">
        <v>30.86</v>
      </c>
      <c r="F2984" s="93" t="s">
        <v>12</v>
      </c>
      <c r="G2984" s="87">
        <f>Table1[[#This Row],[date]]</f>
        <v>45719</v>
      </c>
      <c r="H2984" s="94">
        <f>SUMIF($A$2:A6619,G2984,$E$2:E6619)</f>
        <v>640.2399999999999</v>
      </c>
      <c r="I2984" s="93" t="str">
        <f t="shared" si="185"/>
        <v>Monday</v>
      </c>
      <c r="J2984" s="93" t="str">
        <f t="shared" si="186"/>
        <v>March</v>
      </c>
      <c r="K2984" s="93" t="str">
        <f t="shared" si="187"/>
        <v>2025</v>
      </c>
      <c r="L2984" s="6"/>
      <c r="M2984" s="6"/>
      <c r="N2984" s="6"/>
    </row>
    <row r="2985" spans="1:14" x14ac:dyDescent="0.3">
      <c r="A2985" s="87">
        <v>45719</v>
      </c>
      <c r="B2985" s="87" t="str">
        <f t="shared" si="184"/>
        <v>Monday</v>
      </c>
      <c r="C2985" s="88" t="s">
        <v>1381</v>
      </c>
      <c r="D2985" s="88" t="s">
        <v>1210</v>
      </c>
      <c r="E2985" s="89">
        <v>25.96</v>
      </c>
      <c r="F2985" s="88" t="s">
        <v>9</v>
      </c>
      <c r="G2985" s="87">
        <f>Table1[[#This Row],[date]]</f>
        <v>45719</v>
      </c>
      <c r="H2985" s="94">
        <f>SUMIF($A$2:A6620,G2985,$E$2:E6620)</f>
        <v>640.2399999999999</v>
      </c>
      <c r="I2985" s="93" t="str">
        <f t="shared" si="185"/>
        <v>Monday</v>
      </c>
      <c r="J2985" s="93" t="str">
        <f t="shared" si="186"/>
        <v>March</v>
      </c>
      <c r="K2985" s="93" t="str">
        <f t="shared" si="187"/>
        <v>2025</v>
      </c>
      <c r="L2985" s="6"/>
      <c r="M2985" s="6"/>
      <c r="N2985" s="6"/>
    </row>
    <row r="2986" spans="1:14" x14ac:dyDescent="0.3">
      <c r="A2986" s="92">
        <v>45719</v>
      </c>
      <c r="B2986" s="92" t="str">
        <f t="shared" si="184"/>
        <v>Monday</v>
      </c>
      <c r="C2986" s="93" t="s">
        <v>1381</v>
      </c>
      <c r="D2986" s="93" t="s">
        <v>1210</v>
      </c>
      <c r="E2986" s="94">
        <v>35.76</v>
      </c>
      <c r="F2986" s="93" t="s">
        <v>7</v>
      </c>
      <c r="G2986" s="87">
        <f>Table1[[#This Row],[date]]</f>
        <v>45719</v>
      </c>
      <c r="H2986" s="94">
        <f>SUMIF($A$2:A6621,G2986,$E$2:E6621)</f>
        <v>640.2399999999999</v>
      </c>
      <c r="I2986" s="93" t="str">
        <f t="shared" si="185"/>
        <v>Monday</v>
      </c>
      <c r="J2986" s="93" t="str">
        <f t="shared" si="186"/>
        <v>March</v>
      </c>
      <c r="K2986" s="93" t="str">
        <f t="shared" si="187"/>
        <v>2025</v>
      </c>
      <c r="L2986" s="6"/>
      <c r="M2986" s="6"/>
      <c r="N2986" s="6"/>
    </row>
    <row r="2987" spans="1:14" x14ac:dyDescent="0.3">
      <c r="A2987" s="92">
        <v>45719</v>
      </c>
      <c r="B2987" s="92" t="str">
        <f t="shared" si="184"/>
        <v>Monday</v>
      </c>
      <c r="C2987" s="93" t="s">
        <v>1381</v>
      </c>
      <c r="D2987" s="93" t="s">
        <v>1191</v>
      </c>
      <c r="E2987" s="94">
        <v>35.76</v>
      </c>
      <c r="F2987" s="93" t="s">
        <v>7</v>
      </c>
      <c r="G2987" s="87">
        <f>Table1[[#This Row],[date]]</f>
        <v>45719</v>
      </c>
      <c r="H2987" s="94">
        <f>SUMIF($A$2:A6622,G2987,$E$2:E6622)</f>
        <v>640.2399999999999</v>
      </c>
      <c r="I2987" s="93" t="str">
        <f t="shared" si="185"/>
        <v>Monday</v>
      </c>
      <c r="J2987" s="93" t="str">
        <f t="shared" si="186"/>
        <v>March</v>
      </c>
      <c r="K2987" s="93" t="str">
        <f t="shared" si="187"/>
        <v>2025</v>
      </c>
      <c r="L2987" s="6"/>
      <c r="M2987" s="6"/>
      <c r="N2987" s="6"/>
    </row>
    <row r="2988" spans="1:14" x14ac:dyDescent="0.3">
      <c r="A2988" s="87">
        <v>45719</v>
      </c>
      <c r="B2988" s="87" t="str">
        <f t="shared" si="184"/>
        <v>Monday</v>
      </c>
      <c r="C2988" s="88" t="s">
        <v>1381</v>
      </c>
      <c r="D2988" s="88" t="s">
        <v>1190</v>
      </c>
      <c r="E2988" s="89">
        <v>35.76</v>
      </c>
      <c r="F2988" s="88" t="s">
        <v>7</v>
      </c>
      <c r="G2988" s="87">
        <f>Table1[[#This Row],[date]]</f>
        <v>45719</v>
      </c>
      <c r="H2988" s="94">
        <f>SUMIF($A$2:A6623,G2988,$E$2:E6623)</f>
        <v>640.2399999999999</v>
      </c>
      <c r="I2988" s="93" t="str">
        <f t="shared" si="185"/>
        <v>Monday</v>
      </c>
      <c r="J2988" s="93" t="str">
        <f t="shared" si="186"/>
        <v>March</v>
      </c>
      <c r="K2988" s="93" t="str">
        <f t="shared" si="187"/>
        <v>2025</v>
      </c>
      <c r="L2988" s="6"/>
      <c r="M2988" s="6"/>
      <c r="N2988" s="6"/>
    </row>
    <row r="2989" spans="1:14" x14ac:dyDescent="0.3">
      <c r="A2989" s="92">
        <v>45719</v>
      </c>
      <c r="B2989" s="92" t="str">
        <f t="shared" si="184"/>
        <v>Monday</v>
      </c>
      <c r="C2989" s="93" t="s">
        <v>1381</v>
      </c>
      <c r="D2989" s="93" t="s">
        <v>1174</v>
      </c>
      <c r="E2989" s="94">
        <v>30.86</v>
      </c>
      <c r="F2989" s="93" t="s">
        <v>12</v>
      </c>
      <c r="G2989" s="87">
        <f>Table1[[#This Row],[date]]</f>
        <v>45719</v>
      </c>
      <c r="H2989" s="94">
        <f>SUMIF($A$2:A6624,G2989,$E$2:E6624)</f>
        <v>640.2399999999999</v>
      </c>
      <c r="I2989" s="93" t="str">
        <f t="shared" si="185"/>
        <v>Monday</v>
      </c>
      <c r="J2989" s="93" t="str">
        <f t="shared" si="186"/>
        <v>March</v>
      </c>
      <c r="K2989" s="93" t="str">
        <f t="shared" si="187"/>
        <v>2025</v>
      </c>
      <c r="L2989" s="6"/>
      <c r="M2989" s="6"/>
      <c r="N2989" s="6"/>
    </row>
    <row r="2990" spans="1:14" x14ac:dyDescent="0.3">
      <c r="A2990" s="87">
        <v>45719</v>
      </c>
      <c r="B2990" s="87" t="str">
        <f t="shared" si="184"/>
        <v>Monday</v>
      </c>
      <c r="C2990" s="88" t="s">
        <v>1381</v>
      </c>
      <c r="D2990" s="88" t="s">
        <v>1269</v>
      </c>
      <c r="E2990" s="89">
        <v>35.76</v>
      </c>
      <c r="F2990" s="88" t="s">
        <v>5</v>
      </c>
      <c r="G2990" s="87">
        <f>Table1[[#This Row],[date]]</f>
        <v>45719</v>
      </c>
      <c r="H2990" s="94">
        <f>SUMIF($A$2:A6625,G2990,$E$2:E6625)</f>
        <v>640.2399999999999</v>
      </c>
      <c r="I2990" s="93" t="str">
        <f t="shared" si="185"/>
        <v>Monday</v>
      </c>
      <c r="J2990" s="93" t="str">
        <f t="shared" si="186"/>
        <v>March</v>
      </c>
      <c r="K2990" s="93" t="str">
        <f t="shared" si="187"/>
        <v>2025</v>
      </c>
      <c r="L2990" s="6"/>
      <c r="M2990" s="6"/>
      <c r="N2990" s="6"/>
    </row>
    <row r="2991" spans="1:14" x14ac:dyDescent="0.3">
      <c r="A2991" s="92">
        <v>45720</v>
      </c>
      <c r="B2991" s="92" t="str">
        <f t="shared" si="184"/>
        <v>Tuesday</v>
      </c>
      <c r="C2991" s="93" t="s">
        <v>1381</v>
      </c>
      <c r="D2991" s="93" t="s">
        <v>1173</v>
      </c>
      <c r="E2991" s="94">
        <v>35.76</v>
      </c>
      <c r="F2991" s="93" t="s">
        <v>41</v>
      </c>
      <c r="G2991" s="87">
        <f>Table1[[#This Row],[date]]</f>
        <v>45720</v>
      </c>
      <c r="H2991" s="94">
        <f>SUMIF($A$2:A6626,G2991,$E$2:E6626)</f>
        <v>370.32</v>
      </c>
      <c r="I2991" s="93" t="str">
        <f t="shared" si="185"/>
        <v>Tuesday</v>
      </c>
      <c r="J2991" s="93" t="str">
        <f t="shared" si="186"/>
        <v>March</v>
      </c>
      <c r="K2991" s="93" t="str">
        <f t="shared" si="187"/>
        <v>2025</v>
      </c>
      <c r="L2991" s="6"/>
      <c r="M2991" s="6"/>
      <c r="N2991" s="6"/>
    </row>
    <row r="2992" spans="1:14" x14ac:dyDescent="0.3">
      <c r="A2992" s="87">
        <v>45720</v>
      </c>
      <c r="B2992" s="87" t="str">
        <f t="shared" si="184"/>
        <v>Tuesday</v>
      </c>
      <c r="C2992" s="88" t="s">
        <v>1381</v>
      </c>
      <c r="D2992" s="88" t="s">
        <v>1175</v>
      </c>
      <c r="E2992" s="89">
        <v>25.96</v>
      </c>
      <c r="F2992" s="88" t="s">
        <v>9</v>
      </c>
      <c r="G2992" s="87">
        <f>Table1[[#This Row],[date]]</f>
        <v>45720</v>
      </c>
      <c r="H2992" s="94">
        <f>SUMIF($A$2:A6627,G2992,$E$2:E6627)</f>
        <v>370.32</v>
      </c>
      <c r="I2992" s="93" t="str">
        <f t="shared" si="185"/>
        <v>Tuesday</v>
      </c>
      <c r="J2992" s="93" t="str">
        <f t="shared" si="186"/>
        <v>March</v>
      </c>
      <c r="K2992" s="93" t="str">
        <f t="shared" si="187"/>
        <v>2025</v>
      </c>
      <c r="L2992" s="6"/>
      <c r="M2992" s="6"/>
      <c r="N2992" s="6"/>
    </row>
    <row r="2993" spans="1:14" x14ac:dyDescent="0.3">
      <c r="A2993" s="92">
        <v>45720</v>
      </c>
      <c r="B2993" s="92" t="str">
        <f t="shared" si="184"/>
        <v>Tuesday</v>
      </c>
      <c r="C2993" s="93" t="s">
        <v>1381</v>
      </c>
      <c r="D2993" s="93" t="s">
        <v>1199</v>
      </c>
      <c r="E2993" s="94">
        <v>30.86</v>
      </c>
      <c r="F2993" s="93" t="s">
        <v>12</v>
      </c>
      <c r="G2993" s="87">
        <f>Table1[[#This Row],[date]]</f>
        <v>45720</v>
      </c>
      <c r="H2993" s="94">
        <f>SUMIF($A$2:A6628,G2993,$E$2:E6628)</f>
        <v>370.32</v>
      </c>
      <c r="I2993" s="93" t="str">
        <f t="shared" si="185"/>
        <v>Tuesday</v>
      </c>
      <c r="J2993" s="93" t="str">
        <f t="shared" si="186"/>
        <v>March</v>
      </c>
      <c r="K2993" s="93" t="str">
        <f t="shared" si="187"/>
        <v>2025</v>
      </c>
      <c r="L2993" s="6"/>
      <c r="M2993" s="6"/>
      <c r="N2993" s="6"/>
    </row>
    <row r="2994" spans="1:14" x14ac:dyDescent="0.3">
      <c r="A2994" s="87">
        <v>45720</v>
      </c>
      <c r="B2994" s="87" t="str">
        <f t="shared" si="184"/>
        <v>Tuesday</v>
      </c>
      <c r="C2994" s="88" t="s">
        <v>1381</v>
      </c>
      <c r="D2994" s="88" t="s">
        <v>1272</v>
      </c>
      <c r="E2994" s="89">
        <v>25.96</v>
      </c>
      <c r="F2994" s="88" t="s">
        <v>9</v>
      </c>
      <c r="G2994" s="87">
        <f>Table1[[#This Row],[date]]</f>
        <v>45720</v>
      </c>
      <c r="H2994" s="94">
        <f>SUMIF($A$2:A6629,G2994,$E$2:E6629)</f>
        <v>370.32</v>
      </c>
      <c r="I2994" s="93" t="str">
        <f t="shared" si="185"/>
        <v>Tuesday</v>
      </c>
      <c r="J2994" s="93" t="str">
        <f t="shared" si="186"/>
        <v>March</v>
      </c>
      <c r="K2994" s="93" t="str">
        <f t="shared" si="187"/>
        <v>2025</v>
      </c>
      <c r="L2994" s="6"/>
      <c r="M2994" s="6"/>
      <c r="N2994" s="6"/>
    </row>
    <row r="2995" spans="1:14" x14ac:dyDescent="0.3">
      <c r="A2995" s="92">
        <v>45720</v>
      </c>
      <c r="B2995" s="92" t="str">
        <f t="shared" si="184"/>
        <v>Tuesday</v>
      </c>
      <c r="C2995" s="93" t="s">
        <v>1381</v>
      </c>
      <c r="D2995" s="93" t="s">
        <v>1234</v>
      </c>
      <c r="E2995" s="94">
        <v>30.86</v>
      </c>
      <c r="F2995" s="93" t="s">
        <v>12</v>
      </c>
      <c r="G2995" s="87">
        <f>Table1[[#This Row],[date]]</f>
        <v>45720</v>
      </c>
      <c r="H2995" s="94">
        <f>SUMIF($A$2:A6630,G2995,$E$2:E6630)</f>
        <v>370.32</v>
      </c>
      <c r="I2995" s="93" t="str">
        <f t="shared" si="185"/>
        <v>Tuesday</v>
      </c>
      <c r="J2995" s="93" t="str">
        <f t="shared" si="186"/>
        <v>March</v>
      </c>
      <c r="K2995" s="93" t="str">
        <f t="shared" si="187"/>
        <v>2025</v>
      </c>
      <c r="L2995" s="6"/>
      <c r="M2995" s="6"/>
      <c r="N2995" s="6"/>
    </row>
    <row r="2996" spans="1:14" x14ac:dyDescent="0.3">
      <c r="A2996" s="87">
        <v>45720</v>
      </c>
      <c r="B2996" s="87" t="str">
        <f t="shared" si="184"/>
        <v>Tuesday</v>
      </c>
      <c r="C2996" s="88" t="s">
        <v>1381</v>
      </c>
      <c r="D2996" s="88" t="s">
        <v>1188</v>
      </c>
      <c r="E2996" s="89">
        <v>25.96</v>
      </c>
      <c r="F2996" s="88" t="s">
        <v>9</v>
      </c>
      <c r="G2996" s="87">
        <f>Table1[[#This Row],[date]]</f>
        <v>45720</v>
      </c>
      <c r="H2996" s="94">
        <f>SUMIF($A$2:A6631,G2996,$E$2:E6631)</f>
        <v>370.32</v>
      </c>
      <c r="I2996" s="93" t="str">
        <f t="shared" si="185"/>
        <v>Tuesday</v>
      </c>
      <c r="J2996" s="93" t="str">
        <f t="shared" si="186"/>
        <v>March</v>
      </c>
      <c r="K2996" s="93" t="str">
        <f t="shared" si="187"/>
        <v>2025</v>
      </c>
      <c r="L2996" s="6"/>
      <c r="M2996" s="6"/>
      <c r="N2996" s="6"/>
    </row>
    <row r="2997" spans="1:14" x14ac:dyDescent="0.3">
      <c r="A2997" s="92">
        <v>45720</v>
      </c>
      <c r="B2997" s="92" t="str">
        <f t="shared" si="184"/>
        <v>Tuesday</v>
      </c>
      <c r="C2997" s="93" t="s">
        <v>1381</v>
      </c>
      <c r="D2997" s="93" t="s">
        <v>1179</v>
      </c>
      <c r="E2997" s="94">
        <v>25.96</v>
      </c>
      <c r="F2997" s="93" t="s">
        <v>9</v>
      </c>
      <c r="G2997" s="87">
        <f>Table1[[#This Row],[date]]</f>
        <v>45720</v>
      </c>
      <c r="H2997" s="94">
        <f>SUMIF($A$2:A6632,G2997,$E$2:E6632)</f>
        <v>370.32</v>
      </c>
      <c r="I2997" s="93" t="str">
        <f t="shared" si="185"/>
        <v>Tuesday</v>
      </c>
      <c r="J2997" s="93" t="str">
        <f t="shared" si="186"/>
        <v>March</v>
      </c>
      <c r="K2997" s="93" t="str">
        <f t="shared" si="187"/>
        <v>2025</v>
      </c>
      <c r="L2997" s="6"/>
      <c r="M2997" s="6"/>
      <c r="N2997" s="6"/>
    </row>
    <row r="2998" spans="1:14" x14ac:dyDescent="0.3">
      <c r="A2998" s="92">
        <v>45720</v>
      </c>
      <c r="B2998" s="92" t="str">
        <f t="shared" si="184"/>
        <v>Tuesday</v>
      </c>
      <c r="C2998" s="93" t="s">
        <v>1381</v>
      </c>
      <c r="D2998" s="93" t="s">
        <v>1122</v>
      </c>
      <c r="E2998" s="94">
        <v>25.96</v>
      </c>
      <c r="F2998" s="93" t="s">
        <v>9</v>
      </c>
      <c r="G2998" s="87">
        <f>Table1[[#This Row],[date]]</f>
        <v>45720</v>
      </c>
      <c r="H2998" s="94">
        <f>SUMIF($A$2:A6633,G2998,$E$2:E6633)</f>
        <v>370.32</v>
      </c>
      <c r="I2998" s="93" t="str">
        <f t="shared" si="185"/>
        <v>Tuesday</v>
      </c>
      <c r="J2998" s="93" t="str">
        <f t="shared" si="186"/>
        <v>March</v>
      </c>
      <c r="K2998" s="93" t="str">
        <f t="shared" si="187"/>
        <v>2025</v>
      </c>
      <c r="L2998" s="6"/>
      <c r="M2998" s="6"/>
      <c r="N2998" s="6"/>
    </row>
    <row r="2999" spans="1:14" x14ac:dyDescent="0.3">
      <c r="A2999" s="87">
        <v>45720</v>
      </c>
      <c r="B2999" s="87" t="str">
        <f t="shared" si="184"/>
        <v>Tuesday</v>
      </c>
      <c r="C2999" s="88" t="s">
        <v>1381</v>
      </c>
      <c r="D2999" s="88" t="s">
        <v>1201</v>
      </c>
      <c r="E2999" s="89">
        <v>35.76</v>
      </c>
      <c r="F2999" s="88" t="s">
        <v>16</v>
      </c>
      <c r="G2999" s="87">
        <f>Table1[[#This Row],[date]]</f>
        <v>45720</v>
      </c>
      <c r="H2999" s="94">
        <f>SUMIF($A$2:A6634,G2999,$E$2:E6634)</f>
        <v>370.32</v>
      </c>
      <c r="I2999" s="93" t="str">
        <f t="shared" si="185"/>
        <v>Tuesday</v>
      </c>
      <c r="J2999" s="93" t="str">
        <f t="shared" si="186"/>
        <v>March</v>
      </c>
      <c r="K2999" s="93" t="str">
        <f t="shared" si="187"/>
        <v>2025</v>
      </c>
      <c r="L2999" s="6"/>
      <c r="M2999" s="6"/>
      <c r="N2999" s="6"/>
    </row>
    <row r="3000" spans="1:14" x14ac:dyDescent="0.3">
      <c r="A3000" s="87">
        <v>45720</v>
      </c>
      <c r="B3000" s="87" t="str">
        <f t="shared" si="184"/>
        <v>Tuesday</v>
      </c>
      <c r="C3000" s="88" t="s">
        <v>1381</v>
      </c>
      <c r="D3000" s="88" t="s">
        <v>1246</v>
      </c>
      <c r="E3000" s="89">
        <v>35.76</v>
      </c>
      <c r="F3000" s="88" t="s">
        <v>16</v>
      </c>
      <c r="G3000" s="87">
        <f>Table1[[#This Row],[date]]</f>
        <v>45720</v>
      </c>
      <c r="H3000" s="94">
        <f>SUMIF($A$2:A6635,G3000,$E$2:E6635)</f>
        <v>370.32</v>
      </c>
      <c r="I3000" s="93" t="str">
        <f t="shared" si="185"/>
        <v>Tuesday</v>
      </c>
      <c r="J3000" s="93" t="str">
        <f t="shared" si="186"/>
        <v>March</v>
      </c>
      <c r="K3000" s="93" t="str">
        <f t="shared" si="187"/>
        <v>2025</v>
      </c>
      <c r="L3000" s="6"/>
      <c r="M3000" s="6"/>
      <c r="N3000" s="6"/>
    </row>
    <row r="3001" spans="1:14" x14ac:dyDescent="0.3">
      <c r="A3001" s="92">
        <v>45720</v>
      </c>
      <c r="B3001" s="92" t="str">
        <f t="shared" si="184"/>
        <v>Tuesday</v>
      </c>
      <c r="C3001" s="93" t="s">
        <v>1381</v>
      </c>
      <c r="D3001" s="93" t="s">
        <v>1186</v>
      </c>
      <c r="E3001" s="94">
        <v>35.76</v>
      </c>
      <c r="F3001" s="93" t="s">
        <v>5</v>
      </c>
      <c r="G3001" s="87">
        <f>Table1[[#This Row],[date]]</f>
        <v>45720</v>
      </c>
      <c r="H3001" s="94">
        <f>SUMIF($A$2:A6636,G3001,$E$2:E6636)</f>
        <v>370.32</v>
      </c>
      <c r="I3001" s="93" t="str">
        <f t="shared" si="185"/>
        <v>Tuesday</v>
      </c>
      <c r="J3001" s="93" t="str">
        <f t="shared" si="186"/>
        <v>March</v>
      </c>
      <c r="K3001" s="93" t="str">
        <f t="shared" si="187"/>
        <v>2025</v>
      </c>
      <c r="L3001" s="6"/>
      <c r="M3001" s="6"/>
      <c r="N3001" s="6"/>
    </row>
    <row r="3002" spans="1:14" x14ac:dyDescent="0.3">
      <c r="A3002" s="87">
        <v>45720</v>
      </c>
      <c r="B3002" s="87" t="str">
        <f t="shared" si="184"/>
        <v>Tuesday</v>
      </c>
      <c r="C3002" s="88" t="s">
        <v>1381</v>
      </c>
      <c r="D3002" s="88" t="s">
        <v>1258</v>
      </c>
      <c r="E3002" s="89">
        <v>35.76</v>
      </c>
      <c r="F3002" s="88" t="s">
        <v>5</v>
      </c>
      <c r="G3002" s="87">
        <f>Table1[[#This Row],[date]]</f>
        <v>45720</v>
      </c>
      <c r="H3002" s="94">
        <f>SUMIF($A$2:A6637,G3002,$E$2:E6637)</f>
        <v>370.32</v>
      </c>
      <c r="I3002" s="93" t="str">
        <f t="shared" si="185"/>
        <v>Tuesday</v>
      </c>
      <c r="J3002" s="93" t="str">
        <f t="shared" si="186"/>
        <v>March</v>
      </c>
      <c r="K3002" s="93" t="str">
        <f t="shared" si="187"/>
        <v>2025</v>
      </c>
      <c r="L3002" s="6"/>
      <c r="M3002" s="6"/>
      <c r="N3002" s="6"/>
    </row>
    <row r="3003" spans="1:14" x14ac:dyDescent="0.3">
      <c r="A3003" s="92">
        <v>45721</v>
      </c>
      <c r="B3003" s="92" t="str">
        <f t="shared" si="184"/>
        <v>Wednesday</v>
      </c>
      <c r="C3003" s="93" t="s">
        <v>1381</v>
      </c>
      <c r="D3003" s="93" t="s">
        <v>1175</v>
      </c>
      <c r="E3003" s="94">
        <v>30.86</v>
      </c>
      <c r="F3003" s="93" t="s">
        <v>12</v>
      </c>
      <c r="G3003" s="87">
        <f>Table1[[#This Row],[date]]</f>
        <v>45721</v>
      </c>
      <c r="H3003" s="94">
        <f>SUMIF($A$2:A6638,G3003,$E$2:E6638)</f>
        <v>477.59999999999997</v>
      </c>
      <c r="I3003" s="93" t="str">
        <f t="shared" si="185"/>
        <v>Wednesday</v>
      </c>
      <c r="J3003" s="93" t="str">
        <f t="shared" si="186"/>
        <v>March</v>
      </c>
      <c r="K3003" s="93" t="str">
        <f t="shared" si="187"/>
        <v>2025</v>
      </c>
      <c r="L3003" s="6"/>
      <c r="M3003" s="6"/>
      <c r="N3003" s="6"/>
    </row>
    <row r="3004" spans="1:14" x14ac:dyDescent="0.3">
      <c r="A3004" s="87">
        <v>45721</v>
      </c>
      <c r="B3004" s="87" t="str">
        <f t="shared" si="184"/>
        <v>Wednesday</v>
      </c>
      <c r="C3004" s="88" t="s">
        <v>1381</v>
      </c>
      <c r="D3004" s="88" t="s">
        <v>1179</v>
      </c>
      <c r="E3004" s="89">
        <v>25.96</v>
      </c>
      <c r="F3004" s="88" t="s">
        <v>9</v>
      </c>
      <c r="G3004" s="87">
        <f>Table1[[#This Row],[date]]</f>
        <v>45721</v>
      </c>
      <c r="H3004" s="94">
        <f>SUMIF($A$2:A6639,G3004,$E$2:E6639)</f>
        <v>477.59999999999997</v>
      </c>
      <c r="I3004" s="93" t="str">
        <f t="shared" si="185"/>
        <v>Wednesday</v>
      </c>
      <c r="J3004" s="93" t="str">
        <f t="shared" si="186"/>
        <v>March</v>
      </c>
      <c r="K3004" s="93" t="str">
        <f t="shared" si="187"/>
        <v>2025</v>
      </c>
      <c r="L3004" s="6"/>
      <c r="M3004" s="6"/>
      <c r="N3004" s="6"/>
    </row>
    <row r="3005" spans="1:14" x14ac:dyDescent="0.3">
      <c r="A3005" s="92">
        <v>45721</v>
      </c>
      <c r="B3005" s="92" t="str">
        <f t="shared" si="184"/>
        <v>Wednesday</v>
      </c>
      <c r="C3005" s="93" t="s">
        <v>1381</v>
      </c>
      <c r="D3005" s="93" t="s">
        <v>1210</v>
      </c>
      <c r="E3005" s="94">
        <v>25.96</v>
      </c>
      <c r="F3005" s="93" t="s">
        <v>9</v>
      </c>
      <c r="G3005" s="87">
        <f>Table1[[#This Row],[date]]</f>
        <v>45721</v>
      </c>
      <c r="H3005" s="94">
        <f>SUMIF($A$2:A6640,G3005,$E$2:E6640)</f>
        <v>477.59999999999997</v>
      </c>
      <c r="I3005" s="93" t="str">
        <f t="shared" si="185"/>
        <v>Wednesday</v>
      </c>
      <c r="J3005" s="93" t="str">
        <f t="shared" si="186"/>
        <v>March</v>
      </c>
      <c r="K3005" s="93" t="str">
        <f t="shared" si="187"/>
        <v>2025</v>
      </c>
      <c r="L3005" s="6"/>
      <c r="M3005" s="6"/>
      <c r="N3005" s="6"/>
    </row>
    <row r="3006" spans="1:14" x14ac:dyDescent="0.3">
      <c r="A3006" s="92">
        <v>45721</v>
      </c>
      <c r="B3006" s="92" t="str">
        <f t="shared" si="184"/>
        <v>Wednesday</v>
      </c>
      <c r="C3006" s="93" t="s">
        <v>1381</v>
      </c>
      <c r="D3006" s="93" t="s">
        <v>1273</v>
      </c>
      <c r="E3006" s="94">
        <v>35.76</v>
      </c>
      <c r="F3006" s="93" t="s">
        <v>41</v>
      </c>
      <c r="G3006" s="87">
        <f>Table1[[#This Row],[date]]</f>
        <v>45721</v>
      </c>
      <c r="H3006" s="94">
        <f>SUMIF($A$2:A6641,G3006,$E$2:E6641)</f>
        <v>477.59999999999997</v>
      </c>
      <c r="I3006" s="93" t="str">
        <f t="shared" si="185"/>
        <v>Wednesday</v>
      </c>
      <c r="J3006" s="93" t="str">
        <f t="shared" si="186"/>
        <v>March</v>
      </c>
      <c r="K3006" s="93" t="str">
        <f t="shared" si="187"/>
        <v>2025</v>
      </c>
      <c r="L3006" s="6"/>
      <c r="M3006" s="6"/>
      <c r="N3006" s="6"/>
    </row>
    <row r="3007" spans="1:14" x14ac:dyDescent="0.3">
      <c r="A3007" s="87">
        <v>45721</v>
      </c>
      <c r="B3007" s="87" t="str">
        <f t="shared" si="184"/>
        <v>Wednesday</v>
      </c>
      <c r="C3007" s="88" t="s">
        <v>1381</v>
      </c>
      <c r="D3007" s="88" t="s">
        <v>1260</v>
      </c>
      <c r="E3007" s="89">
        <v>30.86</v>
      </c>
      <c r="F3007" s="88" t="s">
        <v>12</v>
      </c>
      <c r="G3007" s="87">
        <f>Table1[[#This Row],[date]]</f>
        <v>45721</v>
      </c>
      <c r="H3007" s="94">
        <f>SUMIF($A$2:A6642,G3007,$E$2:E6642)</f>
        <v>477.59999999999997</v>
      </c>
      <c r="I3007" s="93" t="str">
        <f t="shared" si="185"/>
        <v>Wednesday</v>
      </c>
      <c r="J3007" s="93" t="str">
        <f t="shared" si="186"/>
        <v>March</v>
      </c>
      <c r="K3007" s="93" t="str">
        <f t="shared" si="187"/>
        <v>2025</v>
      </c>
      <c r="L3007" s="6"/>
      <c r="M3007" s="6"/>
      <c r="N3007" s="6"/>
    </row>
    <row r="3008" spans="1:14" x14ac:dyDescent="0.3">
      <c r="A3008" s="92">
        <v>45721</v>
      </c>
      <c r="B3008" s="92" t="str">
        <f t="shared" si="184"/>
        <v>Wednesday</v>
      </c>
      <c r="C3008" s="93" t="s">
        <v>1381</v>
      </c>
      <c r="D3008" s="93" t="s">
        <v>1196</v>
      </c>
      <c r="E3008" s="94">
        <v>35.76</v>
      </c>
      <c r="F3008" s="93" t="s">
        <v>41</v>
      </c>
      <c r="G3008" s="87">
        <f>Table1[[#This Row],[date]]</f>
        <v>45721</v>
      </c>
      <c r="H3008" s="94">
        <f>SUMIF($A$2:A6643,G3008,$E$2:E6643)</f>
        <v>477.59999999999997</v>
      </c>
      <c r="I3008" s="93" t="str">
        <f t="shared" si="185"/>
        <v>Wednesday</v>
      </c>
      <c r="J3008" s="93" t="str">
        <f t="shared" si="186"/>
        <v>March</v>
      </c>
      <c r="K3008" s="93" t="str">
        <f t="shared" si="187"/>
        <v>2025</v>
      </c>
      <c r="L3008" s="6"/>
      <c r="M3008" s="6"/>
      <c r="N3008" s="6"/>
    </row>
    <row r="3009" spans="1:14" x14ac:dyDescent="0.3">
      <c r="A3009" s="87">
        <v>45721</v>
      </c>
      <c r="B3009" s="87" t="str">
        <f t="shared" si="184"/>
        <v>Wednesday</v>
      </c>
      <c r="C3009" s="88" t="s">
        <v>1381</v>
      </c>
      <c r="D3009" s="88" t="s">
        <v>1274</v>
      </c>
      <c r="E3009" s="89">
        <v>35.76</v>
      </c>
      <c r="F3009" s="88" t="s">
        <v>16</v>
      </c>
      <c r="G3009" s="87">
        <f>Table1[[#This Row],[date]]</f>
        <v>45721</v>
      </c>
      <c r="H3009" s="94">
        <f>SUMIF($A$2:A6644,G3009,$E$2:E6644)</f>
        <v>477.59999999999997</v>
      </c>
      <c r="I3009" s="93" t="str">
        <f t="shared" si="185"/>
        <v>Wednesday</v>
      </c>
      <c r="J3009" s="93" t="str">
        <f t="shared" si="186"/>
        <v>March</v>
      </c>
      <c r="K3009" s="93" t="str">
        <f t="shared" si="187"/>
        <v>2025</v>
      </c>
      <c r="L3009" s="6"/>
      <c r="M3009" s="6"/>
      <c r="N3009" s="6"/>
    </row>
    <row r="3010" spans="1:14" x14ac:dyDescent="0.3">
      <c r="A3010" s="92">
        <v>45721</v>
      </c>
      <c r="B3010" s="92" t="str">
        <f t="shared" ref="B3010:B3073" si="188">TEXT(A3010,"dddd")</f>
        <v>Wednesday</v>
      </c>
      <c r="C3010" s="93" t="s">
        <v>1381</v>
      </c>
      <c r="D3010" s="93" t="s">
        <v>1122</v>
      </c>
      <c r="E3010" s="94">
        <v>25.96</v>
      </c>
      <c r="F3010" s="93" t="s">
        <v>9</v>
      </c>
      <c r="G3010" s="87">
        <f>Table1[[#This Row],[date]]</f>
        <v>45721</v>
      </c>
      <c r="H3010" s="94">
        <f>SUMIF($A$2:A6645,G3010,$E$2:E6645)</f>
        <v>477.59999999999997</v>
      </c>
      <c r="I3010" s="93" t="str">
        <f t="shared" si="185"/>
        <v>Wednesday</v>
      </c>
      <c r="J3010" s="93" t="str">
        <f t="shared" si="186"/>
        <v>March</v>
      </c>
      <c r="K3010" s="93" t="str">
        <f t="shared" si="187"/>
        <v>2025</v>
      </c>
      <c r="L3010" s="6"/>
      <c r="M3010" s="6"/>
      <c r="N3010" s="6"/>
    </row>
    <row r="3011" spans="1:14" x14ac:dyDescent="0.3">
      <c r="A3011" s="87">
        <v>45721</v>
      </c>
      <c r="B3011" s="87" t="str">
        <f t="shared" si="188"/>
        <v>Wednesday</v>
      </c>
      <c r="C3011" s="88" t="s">
        <v>1381</v>
      </c>
      <c r="D3011" s="88" t="s">
        <v>1203</v>
      </c>
      <c r="E3011" s="89">
        <v>35.76</v>
      </c>
      <c r="F3011" s="88" t="s">
        <v>5</v>
      </c>
      <c r="G3011" s="87">
        <f>Table1[[#This Row],[date]]</f>
        <v>45721</v>
      </c>
      <c r="H3011" s="94">
        <f>SUMIF($A$2:A6646,G3011,$E$2:E6646)</f>
        <v>477.59999999999997</v>
      </c>
      <c r="I3011" s="93" t="str">
        <f t="shared" si="185"/>
        <v>Wednesday</v>
      </c>
      <c r="J3011" s="93" t="str">
        <f t="shared" si="186"/>
        <v>March</v>
      </c>
      <c r="K3011" s="93" t="str">
        <f t="shared" si="187"/>
        <v>2025</v>
      </c>
      <c r="L3011" s="6"/>
      <c r="M3011" s="6"/>
      <c r="N3011" s="6"/>
    </row>
    <row r="3012" spans="1:14" x14ac:dyDescent="0.3">
      <c r="A3012" s="92">
        <v>45721</v>
      </c>
      <c r="B3012" s="92" t="str">
        <f t="shared" si="188"/>
        <v>Wednesday</v>
      </c>
      <c r="C3012" s="93" t="s">
        <v>1381</v>
      </c>
      <c r="D3012" s="93" t="s">
        <v>1176</v>
      </c>
      <c r="E3012" s="94">
        <v>35.76</v>
      </c>
      <c r="F3012" s="93" t="s">
        <v>5</v>
      </c>
      <c r="G3012" s="87">
        <f>Table1[[#This Row],[date]]</f>
        <v>45721</v>
      </c>
      <c r="H3012" s="94">
        <f>SUMIF($A$2:A6647,G3012,$E$2:E6647)</f>
        <v>477.59999999999997</v>
      </c>
      <c r="I3012" s="93" t="str">
        <f t="shared" si="185"/>
        <v>Wednesday</v>
      </c>
      <c r="J3012" s="93" t="str">
        <f t="shared" si="186"/>
        <v>March</v>
      </c>
      <c r="K3012" s="93" t="str">
        <f t="shared" si="187"/>
        <v>2025</v>
      </c>
      <c r="L3012" s="6"/>
      <c r="M3012" s="6"/>
      <c r="N3012" s="6"/>
    </row>
    <row r="3013" spans="1:14" x14ac:dyDescent="0.3">
      <c r="A3013" s="87">
        <v>45721</v>
      </c>
      <c r="B3013" s="87" t="str">
        <f t="shared" si="188"/>
        <v>Wednesday</v>
      </c>
      <c r="C3013" s="88" t="s">
        <v>1381</v>
      </c>
      <c r="D3013" s="88" t="s">
        <v>1177</v>
      </c>
      <c r="E3013" s="89">
        <v>35.76</v>
      </c>
      <c r="F3013" s="88" t="s">
        <v>7</v>
      </c>
      <c r="G3013" s="87">
        <f>Table1[[#This Row],[date]]</f>
        <v>45721</v>
      </c>
      <c r="H3013" s="94">
        <f>SUMIF($A$2:A6648,G3013,$E$2:E6648)</f>
        <v>477.59999999999997</v>
      </c>
      <c r="I3013" s="93" t="str">
        <f t="shared" si="185"/>
        <v>Wednesday</v>
      </c>
      <c r="J3013" s="93" t="str">
        <f t="shared" si="186"/>
        <v>March</v>
      </c>
      <c r="K3013" s="93" t="str">
        <f t="shared" si="187"/>
        <v>2025</v>
      </c>
      <c r="L3013" s="6"/>
      <c r="M3013" s="6"/>
      <c r="N3013" s="6"/>
    </row>
    <row r="3014" spans="1:14" x14ac:dyDescent="0.3">
      <c r="A3014" s="92">
        <v>45721</v>
      </c>
      <c r="B3014" s="92" t="str">
        <f t="shared" si="188"/>
        <v>Wednesday</v>
      </c>
      <c r="C3014" s="93" t="s">
        <v>1381</v>
      </c>
      <c r="D3014" s="93" t="s">
        <v>1234</v>
      </c>
      <c r="E3014" s="94">
        <v>30.86</v>
      </c>
      <c r="F3014" s="93" t="s">
        <v>12</v>
      </c>
      <c r="G3014" s="87">
        <f>Table1[[#This Row],[date]]</f>
        <v>45721</v>
      </c>
      <c r="H3014" s="94">
        <f>SUMIF($A$2:A6649,G3014,$E$2:E6649)</f>
        <v>477.59999999999997</v>
      </c>
      <c r="I3014" s="93" t="str">
        <f t="shared" ref="I3014:I3077" si="189">TEXT(G3014,"dddd")</f>
        <v>Wednesday</v>
      </c>
      <c r="J3014" s="93" t="str">
        <f t="shared" si="186"/>
        <v>March</v>
      </c>
      <c r="K3014" s="93" t="str">
        <f t="shared" si="187"/>
        <v>2025</v>
      </c>
      <c r="L3014" s="6"/>
      <c r="M3014" s="6"/>
      <c r="N3014" s="6"/>
    </row>
    <row r="3015" spans="1:14" x14ac:dyDescent="0.3">
      <c r="A3015" s="87">
        <v>45721</v>
      </c>
      <c r="B3015" s="87" t="str">
        <f t="shared" si="188"/>
        <v>Wednesday</v>
      </c>
      <c r="C3015" s="88" t="s">
        <v>1381</v>
      </c>
      <c r="D3015" s="88" t="s">
        <v>1275</v>
      </c>
      <c r="E3015" s="89">
        <v>21.06</v>
      </c>
      <c r="F3015" s="88" t="s">
        <v>33</v>
      </c>
      <c r="G3015" s="87">
        <f>Table1[[#This Row],[date]]</f>
        <v>45721</v>
      </c>
      <c r="H3015" s="94">
        <f>SUMIF($A$2:A6650,G3015,$E$2:E6650)</f>
        <v>477.59999999999997</v>
      </c>
      <c r="I3015" s="93" t="str">
        <f t="shared" si="189"/>
        <v>Wednesday</v>
      </c>
      <c r="J3015" s="93" t="str">
        <f t="shared" ref="J3015:J3078" si="190">TEXT(G3015,"mmmm")</f>
        <v>March</v>
      </c>
      <c r="K3015" s="93" t="str">
        <f t="shared" ref="K3015:K3078" si="191">TEXT(G3015,"yyyy")</f>
        <v>2025</v>
      </c>
      <c r="L3015" s="6"/>
      <c r="M3015" s="6"/>
      <c r="N3015" s="6"/>
    </row>
    <row r="3016" spans="1:14" x14ac:dyDescent="0.3">
      <c r="A3016" s="87">
        <v>45721</v>
      </c>
      <c r="B3016" s="87" t="str">
        <f t="shared" si="188"/>
        <v>Wednesday</v>
      </c>
      <c r="C3016" s="88" t="s">
        <v>1381</v>
      </c>
      <c r="D3016" s="88" t="s">
        <v>1170</v>
      </c>
      <c r="E3016" s="89">
        <v>35.76</v>
      </c>
      <c r="F3016" s="88" t="s">
        <v>41</v>
      </c>
      <c r="G3016" s="87">
        <f>Table1[[#This Row],[date]]</f>
        <v>45721</v>
      </c>
      <c r="H3016" s="94">
        <f>SUMIF($A$2:A6651,G3016,$E$2:E6651)</f>
        <v>477.59999999999997</v>
      </c>
      <c r="I3016" s="93" t="str">
        <f t="shared" si="189"/>
        <v>Wednesday</v>
      </c>
      <c r="J3016" s="93" t="str">
        <f t="shared" si="190"/>
        <v>March</v>
      </c>
      <c r="K3016" s="93" t="str">
        <f t="shared" si="191"/>
        <v>2025</v>
      </c>
      <c r="L3016" s="6"/>
      <c r="M3016" s="6"/>
      <c r="N3016" s="6"/>
    </row>
    <row r="3017" spans="1:14" x14ac:dyDescent="0.3">
      <c r="A3017" s="92">
        <v>45721</v>
      </c>
      <c r="B3017" s="92" t="str">
        <f t="shared" si="188"/>
        <v>Wednesday</v>
      </c>
      <c r="C3017" s="93" t="s">
        <v>1381</v>
      </c>
      <c r="D3017" s="93" t="s">
        <v>1276</v>
      </c>
      <c r="E3017" s="94">
        <v>35.76</v>
      </c>
      <c r="F3017" s="93" t="s">
        <v>16</v>
      </c>
      <c r="G3017" s="87">
        <f>Table1[[#This Row],[date]]</f>
        <v>45721</v>
      </c>
      <c r="H3017" s="94">
        <f>SUMIF($A$2:A6652,G3017,$E$2:E6652)</f>
        <v>477.59999999999997</v>
      </c>
      <c r="I3017" s="93" t="str">
        <f t="shared" si="189"/>
        <v>Wednesday</v>
      </c>
      <c r="J3017" s="93" t="str">
        <f t="shared" si="190"/>
        <v>March</v>
      </c>
      <c r="K3017" s="93" t="str">
        <f t="shared" si="191"/>
        <v>2025</v>
      </c>
      <c r="L3017" s="6"/>
      <c r="M3017" s="6"/>
      <c r="N3017" s="6"/>
    </row>
    <row r="3018" spans="1:14" x14ac:dyDescent="0.3">
      <c r="A3018" s="87">
        <v>45722</v>
      </c>
      <c r="B3018" s="87" t="str">
        <f t="shared" si="188"/>
        <v>Thursday</v>
      </c>
      <c r="C3018" s="88" t="s">
        <v>1381</v>
      </c>
      <c r="D3018" s="88" t="s">
        <v>1222</v>
      </c>
      <c r="E3018" s="89">
        <v>35.76</v>
      </c>
      <c r="F3018" s="88" t="s">
        <v>7</v>
      </c>
      <c r="G3018" s="87">
        <f>Table1[[#This Row],[date]]</f>
        <v>45722</v>
      </c>
      <c r="H3018" s="94">
        <f>SUMIF($A$2:A6653,G3018,$E$2:E6653)</f>
        <v>344.35999999999996</v>
      </c>
      <c r="I3018" s="93" t="str">
        <f t="shared" si="189"/>
        <v>Thursday</v>
      </c>
      <c r="J3018" s="93" t="str">
        <f t="shared" si="190"/>
        <v>March</v>
      </c>
      <c r="K3018" s="93" t="str">
        <f t="shared" si="191"/>
        <v>2025</v>
      </c>
      <c r="L3018" s="6"/>
      <c r="M3018" s="6"/>
      <c r="N3018" s="6"/>
    </row>
    <row r="3019" spans="1:14" x14ac:dyDescent="0.3">
      <c r="A3019" s="92">
        <v>45722</v>
      </c>
      <c r="B3019" s="92" t="str">
        <f t="shared" si="188"/>
        <v>Thursday</v>
      </c>
      <c r="C3019" s="93" t="s">
        <v>1381</v>
      </c>
      <c r="D3019" s="93" t="s">
        <v>1219</v>
      </c>
      <c r="E3019" s="94">
        <v>21.06</v>
      </c>
      <c r="F3019" s="93" t="s">
        <v>33</v>
      </c>
      <c r="G3019" s="87">
        <f>Table1[[#This Row],[date]]</f>
        <v>45722</v>
      </c>
      <c r="H3019" s="94">
        <f>SUMIF($A$2:A6654,G3019,$E$2:E6654)</f>
        <v>344.35999999999996</v>
      </c>
      <c r="I3019" s="93" t="str">
        <f t="shared" si="189"/>
        <v>Thursday</v>
      </c>
      <c r="J3019" s="93" t="str">
        <f t="shared" si="190"/>
        <v>March</v>
      </c>
      <c r="K3019" s="93" t="str">
        <f t="shared" si="191"/>
        <v>2025</v>
      </c>
      <c r="L3019" s="6"/>
      <c r="M3019" s="6"/>
      <c r="N3019" s="6"/>
    </row>
    <row r="3020" spans="1:14" x14ac:dyDescent="0.3">
      <c r="A3020" s="87">
        <v>45722</v>
      </c>
      <c r="B3020" s="87" t="str">
        <f t="shared" si="188"/>
        <v>Thursday</v>
      </c>
      <c r="C3020" s="88" t="s">
        <v>1381</v>
      </c>
      <c r="D3020" s="88" t="s">
        <v>1219</v>
      </c>
      <c r="E3020" s="89">
        <v>30.86</v>
      </c>
      <c r="F3020" s="88" t="s">
        <v>12</v>
      </c>
      <c r="G3020" s="87">
        <f>Table1[[#This Row],[date]]</f>
        <v>45722</v>
      </c>
      <c r="H3020" s="94">
        <f>SUMIF($A$2:A6655,G3020,$E$2:E6655)</f>
        <v>344.35999999999996</v>
      </c>
      <c r="I3020" s="93" t="str">
        <f t="shared" si="189"/>
        <v>Thursday</v>
      </c>
      <c r="J3020" s="93" t="str">
        <f t="shared" si="190"/>
        <v>March</v>
      </c>
      <c r="K3020" s="93" t="str">
        <f t="shared" si="191"/>
        <v>2025</v>
      </c>
      <c r="L3020" s="6"/>
      <c r="M3020" s="6"/>
      <c r="N3020" s="6"/>
    </row>
    <row r="3021" spans="1:14" x14ac:dyDescent="0.3">
      <c r="A3021" s="92">
        <v>45722</v>
      </c>
      <c r="B3021" s="92" t="str">
        <f t="shared" si="188"/>
        <v>Thursday</v>
      </c>
      <c r="C3021" s="93" t="s">
        <v>1381</v>
      </c>
      <c r="D3021" s="93" t="s">
        <v>1175</v>
      </c>
      <c r="E3021" s="94">
        <v>25.96</v>
      </c>
      <c r="F3021" s="93" t="s">
        <v>9</v>
      </c>
      <c r="G3021" s="87">
        <f>Table1[[#This Row],[date]]</f>
        <v>45722</v>
      </c>
      <c r="H3021" s="94">
        <f>SUMIF($A$2:A6656,G3021,$E$2:E6656)</f>
        <v>344.35999999999996</v>
      </c>
      <c r="I3021" s="93" t="str">
        <f t="shared" si="189"/>
        <v>Thursday</v>
      </c>
      <c r="J3021" s="93" t="str">
        <f t="shared" si="190"/>
        <v>March</v>
      </c>
      <c r="K3021" s="93" t="str">
        <f t="shared" si="191"/>
        <v>2025</v>
      </c>
      <c r="L3021" s="6"/>
      <c r="M3021" s="6"/>
      <c r="N3021" s="6"/>
    </row>
    <row r="3022" spans="1:14" x14ac:dyDescent="0.3">
      <c r="A3022" s="92">
        <v>45722</v>
      </c>
      <c r="B3022" s="92" t="str">
        <f t="shared" si="188"/>
        <v>Thursday</v>
      </c>
      <c r="C3022" s="93" t="s">
        <v>1381</v>
      </c>
      <c r="D3022" s="93" t="s">
        <v>1210</v>
      </c>
      <c r="E3022" s="94">
        <v>25.96</v>
      </c>
      <c r="F3022" s="93" t="s">
        <v>9</v>
      </c>
      <c r="G3022" s="87">
        <f>Table1[[#This Row],[date]]</f>
        <v>45722</v>
      </c>
      <c r="H3022" s="94">
        <f>SUMIF($A$2:A6657,G3022,$E$2:E6657)</f>
        <v>344.35999999999996</v>
      </c>
      <c r="I3022" s="93" t="str">
        <f t="shared" si="189"/>
        <v>Thursday</v>
      </c>
      <c r="J3022" s="93" t="str">
        <f t="shared" si="190"/>
        <v>March</v>
      </c>
      <c r="K3022" s="93" t="str">
        <f t="shared" si="191"/>
        <v>2025</v>
      </c>
      <c r="L3022" s="6"/>
      <c r="M3022" s="6"/>
      <c r="N3022" s="6"/>
    </row>
    <row r="3023" spans="1:14" x14ac:dyDescent="0.3">
      <c r="A3023" s="87">
        <v>45722</v>
      </c>
      <c r="B3023" s="87" t="str">
        <f t="shared" si="188"/>
        <v>Thursday</v>
      </c>
      <c r="C3023" s="88" t="s">
        <v>1381</v>
      </c>
      <c r="D3023" s="88" t="s">
        <v>1277</v>
      </c>
      <c r="E3023" s="89">
        <v>35.76</v>
      </c>
      <c r="F3023" s="88" t="s">
        <v>41</v>
      </c>
      <c r="G3023" s="87">
        <f>Table1[[#This Row],[date]]</f>
        <v>45722</v>
      </c>
      <c r="H3023" s="94">
        <f>SUMIF($A$2:A6658,G3023,$E$2:E6658)</f>
        <v>344.35999999999996</v>
      </c>
      <c r="I3023" s="93" t="str">
        <f t="shared" si="189"/>
        <v>Thursday</v>
      </c>
      <c r="J3023" s="93" t="str">
        <f t="shared" si="190"/>
        <v>March</v>
      </c>
      <c r="K3023" s="93" t="str">
        <f t="shared" si="191"/>
        <v>2025</v>
      </c>
      <c r="L3023" s="6"/>
      <c r="M3023" s="6"/>
      <c r="N3023" s="6"/>
    </row>
    <row r="3024" spans="1:14" x14ac:dyDescent="0.3">
      <c r="A3024" s="92">
        <v>45722</v>
      </c>
      <c r="B3024" s="92" t="str">
        <f t="shared" si="188"/>
        <v>Thursday</v>
      </c>
      <c r="C3024" s="93" t="s">
        <v>1381</v>
      </c>
      <c r="D3024" s="93" t="s">
        <v>1227</v>
      </c>
      <c r="E3024" s="94">
        <v>35.76</v>
      </c>
      <c r="F3024" s="93" t="s">
        <v>5</v>
      </c>
      <c r="G3024" s="87">
        <f>Table1[[#This Row],[date]]</f>
        <v>45722</v>
      </c>
      <c r="H3024" s="94">
        <f>SUMIF($A$2:A6659,G3024,$E$2:E6659)</f>
        <v>344.35999999999996</v>
      </c>
      <c r="I3024" s="93" t="str">
        <f t="shared" si="189"/>
        <v>Thursday</v>
      </c>
      <c r="J3024" s="93" t="str">
        <f t="shared" si="190"/>
        <v>March</v>
      </c>
      <c r="K3024" s="93" t="str">
        <f t="shared" si="191"/>
        <v>2025</v>
      </c>
      <c r="L3024" s="6"/>
      <c r="M3024" s="6"/>
      <c r="N3024" s="6"/>
    </row>
    <row r="3025" spans="1:14" x14ac:dyDescent="0.3">
      <c r="A3025" s="87">
        <v>45722</v>
      </c>
      <c r="B3025" s="87" t="str">
        <f t="shared" si="188"/>
        <v>Thursday</v>
      </c>
      <c r="C3025" s="88" t="s">
        <v>1381</v>
      </c>
      <c r="D3025" s="88" t="s">
        <v>1228</v>
      </c>
      <c r="E3025" s="89">
        <v>30.86</v>
      </c>
      <c r="F3025" s="88" t="s">
        <v>12</v>
      </c>
      <c r="G3025" s="87">
        <f>Table1[[#This Row],[date]]</f>
        <v>45722</v>
      </c>
      <c r="H3025" s="94">
        <f>SUMIF($A$2:A6660,G3025,$E$2:E6660)</f>
        <v>344.35999999999996</v>
      </c>
      <c r="I3025" s="93" t="str">
        <f t="shared" si="189"/>
        <v>Thursday</v>
      </c>
      <c r="J3025" s="93" t="str">
        <f t="shared" si="190"/>
        <v>March</v>
      </c>
      <c r="K3025" s="93" t="str">
        <f t="shared" si="191"/>
        <v>2025</v>
      </c>
      <c r="L3025" s="6"/>
      <c r="M3025" s="6"/>
      <c r="N3025" s="6"/>
    </row>
    <row r="3026" spans="1:14" x14ac:dyDescent="0.3">
      <c r="A3026" s="92">
        <v>45722</v>
      </c>
      <c r="B3026" s="92" t="str">
        <f t="shared" si="188"/>
        <v>Thursday</v>
      </c>
      <c r="C3026" s="93" t="s">
        <v>1381</v>
      </c>
      <c r="D3026" s="93" t="s">
        <v>1175</v>
      </c>
      <c r="E3026" s="94">
        <v>35.76</v>
      </c>
      <c r="F3026" s="93" t="s">
        <v>16</v>
      </c>
      <c r="G3026" s="87">
        <f>Table1[[#This Row],[date]]</f>
        <v>45722</v>
      </c>
      <c r="H3026" s="94">
        <f>SUMIF($A$2:A6661,G3026,$E$2:E6661)</f>
        <v>344.35999999999996</v>
      </c>
      <c r="I3026" s="93" t="str">
        <f t="shared" si="189"/>
        <v>Thursday</v>
      </c>
      <c r="J3026" s="93" t="str">
        <f t="shared" si="190"/>
        <v>March</v>
      </c>
      <c r="K3026" s="93" t="str">
        <f t="shared" si="191"/>
        <v>2025</v>
      </c>
      <c r="L3026" s="6"/>
      <c r="M3026" s="6"/>
      <c r="N3026" s="6"/>
    </row>
    <row r="3027" spans="1:14" x14ac:dyDescent="0.3">
      <c r="A3027" s="87">
        <v>45722</v>
      </c>
      <c r="B3027" s="87" t="str">
        <f t="shared" si="188"/>
        <v>Thursday</v>
      </c>
      <c r="C3027" s="88" t="s">
        <v>1381</v>
      </c>
      <c r="D3027" s="88" t="s">
        <v>1170</v>
      </c>
      <c r="E3027" s="89">
        <v>35.76</v>
      </c>
      <c r="F3027" s="88" t="s">
        <v>41</v>
      </c>
      <c r="G3027" s="87">
        <f>Table1[[#This Row],[date]]</f>
        <v>45722</v>
      </c>
      <c r="H3027" s="94">
        <f>SUMIF($A$2:A6662,G3027,$E$2:E6662)</f>
        <v>344.35999999999996</v>
      </c>
      <c r="I3027" s="93" t="str">
        <f t="shared" si="189"/>
        <v>Thursday</v>
      </c>
      <c r="J3027" s="93" t="str">
        <f t="shared" si="190"/>
        <v>March</v>
      </c>
      <c r="K3027" s="93" t="str">
        <f t="shared" si="191"/>
        <v>2025</v>
      </c>
      <c r="L3027" s="6"/>
      <c r="M3027" s="6"/>
      <c r="N3027" s="6"/>
    </row>
    <row r="3028" spans="1:14" x14ac:dyDescent="0.3">
      <c r="A3028" s="92">
        <v>45722</v>
      </c>
      <c r="B3028" s="92" t="str">
        <f t="shared" si="188"/>
        <v>Thursday</v>
      </c>
      <c r="C3028" s="93" t="s">
        <v>1381</v>
      </c>
      <c r="D3028" s="93" t="s">
        <v>1165</v>
      </c>
      <c r="E3028" s="94">
        <v>30.86</v>
      </c>
      <c r="F3028" s="93" t="s">
        <v>12</v>
      </c>
      <c r="G3028" s="87">
        <f>Table1[[#This Row],[date]]</f>
        <v>45722</v>
      </c>
      <c r="H3028" s="94">
        <f>SUMIF($A$2:A6663,G3028,$E$2:E6663)</f>
        <v>344.35999999999996</v>
      </c>
      <c r="I3028" s="93" t="str">
        <f t="shared" si="189"/>
        <v>Thursday</v>
      </c>
      <c r="J3028" s="93" t="str">
        <f t="shared" si="190"/>
        <v>March</v>
      </c>
      <c r="K3028" s="93" t="str">
        <f t="shared" si="191"/>
        <v>2025</v>
      </c>
      <c r="L3028" s="6"/>
      <c r="M3028" s="6"/>
      <c r="N3028" s="6"/>
    </row>
    <row r="3029" spans="1:14" x14ac:dyDescent="0.3">
      <c r="A3029" s="87">
        <v>45723</v>
      </c>
      <c r="B3029" s="87" t="str">
        <f t="shared" si="188"/>
        <v>Friday</v>
      </c>
      <c r="C3029" s="88" t="s">
        <v>1381</v>
      </c>
      <c r="D3029" s="88" t="s">
        <v>1173</v>
      </c>
      <c r="E3029" s="89">
        <v>35.76</v>
      </c>
      <c r="F3029" s="88" t="s">
        <v>41</v>
      </c>
      <c r="G3029" s="87">
        <f>Table1[[#This Row],[date]]</f>
        <v>45723</v>
      </c>
      <c r="H3029" s="94">
        <f>SUMIF($A$2:A6664,G3029,$E$2:E6664)</f>
        <v>461.43999999999994</v>
      </c>
      <c r="I3029" s="93" t="str">
        <f t="shared" si="189"/>
        <v>Friday</v>
      </c>
      <c r="J3029" s="93" t="str">
        <f t="shared" si="190"/>
        <v>March</v>
      </c>
      <c r="K3029" s="93" t="str">
        <f t="shared" si="191"/>
        <v>2025</v>
      </c>
      <c r="L3029" s="6"/>
      <c r="M3029" s="6"/>
      <c r="N3029" s="6"/>
    </row>
    <row r="3030" spans="1:14" x14ac:dyDescent="0.3">
      <c r="A3030" s="92">
        <v>45723</v>
      </c>
      <c r="B3030" s="92" t="str">
        <f t="shared" si="188"/>
        <v>Friday</v>
      </c>
      <c r="C3030" s="93" t="s">
        <v>1381</v>
      </c>
      <c r="D3030" s="93" t="s">
        <v>1122</v>
      </c>
      <c r="E3030" s="94">
        <v>25.96</v>
      </c>
      <c r="F3030" s="93" t="s">
        <v>9</v>
      </c>
      <c r="G3030" s="87">
        <f>Table1[[#This Row],[date]]</f>
        <v>45723</v>
      </c>
      <c r="H3030" s="94">
        <f>SUMIF($A$2:A6665,G3030,$E$2:E6665)</f>
        <v>461.43999999999994</v>
      </c>
      <c r="I3030" s="93" t="str">
        <f t="shared" si="189"/>
        <v>Friday</v>
      </c>
      <c r="J3030" s="93" t="str">
        <f t="shared" si="190"/>
        <v>March</v>
      </c>
      <c r="K3030" s="93" t="str">
        <f t="shared" si="191"/>
        <v>2025</v>
      </c>
      <c r="L3030" s="6"/>
      <c r="M3030" s="6"/>
      <c r="N3030" s="6"/>
    </row>
    <row r="3031" spans="1:14" x14ac:dyDescent="0.3">
      <c r="A3031" s="92">
        <v>45723</v>
      </c>
      <c r="B3031" s="92" t="str">
        <f t="shared" si="188"/>
        <v>Friday</v>
      </c>
      <c r="C3031" s="93" t="s">
        <v>1381</v>
      </c>
      <c r="D3031" s="93" t="s">
        <v>1175</v>
      </c>
      <c r="E3031" s="94">
        <v>25.96</v>
      </c>
      <c r="F3031" s="93" t="s">
        <v>9</v>
      </c>
      <c r="G3031" s="87">
        <f>Table1[[#This Row],[date]]</f>
        <v>45723</v>
      </c>
      <c r="H3031" s="94">
        <f>SUMIF($A$2:A6666,G3031,$E$2:E6666)</f>
        <v>461.43999999999994</v>
      </c>
      <c r="I3031" s="93" t="str">
        <f t="shared" si="189"/>
        <v>Friday</v>
      </c>
      <c r="J3031" s="93" t="str">
        <f t="shared" si="190"/>
        <v>March</v>
      </c>
      <c r="K3031" s="93" t="str">
        <f t="shared" si="191"/>
        <v>2025</v>
      </c>
      <c r="L3031" s="6"/>
      <c r="M3031" s="6"/>
      <c r="N3031" s="6"/>
    </row>
    <row r="3032" spans="1:14" x14ac:dyDescent="0.3">
      <c r="A3032" s="87">
        <v>45723</v>
      </c>
      <c r="B3032" s="87" t="str">
        <f t="shared" si="188"/>
        <v>Friday</v>
      </c>
      <c r="C3032" s="88" t="s">
        <v>1381</v>
      </c>
      <c r="D3032" s="88" t="s">
        <v>1167</v>
      </c>
      <c r="E3032" s="89">
        <v>35.76</v>
      </c>
      <c r="F3032" s="88" t="s">
        <v>7</v>
      </c>
      <c r="G3032" s="87">
        <f>Table1[[#This Row],[date]]</f>
        <v>45723</v>
      </c>
      <c r="H3032" s="94">
        <f>SUMIF($A$2:A6667,G3032,$E$2:E6667)</f>
        <v>461.43999999999994</v>
      </c>
      <c r="I3032" s="93" t="str">
        <f t="shared" si="189"/>
        <v>Friday</v>
      </c>
      <c r="J3032" s="93" t="str">
        <f t="shared" si="190"/>
        <v>March</v>
      </c>
      <c r="K3032" s="93" t="str">
        <f t="shared" si="191"/>
        <v>2025</v>
      </c>
      <c r="L3032" s="6"/>
      <c r="M3032" s="6"/>
      <c r="N3032" s="6"/>
    </row>
    <row r="3033" spans="1:14" x14ac:dyDescent="0.3">
      <c r="A3033" s="92">
        <v>45723</v>
      </c>
      <c r="B3033" s="92" t="str">
        <f t="shared" si="188"/>
        <v>Friday</v>
      </c>
      <c r="C3033" s="93" t="s">
        <v>1381</v>
      </c>
      <c r="D3033" s="93" t="s">
        <v>1278</v>
      </c>
      <c r="E3033" s="94">
        <v>30.86</v>
      </c>
      <c r="F3033" s="93" t="s">
        <v>12</v>
      </c>
      <c r="G3033" s="87">
        <f>Table1[[#This Row],[date]]</f>
        <v>45723</v>
      </c>
      <c r="H3033" s="94">
        <f>SUMIF($A$2:A6668,G3033,$E$2:E6668)</f>
        <v>461.43999999999994</v>
      </c>
      <c r="I3033" s="93" t="str">
        <f t="shared" si="189"/>
        <v>Friday</v>
      </c>
      <c r="J3033" s="93" t="str">
        <f t="shared" si="190"/>
        <v>March</v>
      </c>
      <c r="K3033" s="93" t="str">
        <f t="shared" si="191"/>
        <v>2025</v>
      </c>
      <c r="L3033" s="6"/>
      <c r="M3033" s="6"/>
      <c r="N3033" s="6"/>
    </row>
    <row r="3034" spans="1:14" x14ac:dyDescent="0.3">
      <c r="A3034" s="92">
        <v>45723</v>
      </c>
      <c r="B3034" s="92" t="str">
        <f t="shared" si="188"/>
        <v>Friday</v>
      </c>
      <c r="C3034" s="93" t="s">
        <v>1381</v>
      </c>
      <c r="D3034" s="93" t="s">
        <v>1274</v>
      </c>
      <c r="E3034" s="94">
        <v>35.76</v>
      </c>
      <c r="F3034" s="93" t="s">
        <v>16</v>
      </c>
      <c r="G3034" s="87">
        <f>Table1[[#This Row],[date]]</f>
        <v>45723</v>
      </c>
      <c r="H3034" s="94">
        <f>SUMIF($A$2:A6669,G3034,$E$2:E6669)</f>
        <v>461.43999999999994</v>
      </c>
      <c r="I3034" s="93" t="str">
        <f t="shared" si="189"/>
        <v>Friday</v>
      </c>
      <c r="J3034" s="93" t="str">
        <f t="shared" si="190"/>
        <v>March</v>
      </c>
      <c r="K3034" s="93" t="str">
        <f t="shared" si="191"/>
        <v>2025</v>
      </c>
      <c r="L3034" s="6"/>
      <c r="M3034" s="6"/>
      <c r="N3034" s="6"/>
    </row>
    <row r="3035" spans="1:14" x14ac:dyDescent="0.3">
      <c r="A3035" s="87">
        <v>45723</v>
      </c>
      <c r="B3035" s="87" t="str">
        <f t="shared" si="188"/>
        <v>Friday</v>
      </c>
      <c r="C3035" s="88" t="s">
        <v>1381</v>
      </c>
      <c r="D3035" s="88" t="s">
        <v>1201</v>
      </c>
      <c r="E3035" s="89">
        <v>35.76</v>
      </c>
      <c r="F3035" s="88" t="s">
        <v>16</v>
      </c>
      <c r="G3035" s="87">
        <f>Table1[[#This Row],[date]]</f>
        <v>45723</v>
      </c>
      <c r="H3035" s="94">
        <f>SUMIF($A$2:A6670,G3035,$E$2:E6670)</f>
        <v>461.43999999999994</v>
      </c>
      <c r="I3035" s="93" t="str">
        <f t="shared" si="189"/>
        <v>Friday</v>
      </c>
      <c r="J3035" s="93" t="str">
        <f t="shared" si="190"/>
        <v>March</v>
      </c>
      <c r="K3035" s="93" t="str">
        <f t="shared" si="191"/>
        <v>2025</v>
      </c>
      <c r="L3035" s="6"/>
      <c r="M3035" s="6"/>
      <c r="N3035" s="6"/>
    </row>
    <row r="3036" spans="1:14" x14ac:dyDescent="0.3">
      <c r="A3036" s="92">
        <v>45723</v>
      </c>
      <c r="B3036" s="92" t="str">
        <f t="shared" si="188"/>
        <v>Friday</v>
      </c>
      <c r="C3036" s="93" t="s">
        <v>1381</v>
      </c>
      <c r="D3036" s="93" t="s">
        <v>1169</v>
      </c>
      <c r="E3036" s="94">
        <v>30.86</v>
      </c>
      <c r="F3036" s="93" t="s">
        <v>12</v>
      </c>
      <c r="G3036" s="87">
        <f>Table1[[#This Row],[date]]</f>
        <v>45723</v>
      </c>
      <c r="H3036" s="94">
        <f>SUMIF($A$2:A6671,G3036,$E$2:E6671)</f>
        <v>461.43999999999994</v>
      </c>
      <c r="I3036" s="93" t="str">
        <f t="shared" si="189"/>
        <v>Friday</v>
      </c>
      <c r="J3036" s="93" t="str">
        <f t="shared" si="190"/>
        <v>March</v>
      </c>
      <c r="K3036" s="93" t="str">
        <f t="shared" si="191"/>
        <v>2025</v>
      </c>
      <c r="L3036" s="6"/>
      <c r="M3036" s="6"/>
      <c r="N3036" s="6"/>
    </row>
    <row r="3037" spans="1:14" x14ac:dyDescent="0.3">
      <c r="A3037" s="87">
        <v>45723</v>
      </c>
      <c r="B3037" s="87" t="str">
        <f t="shared" si="188"/>
        <v>Friday</v>
      </c>
      <c r="C3037" s="88" t="s">
        <v>1381</v>
      </c>
      <c r="D3037" s="88" t="s">
        <v>1222</v>
      </c>
      <c r="E3037" s="89">
        <v>35.76</v>
      </c>
      <c r="F3037" s="88" t="s">
        <v>7</v>
      </c>
      <c r="G3037" s="87">
        <f>Table1[[#This Row],[date]]</f>
        <v>45723</v>
      </c>
      <c r="H3037" s="94">
        <f>SUMIF($A$2:A6672,G3037,$E$2:E6672)</f>
        <v>461.43999999999994</v>
      </c>
      <c r="I3037" s="93" t="str">
        <f t="shared" si="189"/>
        <v>Friday</v>
      </c>
      <c r="J3037" s="93" t="str">
        <f t="shared" si="190"/>
        <v>March</v>
      </c>
      <c r="K3037" s="93" t="str">
        <f t="shared" si="191"/>
        <v>2025</v>
      </c>
      <c r="L3037" s="6"/>
      <c r="M3037" s="6"/>
      <c r="N3037" s="6"/>
    </row>
    <row r="3038" spans="1:14" x14ac:dyDescent="0.3">
      <c r="A3038" s="92">
        <v>45723</v>
      </c>
      <c r="B3038" s="92" t="str">
        <f t="shared" si="188"/>
        <v>Friday</v>
      </c>
      <c r="C3038" s="93" t="s">
        <v>1381</v>
      </c>
      <c r="D3038" s="93" t="s">
        <v>1272</v>
      </c>
      <c r="E3038" s="94">
        <v>25.96</v>
      </c>
      <c r="F3038" s="93" t="s">
        <v>9</v>
      </c>
      <c r="G3038" s="87">
        <f>Table1[[#This Row],[date]]</f>
        <v>45723</v>
      </c>
      <c r="H3038" s="94">
        <f>SUMIF($A$2:A6673,G3038,$E$2:E6673)</f>
        <v>461.43999999999994</v>
      </c>
      <c r="I3038" s="93" t="str">
        <f t="shared" si="189"/>
        <v>Friday</v>
      </c>
      <c r="J3038" s="93" t="str">
        <f t="shared" si="190"/>
        <v>March</v>
      </c>
      <c r="K3038" s="93" t="str">
        <f t="shared" si="191"/>
        <v>2025</v>
      </c>
      <c r="L3038" s="6"/>
      <c r="M3038" s="6"/>
      <c r="N3038" s="6"/>
    </row>
    <row r="3039" spans="1:14" x14ac:dyDescent="0.3">
      <c r="A3039" s="87">
        <v>45723</v>
      </c>
      <c r="B3039" s="87" t="str">
        <f t="shared" si="188"/>
        <v>Friday</v>
      </c>
      <c r="C3039" s="88" t="s">
        <v>1381</v>
      </c>
      <c r="D3039" s="88" t="s">
        <v>1196</v>
      </c>
      <c r="E3039" s="89">
        <v>35.76</v>
      </c>
      <c r="F3039" s="88" t="s">
        <v>41</v>
      </c>
      <c r="G3039" s="87">
        <f>Table1[[#This Row],[date]]</f>
        <v>45723</v>
      </c>
      <c r="H3039" s="94">
        <f>SUMIF($A$2:A6674,G3039,$E$2:E6674)</f>
        <v>461.43999999999994</v>
      </c>
      <c r="I3039" s="93" t="str">
        <f t="shared" si="189"/>
        <v>Friday</v>
      </c>
      <c r="J3039" s="93" t="str">
        <f t="shared" si="190"/>
        <v>March</v>
      </c>
      <c r="K3039" s="93" t="str">
        <f t="shared" si="191"/>
        <v>2025</v>
      </c>
      <c r="L3039" s="6"/>
      <c r="M3039" s="6"/>
      <c r="N3039" s="6"/>
    </row>
    <row r="3040" spans="1:14" x14ac:dyDescent="0.3">
      <c r="A3040" s="92">
        <v>45723</v>
      </c>
      <c r="B3040" s="92" t="str">
        <f t="shared" si="188"/>
        <v>Friday</v>
      </c>
      <c r="C3040" s="93" t="s">
        <v>1381</v>
      </c>
      <c r="D3040" s="93" t="s">
        <v>1203</v>
      </c>
      <c r="E3040" s="94">
        <v>35.76</v>
      </c>
      <c r="F3040" s="93" t="s">
        <v>5</v>
      </c>
      <c r="G3040" s="87">
        <f>Table1[[#This Row],[date]]</f>
        <v>45723</v>
      </c>
      <c r="H3040" s="94">
        <f>SUMIF($A$2:A6675,G3040,$E$2:E6675)</f>
        <v>461.43999999999994</v>
      </c>
      <c r="I3040" s="93" t="str">
        <f t="shared" si="189"/>
        <v>Friday</v>
      </c>
      <c r="J3040" s="93" t="str">
        <f t="shared" si="190"/>
        <v>March</v>
      </c>
      <c r="K3040" s="93" t="str">
        <f t="shared" si="191"/>
        <v>2025</v>
      </c>
      <c r="L3040" s="6"/>
      <c r="M3040" s="6"/>
      <c r="N3040" s="6"/>
    </row>
    <row r="3041" spans="1:14" x14ac:dyDescent="0.3">
      <c r="A3041" s="87">
        <v>45723</v>
      </c>
      <c r="B3041" s="87" t="str">
        <f t="shared" si="188"/>
        <v>Friday</v>
      </c>
      <c r="C3041" s="88" t="s">
        <v>1381</v>
      </c>
      <c r="D3041" s="88" t="s">
        <v>1176</v>
      </c>
      <c r="E3041" s="89">
        <v>35.76</v>
      </c>
      <c r="F3041" s="88" t="s">
        <v>5</v>
      </c>
      <c r="G3041" s="87">
        <f>Table1[[#This Row],[date]]</f>
        <v>45723</v>
      </c>
      <c r="H3041" s="94">
        <f>SUMIF($A$2:A6676,G3041,$E$2:E6676)</f>
        <v>461.43999999999994</v>
      </c>
      <c r="I3041" s="93" t="str">
        <f t="shared" si="189"/>
        <v>Friday</v>
      </c>
      <c r="J3041" s="93" t="str">
        <f t="shared" si="190"/>
        <v>March</v>
      </c>
      <c r="K3041" s="93" t="str">
        <f t="shared" si="191"/>
        <v>2025</v>
      </c>
      <c r="L3041" s="6"/>
      <c r="M3041" s="6"/>
      <c r="N3041" s="6"/>
    </row>
    <row r="3042" spans="1:14" x14ac:dyDescent="0.3">
      <c r="A3042" s="87">
        <v>45723</v>
      </c>
      <c r="B3042" s="87" t="str">
        <f t="shared" si="188"/>
        <v>Friday</v>
      </c>
      <c r="C3042" s="88" t="s">
        <v>1381</v>
      </c>
      <c r="D3042" s="88" t="s">
        <v>1177</v>
      </c>
      <c r="E3042" s="89">
        <v>35.76</v>
      </c>
      <c r="F3042" s="88" t="s">
        <v>7</v>
      </c>
      <c r="G3042" s="87">
        <f>Table1[[#This Row],[date]]</f>
        <v>45723</v>
      </c>
      <c r="H3042" s="94">
        <f>SUMIF($A$2:A6677,G3042,$E$2:E6677)</f>
        <v>461.43999999999994</v>
      </c>
      <c r="I3042" s="93" t="str">
        <f t="shared" si="189"/>
        <v>Friday</v>
      </c>
      <c r="J3042" s="93" t="str">
        <f t="shared" si="190"/>
        <v>March</v>
      </c>
      <c r="K3042" s="93" t="str">
        <f t="shared" si="191"/>
        <v>2025</v>
      </c>
      <c r="L3042" s="6"/>
      <c r="M3042" s="6"/>
      <c r="N3042" s="6"/>
    </row>
    <row r="3043" spans="1:14" x14ac:dyDescent="0.3">
      <c r="A3043" s="92">
        <v>45724</v>
      </c>
      <c r="B3043" s="92" t="str">
        <f t="shared" si="188"/>
        <v>Saturday</v>
      </c>
      <c r="C3043" s="93" t="s">
        <v>1381</v>
      </c>
      <c r="D3043" s="93" t="s">
        <v>1219</v>
      </c>
      <c r="E3043" s="94">
        <v>30.86</v>
      </c>
      <c r="F3043" s="93" t="s">
        <v>12</v>
      </c>
      <c r="G3043" s="87">
        <f>Table1[[#This Row],[date]]</f>
        <v>45724</v>
      </c>
      <c r="H3043" s="94">
        <f>SUMIF($A$2:A6678,G3043,$E$2:E6678)</f>
        <v>206.22</v>
      </c>
      <c r="I3043" s="93" t="str">
        <f t="shared" si="189"/>
        <v>Saturday</v>
      </c>
      <c r="J3043" s="93" t="str">
        <f t="shared" si="190"/>
        <v>March</v>
      </c>
      <c r="K3043" s="93" t="str">
        <f t="shared" si="191"/>
        <v>2025</v>
      </c>
      <c r="L3043" s="6"/>
      <c r="M3043" s="6"/>
      <c r="N3043" s="6"/>
    </row>
    <row r="3044" spans="1:14" x14ac:dyDescent="0.3">
      <c r="A3044" s="87">
        <v>45724</v>
      </c>
      <c r="B3044" s="87" t="str">
        <f t="shared" si="188"/>
        <v>Saturday</v>
      </c>
      <c r="C3044" s="88" t="s">
        <v>1381</v>
      </c>
      <c r="D3044" s="88" t="s">
        <v>1174</v>
      </c>
      <c r="E3044" s="89">
        <v>30.86</v>
      </c>
      <c r="F3044" s="88" t="s">
        <v>12</v>
      </c>
      <c r="G3044" s="87">
        <f>Table1[[#This Row],[date]]</f>
        <v>45724</v>
      </c>
      <c r="H3044" s="94">
        <f>SUMIF($A$2:A6679,G3044,$E$2:E6679)</f>
        <v>206.22</v>
      </c>
      <c r="I3044" s="93" t="str">
        <f t="shared" si="189"/>
        <v>Saturday</v>
      </c>
      <c r="J3044" s="93" t="str">
        <f t="shared" si="190"/>
        <v>March</v>
      </c>
      <c r="K3044" s="93" t="str">
        <f t="shared" si="191"/>
        <v>2025</v>
      </c>
      <c r="L3044" s="6"/>
      <c r="M3044" s="6"/>
      <c r="N3044" s="6"/>
    </row>
    <row r="3045" spans="1:14" x14ac:dyDescent="0.3">
      <c r="A3045" s="92">
        <v>45724</v>
      </c>
      <c r="B3045" s="92" t="str">
        <f t="shared" si="188"/>
        <v>Saturday</v>
      </c>
      <c r="C3045" s="93" t="s">
        <v>1381</v>
      </c>
      <c r="D3045" s="93" t="s">
        <v>1175</v>
      </c>
      <c r="E3045" s="94">
        <v>25.96</v>
      </c>
      <c r="F3045" s="93" t="s">
        <v>9</v>
      </c>
      <c r="G3045" s="87">
        <f>Table1[[#This Row],[date]]</f>
        <v>45724</v>
      </c>
      <c r="H3045" s="94">
        <f>SUMIF($A$2:A6680,G3045,$E$2:E6680)</f>
        <v>206.22</v>
      </c>
      <c r="I3045" s="93" t="str">
        <f t="shared" si="189"/>
        <v>Saturday</v>
      </c>
      <c r="J3045" s="93" t="str">
        <f t="shared" si="190"/>
        <v>March</v>
      </c>
      <c r="K3045" s="93" t="str">
        <f t="shared" si="191"/>
        <v>2025</v>
      </c>
      <c r="L3045" s="6"/>
      <c r="M3045" s="6"/>
      <c r="N3045" s="6"/>
    </row>
    <row r="3046" spans="1:14" x14ac:dyDescent="0.3">
      <c r="A3046" s="87">
        <v>45724</v>
      </c>
      <c r="B3046" s="87" t="str">
        <f t="shared" si="188"/>
        <v>Saturday</v>
      </c>
      <c r="C3046" s="88" t="s">
        <v>1381</v>
      </c>
      <c r="D3046" s="88" t="s">
        <v>1202</v>
      </c>
      <c r="E3046" s="89">
        <v>25.96</v>
      </c>
      <c r="F3046" s="88" t="s">
        <v>9</v>
      </c>
      <c r="G3046" s="87">
        <f>Table1[[#This Row],[date]]</f>
        <v>45724</v>
      </c>
      <c r="H3046" s="94">
        <f>SUMIF($A$2:A6681,G3046,$E$2:E6681)</f>
        <v>206.22</v>
      </c>
      <c r="I3046" s="93" t="str">
        <f t="shared" si="189"/>
        <v>Saturday</v>
      </c>
      <c r="J3046" s="93" t="str">
        <f t="shared" si="190"/>
        <v>March</v>
      </c>
      <c r="K3046" s="93" t="str">
        <f t="shared" si="191"/>
        <v>2025</v>
      </c>
      <c r="L3046" s="6"/>
      <c r="M3046" s="6"/>
      <c r="N3046" s="6"/>
    </row>
    <row r="3047" spans="1:14" x14ac:dyDescent="0.3">
      <c r="A3047" s="87">
        <v>45724</v>
      </c>
      <c r="B3047" s="87" t="str">
        <f t="shared" si="188"/>
        <v>Saturday</v>
      </c>
      <c r="C3047" s="88" t="s">
        <v>1381</v>
      </c>
      <c r="D3047" s="88" t="s">
        <v>1279</v>
      </c>
      <c r="E3047" s="89">
        <v>30.86</v>
      </c>
      <c r="F3047" s="88" t="s">
        <v>12</v>
      </c>
      <c r="G3047" s="87">
        <f>Table1[[#This Row],[date]]</f>
        <v>45724</v>
      </c>
      <c r="H3047" s="94">
        <f>SUMIF($A$2:A6682,G3047,$E$2:E6682)</f>
        <v>206.22</v>
      </c>
      <c r="I3047" s="93" t="str">
        <f t="shared" si="189"/>
        <v>Saturday</v>
      </c>
      <c r="J3047" s="93" t="str">
        <f t="shared" si="190"/>
        <v>March</v>
      </c>
      <c r="K3047" s="93" t="str">
        <f t="shared" si="191"/>
        <v>2025</v>
      </c>
      <c r="L3047" s="6"/>
      <c r="M3047" s="6"/>
      <c r="N3047" s="6"/>
    </row>
    <row r="3048" spans="1:14" x14ac:dyDescent="0.3">
      <c r="A3048" s="92">
        <v>45724</v>
      </c>
      <c r="B3048" s="92" t="str">
        <f t="shared" si="188"/>
        <v>Saturday</v>
      </c>
      <c r="C3048" s="93" t="s">
        <v>1381</v>
      </c>
      <c r="D3048" s="93" t="s">
        <v>1122</v>
      </c>
      <c r="E3048" s="94">
        <v>25.96</v>
      </c>
      <c r="F3048" s="93" t="s">
        <v>9</v>
      </c>
      <c r="G3048" s="87">
        <f>Table1[[#This Row],[date]]</f>
        <v>45724</v>
      </c>
      <c r="H3048" s="94">
        <f>SUMIF($A$2:A6683,G3048,$E$2:E6683)</f>
        <v>206.22</v>
      </c>
      <c r="I3048" s="93" t="str">
        <f t="shared" si="189"/>
        <v>Saturday</v>
      </c>
      <c r="J3048" s="93" t="str">
        <f t="shared" si="190"/>
        <v>March</v>
      </c>
      <c r="K3048" s="93" t="str">
        <f t="shared" si="191"/>
        <v>2025</v>
      </c>
      <c r="L3048" s="6"/>
      <c r="M3048" s="6"/>
      <c r="N3048" s="6"/>
    </row>
    <row r="3049" spans="1:14" x14ac:dyDescent="0.3">
      <c r="A3049" s="87">
        <v>45724</v>
      </c>
      <c r="B3049" s="87" t="str">
        <f t="shared" si="188"/>
        <v>Saturday</v>
      </c>
      <c r="C3049" s="88" t="s">
        <v>1381</v>
      </c>
      <c r="D3049" s="88" t="s">
        <v>1174</v>
      </c>
      <c r="E3049" s="89">
        <v>35.76</v>
      </c>
      <c r="F3049" s="88" t="s">
        <v>41</v>
      </c>
      <c r="G3049" s="87">
        <f>Table1[[#This Row],[date]]</f>
        <v>45724</v>
      </c>
      <c r="H3049" s="94">
        <f>SUMIF($A$2:A6684,G3049,$E$2:E6684)</f>
        <v>206.22</v>
      </c>
      <c r="I3049" s="93" t="str">
        <f t="shared" si="189"/>
        <v>Saturday</v>
      </c>
      <c r="J3049" s="93" t="str">
        <f t="shared" si="190"/>
        <v>March</v>
      </c>
      <c r="K3049" s="93" t="str">
        <f t="shared" si="191"/>
        <v>2025</v>
      </c>
      <c r="L3049" s="6"/>
      <c r="M3049" s="6"/>
      <c r="N3049" s="6"/>
    </row>
    <row r="3050" spans="1:14" x14ac:dyDescent="0.3">
      <c r="A3050" s="92">
        <v>45725</v>
      </c>
      <c r="B3050" s="92" t="str">
        <f t="shared" si="188"/>
        <v>Sunday</v>
      </c>
      <c r="C3050" s="93" t="s">
        <v>1381</v>
      </c>
      <c r="D3050" s="93" t="s">
        <v>1280</v>
      </c>
      <c r="E3050" s="94">
        <v>21.06</v>
      </c>
      <c r="F3050" s="93" t="s">
        <v>33</v>
      </c>
      <c r="G3050" s="87">
        <f>Table1[[#This Row],[date]]</f>
        <v>45725</v>
      </c>
      <c r="H3050" s="94">
        <f>SUMIF($A$2:A6685,G3050,$E$2:E6685)</f>
        <v>241.98000000000002</v>
      </c>
      <c r="I3050" s="93" t="str">
        <f t="shared" si="189"/>
        <v>Sunday</v>
      </c>
      <c r="J3050" s="93" t="str">
        <f t="shared" si="190"/>
        <v>March</v>
      </c>
      <c r="K3050" s="93" t="str">
        <f t="shared" si="191"/>
        <v>2025</v>
      </c>
      <c r="L3050" s="6"/>
      <c r="M3050" s="6"/>
      <c r="N3050" s="6"/>
    </row>
    <row r="3051" spans="1:14" x14ac:dyDescent="0.3">
      <c r="A3051" s="87">
        <v>45725</v>
      </c>
      <c r="B3051" s="87" t="str">
        <f t="shared" si="188"/>
        <v>Sunday</v>
      </c>
      <c r="C3051" s="88" t="s">
        <v>1381</v>
      </c>
      <c r="D3051" s="88" t="s">
        <v>1281</v>
      </c>
      <c r="E3051" s="89">
        <v>30.86</v>
      </c>
      <c r="F3051" s="88" t="s">
        <v>12</v>
      </c>
      <c r="G3051" s="87">
        <f>Table1[[#This Row],[date]]</f>
        <v>45725</v>
      </c>
      <c r="H3051" s="94">
        <f>SUMIF($A$2:A6686,G3051,$E$2:E6686)</f>
        <v>241.98000000000002</v>
      </c>
      <c r="I3051" s="93" t="str">
        <f t="shared" si="189"/>
        <v>Sunday</v>
      </c>
      <c r="J3051" s="93" t="str">
        <f t="shared" si="190"/>
        <v>March</v>
      </c>
      <c r="K3051" s="93" t="str">
        <f t="shared" si="191"/>
        <v>2025</v>
      </c>
      <c r="L3051" s="6"/>
      <c r="M3051" s="6"/>
      <c r="N3051" s="6"/>
    </row>
    <row r="3052" spans="1:14" x14ac:dyDescent="0.3">
      <c r="A3052" s="92">
        <v>45725</v>
      </c>
      <c r="B3052" s="92" t="str">
        <f t="shared" si="188"/>
        <v>Sunday</v>
      </c>
      <c r="C3052" s="93" t="s">
        <v>1381</v>
      </c>
      <c r="D3052" s="93" t="s">
        <v>1196</v>
      </c>
      <c r="E3052" s="94">
        <v>35.76</v>
      </c>
      <c r="F3052" s="93" t="s">
        <v>41</v>
      </c>
      <c r="G3052" s="87">
        <f>Table1[[#This Row],[date]]</f>
        <v>45725</v>
      </c>
      <c r="H3052" s="94">
        <f>SUMIF($A$2:A6687,G3052,$E$2:E6687)</f>
        <v>241.98000000000002</v>
      </c>
      <c r="I3052" s="93" t="str">
        <f t="shared" si="189"/>
        <v>Sunday</v>
      </c>
      <c r="J3052" s="93" t="str">
        <f t="shared" si="190"/>
        <v>March</v>
      </c>
      <c r="K3052" s="93" t="str">
        <f t="shared" si="191"/>
        <v>2025</v>
      </c>
      <c r="L3052" s="6"/>
      <c r="M3052" s="6"/>
      <c r="N3052" s="6"/>
    </row>
    <row r="3053" spans="1:14" x14ac:dyDescent="0.3">
      <c r="A3053" s="87">
        <v>45725</v>
      </c>
      <c r="B3053" s="87" t="str">
        <f t="shared" si="188"/>
        <v>Sunday</v>
      </c>
      <c r="C3053" s="88" t="s">
        <v>1381</v>
      </c>
      <c r="D3053" s="88" t="s">
        <v>1175</v>
      </c>
      <c r="E3053" s="89">
        <v>25.96</v>
      </c>
      <c r="F3053" s="88" t="s">
        <v>9</v>
      </c>
      <c r="G3053" s="87">
        <f>Table1[[#This Row],[date]]</f>
        <v>45725</v>
      </c>
      <c r="H3053" s="94">
        <f>SUMIF($A$2:A6688,G3053,$E$2:E6688)</f>
        <v>241.98000000000002</v>
      </c>
      <c r="I3053" s="93" t="str">
        <f t="shared" si="189"/>
        <v>Sunday</v>
      </c>
      <c r="J3053" s="93" t="str">
        <f t="shared" si="190"/>
        <v>March</v>
      </c>
      <c r="K3053" s="93" t="str">
        <f t="shared" si="191"/>
        <v>2025</v>
      </c>
      <c r="L3053" s="6"/>
      <c r="M3053" s="6"/>
      <c r="N3053" s="6"/>
    </row>
    <row r="3054" spans="1:14" x14ac:dyDescent="0.3">
      <c r="A3054" s="92">
        <v>45725</v>
      </c>
      <c r="B3054" s="92" t="str">
        <f t="shared" si="188"/>
        <v>Sunday</v>
      </c>
      <c r="C3054" s="93" t="s">
        <v>1381</v>
      </c>
      <c r="D3054" s="93" t="s">
        <v>1165</v>
      </c>
      <c r="E3054" s="94">
        <v>35.76</v>
      </c>
      <c r="F3054" s="93" t="s">
        <v>41</v>
      </c>
      <c r="G3054" s="87">
        <f>Table1[[#This Row],[date]]</f>
        <v>45725</v>
      </c>
      <c r="H3054" s="94">
        <f>SUMIF($A$2:A6689,G3054,$E$2:E6689)</f>
        <v>241.98000000000002</v>
      </c>
      <c r="I3054" s="93" t="str">
        <f t="shared" si="189"/>
        <v>Sunday</v>
      </c>
      <c r="J3054" s="93" t="str">
        <f t="shared" si="190"/>
        <v>March</v>
      </c>
      <c r="K3054" s="93" t="str">
        <f t="shared" si="191"/>
        <v>2025</v>
      </c>
      <c r="L3054" s="6"/>
      <c r="M3054" s="6"/>
      <c r="N3054" s="6"/>
    </row>
    <row r="3055" spans="1:14" x14ac:dyDescent="0.3">
      <c r="A3055" s="87">
        <v>45725</v>
      </c>
      <c r="B3055" s="87" t="str">
        <f t="shared" si="188"/>
        <v>Sunday</v>
      </c>
      <c r="C3055" s="88" t="s">
        <v>1381</v>
      </c>
      <c r="D3055" s="88" t="s">
        <v>1122</v>
      </c>
      <c r="E3055" s="89">
        <v>25.96</v>
      </c>
      <c r="F3055" s="88" t="s">
        <v>9</v>
      </c>
      <c r="G3055" s="87">
        <f>Table1[[#This Row],[date]]</f>
        <v>45725</v>
      </c>
      <c r="H3055" s="94">
        <f>SUMIF($A$2:A6690,G3055,$E$2:E6690)</f>
        <v>241.98000000000002</v>
      </c>
      <c r="I3055" s="93" t="str">
        <f t="shared" si="189"/>
        <v>Sunday</v>
      </c>
      <c r="J3055" s="93" t="str">
        <f t="shared" si="190"/>
        <v>March</v>
      </c>
      <c r="K3055" s="93" t="str">
        <f t="shared" si="191"/>
        <v>2025</v>
      </c>
      <c r="L3055" s="6"/>
      <c r="M3055" s="6"/>
      <c r="N3055" s="6"/>
    </row>
    <row r="3056" spans="1:14" x14ac:dyDescent="0.3">
      <c r="A3056" s="92">
        <v>45725</v>
      </c>
      <c r="B3056" s="92" t="str">
        <f t="shared" si="188"/>
        <v>Sunday</v>
      </c>
      <c r="C3056" s="93" t="s">
        <v>1381</v>
      </c>
      <c r="D3056" s="93" t="s">
        <v>1229</v>
      </c>
      <c r="E3056" s="94">
        <v>30.86</v>
      </c>
      <c r="F3056" s="93" t="s">
        <v>12</v>
      </c>
      <c r="G3056" s="87">
        <f>Table1[[#This Row],[date]]</f>
        <v>45725</v>
      </c>
      <c r="H3056" s="94">
        <f>SUMIF($A$2:A6691,G3056,$E$2:E6691)</f>
        <v>241.98000000000002</v>
      </c>
      <c r="I3056" s="93" t="str">
        <f t="shared" si="189"/>
        <v>Sunday</v>
      </c>
      <c r="J3056" s="93" t="str">
        <f t="shared" si="190"/>
        <v>March</v>
      </c>
      <c r="K3056" s="93" t="str">
        <f t="shared" si="191"/>
        <v>2025</v>
      </c>
      <c r="L3056" s="6"/>
      <c r="M3056" s="6"/>
      <c r="N3056" s="6"/>
    </row>
    <row r="3057" spans="1:14" x14ac:dyDescent="0.3">
      <c r="A3057" s="87">
        <v>45725</v>
      </c>
      <c r="B3057" s="87" t="str">
        <f t="shared" si="188"/>
        <v>Sunday</v>
      </c>
      <c r="C3057" s="88" t="s">
        <v>1381</v>
      </c>
      <c r="D3057" s="88" t="s">
        <v>1282</v>
      </c>
      <c r="E3057" s="89">
        <v>35.76</v>
      </c>
      <c r="F3057" s="88" t="s">
        <v>16</v>
      </c>
      <c r="G3057" s="87">
        <f>Table1[[#This Row],[date]]</f>
        <v>45725</v>
      </c>
      <c r="H3057" s="94">
        <f>SUMIF($A$2:A6692,G3057,$E$2:E6692)</f>
        <v>241.98000000000002</v>
      </c>
      <c r="I3057" s="93" t="str">
        <f t="shared" si="189"/>
        <v>Sunday</v>
      </c>
      <c r="J3057" s="93" t="str">
        <f t="shared" si="190"/>
        <v>March</v>
      </c>
      <c r="K3057" s="93" t="str">
        <f t="shared" si="191"/>
        <v>2025</v>
      </c>
      <c r="L3057" s="6"/>
      <c r="M3057" s="6"/>
      <c r="N3057" s="6"/>
    </row>
    <row r="3058" spans="1:14" x14ac:dyDescent="0.3">
      <c r="A3058" s="92">
        <v>45726</v>
      </c>
      <c r="B3058" s="92" t="str">
        <f t="shared" si="188"/>
        <v>Monday</v>
      </c>
      <c r="C3058" s="93" t="s">
        <v>1381</v>
      </c>
      <c r="D3058" s="93" t="s">
        <v>1283</v>
      </c>
      <c r="E3058" s="94">
        <v>25.96</v>
      </c>
      <c r="F3058" s="93" t="s">
        <v>9</v>
      </c>
      <c r="G3058" s="87">
        <f>Table1[[#This Row],[date]]</f>
        <v>45726</v>
      </c>
      <c r="H3058" s="94">
        <f>SUMIF($A$2:A6693,G3058,$E$2:E6693)</f>
        <v>492.3</v>
      </c>
      <c r="I3058" s="93" t="str">
        <f t="shared" si="189"/>
        <v>Monday</v>
      </c>
      <c r="J3058" s="93" t="str">
        <f t="shared" si="190"/>
        <v>March</v>
      </c>
      <c r="K3058" s="93" t="str">
        <f t="shared" si="191"/>
        <v>2025</v>
      </c>
      <c r="L3058" s="6"/>
      <c r="M3058" s="6"/>
      <c r="N3058" s="6"/>
    </row>
    <row r="3059" spans="1:14" x14ac:dyDescent="0.3">
      <c r="A3059" s="87">
        <v>45726</v>
      </c>
      <c r="B3059" s="87" t="str">
        <f t="shared" si="188"/>
        <v>Monday</v>
      </c>
      <c r="C3059" s="88" t="s">
        <v>1381</v>
      </c>
      <c r="D3059" s="88" t="s">
        <v>1283</v>
      </c>
      <c r="E3059" s="89">
        <v>35.76</v>
      </c>
      <c r="F3059" s="88" t="s">
        <v>5</v>
      </c>
      <c r="G3059" s="87">
        <f>Table1[[#This Row],[date]]</f>
        <v>45726</v>
      </c>
      <c r="H3059" s="94">
        <f>SUMIF($A$2:A6694,G3059,$E$2:E6694)</f>
        <v>492.3</v>
      </c>
      <c r="I3059" s="93" t="str">
        <f t="shared" si="189"/>
        <v>Monday</v>
      </c>
      <c r="J3059" s="93" t="str">
        <f t="shared" si="190"/>
        <v>March</v>
      </c>
      <c r="K3059" s="93" t="str">
        <f t="shared" si="191"/>
        <v>2025</v>
      </c>
      <c r="L3059" s="6"/>
      <c r="M3059" s="6"/>
      <c r="N3059" s="6"/>
    </row>
    <row r="3060" spans="1:14" x14ac:dyDescent="0.3">
      <c r="A3060" s="92">
        <v>45726</v>
      </c>
      <c r="B3060" s="92" t="str">
        <f t="shared" si="188"/>
        <v>Monday</v>
      </c>
      <c r="C3060" s="93" t="s">
        <v>1381</v>
      </c>
      <c r="D3060" s="93" t="s">
        <v>1165</v>
      </c>
      <c r="E3060" s="94">
        <v>30.86</v>
      </c>
      <c r="F3060" s="93" t="s">
        <v>12</v>
      </c>
      <c r="G3060" s="87">
        <f>Table1[[#This Row],[date]]</f>
        <v>45726</v>
      </c>
      <c r="H3060" s="94">
        <f>SUMIF($A$2:A6695,G3060,$E$2:E6695)</f>
        <v>492.3</v>
      </c>
      <c r="I3060" s="93" t="str">
        <f t="shared" si="189"/>
        <v>Monday</v>
      </c>
      <c r="J3060" s="93" t="str">
        <f t="shared" si="190"/>
        <v>March</v>
      </c>
      <c r="K3060" s="93" t="str">
        <f t="shared" si="191"/>
        <v>2025</v>
      </c>
      <c r="L3060" s="6"/>
      <c r="M3060" s="6"/>
      <c r="N3060" s="6"/>
    </row>
    <row r="3061" spans="1:14" x14ac:dyDescent="0.3">
      <c r="A3061" s="87">
        <v>45726</v>
      </c>
      <c r="B3061" s="87" t="str">
        <f t="shared" si="188"/>
        <v>Monday</v>
      </c>
      <c r="C3061" s="88" t="s">
        <v>1381</v>
      </c>
      <c r="D3061" s="88" t="s">
        <v>1222</v>
      </c>
      <c r="E3061" s="89">
        <v>35.76</v>
      </c>
      <c r="F3061" s="88" t="s">
        <v>7</v>
      </c>
      <c r="G3061" s="87">
        <f>Table1[[#This Row],[date]]</f>
        <v>45726</v>
      </c>
      <c r="H3061" s="94">
        <f>SUMIF($A$2:A6696,G3061,$E$2:E6696)</f>
        <v>492.3</v>
      </c>
      <c r="I3061" s="93" t="str">
        <f t="shared" si="189"/>
        <v>Monday</v>
      </c>
      <c r="J3061" s="93" t="str">
        <f t="shared" si="190"/>
        <v>March</v>
      </c>
      <c r="K3061" s="93" t="str">
        <f t="shared" si="191"/>
        <v>2025</v>
      </c>
      <c r="L3061" s="6"/>
      <c r="M3061" s="6"/>
      <c r="N3061" s="6"/>
    </row>
    <row r="3062" spans="1:14" x14ac:dyDescent="0.3">
      <c r="A3062" s="92">
        <v>45726</v>
      </c>
      <c r="B3062" s="92" t="str">
        <f t="shared" si="188"/>
        <v>Monday</v>
      </c>
      <c r="C3062" s="93" t="s">
        <v>1381</v>
      </c>
      <c r="D3062" s="93" t="s">
        <v>1284</v>
      </c>
      <c r="E3062" s="94">
        <v>35.76</v>
      </c>
      <c r="F3062" s="93" t="s">
        <v>16</v>
      </c>
      <c r="G3062" s="87">
        <f>Table1[[#This Row],[date]]</f>
        <v>45726</v>
      </c>
      <c r="H3062" s="94">
        <f>SUMIF($A$2:A6697,G3062,$E$2:E6697)</f>
        <v>492.3</v>
      </c>
      <c r="I3062" s="93" t="str">
        <f t="shared" si="189"/>
        <v>Monday</v>
      </c>
      <c r="J3062" s="93" t="str">
        <f t="shared" si="190"/>
        <v>March</v>
      </c>
      <c r="K3062" s="93" t="str">
        <f t="shared" si="191"/>
        <v>2025</v>
      </c>
      <c r="L3062" s="6"/>
      <c r="M3062" s="6"/>
      <c r="N3062" s="6"/>
    </row>
    <row r="3063" spans="1:14" x14ac:dyDescent="0.3">
      <c r="A3063" s="87">
        <v>45726</v>
      </c>
      <c r="B3063" s="87" t="str">
        <f t="shared" si="188"/>
        <v>Monday</v>
      </c>
      <c r="C3063" s="88" t="s">
        <v>1381</v>
      </c>
      <c r="D3063" s="88" t="s">
        <v>1285</v>
      </c>
      <c r="E3063" s="89">
        <v>35.76</v>
      </c>
      <c r="F3063" s="88" t="s">
        <v>7</v>
      </c>
      <c r="G3063" s="87">
        <f>Table1[[#This Row],[date]]</f>
        <v>45726</v>
      </c>
      <c r="H3063" s="94">
        <f>SUMIF($A$2:A6698,G3063,$E$2:E6698)</f>
        <v>492.3</v>
      </c>
      <c r="I3063" s="93" t="str">
        <f t="shared" si="189"/>
        <v>Monday</v>
      </c>
      <c r="J3063" s="93" t="str">
        <f t="shared" si="190"/>
        <v>March</v>
      </c>
      <c r="K3063" s="93" t="str">
        <f t="shared" si="191"/>
        <v>2025</v>
      </c>
      <c r="L3063" s="6"/>
      <c r="M3063" s="6"/>
      <c r="N3063" s="6"/>
    </row>
    <row r="3064" spans="1:14" x14ac:dyDescent="0.3">
      <c r="A3064" s="92">
        <v>45726</v>
      </c>
      <c r="B3064" s="92" t="str">
        <f t="shared" si="188"/>
        <v>Monday</v>
      </c>
      <c r="C3064" s="93" t="s">
        <v>1381</v>
      </c>
      <c r="D3064" s="93" t="s">
        <v>1183</v>
      </c>
      <c r="E3064" s="94">
        <v>25.96</v>
      </c>
      <c r="F3064" s="93" t="s">
        <v>9</v>
      </c>
      <c r="G3064" s="87">
        <f>Table1[[#This Row],[date]]</f>
        <v>45726</v>
      </c>
      <c r="H3064" s="94">
        <f>SUMIF($A$2:A6699,G3064,$E$2:E6699)</f>
        <v>492.3</v>
      </c>
      <c r="I3064" s="93" t="str">
        <f t="shared" si="189"/>
        <v>Monday</v>
      </c>
      <c r="J3064" s="93" t="str">
        <f t="shared" si="190"/>
        <v>March</v>
      </c>
      <c r="K3064" s="93" t="str">
        <f t="shared" si="191"/>
        <v>2025</v>
      </c>
      <c r="L3064" s="6"/>
      <c r="M3064" s="6"/>
      <c r="N3064" s="6"/>
    </row>
    <row r="3065" spans="1:14" x14ac:dyDescent="0.3">
      <c r="A3065" s="87">
        <v>45726</v>
      </c>
      <c r="B3065" s="87" t="str">
        <f t="shared" si="188"/>
        <v>Monday</v>
      </c>
      <c r="C3065" s="88" t="s">
        <v>1381</v>
      </c>
      <c r="D3065" s="88" t="s">
        <v>1182</v>
      </c>
      <c r="E3065" s="89">
        <v>25.96</v>
      </c>
      <c r="F3065" s="88" t="s">
        <v>9</v>
      </c>
      <c r="G3065" s="87">
        <f>Table1[[#This Row],[date]]</f>
        <v>45726</v>
      </c>
      <c r="H3065" s="94">
        <f>SUMIF($A$2:A6700,G3065,$E$2:E6700)</f>
        <v>492.3</v>
      </c>
      <c r="I3065" s="93" t="str">
        <f t="shared" si="189"/>
        <v>Monday</v>
      </c>
      <c r="J3065" s="93" t="str">
        <f t="shared" si="190"/>
        <v>March</v>
      </c>
      <c r="K3065" s="93" t="str">
        <f t="shared" si="191"/>
        <v>2025</v>
      </c>
      <c r="L3065" s="6"/>
      <c r="M3065" s="6"/>
      <c r="N3065" s="6"/>
    </row>
    <row r="3066" spans="1:14" x14ac:dyDescent="0.3">
      <c r="A3066" s="92">
        <v>45726</v>
      </c>
      <c r="B3066" s="92" t="str">
        <f t="shared" si="188"/>
        <v>Monday</v>
      </c>
      <c r="C3066" s="93" t="s">
        <v>1381</v>
      </c>
      <c r="D3066" s="93" t="s">
        <v>1224</v>
      </c>
      <c r="E3066" s="94">
        <v>35.76</v>
      </c>
      <c r="F3066" s="93" t="s">
        <v>7</v>
      </c>
      <c r="G3066" s="87">
        <f>Table1[[#This Row],[date]]</f>
        <v>45726</v>
      </c>
      <c r="H3066" s="94">
        <f>SUMIF($A$2:A6701,G3066,$E$2:E6701)</f>
        <v>492.3</v>
      </c>
      <c r="I3066" s="93" t="str">
        <f t="shared" si="189"/>
        <v>Monday</v>
      </c>
      <c r="J3066" s="93" t="str">
        <f t="shared" si="190"/>
        <v>March</v>
      </c>
      <c r="K3066" s="93" t="str">
        <f t="shared" si="191"/>
        <v>2025</v>
      </c>
      <c r="L3066" s="6"/>
      <c r="M3066" s="6"/>
      <c r="N3066" s="6"/>
    </row>
    <row r="3067" spans="1:14" x14ac:dyDescent="0.3">
      <c r="A3067" s="87">
        <v>45726</v>
      </c>
      <c r="B3067" s="87" t="str">
        <f t="shared" si="188"/>
        <v>Monday</v>
      </c>
      <c r="C3067" s="88" t="s">
        <v>1381</v>
      </c>
      <c r="D3067" s="88" t="s">
        <v>1203</v>
      </c>
      <c r="E3067" s="89">
        <v>35.76</v>
      </c>
      <c r="F3067" s="88" t="s">
        <v>5</v>
      </c>
      <c r="G3067" s="87">
        <f>Table1[[#This Row],[date]]</f>
        <v>45726</v>
      </c>
      <c r="H3067" s="94">
        <f>SUMIF($A$2:A6702,G3067,$E$2:E6702)</f>
        <v>492.3</v>
      </c>
      <c r="I3067" s="93" t="str">
        <f t="shared" si="189"/>
        <v>Monday</v>
      </c>
      <c r="J3067" s="93" t="str">
        <f t="shared" si="190"/>
        <v>March</v>
      </c>
      <c r="K3067" s="93" t="str">
        <f t="shared" si="191"/>
        <v>2025</v>
      </c>
      <c r="L3067" s="6"/>
      <c r="M3067" s="6"/>
      <c r="N3067" s="6"/>
    </row>
    <row r="3068" spans="1:14" x14ac:dyDescent="0.3">
      <c r="A3068" s="92">
        <v>45726</v>
      </c>
      <c r="B3068" s="92" t="str">
        <f t="shared" si="188"/>
        <v>Monday</v>
      </c>
      <c r="C3068" s="93" t="s">
        <v>1381</v>
      </c>
      <c r="D3068" s="93" t="s">
        <v>1177</v>
      </c>
      <c r="E3068" s="94">
        <v>35.76</v>
      </c>
      <c r="F3068" s="93" t="s">
        <v>5</v>
      </c>
      <c r="G3068" s="87">
        <f>Table1[[#This Row],[date]]</f>
        <v>45726</v>
      </c>
      <c r="H3068" s="94">
        <f>SUMIF($A$2:A6703,G3068,$E$2:E6703)</f>
        <v>492.3</v>
      </c>
      <c r="I3068" s="93" t="str">
        <f t="shared" si="189"/>
        <v>Monday</v>
      </c>
      <c r="J3068" s="93" t="str">
        <f t="shared" si="190"/>
        <v>March</v>
      </c>
      <c r="K3068" s="93" t="str">
        <f t="shared" si="191"/>
        <v>2025</v>
      </c>
      <c r="L3068" s="6"/>
      <c r="M3068" s="6"/>
      <c r="N3068" s="6"/>
    </row>
    <row r="3069" spans="1:14" x14ac:dyDescent="0.3">
      <c r="A3069" s="87">
        <v>45726</v>
      </c>
      <c r="B3069" s="87" t="str">
        <f t="shared" si="188"/>
        <v>Monday</v>
      </c>
      <c r="C3069" s="88" t="s">
        <v>1381</v>
      </c>
      <c r="D3069" s="88" t="s">
        <v>1286</v>
      </c>
      <c r="E3069" s="89">
        <v>35.76</v>
      </c>
      <c r="F3069" s="88" t="s">
        <v>41</v>
      </c>
      <c r="G3069" s="87">
        <f>Table1[[#This Row],[date]]</f>
        <v>45726</v>
      </c>
      <c r="H3069" s="94">
        <f>SUMIF($A$2:A6704,G3069,$E$2:E6704)</f>
        <v>492.3</v>
      </c>
      <c r="I3069" s="93" t="str">
        <f t="shared" si="189"/>
        <v>Monday</v>
      </c>
      <c r="J3069" s="93" t="str">
        <f t="shared" si="190"/>
        <v>March</v>
      </c>
      <c r="K3069" s="93" t="str">
        <f t="shared" si="191"/>
        <v>2025</v>
      </c>
      <c r="L3069" s="6"/>
      <c r="M3069" s="6"/>
      <c r="N3069" s="6"/>
    </row>
    <row r="3070" spans="1:14" x14ac:dyDescent="0.3">
      <c r="A3070" s="92">
        <v>45726</v>
      </c>
      <c r="B3070" s="92" t="str">
        <f t="shared" si="188"/>
        <v>Monday</v>
      </c>
      <c r="C3070" s="93" t="s">
        <v>1381</v>
      </c>
      <c r="D3070" s="93" t="s">
        <v>1286</v>
      </c>
      <c r="E3070" s="94">
        <v>30.86</v>
      </c>
      <c r="F3070" s="93" t="s">
        <v>12</v>
      </c>
      <c r="G3070" s="87">
        <f>Table1[[#This Row],[date]]</f>
        <v>45726</v>
      </c>
      <c r="H3070" s="94">
        <f>SUMIF($A$2:A6705,G3070,$E$2:E6705)</f>
        <v>492.3</v>
      </c>
      <c r="I3070" s="93" t="str">
        <f t="shared" si="189"/>
        <v>Monday</v>
      </c>
      <c r="J3070" s="93" t="str">
        <f t="shared" si="190"/>
        <v>March</v>
      </c>
      <c r="K3070" s="93" t="str">
        <f t="shared" si="191"/>
        <v>2025</v>
      </c>
      <c r="L3070" s="6"/>
      <c r="M3070" s="6"/>
      <c r="N3070" s="6"/>
    </row>
    <row r="3071" spans="1:14" x14ac:dyDescent="0.3">
      <c r="A3071" s="92">
        <v>45726</v>
      </c>
      <c r="B3071" s="92" t="str">
        <f t="shared" si="188"/>
        <v>Monday</v>
      </c>
      <c r="C3071" s="93" t="s">
        <v>1381</v>
      </c>
      <c r="D3071" s="93" t="s">
        <v>1269</v>
      </c>
      <c r="E3071" s="94">
        <v>35.76</v>
      </c>
      <c r="F3071" s="93" t="s">
        <v>5</v>
      </c>
      <c r="G3071" s="87">
        <f>Table1[[#This Row],[date]]</f>
        <v>45726</v>
      </c>
      <c r="H3071" s="94">
        <f>SUMIF($A$2:A6706,G3071,$E$2:E6706)</f>
        <v>492.3</v>
      </c>
      <c r="I3071" s="93" t="str">
        <f t="shared" si="189"/>
        <v>Monday</v>
      </c>
      <c r="J3071" s="93" t="str">
        <f t="shared" si="190"/>
        <v>March</v>
      </c>
      <c r="K3071" s="93" t="str">
        <f t="shared" si="191"/>
        <v>2025</v>
      </c>
      <c r="L3071" s="6"/>
      <c r="M3071" s="6"/>
      <c r="N3071" s="6"/>
    </row>
    <row r="3072" spans="1:14" x14ac:dyDescent="0.3">
      <c r="A3072" s="92">
        <v>45726</v>
      </c>
      <c r="B3072" s="92" t="str">
        <f t="shared" si="188"/>
        <v>Monday</v>
      </c>
      <c r="C3072" s="93" t="s">
        <v>1381</v>
      </c>
      <c r="D3072" s="93" t="s">
        <v>1169</v>
      </c>
      <c r="E3072" s="94">
        <v>30.86</v>
      </c>
      <c r="F3072" s="93" t="s">
        <v>12</v>
      </c>
      <c r="G3072" s="87">
        <f>Table1[[#This Row],[date]]</f>
        <v>45726</v>
      </c>
      <c r="H3072" s="94">
        <f>SUMIF($A$2:A6707,G3072,$E$2:E6707)</f>
        <v>492.3</v>
      </c>
      <c r="I3072" s="93" t="str">
        <f t="shared" si="189"/>
        <v>Monday</v>
      </c>
      <c r="J3072" s="93" t="str">
        <f t="shared" si="190"/>
        <v>March</v>
      </c>
      <c r="K3072" s="93" t="str">
        <f t="shared" si="191"/>
        <v>2025</v>
      </c>
      <c r="L3072" s="6"/>
      <c r="M3072" s="6"/>
      <c r="N3072" s="6"/>
    </row>
    <row r="3073" spans="1:14" x14ac:dyDescent="0.3">
      <c r="A3073" s="87">
        <v>45727</v>
      </c>
      <c r="B3073" s="87" t="str">
        <f t="shared" si="188"/>
        <v>Tuesday</v>
      </c>
      <c r="C3073" s="88" t="s">
        <v>1381</v>
      </c>
      <c r="D3073" s="88" t="s">
        <v>1182</v>
      </c>
      <c r="E3073" s="89">
        <v>25.96</v>
      </c>
      <c r="F3073" s="88" t="s">
        <v>9</v>
      </c>
      <c r="G3073" s="87">
        <f>Table1[[#This Row],[date]]</f>
        <v>45727</v>
      </c>
      <c r="H3073" s="94">
        <f>SUMIF($A$2:A6708,G3073,$E$2:E6708)</f>
        <v>368.85999999999996</v>
      </c>
      <c r="I3073" s="93" t="str">
        <f t="shared" si="189"/>
        <v>Tuesday</v>
      </c>
      <c r="J3073" s="93" t="str">
        <f t="shared" si="190"/>
        <v>March</v>
      </c>
      <c r="K3073" s="93" t="str">
        <f t="shared" si="191"/>
        <v>2025</v>
      </c>
      <c r="L3073" s="6"/>
      <c r="M3073" s="6"/>
      <c r="N3073" s="6"/>
    </row>
    <row r="3074" spans="1:14" x14ac:dyDescent="0.3">
      <c r="A3074" s="92">
        <v>45727</v>
      </c>
      <c r="B3074" s="92" t="str">
        <f t="shared" ref="B3074:B3137" si="192">TEXT(A3074,"dddd")</f>
        <v>Tuesday</v>
      </c>
      <c r="C3074" s="93" t="s">
        <v>1381</v>
      </c>
      <c r="D3074" s="93" t="s">
        <v>1175</v>
      </c>
      <c r="E3074" s="94">
        <v>35.76</v>
      </c>
      <c r="F3074" s="93" t="s">
        <v>41</v>
      </c>
      <c r="G3074" s="87">
        <f>Table1[[#This Row],[date]]</f>
        <v>45727</v>
      </c>
      <c r="H3074" s="94">
        <f>SUMIF($A$2:A6709,G3074,$E$2:E6709)</f>
        <v>368.85999999999996</v>
      </c>
      <c r="I3074" s="93" t="str">
        <f t="shared" si="189"/>
        <v>Tuesday</v>
      </c>
      <c r="J3074" s="93" t="str">
        <f t="shared" si="190"/>
        <v>March</v>
      </c>
      <c r="K3074" s="93" t="str">
        <f t="shared" si="191"/>
        <v>2025</v>
      </c>
      <c r="L3074" s="6"/>
      <c r="M3074" s="6"/>
      <c r="N3074" s="6"/>
    </row>
    <row r="3075" spans="1:14" x14ac:dyDescent="0.3">
      <c r="A3075" s="87">
        <v>45727</v>
      </c>
      <c r="B3075" s="87" t="str">
        <f t="shared" si="192"/>
        <v>Tuesday</v>
      </c>
      <c r="C3075" s="88" t="s">
        <v>1381</v>
      </c>
      <c r="D3075" s="88" t="s">
        <v>1287</v>
      </c>
      <c r="E3075" s="89">
        <v>35.76</v>
      </c>
      <c r="F3075" s="88" t="s">
        <v>5</v>
      </c>
      <c r="G3075" s="87">
        <f>Table1[[#This Row],[date]]</f>
        <v>45727</v>
      </c>
      <c r="H3075" s="94">
        <f>SUMIF($A$2:A6710,G3075,$E$2:E6710)</f>
        <v>368.85999999999996</v>
      </c>
      <c r="I3075" s="93" t="str">
        <f t="shared" si="189"/>
        <v>Tuesday</v>
      </c>
      <c r="J3075" s="93" t="str">
        <f t="shared" si="190"/>
        <v>March</v>
      </c>
      <c r="K3075" s="93" t="str">
        <f t="shared" si="191"/>
        <v>2025</v>
      </c>
      <c r="L3075" s="6"/>
      <c r="M3075" s="6"/>
      <c r="N3075" s="6"/>
    </row>
    <row r="3076" spans="1:14" x14ac:dyDescent="0.3">
      <c r="A3076" s="92">
        <v>45727</v>
      </c>
      <c r="B3076" s="92" t="str">
        <f t="shared" si="192"/>
        <v>Tuesday</v>
      </c>
      <c r="C3076" s="93" t="s">
        <v>1381</v>
      </c>
      <c r="D3076" s="93" t="s">
        <v>1183</v>
      </c>
      <c r="E3076" s="94">
        <v>25.96</v>
      </c>
      <c r="F3076" s="93" t="s">
        <v>9</v>
      </c>
      <c r="G3076" s="87">
        <f>Table1[[#This Row],[date]]</f>
        <v>45727</v>
      </c>
      <c r="H3076" s="94">
        <f>SUMIF($A$2:A6711,G3076,$E$2:E6711)</f>
        <v>368.85999999999996</v>
      </c>
      <c r="I3076" s="93" t="str">
        <f t="shared" si="189"/>
        <v>Tuesday</v>
      </c>
      <c r="J3076" s="93" t="str">
        <f t="shared" si="190"/>
        <v>March</v>
      </c>
      <c r="K3076" s="93" t="str">
        <f t="shared" si="191"/>
        <v>2025</v>
      </c>
      <c r="L3076" s="6"/>
      <c r="M3076" s="6"/>
      <c r="N3076" s="6"/>
    </row>
    <row r="3077" spans="1:14" x14ac:dyDescent="0.3">
      <c r="A3077" s="87">
        <v>45727</v>
      </c>
      <c r="B3077" s="87" t="str">
        <f t="shared" si="192"/>
        <v>Tuesday</v>
      </c>
      <c r="C3077" s="88" t="s">
        <v>1381</v>
      </c>
      <c r="D3077" s="88" t="s">
        <v>1288</v>
      </c>
      <c r="E3077" s="89">
        <v>35.76</v>
      </c>
      <c r="F3077" s="88" t="s">
        <v>7</v>
      </c>
      <c r="G3077" s="87">
        <f>Table1[[#This Row],[date]]</f>
        <v>45727</v>
      </c>
      <c r="H3077" s="94">
        <f>SUMIF($A$2:A6712,G3077,$E$2:E6712)</f>
        <v>368.85999999999996</v>
      </c>
      <c r="I3077" s="93" t="str">
        <f t="shared" si="189"/>
        <v>Tuesday</v>
      </c>
      <c r="J3077" s="93" t="str">
        <f t="shared" si="190"/>
        <v>March</v>
      </c>
      <c r="K3077" s="93" t="str">
        <f t="shared" si="191"/>
        <v>2025</v>
      </c>
      <c r="L3077" s="6"/>
      <c r="M3077" s="6"/>
      <c r="N3077" s="6"/>
    </row>
    <row r="3078" spans="1:14" x14ac:dyDescent="0.3">
      <c r="A3078" s="92">
        <v>45727</v>
      </c>
      <c r="B3078" s="92" t="str">
        <f t="shared" si="192"/>
        <v>Tuesday</v>
      </c>
      <c r="C3078" s="93" t="s">
        <v>1381</v>
      </c>
      <c r="D3078" s="93" t="s">
        <v>1288</v>
      </c>
      <c r="E3078" s="94">
        <v>35.76</v>
      </c>
      <c r="F3078" s="93" t="s">
        <v>16</v>
      </c>
      <c r="G3078" s="87">
        <f>Table1[[#This Row],[date]]</f>
        <v>45727</v>
      </c>
      <c r="H3078" s="94">
        <f>SUMIF($A$2:A6713,G3078,$E$2:E6713)</f>
        <v>368.85999999999996</v>
      </c>
      <c r="I3078" s="93" t="str">
        <f t="shared" ref="I3078:I3141" si="193">TEXT(G3078,"dddd")</f>
        <v>Tuesday</v>
      </c>
      <c r="J3078" s="93" t="str">
        <f t="shared" si="190"/>
        <v>March</v>
      </c>
      <c r="K3078" s="93" t="str">
        <f t="shared" si="191"/>
        <v>2025</v>
      </c>
      <c r="L3078" s="6"/>
      <c r="M3078" s="6"/>
      <c r="N3078" s="6"/>
    </row>
    <row r="3079" spans="1:14" x14ac:dyDescent="0.3">
      <c r="A3079" s="87">
        <v>45727</v>
      </c>
      <c r="B3079" s="87" t="str">
        <f t="shared" si="192"/>
        <v>Tuesday</v>
      </c>
      <c r="C3079" s="88" t="s">
        <v>1381</v>
      </c>
      <c r="D3079" s="88" t="s">
        <v>1222</v>
      </c>
      <c r="E3079" s="89">
        <v>35.76</v>
      </c>
      <c r="F3079" s="88" t="s">
        <v>7</v>
      </c>
      <c r="G3079" s="87">
        <f>Table1[[#This Row],[date]]</f>
        <v>45727</v>
      </c>
      <c r="H3079" s="94">
        <f>SUMIF($A$2:A6714,G3079,$E$2:E6714)</f>
        <v>368.85999999999996</v>
      </c>
      <c r="I3079" s="93" t="str">
        <f t="shared" si="193"/>
        <v>Tuesday</v>
      </c>
      <c r="J3079" s="93" t="str">
        <f t="shared" ref="J3079:J3142" si="194">TEXT(G3079,"mmmm")</f>
        <v>March</v>
      </c>
      <c r="K3079" s="93" t="str">
        <f t="shared" ref="K3079:K3142" si="195">TEXT(G3079,"yyyy")</f>
        <v>2025</v>
      </c>
      <c r="L3079" s="6"/>
      <c r="M3079" s="6"/>
      <c r="N3079" s="6"/>
    </row>
    <row r="3080" spans="1:14" x14ac:dyDescent="0.3">
      <c r="A3080" s="92">
        <v>45727</v>
      </c>
      <c r="B3080" s="92" t="str">
        <f t="shared" si="192"/>
        <v>Tuesday</v>
      </c>
      <c r="C3080" s="93" t="s">
        <v>1381</v>
      </c>
      <c r="D3080" s="93" t="s">
        <v>1196</v>
      </c>
      <c r="E3080" s="94">
        <v>35.76</v>
      </c>
      <c r="F3080" s="93" t="s">
        <v>41</v>
      </c>
      <c r="G3080" s="87">
        <f>Table1[[#This Row],[date]]</f>
        <v>45727</v>
      </c>
      <c r="H3080" s="94">
        <f>SUMIF($A$2:A6715,G3080,$E$2:E6715)</f>
        <v>368.85999999999996</v>
      </c>
      <c r="I3080" s="93" t="str">
        <f t="shared" si="193"/>
        <v>Tuesday</v>
      </c>
      <c r="J3080" s="93" t="str">
        <f t="shared" si="194"/>
        <v>March</v>
      </c>
      <c r="K3080" s="93" t="str">
        <f t="shared" si="195"/>
        <v>2025</v>
      </c>
      <c r="L3080" s="6"/>
      <c r="M3080" s="6"/>
      <c r="N3080" s="6"/>
    </row>
    <row r="3081" spans="1:14" x14ac:dyDescent="0.3">
      <c r="A3081" s="87">
        <v>45727</v>
      </c>
      <c r="B3081" s="87" t="str">
        <f t="shared" si="192"/>
        <v>Tuesday</v>
      </c>
      <c r="C3081" s="88" t="s">
        <v>1381</v>
      </c>
      <c r="D3081" s="88" t="s">
        <v>1169</v>
      </c>
      <c r="E3081" s="89">
        <v>30.86</v>
      </c>
      <c r="F3081" s="88" t="s">
        <v>12</v>
      </c>
      <c r="G3081" s="87">
        <f>Table1[[#This Row],[date]]</f>
        <v>45727</v>
      </c>
      <c r="H3081" s="94">
        <f>SUMIF($A$2:A6716,G3081,$E$2:E6716)</f>
        <v>368.85999999999996</v>
      </c>
      <c r="I3081" s="93" t="str">
        <f t="shared" si="193"/>
        <v>Tuesday</v>
      </c>
      <c r="J3081" s="93" t="str">
        <f t="shared" si="194"/>
        <v>March</v>
      </c>
      <c r="K3081" s="93" t="str">
        <f t="shared" si="195"/>
        <v>2025</v>
      </c>
      <c r="L3081" s="6"/>
      <c r="M3081" s="6"/>
      <c r="N3081" s="6"/>
    </row>
    <row r="3082" spans="1:14" x14ac:dyDescent="0.3">
      <c r="A3082" s="92">
        <v>45727</v>
      </c>
      <c r="B3082" s="92" t="str">
        <f t="shared" si="192"/>
        <v>Tuesday</v>
      </c>
      <c r="C3082" s="93" t="s">
        <v>1381</v>
      </c>
      <c r="D3082" s="93" t="s">
        <v>1221</v>
      </c>
      <c r="E3082" s="94">
        <v>35.76</v>
      </c>
      <c r="F3082" s="93" t="s">
        <v>5</v>
      </c>
      <c r="G3082" s="87">
        <f>Table1[[#This Row],[date]]</f>
        <v>45727</v>
      </c>
      <c r="H3082" s="94">
        <f>SUMIF($A$2:A6717,G3082,$E$2:E6717)</f>
        <v>368.85999999999996</v>
      </c>
      <c r="I3082" s="93" t="str">
        <f t="shared" si="193"/>
        <v>Tuesday</v>
      </c>
      <c r="J3082" s="93" t="str">
        <f t="shared" si="194"/>
        <v>March</v>
      </c>
      <c r="K3082" s="93" t="str">
        <f t="shared" si="195"/>
        <v>2025</v>
      </c>
      <c r="L3082" s="6"/>
      <c r="M3082" s="6"/>
      <c r="N3082" s="6"/>
    </row>
    <row r="3083" spans="1:14" x14ac:dyDescent="0.3">
      <c r="A3083" s="87">
        <v>45727</v>
      </c>
      <c r="B3083" s="87" t="str">
        <f t="shared" si="192"/>
        <v>Tuesday</v>
      </c>
      <c r="C3083" s="88" t="s">
        <v>1381</v>
      </c>
      <c r="D3083" s="88" t="s">
        <v>1197</v>
      </c>
      <c r="E3083" s="89">
        <v>35.76</v>
      </c>
      <c r="F3083" s="88" t="s">
        <v>16</v>
      </c>
      <c r="G3083" s="87">
        <f>Table1[[#This Row],[date]]</f>
        <v>45727</v>
      </c>
      <c r="H3083" s="94">
        <f>SUMIF($A$2:A6718,G3083,$E$2:E6718)</f>
        <v>368.85999999999996</v>
      </c>
      <c r="I3083" s="93" t="str">
        <f t="shared" si="193"/>
        <v>Tuesday</v>
      </c>
      <c r="J3083" s="93" t="str">
        <f t="shared" si="194"/>
        <v>March</v>
      </c>
      <c r="K3083" s="93" t="str">
        <f t="shared" si="195"/>
        <v>2025</v>
      </c>
      <c r="L3083" s="6"/>
      <c r="M3083" s="6"/>
      <c r="N3083" s="6"/>
    </row>
    <row r="3084" spans="1:14" x14ac:dyDescent="0.3">
      <c r="A3084" s="92">
        <v>45728</v>
      </c>
      <c r="B3084" s="92" t="str">
        <f t="shared" si="192"/>
        <v>Wednesday</v>
      </c>
      <c r="C3084" s="93" t="s">
        <v>1381</v>
      </c>
      <c r="D3084" s="93" t="s">
        <v>1289</v>
      </c>
      <c r="E3084" s="94">
        <v>35.76</v>
      </c>
      <c r="F3084" s="93" t="s">
        <v>16</v>
      </c>
      <c r="G3084" s="87">
        <f>Table1[[#This Row],[date]]</f>
        <v>45728</v>
      </c>
      <c r="H3084" s="94">
        <f>SUMIF($A$2:A6719,G3084,$E$2:E6719)</f>
        <v>492.2999999999999</v>
      </c>
      <c r="I3084" s="93" t="str">
        <f t="shared" si="193"/>
        <v>Wednesday</v>
      </c>
      <c r="J3084" s="93" t="str">
        <f t="shared" si="194"/>
        <v>March</v>
      </c>
      <c r="K3084" s="93" t="str">
        <f t="shared" si="195"/>
        <v>2025</v>
      </c>
      <c r="L3084" s="6"/>
      <c r="M3084" s="6"/>
      <c r="N3084" s="6"/>
    </row>
    <row r="3085" spans="1:14" x14ac:dyDescent="0.3">
      <c r="A3085" s="87">
        <v>45728</v>
      </c>
      <c r="B3085" s="87" t="str">
        <f t="shared" si="192"/>
        <v>Wednesday</v>
      </c>
      <c r="C3085" s="88" t="s">
        <v>1381</v>
      </c>
      <c r="D3085" s="88" t="s">
        <v>1173</v>
      </c>
      <c r="E3085" s="89">
        <v>30.86</v>
      </c>
      <c r="F3085" s="88" t="s">
        <v>12</v>
      </c>
      <c r="G3085" s="87">
        <f>Table1[[#This Row],[date]]</f>
        <v>45728</v>
      </c>
      <c r="H3085" s="94">
        <f>SUMIF($A$2:A6720,G3085,$E$2:E6720)</f>
        <v>492.2999999999999</v>
      </c>
      <c r="I3085" s="93" t="str">
        <f t="shared" si="193"/>
        <v>Wednesday</v>
      </c>
      <c r="J3085" s="93" t="str">
        <f t="shared" si="194"/>
        <v>March</v>
      </c>
      <c r="K3085" s="93" t="str">
        <f t="shared" si="195"/>
        <v>2025</v>
      </c>
      <c r="L3085" s="6"/>
      <c r="M3085" s="6"/>
      <c r="N3085" s="6"/>
    </row>
    <row r="3086" spans="1:14" x14ac:dyDescent="0.3">
      <c r="A3086" s="92">
        <v>45728</v>
      </c>
      <c r="B3086" s="92" t="str">
        <f t="shared" si="192"/>
        <v>Wednesday</v>
      </c>
      <c r="C3086" s="93" t="s">
        <v>1381</v>
      </c>
      <c r="D3086" s="93" t="s">
        <v>1173</v>
      </c>
      <c r="E3086" s="94">
        <v>35.76</v>
      </c>
      <c r="F3086" s="93" t="s">
        <v>41</v>
      </c>
      <c r="G3086" s="87">
        <f>Table1[[#This Row],[date]]</f>
        <v>45728</v>
      </c>
      <c r="H3086" s="94">
        <f>SUMIF($A$2:A6721,G3086,$E$2:E6721)</f>
        <v>492.2999999999999</v>
      </c>
      <c r="I3086" s="93" t="str">
        <f t="shared" si="193"/>
        <v>Wednesday</v>
      </c>
      <c r="J3086" s="93" t="str">
        <f t="shared" si="194"/>
        <v>March</v>
      </c>
      <c r="K3086" s="93" t="str">
        <f t="shared" si="195"/>
        <v>2025</v>
      </c>
      <c r="L3086" s="6"/>
      <c r="M3086" s="6"/>
      <c r="N3086" s="6"/>
    </row>
    <row r="3087" spans="1:14" x14ac:dyDescent="0.3">
      <c r="A3087" s="87">
        <v>45728</v>
      </c>
      <c r="B3087" s="87" t="str">
        <f t="shared" si="192"/>
        <v>Wednesday</v>
      </c>
      <c r="C3087" s="88" t="s">
        <v>1381</v>
      </c>
      <c r="D3087" s="88" t="s">
        <v>1175</v>
      </c>
      <c r="E3087" s="89">
        <v>25.96</v>
      </c>
      <c r="F3087" s="88" t="s">
        <v>9</v>
      </c>
      <c r="G3087" s="87">
        <f>Table1[[#This Row],[date]]</f>
        <v>45728</v>
      </c>
      <c r="H3087" s="94">
        <f>SUMIF($A$2:A6722,G3087,$E$2:E6722)</f>
        <v>492.2999999999999</v>
      </c>
      <c r="I3087" s="93" t="str">
        <f t="shared" si="193"/>
        <v>Wednesday</v>
      </c>
      <c r="J3087" s="93" t="str">
        <f t="shared" si="194"/>
        <v>March</v>
      </c>
      <c r="K3087" s="93" t="str">
        <f t="shared" si="195"/>
        <v>2025</v>
      </c>
      <c r="L3087" s="6"/>
      <c r="M3087" s="6"/>
      <c r="N3087" s="6"/>
    </row>
    <row r="3088" spans="1:14" x14ac:dyDescent="0.3">
      <c r="A3088" s="87">
        <v>45728</v>
      </c>
      <c r="B3088" s="87" t="str">
        <f t="shared" si="192"/>
        <v>Wednesday</v>
      </c>
      <c r="C3088" s="88" t="s">
        <v>1381</v>
      </c>
      <c r="D3088" s="88" t="s">
        <v>1290</v>
      </c>
      <c r="E3088" s="89">
        <v>25.96</v>
      </c>
      <c r="F3088" s="88" t="s">
        <v>9</v>
      </c>
      <c r="G3088" s="87">
        <f>Table1[[#This Row],[date]]</f>
        <v>45728</v>
      </c>
      <c r="H3088" s="94">
        <f>SUMIF($A$2:A6723,G3088,$E$2:E6723)</f>
        <v>492.2999999999999</v>
      </c>
      <c r="I3088" s="93" t="str">
        <f t="shared" si="193"/>
        <v>Wednesday</v>
      </c>
      <c r="J3088" s="93" t="str">
        <f t="shared" si="194"/>
        <v>March</v>
      </c>
      <c r="K3088" s="93" t="str">
        <f t="shared" si="195"/>
        <v>2025</v>
      </c>
      <c r="L3088" s="6"/>
      <c r="M3088" s="6"/>
      <c r="N3088" s="6"/>
    </row>
    <row r="3089" spans="1:14" x14ac:dyDescent="0.3">
      <c r="A3089" s="92">
        <v>45728</v>
      </c>
      <c r="B3089" s="92" t="str">
        <f t="shared" si="192"/>
        <v>Wednesday</v>
      </c>
      <c r="C3089" s="93" t="s">
        <v>1381</v>
      </c>
      <c r="D3089" s="93" t="s">
        <v>1291</v>
      </c>
      <c r="E3089" s="94">
        <v>35.76</v>
      </c>
      <c r="F3089" s="93" t="s">
        <v>7</v>
      </c>
      <c r="G3089" s="87">
        <f>Table1[[#This Row],[date]]</f>
        <v>45728</v>
      </c>
      <c r="H3089" s="94">
        <f>SUMIF($A$2:A6724,G3089,$E$2:E6724)</f>
        <v>492.2999999999999</v>
      </c>
      <c r="I3089" s="93" t="str">
        <f t="shared" si="193"/>
        <v>Wednesday</v>
      </c>
      <c r="J3089" s="93" t="str">
        <f t="shared" si="194"/>
        <v>March</v>
      </c>
      <c r="K3089" s="93" t="str">
        <f t="shared" si="195"/>
        <v>2025</v>
      </c>
      <c r="L3089" s="6"/>
      <c r="M3089" s="6"/>
      <c r="N3089" s="6"/>
    </row>
    <row r="3090" spans="1:14" x14ac:dyDescent="0.3">
      <c r="A3090" s="87">
        <v>45728</v>
      </c>
      <c r="B3090" s="87" t="str">
        <f t="shared" si="192"/>
        <v>Wednesday</v>
      </c>
      <c r="C3090" s="88" t="s">
        <v>1381</v>
      </c>
      <c r="D3090" s="88" t="s">
        <v>1292</v>
      </c>
      <c r="E3090" s="89">
        <v>35.76</v>
      </c>
      <c r="F3090" s="88" t="s">
        <v>5</v>
      </c>
      <c r="G3090" s="87">
        <f>Table1[[#This Row],[date]]</f>
        <v>45728</v>
      </c>
      <c r="H3090" s="94">
        <f>SUMIF($A$2:A6725,G3090,$E$2:E6725)</f>
        <v>492.2999999999999</v>
      </c>
      <c r="I3090" s="93" t="str">
        <f t="shared" si="193"/>
        <v>Wednesday</v>
      </c>
      <c r="J3090" s="93" t="str">
        <f t="shared" si="194"/>
        <v>March</v>
      </c>
      <c r="K3090" s="93" t="str">
        <f t="shared" si="195"/>
        <v>2025</v>
      </c>
      <c r="L3090" s="6"/>
      <c r="M3090" s="6"/>
      <c r="N3090" s="6"/>
    </row>
    <row r="3091" spans="1:14" x14ac:dyDescent="0.3">
      <c r="A3091" s="92">
        <v>45728</v>
      </c>
      <c r="B3091" s="92" t="str">
        <f t="shared" si="192"/>
        <v>Wednesday</v>
      </c>
      <c r="C3091" s="93" t="s">
        <v>1381</v>
      </c>
      <c r="D3091" s="93" t="s">
        <v>1211</v>
      </c>
      <c r="E3091" s="94">
        <v>35.76</v>
      </c>
      <c r="F3091" s="93" t="s">
        <v>5</v>
      </c>
      <c r="G3091" s="87">
        <f>Table1[[#This Row],[date]]</f>
        <v>45728</v>
      </c>
      <c r="H3091" s="94">
        <f>SUMIF($A$2:A6726,G3091,$E$2:E6726)</f>
        <v>492.2999999999999</v>
      </c>
      <c r="I3091" s="93" t="str">
        <f t="shared" si="193"/>
        <v>Wednesday</v>
      </c>
      <c r="J3091" s="93" t="str">
        <f t="shared" si="194"/>
        <v>March</v>
      </c>
      <c r="K3091" s="93" t="str">
        <f t="shared" si="195"/>
        <v>2025</v>
      </c>
      <c r="L3091" s="6"/>
      <c r="M3091" s="6"/>
      <c r="N3091" s="6"/>
    </row>
    <row r="3092" spans="1:14" x14ac:dyDescent="0.3">
      <c r="A3092" s="87">
        <v>45728</v>
      </c>
      <c r="B3092" s="87" t="str">
        <f t="shared" si="192"/>
        <v>Wednesday</v>
      </c>
      <c r="C3092" s="88" t="s">
        <v>1381</v>
      </c>
      <c r="D3092" s="88" t="s">
        <v>1293</v>
      </c>
      <c r="E3092" s="89">
        <v>35.76</v>
      </c>
      <c r="F3092" s="88" t="s">
        <v>41</v>
      </c>
      <c r="G3092" s="87">
        <f>Table1[[#This Row],[date]]</f>
        <v>45728</v>
      </c>
      <c r="H3092" s="94">
        <f>SUMIF($A$2:A6727,G3092,$E$2:E6727)</f>
        <v>492.2999999999999</v>
      </c>
      <c r="I3092" s="93" t="str">
        <f t="shared" si="193"/>
        <v>Wednesday</v>
      </c>
      <c r="J3092" s="93" t="str">
        <f t="shared" si="194"/>
        <v>March</v>
      </c>
      <c r="K3092" s="93" t="str">
        <f t="shared" si="195"/>
        <v>2025</v>
      </c>
      <c r="L3092" s="6"/>
      <c r="M3092" s="6"/>
      <c r="N3092" s="6"/>
    </row>
    <row r="3093" spans="1:14" x14ac:dyDescent="0.3">
      <c r="A3093" s="92">
        <v>45728</v>
      </c>
      <c r="B3093" s="92" t="str">
        <f t="shared" si="192"/>
        <v>Wednesday</v>
      </c>
      <c r="C3093" s="93" t="s">
        <v>1381</v>
      </c>
      <c r="D3093" s="93" t="s">
        <v>1203</v>
      </c>
      <c r="E3093" s="94">
        <v>35.76</v>
      </c>
      <c r="F3093" s="93" t="s">
        <v>5</v>
      </c>
      <c r="G3093" s="87">
        <f>Table1[[#This Row],[date]]</f>
        <v>45728</v>
      </c>
      <c r="H3093" s="94">
        <f>SUMIF($A$2:A6728,G3093,$E$2:E6728)</f>
        <v>492.2999999999999</v>
      </c>
      <c r="I3093" s="93" t="str">
        <f t="shared" si="193"/>
        <v>Wednesday</v>
      </c>
      <c r="J3093" s="93" t="str">
        <f t="shared" si="194"/>
        <v>March</v>
      </c>
      <c r="K3093" s="93" t="str">
        <f t="shared" si="195"/>
        <v>2025</v>
      </c>
      <c r="L3093" s="6"/>
      <c r="M3093" s="6"/>
      <c r="N3093" s="6"/>
    </row>
    <row r="3094" spans="1:14" x14ac:dyDescent="0.3">
      <c r="A3094" s="87">
        <v>45728</v>
      </c>
      <c r="B3094" s="87" t="str">
        <f t="shared" si="192"/>
        <v>Wednesday</v>
      </c>
      <c r="C3094" s="88" t="s">
        <v>1381</v>
      </c>
      <c r="D3094" s="88" t="s">
        <v>1177</v>
      </c>
      <c r="E3094" s="89">
        <v>35.76</v>
      </c>
      <c r="F3094" s="88" t="s">
        <v>5</v>
      </c>
      <c r="G3094" s="87">
        <f>Table1[[#This Row],[date]]</f>
        <v>45728</v>
      </c>
      <c r="H3094" s="94">
        <f>SUMIF($A$2:A6729,G3094,$E$2:E6729)</f>
        <v>492.2999999999999</v>
      </c>
      <c r="I3094" s="93" t="str">
        <f t="shared" si="193"/>
        <v>Wednesday</v>
      </c>
      <c r="J3094" s="93" t="str">
        <f t="shared" si="194"/>
        <v>March</v>
      </c>
      <c r="K3094" s="93" t="str">
        <f t="shared" si="195"/>
        <v>2025</v>
      </c>
      <c r="L3094" s="6"/>
      <c r="M3094" s="6"/>
      <c r="N3094" s="6"/>
    </row>
    <row r="3095" spans="1:14" x14ac:dyDescent="0.3">
      <c r="A3095" s="92">
        <v>45728</v>
      </c>
      <c r="B3095" s="92" t="str">
        <f t="shared" si="192"/>
        <v>Wednesday</v>
      </c>
      <c r="C3095" s="93" t="s">
        <v>1381</v>
      </c>
      <c r="D3095" s="93" t="s">
        <v>1182</v>
      </c>
      <c r="E3095" s="94">
        <v>25.96</v>
      </c>
      <c r="F3095" s="93" t="s">
        <v>9</v>
      </c>
      <c r="G3095" s="87">
        <f>Table1[[#This Row],[date]]</f>
        <v>45728</v>
      </c>
      <c r="H3095" s="94">
        <f>SUMIF($A$2:A6730,G3095,$E$2:E6730)</f>
        <v>492.2999999999999</v>
      </c>
      <c r="I3095" s="93" t="str">
        <f t="shared" si="193"/>
        <v>Wednesday</v>
      </c>
      <c r="J3095" s="93" t="str">
        <f t="shared" si="194"/>
        <v>March</v>
      </c>
      <c r="K3095" s="93" t="str">
        <f t="shared" si="195"/>
        <v>2025</v>
      </c>
      <c r="L3095" s="6"/>
      <c r="M3095" s="6"/>
      <c r="N3095" s="6"/>
    </row>
    <row r="3096" spans="1:14" x14ac:dyDescent="0.3">
      <c r="A3096" s="87">
        <v>45728</v>
      </c>
      <c r="B3096" s="87" t="str">
        <f t="shared" si="192"/>
        <v>Wednesday</v>
      </c>
      <c r="C3096" s="88" t="s">
        <v>1381</v>
      </c>
      <c r="D3096" s="88" t="s">
        <v>1276</v>
      </c>
      <c r="E3096" s="89">
        <v>35.76</v>
      </c>
      <c r="F3096" s="88" t="s">
        <v>16</v>
      </c>
      <c r="G3096" s="87">
        <f>Table1[[#This Row],[date]]</f>
        <v>45728</v>
      </c>
      <c r="H3096" s="94">
        <f>SUMIF($A$2:A6731,G3096,$E$2:E6731)</f>
        <v>492.2999999999999</v>
      </c>
      <c r="I3096" s="93" t="str">
        <f t="shared" si="193"/>
        <v>Wednesday</v>
      </c>
      <c r="J3096" s="93" t="str">
        <f t="shared" si="194"/>
        <v>March</v>
      </c>
      <c r="K3096" s="93" t="str">
        <f t="shared" si="195"/>
        <v>2025</v>
      </c>
      <c r="L3096" s="6"/>
      <c r="M3096" s="6"/>
      <c r="N3096" s="6"/>
    </row>
    <row r="3097" spans="1:14" x14ac:dyDescent="0.3">
      <c r="A3097" s="92">
        <v>45728</v>
      </c>
      <c r="B3097" s="92" t="str">
        <f t="shared" si="192"/>
        <v>Wednesday</v>
      </c>
      <c r="C3097" s="93" t="s">
        <v>1381</v>
      </c>
      <c r="D3097" s="93" t="s">
        <v>1294</v>
      </c>
      <c r="E3097" s="94">
        <v>25.96</v>
      </c>
      <c r="F3097" s="93" t="s">
        <v>9</v>
      </c>
      <c r="G3097" s="87">
        <f>Table1[[#This Row],[date]]</f>
        <v>45728</v>
      </c>
      <c r="H3097" s="94">
        <f>SUMIF($A$2:A6732,G3097,$E$2:E6732)</f>
        <v>492.2999999999999</v>
      </c>
      <c r="I3097" s="93" t="str">
        <f t="shared" si="193"/>
        <v>Wednesday</v>
      </c>
      <c r="J3097" s="93" t="str">
        <f t="shared" si="194"/>
        <v>March</v>
      </c>
      <c r="K3097" s="93" t="str">
        <f t="shared" si="195"/>
        <v>2025</v>
      </c>
      <c r="L3097" s="6"/>
      <c r="M3097" s="6"/>
      <c r="N3097" s="6"/>
    </row>
    <row r="3098" spans="1:14" x14ac:dyDescent="0.3">
      <c r="A3098" s="87">
        <v>45728</v>
      </c>
      <c r="B3098" s="87" t="str">
        <f t="shared" si="192"/>
        <v>Wednesday</v>
      </c>
      <c r="C3098" s="88" t="s">
        <v>1381</v>
      </c>
      <c r="D3098" s="88" t="s">
        <v>1170</v>
      </c>
      <c r="E3098" s="89">
        <v>35.76</v>
      </c>
      <c r="F3098" s="88" t="s">
        <v>41</v>
      </c>
      <c r="G3098" s="87">
        <f>Table1[[#This Row],[date]]</f>
        <v>45728</v>
      </c>
      <c r="H3098" s="94">
        <f>SUMIF($A$2:A6733,G3098,$E$2:E6733)</f>
        <v>492.2999999999999</v>
      </c>
      <c r="I3098" s="93" t="str">
        <f t="shared" si="193"/>
        <v>Wednesday</v>
      </c>
      <c r="J3098" s="93" t="str">
        <f t="shared" si="194"/>
        <v>March</v>
      </c>
      <c r="K3098" s="93" t="str">
        <f t="shared" si="195"/>
        <v>2025</v>
      </c>
      <c r="L3098" s="6"/>
      <c r="M3098" s="6"/>
      <c r="N3098" s="6"/>
    </row>
    <row r="3099" spans="1:14" x14ac:dyDescent="0.3">
      <c r="A3099" s="87">
        <v>45729</v>
      </c>
      <c r="B3099" s="87" t="str">
        <f t="shared" si="192"/>
        <v>Thursday</v>
      </c>
      <c r="C3099" s="88" t="s">
        <v>1381</v>
      </c>
      <c r="D3099" s="88" t="s">
        <v>1173</v>
      </c>
      <c r="E3099" s="89">
        <v>35.76</v>
      </c>
      <c r="F3099" s="88" t="s">
        <v>41</v>
      </c>
      <c r="G3099" s="87">
        <f>Table1[[#This Row],[date]]</f>
        <v>45729</v>
      </c>
      <c r="H3099" s="94">
        <f>SUMIF($A$2:A6734,G3099,$E$2:E6734)</f>
        <v>365.42</v>
      </c>
      <c r="I3099" s="93" t="str">
        <f t="shared" si="193"/>
        <v>Thursday</v>
      </c>
      <c r="J3099" s="93" t="str">
        <f t="shared" si="194"/>
        <v>March</v>
      </c>
      <c r="K3099" s="93" t="str">
        <f t="shared" si="195"/>
        <v>2025</v>
      </c>
      <c r="L3099" s="6"/>
      <c r="M3099" s="6"/>
      <c r="N3099" s="6"/>
    </row>
    <row r="3100" spans="1:14" x14ac:dyDescent="0.3">
      <c r="A3100" s="92">
        <v>45729</v>
      </c>
      <c r="B3100" s="92" t="str">
        <f t="shared" si="192"/>
        <v>Thursday</v>
      </c>
      <c r="C3100" s="93" t="s">
        <v>1381</v>
      </c>
      <c r="D3100" s="93" t="s">
        <v>1165</v>
      </c>
      <c r="E3100" s="94">
        <v>30.86</v>
      </c>
      <c r="F3100" s="93" t="s">
        <v>12</v>
      </c>
      <c r="G3100" s="87">
        <f>Table1[[#This Row],[date]]</f>
        <v>45729</v>
      </c>
      <c r="H3100" s="94">
        <f>SUMIF($A$2:A6735,G3100,$E$2:E6735)</f>
        <v>365.42</v>
      </c>
      <c r="I3100" s="93" t="str">
        <f t="shared" si="193"/>
        <v>Thursday</v>
      </c>
      <c r="J3100" s="93" t="str">
        <f t="shared" si="194"/>
        <v>March</v>
      </c>
      <c r="K3100" s="93" t="str">
        <f t="shared" si="195"/>
        <v>2025</v>
      </c>
      <c r="L3100" s="6"/>
      <c r="M3100" s="6"/>
      <c r="N3100" s="6"/>
    </row>
    <row r="3101" spans="1:14" x14ac:dyDescent="0.3">
      <c r="A3101" s="87">
        <v>45729</v>
      </c>
      <c r="B3101" s="87" t="str">
        <f t="shared" si="192"/>
        <v>Thursday</v>
      </c>
      <c r="C3101" s="88" t="s">
        <v>1381</v>
      </c>
      <c r="D3101" s="88" t="s">
        <v>1175</v>
      </c>
      <c r="E3101" s="89">
        <v>30.86</v>
      </c>
      <c r="F3101" s="88" t="s">
        <v>12</v>
      </c>
      <c r="G3101" s="87">
        <f>Table1[[#This Row],[date]]</f>
        <v>45729</v>
      </c>
      <c r="H3101" s="94">
        <f>SUMIF($A$2:A6736,G3101,$E$2:E6736)</f>
        <v>365.42</v>
      </c>
      <c r="I3101" s="93" t="str">
        <f t="shared" si="193"/>
        <v>Thursday</v>
      </c>
      <c r="J3101" s="93" t="str">
        <f t="shared" si="194"/>
        <v>March</v>
      </c>
      <c r="K3101" s="93" t="str">
        <f t="shared" si="195"/>
        <v>2025</v>
      </c>
      <c r="L3101" s="6"/>
      <c r="M3101" s="6"/>
      <c r="N3101" s="6"/>
    </row>
    <row r="3102" spans="1:14" x14ac:dyDescent="0.3">
      <c r="A3102" s="92">
        <v>45729</v>
      </c>
      <c r="B3102" s="92" t="str">
        <f t="shared" si="192"/>
        <v>Thursday</v>
      </c>
      <c r="C3102" s="93" t="s">
        <v>1381</v>
      </c>
      <c r="D3102" s="93" t="s">
        <v>1180</v>
      </c>
      <c r="E3102" s="94">
        <v>35.76</v>
      </c>
      <c r="F3102" s="93" t="s">
        <v>5</v>
      </c>
      <c r="G3102" s="87">
        <f>Table1[[#This Row],[date]]</f>
        <v>45729</v>
      </c>
      <c r="H3102" s="94">
        <f>SUMIF($A$2:A6737,G3102,$E$2:E6737)</f>
        <v>365.42</v>
      </c>
      <c r="I3102" s="93" t="str">
        <f t="shared" si="193"/>
        <v>Thursday</v>
      </c>
      <c r="J3102" s="93" t="str">
        <f t="shared" si="194"/>
        <v>March</v>
      </c>
      <c r="K3102" s="93" t="str">
        <f t="shared" si="195"/>
        <v>2025</v>
      </c>
      <c r="L3102" s="6"/>
      <c r="M3102" s="6"/>
      <c r="N3102" s="6"/>
    </row>
    <row r="3103" spans="1:14" x14ac:dyDescent="0.3">
      <c r="A3103" s="87">
        <v>45729</v>
      </c>
      <c r="B3103" s="87" t="str">
        <f t="shared" si="192"/>
        <v>Thursday</v>
      </c>
      <c r="C3103" s="88" t="s">
        <v>1381</v>
      </c>
      <c r="D3103" s="88" t="s">
        <v>1219</v>
      </c>
      <c r="E3103" s="89">
        <v>21.06</v>
      </c>
      <c r="F3103" s="88" t="s">
        <v>33</v>
      </c>
      <c r="G3103" s="87">
        <f>Table1[[#This Row],[date]]</f>
        <v>45729</v>
      </c>
      <c r="H3103" s="94">
        <f>SUMIF($A$2:A6738,G3103,$E$2:E6738)</f>
        <v>365.42</v>
      </c>
      <c r="I3103" s="93" t="str">
        <f t="shared" si="193"/>
        <v>Thursday</v>
      </c>
      <c r="J3103" s="93" t="str">
        <f t="shared" si="194"/>
        <v>March</v>
      </c>
      <c r="K3103" s="93" t="str">
        <f t="shared" si="195"/>
        <v>2025</v>
      </c>
      <c r="L3103" s="6"/>
      <c r="M3103" s="6"/>
      <c r="N3103" s="6"/>
    </row>
    <row r="3104" spans="1:14" x14ac:dyDescent="0.3">
      <c r="A3104" s="92">
        <v>45729</v>
      </c>
      <c r="B3104" s="92" t="str">
        <f t="shared" si="192"/>
        <v>Thursday</v>
      </c>
      <c r="C3104" s="93" t="s">
        <v>1381</v>
      </c>
      <c r="D3104" s="93" t="s">
        <v>1295</v>
      </c>
      <c r="E3104" s="94">
        <v>25.96</v>
      </c>
      <c r="F3104" s="93" t="s">
        <v>9</v>
      </c>
      <c r="G3104" s="87">
        <f>Table1[[#This Row],[date]]</f>
        <v>45729</v>
      </c>
      <c r="H3104" s="94">
        <f>SUMIF($A$2:A6739,G3104,$E$2:E6739)</f>
        <v>365.42</v>
      </c>
      <c r="I3104" s="93" t="str">
        <f t="shared" si="193"/>
        <v>Thursday</v>
      </c>
      <c r="J3104" s="93" t="str">
        <f t="shared" si="194"/>
        <v>March</v>
      </c>
      <c r="K3104" s="93" t="str">
        <f t="shared" si="195"/>
        <v>2025</v>
      </c>
      <c r="L3104" s="6"/>
      <c r="M3104" s="6"/>
      <c r="N3104" s="6"/>
    </row>
    <row r="3105" spans="1:14" x14ac:dyDescent="0.3">
      <c r="A3105" s="87">
        <v>45729</v>
      </c>
      <c r="B3105" s="87" t="str">
        <f t="shared" si="192"/>
        <v>Thursday</v>
      </c>
      <c r="C3105" s="88" t="s">
        <v>1381</v>
      </c>
      <c r="D3105" s="88" t="s">
        <v>1296</v>
      </c>
      <c r="E3105" s="89">
        <v>30.86</v>
      </c>
      <c r="F3105" s="88" t="s">
        <v>12</v>
      </c>
      <c r="G3105" s="87">
        <f>Table1[[#This Row],[date]]</f>
        <v>45729</v>
      </c>
      <c r="H3105" s="94">
        <f>SUMIF($A$2:A6740,G3105,$E$2:E6740)</f>
        <v>365.42</v>
      </c>
      <c r="I3105" s="93" t="str">
        <f t="shared" si="193"/>
        <v>Thursday</v>
      </c>
      <c r="J3105" s="93" t="str">
        <f t="shared" si="194"/>
        <v>March</v>
      </c>
      <c r="K3105" s="93" t="str">
        <f t="shared" si="195"/>
        <v>2025</v>
      </c>
      <c r="L3105" s="6"/>
      <c r="M3105" s="6"/>
      <c r="N3105" s="6"/>
    </row>
    <row r="3106" spans="1:14" x14ac:dyDescent="0.3">
      <c r="A3106" s="92">
        <v>45729</v>
      </c>
      <c r="B3106" s="92" t="str">
        <f t="shared" si="192"/>
        <v>Thursday</v>
      </c>
      <c r="C3106" s="93" t="s">
        <v>1381</v>
      </c>
      <c r="D3106" s="93" t="s">
        <v>1179</v>
      </c>
      <c r="E3106" s="94">
        <v>25.96</v>
      </c>
      <c r="F3106" s="93" t="s">
        <v>9</v>
      </c>
      <c r="G3106" s="87">
        <f>Table1[[#This Row],[date]]</f>
        <v>45729</v>
      </c>
      <c r="H3106" s="94">
        <f>SUMIF($A$2:A6741,G3106,$E$2:E6741)</f>
        <v>365.42</v>
      </c>
      <c r="I3106" s="93" t="str">
        <f t="shared" si="193"/>
        <v>Thursday</v>
      </c>
      <c r="J3106" s="93" t="str">
        <f t="shared" si="194"/>
        <v>March</v>
      </c>
      <c r="K3106" s="93" t="str">
        <f t="shared" si="195"/>
        <v>2025</v>
      </c>
      <c r="L3106" s="6"/>
      <c r="M3106" s="6"/>
      <c r="N3106" s="6"/>
    </row>
    <row r="3107" spans="1:14" x14ac:dyDescent="0.3">
      <c r="A3107" s="87">
        <v>45729</v>
      </c>
      <c r="B3107" s="87" t="str">
        <f t="shared" si="192"/>
        <v>Thursday</v>
      </c>
      <c r="C3107" s="88" t="s">
        <v>1381</v>
      </c>
      <c r="D3107" s="88" t="s">
        <v>1203</v>
      </c>
      <c r="E3107" s="89">
        <v>35.76</v>
      </c>
      <c r="F3107" s="88" t="s">
        <v>5</v>
      </c>
      <c r="G3107" s="87">
        <f>Table1[[#This Row],[date]]</f>
        <v>45729</v>
      </c>
      <c r="H3107" s="94">
        <f>SUMIF($A$2:A6742,G3107,$E$2:E6742)</f>
        <v>365.42</v>
      </c>
      <c r="I3107" s="93" t="str">
        <f t="shared" si="193"/>
        <v>Thursday</v>
      </c>
      <c r="J3107" s="93" t="str">
        <f t="shared" si="194"/>
        <v>March</v>
      </c>
      <c r="K3107" s="93" t="str">
        <f t="shared" si="195"/>
        <v>2025</v>
      </c>
      <c r="L3107" s="6"/>
      <c r="M3107" s="6"/>
      <c r="N3107" s="6"/>
    </row>
    <row r="3108" spans="1:14" x14ac:dyDescent="0.3">
      <c r="A3108" s="92">
        <v>45729</v>
      </c>
      <c r="B3108" s="92" t="str">
        <f t="shared" si="192"/>
        <v>Thursday</v>
      </c>
      <c r="C3108" s="93" t="s">
        <v>1381</v>
      </c>
      <c r="D3108" s="93" t="s">
        <v>1297</v>
      </c>
      <c r="E3108" s="94">
        <v>30.86</v>
      </c>
      <c r="F3108" s="93" t="s">
        <v>12</v>
      </c>
      <c r="G3108" s="87">
        <f>Table1[[#This Row],[date]]</f>
        <v>45729</v>
      </c>
      <c r="H3108" s="94">
        <f>SUMIF($A$2:A6743,G3108,$E$2:E6743)</f>
        <v>365.42</v>
      </c>
      <c r="I3108" s="93" t="str">
        <f t="shared" si="193"/>
        <v>Thursday</v>
      </c>
      <c r="J3108" s="93" t="str">
        <f t="shared" si="194"/>
        <v>March</v>
      </c>
      <c r="K3108" s="93" t="str">
        <f t="shared" si="195"/>
        <v>2025</v>
      </c>
      <c r="L3108" s="6"/>
      <c r="M3108" s="6"/>
      <c r="N3108" s="6"/>
    </row>
    <row r="3109" spans="1:14" x14ac:dyDescent="0.3">
      <c r="A3109" s="87">
        <v>45729</v>
      </c>
      <c r="B3109" s="87" t="str">
        <f t="shared" si="192"/>
        <v>Thursday</v>
      </c>
      <c r="C3109" s="88" t="s">
        <v>1381</v>
      </c>
      <c r="D3109" s="88" t="s">
        <v>1206</v>
      </c>
      <c r="E3109" s="89">
        <v>25.96</v>
      </c>
      <c r="F3109" s="88" t="s">
        <v>9</v>
      </c>
      <c r="G3109" s="87">
        <f>Table1[[#This Row],[date]]</f>
        <v>45729</v>
      </c>
      <c r="H3109" s="94">
        <f>SUMIF($A$2:A6744,G3109,$E$2:E6744)</f>
        <v>365.42</v>
      </c>
      <c r="I3109" s="93" t="str">
        <f t="shared" si="193"/>
        <v>Thursday</v>
      </c>
      <c r="J3109" s="93" t="str">
        <f t="shared" si="194"/>
        <v>March</v>
      </c>
      <c r="K3109" s="93" t="str">
        <f t="shared" si="195"/>
        <v>2025</v>
      </c>
      <c r="L3109" s="6"/>
      <c r="M3109" s="6"/>
      <c r="N3109" s="6"/>
    </row>
    <row r="3110" spans="1:14" x14ac:dyDescent="0.3">
      <c r="A3110" s="92">
        <v>45729</v>
      </c>
      <c r="B3110" s="92" t="str">
        <f t="shared" si="192"/>
        <v>Thursday</v>
      </c>
      <c r="C3110" s="93" t="s">
        <v>1381</v>
      </c>
      <c r="D3110" s="93" t="s">
        <v>1170</v>
      </c>
      <c r="E3110" s="94">
        <v>35.76</v>
      </c>
      <c r="F3110" s="93" t="s">
        <v>41</v>
      </c>
      <c r="G3110" s="87">
        <f>Table1[[#This Row],[date]]</f>
        <v>45729</v>
      </c>
      <c r="H3110" s="94">
        <f>SUMIF($A$2:A6745,G3110,$E$2:E6745)</f>
        <v>365.42</v>
      </c>
      <c r="I3110" s="93" t="str">
        <f t="shared" si="193"/>
        <v>Thursday</v>
      </c>
      <c r="J3110" s="93" t="str">
        <f t="shared" si="194"/>
        <v>March</v>
      </c>
      <c r="K3110" s="93" t="str">
        <f t="shared" si="195"/>
        <v>2025</v>
      </c>
      <c r="L3110" s="6"/>
      <c r="M3110" s="6"/>
      <c r="N3110" s="6"/>
    </row>
    <row r="3111" spans="1:14" x14ac:dyDescent="0.3">
      <c r="A3111" s="87">
        <v>45730</v>
      </c>
      <c r="B3111" s="87" t="str">
        <f t="shared" si="192"/>
        <v>Friday</v>
      </c>
      <c r="C3111" s="88" t="s">
        <v>1381</v>
      </c>
      <c r="D3111" s="88" t="s">
        <v>1182</v>
      </c>
      <c r="E3111" s="89">
        <v>25.96</v>
      </c>
      <c r="F3111" s="88" t="s">
        <v>9</v>
      </c>
      <c r="G3111" s="87">
        <f>Table1[[#This Row],[date]]</f>
        <v>45730</v>
      </c>
      <c r="H3111" s="94">
        <f>SUMIF($A$2:A6746,G3111,$E$2:E6746)</f>
        <v>483.95999999999987</v>
      </c>
      <c r="I3111" s="93" t="str">
        <f t="shared" si="193"/>
        <v>Friday</v>
      </c>
      <c r="J3111" s="93" t="str">
        <f t="shared" si="194"/>
        <v>March</v>
      </c>
      <c r="K3111" s="93" t="str">
        <f t="shared" si="195"/>
        <v>2025</v>
      </c>
      <c r="L3111" s="6"/>
      <c r="M3111" s="6"/>
      <c r="N3111" s="6"/>
    </row>
    <row r="3112" spans="1:14" x14ac:dyDescent="0.3">
      <c r="A3112" s="92">
        <v>45730</v>
      </c>
      <c r="B3112" s="92" t="str">
        <f t="shared" si="192"/>
        <v>Friday</v>
      </c>
      <c r="C3112" s="93" t="s">
        <v>1381</v>
      </c>
      <c r="D3112" s="93" t="s">
        <v>1298</v>
      </c>
      <c r="E3112" s="94">
        <v>30.86</v>
      </c>
      <c r="F3112" s="93" t="s">
        <v>12</v>
      </c>
      <c r="G3112" s="87">
        <f>Table1[[#This Row],[date]]</f>
        <v>45730</v>
      </c>
      <c r="H3112" s="94">
        <f>SUMIF($A$2:A6747,G3112,$E$2:E6747)</f>
        <v>483.95999999999987</v>
      </c>
      <c r="I3112" s="93" t="str">
        <f t="shared" si="193"/>
        <v>Friday</v>
      </c>
      <c r="J3112" s="93" t="str">
        <f t="shared" si="194"/>
        <v>March</v>
      </c>
      <c r="K3112" s="93" t="str">
        <f t="shared" si="195"/>
        <v>2025</v>
      </c>
      <c r="L3112" s="6"/>
      <c r="M3112" s="6"/>
      <c r="N3112" s="6"/>
    </row>
    <row r="3113" spans="1:14" x14ac:dyDescent="0.3">
      <c r="A3113" s="87">
        <v>45730</v>
      </c>
      <c r="B3113" s="87" t="str">
        <f t="shared" si="192"/>
        <v>Friday</v>
      </c>
      <c r="C3113" s="88" t="s">
        <v>1381</v>
      </c>
      <c r="D3113" s="88" t="s">
        <v>1283</v>
      </c>
      <c r="E3113" s="89">
        <v>25.96</v>
      </c>
      <c r="F3113" s="88" t="s">
        <v>9</v>
      </c>
      <c r="G3113" s="87">
        <f>Table1[[#This Row],[date]]</f>
        <v>45730</v>
      </c>
      <c r="H3113" s="94">
        <f>SUMIF($A$2:A6748,G3113,$E$2:E6748)</f>
        <v>483.95999999999987</v>
      </c>
      <c r="I3113" s="93" t="str">
        <f t="shared" si="193"/>
        <v>Friday</v>
      </c>
      <c r="J3113" s="93" t="str">
        <f t="shared" si="194"/>
        <v>March</v>
      </c>
      <c r="K3113" s="93" t="str">
        <f t="shared" si="195"/>
        <v>2025</v>
      </c>
      <c r="L3113" s="6"/>
      <c r="M3113" s="6"/>
      <c r="N3113" s="6"/>
    </row>
    <row r="3114" spans="1:14" x14ac:dyDescent="0.3">
      <c r="A3114" s="92">
        <v>45730</v>
      </c>
      <c r="B3114" s="92" t="str">
        <f t="shared" si="192"/>
        <v>Friday</v>
      </c>
      <c r="C3114" s="93" t="s">
        <v>1381</v>
      </c>
      <c r="D3114" s="93" t="s">
        <v>1299</v>
      </c>
      <c r="E3114" s="94">
        <v>35.76</v>
      </c>
      <c r="F3114" s="93" t="s">
        <v>5</v>
      </c>
      <c r="G3114" s="87">
        <f>Table1[[#This Row],[date]]</f>
        <v>45730</v>
      </c>
      <c r="H3114" s="94">
        <f>SUMIF($A$2:A6749,G3114,$E$2:E6749)</f>
        <v>483.95999999999987</v>
      </c>
      <c r="I3114" s="93" t="str">
        <f t="shared" si="193"/>
        <v>Friday</v>
      </c>
      <c r="J3114" s="93" t="str">
        <f t="shared" si="194"/>
        <v>March</v>
      </c>
      <c r="K3114" s="93" t="str">
        <f t="shared" si="195"/>
        <v>2025</v>
      </c>
      <c r="L3114" s="6"/>
      <c r="M3114" s="6"/>
      <c r="N3114" s="6"/>
    </row>
    <row r="3115" spans="1:14" x14ac:dyDescent="0.3">
      <c r="A3115" s="87">
        <v>45730</v>
      </c>
      <c r="B3115" s="87" t="str">
        <f t="shared" si="192"/>
        <v>Friday</v>
      </c>
      <c r="C3115" s="88" t="s">
        <v>1381</v>
      </c>
      <c r="D3115" s="88" t="s">
        <v>1219</v>
      </c>
      <c r="E3115" s="89">
        <v>21.06</v>
      </c>
      <c r="F3115" s="88" t="s">
        <v>33</v>
      </c>
      <c r="G3115" s="87">
        <f>Table1[[#This Row],[date]]</f>
        <v>45730</v>
      </c>
      <c r="H3115" s="94">
        <f>SUMIF($A$2:A6750,G3115,$E$2:E6750)</f>
        <v>483.95999999999987</v>
      </c>
      <c r="I3115" s="93" t="str">
        <f t="shared" si="193"/>
        <v>Friday</v>
      </c>
      <c r="J3115" s="93" t="str">
        <f t="shared" si="194"/>
        <v>March</v>
      </c>
      <c r="K3115" s="93" t="str">
        <f t="shared" si="195"/>
        <v>2025</v>
      </c>
      <c r="L3115" s="6"/>
      <c r="M3115" s="6"/>
      <c r="N3115" s="6"/>
    </row>
    <row r="3116" spans="1:14" x14ac:dyDescent="0.3">
      <c r="A3116" s="87">
        <v>45730</v>
      </c>
      <c r="B3116" s="87" t="str">
        <f t="shared" si="192"/>
        <v>Friday</v>
      </c>
      <c r="C3116" s="88" t="s">
        <v>1381</v>
      </c>
      <c r="D3116" s="88" t="s">
        <v>1122</v>
      </c>
      <c r="E3116" s="89">
        <v>25.96</v>
      </c>
      <c r="F3116" s="88" t="s">
        <v>9</v>
      </c>
      <c r="G3116" s="87">
        <f>Table1[[#This Row],[date]]</f>
        <v>45730</v>
      </c>
      <c r="H3116" s="94">
        <f>SUMIF($A$2:A6751,G3116,$E$2:E6751)</f>
        <v>483.95999999999987</v>
      </c>
      <c r="I3116" s="93" t="str">
        <f t="shared" si="193"/>
        <v>Friday</v>
      </c>
      <c r="J3116" s="93" t="str">
        <f t="shared" si="194"/>
        <v>March</v>
      </c>
      <c r="K3116" s="93" t="str">
        <f t="shared" si="195"/>
        <v>2025</v>
      </c>
      <c r="L3116" s="6"/>
      <c r="M3116" s="6"/>
      <c r="N3116" s="6"/>
    </row>
    <row r="3117" spans="1:14" x14ac:dyDescent="0.3">
      <c r="A3117" s="92">
        <v>45730</v>
      </c>
      <c r="B3117" s="92" t="str">
        <f t="shared" si="192"/>
        <v>Friday</v>
      </c>
      <c r="C3117" s="93" t="s">
        <v>1381</v>
      </c>
      <c r="D3117" s="93" t="s">
        <v>1300</v>
      </c>
      <c r="E3117" s="94">
        <v>35.76</v>
      </c>
      <c r="F3117" s="93" t="s">
        <v>5</v>
      </c>
      <c r="G3117" s="87">
        <f>Table1[[#This Row],[date]]</f>
        <v>45730</v>
      </c>
      <c r="H3117" s="94">
        <f>SUMIF($A$2:A6752,G3117,$E$2:E6752)</f>
        <v>483.95999999999987</v>
      </c>
      <c r="I3117" s="93" t="str">
        <f t="shared" si="193"/>
        <v>Friday</v>
      </c>
      <c r="J3117" s="93" t="str">
        <f t="shared" si="194"/>
        <v>March</v>
      </c>
      <c r="K3117" s="93" t="str">
        <f t="shared" si="195"/>
        <v>2025</v>
      </c>
      <c r="L3117" s="6"/>
      <c r="M3117" s="6"/>
      <c r="N3117" s="6"/>
    </row>
    <row r="3118" spans="1:14" x14ac:dyDescent="0.3">
      <c r="A3118" s="87">
        <v>45730</v>
      </c>
      <c r="B3118" s="87" t="str">
        <f t="shared" si="192"/>
        <v>Friday</v>
      </c>
      <c r="C3118" s="88" t="s">
        <v>1381</v>
      </c>
      <c r="D3118" s="88" t="s">
        <v>1300</v>
      </c>
      <c r="E3118" s="89">
        <v>35.76</v>
      </c>
      <c r="F3118" s="88" t="s">
        <v>41</v>
      </c>
      <c r="G3118" s="87">
        <f>Table1[[#This Row],[date]]</f>
        <v>45730</v>
      </c>
      <c r="H3118" s="94">
        <f>SUMIF($A$2:A6753,G3118,$E$2:E6753)</f>
        <v>483.95999999999987</v>
      </c>
      <c r="I3118" s="93" t="str">
        <f t="shared" si="193"/>
        <v>Friday</v>
      </c>
      <c r="J3118" s="93" t="str">
        <f t="shared" si="194"/>
        <v>March</v>
      </c>
      <c r="K3118" s="93" t="str">
        <f t="shared" si="195"/>
        <v>2025</v>
      </c>
      <c r="L3118" s="6"/>
      <c r="M3118" s="6"/>
      <c r="N3118" s="6"/>
    </row>
    <row r="3119" spans="1:14" x14ac:dyDescent="0.3">
      <c r="A3119" s="87">
        <v>45730</v>
      </c>
      <c r="B3119" s="87" t="str">
        <f t="shared" si="192"/>
        <v>Friday</v>
      </c>
      <c r="C3119" s="88" t="s">
        <v>1381</v>
      </c>
      <c r="D3119" s="88" t="s">
        <v>1177</v>
      </c>
      <c r="E3119" s="89">
        <v>35.76</v>
      </c>
      <c r="F3119" s="88" t="s">
        <v>5</v>
      </c>
      <c r="G3119" s="87">
        <f>Table1[[#This Row],[date]]</f>
        <v>45730</v>
      </c>
      <c r="H3119" s="94">
        <f>SUMIF($A$2:A6754,G3119,$E$2:E6754)</f>
        <v>483.95999999999987</v>
      </c>
      <c r="I3119" s="93" t="str">
        <f t="shared" si="193"/>
        <v>Friday</v>
      </c>
      <c r="J3119" s="93" t="str">
        <f t="shared" si="194"/>
        <v>March</v>
      </c>
      <c r="K3119" s="93" t="str">
        <f t="shared" si="195"/>
        <v>2025</v>
      </c>
      <c r="L3119" s="6"/>
      <c r="M3119" s="6"/>
      <c r="N3119" s="6"/>
    </row>
    <row r="3120" spans="1:14" x14ac:dyDescent="0.3">
      <c r="A3120" s="92">
        <v>45730</v>
      </c>
      <c r="B3120" s="92" t="str">
        <f t="shared" si="192"/>
        <v>Friday</v>
      </c>
      <c r="C3120" s="93" t="s">
        <v>1381</v>
      </c>
      <c r="D3120" s="93" t="s">
        <v>1203</v>
      </c>
      <c r="E3120" s="94">
        <v>35.76</v>
      </c>
      <c r="F3120" s="93" t="s">
        <v>5</v>
      </c>
      <c r="G3120" s="87">
        <f>Table1[[#This Row],[date]]</f>
        <v>45730</v>
      </c>
      <c r="H3120" s="94">
        <f>SUMIF($A$2:A6755,G3120,$E$2:E6755)</f>
        <v>483.95999999999987</v>
      </c>
      <c r="I3120" s="93" t="str">
        <f t="shared" si="193"/>
        <v>Friday</v>
      </c>
      <c r="J3120" s="93" t="str">
        <f t="shared" si="194"/>
        <v>March</v>
      </c>
      <c r="K3120" s="93" t="str">
        <f t="shared" si="195"/>
        <v>2025</v>
      </c>
      <c r="L3120" s="6"/>
      <c r="M3120" s="6"/>
      <c r="N3120" s="6"/>
    </row>
    <row r="3121" spans="1:14" x14ac:dyDescent="0.3">
      <c r="A3121" s="87">
        <v>45730</v>
      </c>
      <c r="B3121" s="87" t="str">
        <f t="shared" si="192"/>
        <v>Friday</v>
      </c>
      <c r="C3121" s="88" t="s">
        <v>1381</v>
      </c>
      <c r="D3121" s="88" t="s">
        <v>1288</v>
      </c>
      <c r="E3121" s="89">
        <v>35.76</v>
      </c>
      <c r="F3121" s="88" t="s">
        <v>16</v>
      </c>
      <c r="G3121" s="87">
        <f>Table1[[#This Row],[date]]</f>
        <v>45730</v>
      </c>
      <c r="H3121" s="94">
        <f>SUMIF($A$2:A6756,G3121,$E$2:E6756)</f>
        <v>483.95999999999987</v>
      </c>
      <c r="I3121" s="93" t="str">
        <f t="shared" si="193"/>
        <v>Friday</v>
      </c>
      <c r="J3121" s="93" t="str">
        <f t="shared" si="194"/>
        <v>March</v>
      </c>
      <c r="K3121" s="93" t="str">
        <f t="shared" si="195"/>
        <v>2025</v>
      </c>
      <c r="L3121" s="6"/>
      <c r="M3121" s="6"/>
      <c r="N3121" s="6"/>
    </row>
    <row r="3122" spans="1:14" x14ac:dyDescent="0.3">
      <c r="A3122" s="92">
        <v>45730</v>
      </c>
      <c r="B3122" s="92" t="str">
        <f t="shared" si="192"/>
        <v>Friday</v>
      </c>
      <c r="C3122" s="93" t="s">
        <v>1381</v>
      </c>
      <c r="D3122" s="93" t="s">
        <v>1301</v>
      </c>
      <c r="E3122" s="94">
        <v>35.76</v>
      </c>
      <c r="F3122" s="93" t="s">
        <v>16</v>
      </c>
      <c r="G3122" s="87">
        <f>Table1[[#This Row],[date]]</f>
        <v>45730</v>
      </c>
      <c r="H3122" s="94">
        <f>SUMIF($A$2:A6757,G3122,$E$2:E6757)</f>
        <v>483.95999999999987</v>
      </c>
      <c r="I3122" s="93" t="str">
        <f t="shared" si="193"/>
        <v>Friday</v>
      </c>
      <c r="J3122" s="93" t="str">
        <f t="shared" si="194"/>
        <v>March</v>
      </c>
      <c r="K3122" s="93" t="str">
        <f t="shared" si="195"/>
        <v>2025</v>
      </c>
      <c r="L3122" s="6"/>
      <c r="M3122" s="6"/>
      <c r="N3122" s="6"/>
    </row>
    <row r="3123" spans="1:14" x14ac:dyDescent="0.3">
      <c r="A3123" s="92">
        <v>45730</v>
      </c>
      <c r="B3123" s="92" t="str">
        <f t="shared" si="192"/>
        <v>Friday</v>
      </c>
      <c r="C3123" s="93" t="s">
        <v>1381</v>
      </c>
      <c r="D3123" s="93" t="s">
        <v>1302</v>
      </c>
      <c r="E3123" s="94">
        <v>25.96</v>
      </c>
      <c r="F3123" s="93" t="s">
        <v>9</v>
      </c>
      <c r="G3123" s="87">
        <f>Table1[[#This Row],[date]]</f>
        <v>45730</v>
      </c>
      <c r="H3123" s="94">
        <f>SUMIF($A$2:A6758,G3123,$E$2:E6758)</f>
        <v>483.95999999999987</v>
      </c>
      <c r="I3123" s="93" t="str">
        <f t="shared" si="193"/>
        <v>Friday</v>
      </c>
      <c r="J3123" s="93" t="str">
        <f t="shared" si="194"/>
        <v>March</v>
      </c>
      <c r="K3123" s="93" t="str">
        <f t="shared" si="195"/>
        <v>2025</v>
      </c>
      <c r="L3123" s="6"/>
      <c r="M3123" s="6"/>
      <c r="N3123" s="6"/>
    </row>
    <row r="3124" spans="1:14" x14ac:dyDescent="0.3">
      <c r="A3124" s="87">
        <v>45730</v>
      </c>
      <c r="B3124" s="87" t="str">
        <f t="shared" si="192"/>
        <v>Friday</v>
      </c>
      <c r="C3124" s="88" t="s">
        <v>1381</v>
      </c>
      <c r="D3124" s="88" t="s">
        <v>1179</v>
      </c>
      <c r="E3124" s="89">
        <v>25.96</v>
      </c>
      <c r="F3124" s="88" t="s">
        <v>9</v>
      </c>
      <c r="G3124" s="87">
        <f>Table1[[#This Row],[date]]</f>
        <v>45730</v>
      </c>
      <c r="H3124" s="94">
        <f>SUMIF($A$2:A6759,G3124,$E$2:E6759)</f>
        <v>483.95999999999987</v>
      </c>
      <c r="I3124" s="93" t="str">
        <f t="shared" si="193"/>
        <v>Friday</v>
      </c>
      <c r="J3124" s="93" t="str">
        <f t="shared" si="194"/>
        <v>March</v>
      </c>
      <c r="K3124" s="93" t="str">
        <f t="shared" si="195"/>
        <v>2025</v>
      </c>
      <c r="L3124" s="6"/>
      <c r="M3124" s="6"/>
      <c r="N3124" s="6"/>
    </row>
    <row r="3125" spans="1:14" x14ac:dyDescent="0.3">
      <c r="A3125" s="92">
        <v>45730</v>
      </c>
      <c r="B3125" s="92" t="str">
        <f t="shared" si="192"/>
        <v>Friday</v>
      </c>
      <c r="C3125" s="93" t="s">
        <v>1381</v>
      </c>
      <c r="D3125" s="93" t="s">
        <v>1303</v>
      </c>
      <c r="E3125" s="94">
        <v>25.96</v>
      </c>
      <c r="F3125" s="93" t="s">
        <v>9</v>
      </c>
      <c r="G3125" s="87">
        <f>Table1[[#This Row],[date]]</f>
        <v>45730</v>
      </c>
      <c r="H3125" s="94">
        <f>SUMIF($A$2:A6760,G3125,$E$2:E6760)</f>
        <v>483.95999999999987</v>
      </c>
      <c r="I3125" s="93" t="str">
        <f t="shared" si="193"/>
        <v>Friday</v>
      </c>
      <c r="J3125" s="93" t="str">
        <f t="shared" si="194"/>
        <v>March</v>
      </c>
      <c r="K3125" s="93" t="str">
        <f t="shared" si="195"/>
        <v>2025</v>
      </c>
      <c r="L3125" s="6"/>
      <c r="M3125" s="6"/>
      <c r="N3125" s="6"/>
    </row>
    <row r="3126" spans="1:14" x14ac:dyDescent="0.3">
      <c r="A3126" s="87">
        <v>45730</v>
      </c>
      <c r="B3126" s="87" t="str">
        <f t="shared" si="192"/>
        <v>Friday</v>
      </c>
      <c r="C3126" s="88" t="s">
        <v>1381</v>
      </c>
      <c r="D3126" s="88" t="s">
        <v>1226</v>
      </c>
      <c r="E3126" s="89">
        <v>25.96</v>
      </c>
      <c r="F3126" s="88" t="s">
        <v>9</v>
      </c>
      <c r="G3126" s="87">
        <f>Table1[[#This Row],[date]]</f>
        <v>45730</v>
      </c>
      <c r="H3126" s="94">
        <f>SUMIF($A$2:A6761,G3126,$E$2:E6761)</f>
        <v>483.95999999999987</v>
      </c>
      <c r="I3126" s="93" t="str">
        <f t="shared" si="193"/>
        <v>Friday</v>
      </c>
      <c r="J3126" s="93" t="str">
        <f t="shared" si="194"/>
        <v>March</v>
      </c>
      <c r="K3126" s="93" t="str">
        <f t="shared" si="195"/>
        <v>2025</v>
      </c>
      <c r="L3126" s="6"/>
      <c r="M3126" s="6"/>
      <c r="N3126" s="6"/>
    </row>
    <row r="3127" spans="1:14" x14ac:dyDescent="0.3">
      <c r="A3127" s="92">
        <v>45731</v>
      </c>
      <c r="B3127" s="92" t="str">
        <f t="shared" si="192"/>
        <v>Saturday</v>
      </c>
      <c r="C3127" s="93" t="s">
        <v>1381</v>
      </c>
      <c r="D3127" s="93" t="s">
        <v>1175</v>
      </c>
      <c r="E3127" s="94">
        <v>30.86</v>
      </c>
      <c r="F3127" s="93" t="s">
        <v>12</v>
      </c>
      <c r="G3127" s="87">
        <f>Table1[[#This Row],[date]]</f>
        <v>45731</v>
      </c>
      <c r="H3127" s="94">
        <f>SUMIF($A$2:A6762,G3127,$E$2:E6762)</f>
        <v>225.82</v>
      </c>
      <c r="I3127" s="93" t="str">
        <f t="shared" si="193"/>
        <v>Saturday</v>
      </c>
      <c r="J3127" s="93" t="str">
        <f t="shared" si="194"/>
        <v>March</v>
      </c>
      <c r="K3127" s="93" t="str">
        <f t="shared" si="195"/>
        <v>2025</v>
      </c>
      <c r="L3127" s="6"/>
      <c r="M3127" s="6"/>
      <c r="N3127" s="6"/>
    </row>
    <row r="3128" spans="1:14" x14ac:dyDescent="0.3">
      <c r="A3128" s="87">
        <v>45731</v>
      </c>
      <c r="B3128" s="87" t="str">
        <f t="shared" si="192"/>
        <v>Saturday</v>
      </c>
      <c r="C3128" s="88" t="s">
        <v>1381</v>
      </c>
      <c r="D3128" s="88" t="s">
        <v>1170</v>
      </c>
      <c r="E3128" s="89">
        <v>35.76</v>
      </c>
      <c r="F3128" s="88" t="s">
        <v>41</v>
      </c>
      <c r="G3128" s="87">
        <f>Table1[[#This Row],[date]]</f>
        <v>45731</v>
      </c>
      <c r="H3128" s="94">
        <f>SUMIF($A$2:A6763,G3128,$E$2:E6763)</f>
        <v>225.82</v>
      </c>
      <c r="I3128" s="93" t="str">
        <f t="shared" si="193"/>
        <v>Saturday</v>
      </c>
      <c r="J3128" s="93" t="str">
        <f t="shared" si="194"/>
        <v>March</v>
      </c>
      <c r="K3128" s="93" t="str">
        <f t="shared" si="195"/>
        <v>2025</v>
      </c>
      <c r="L3128" s="6"/>
      <c r="M3128" s="6"/>
      <c r="N3128" s="6"/>
    </row>
    <row r="3129" spans="1:14" x14ac:dyDescent="0.3">
      <c r="A3129" s="92">
        <v>45731</v>
      </c>
      <c r="B3129" s="92" t="str">
        <f t="shared" si="192"/>
        <v>Saturday</v>
      </c>
      <c r="C3129" s="93" t="s">
        <v>1381</v>
      </c>
      <c r="D3129" s="93" t="s">
        <v>1179</v>
      </c>
      <c r="E3129" s="94">
        <v>25.96</v>
      </c>
      <c r="F3129" s="93" t="s">
        <v>9</v>
      </c>
      <c r="G3129" s="87">
        <f>Table1[[#This Row],[date]]</f>
        <v>45731</v>
      </c>
      <c r="H3129" s="94">
        <f>SUMIF($A$2:A6764,G3129,$E$2:E6764)</f>
        <v>225.82</v>
      </c>
      <c r="I3129" s="93" t="str">
        <f t="shared" si="193"/>
        <v>Saturday</v>
      </c>
      <c r="J3129" s="93" t="str">
        <f t="shared" si="194"/>
        <v>March</v>
      </c>
      <c r="K3129" s="93" t="str">
        <f t="shared" si="195"/>
        <v>2025</v>
      </c>
      <c r="L3129" s="6"/>
      <c r="M3129" s="6"/>
      <c r="N3129" s="6"/>
    </row>
    <row r="3130" spans="1:14" x14ac:dyDescent="0.3">
      <c r="A3130" s="87">
        <v>45731</v>
      </c>
      <c r="B3130" s="87" t="str">
        <f t="shared" si="192"/>
        <v>Saturday</v>
      </c>
      <c r="C3130" s="88" t="s">
        <v>1381</v>
      </c>
      <c r="D3130" s="88" t="s">
        <v>58</v>
      </c>
      <c r="E3130" s="89">
        <v>35.76</v>
      </c>
      <c r="F3130" s="88" t="s">
        <v>41</v>
      </c>
      <c r="G3130" s="87">
        <f>Table1[[#This Row],[date]]</f>
        <v>45731</v>
      </c>
      <c r="H3130" s="94">
        <f>SUMIF($A$2:A6765,G3130,$E$2:E6765)</f>
        <v>225.82</v>
      </c>
      <c r="I3130" s="93" t="str">
        <f t="shared" si="193"/>
        <v>Saturday</v>
      </c>
      <c r="J3130" s="93" t="str">
        <f t="shared" si="194"/>
        <v>March</v>
      </c>
      <c r="K3130" s="93" t="str">
        <f t="shared" si="195"/>
        <v>2025</v>
      </c>
      <c r="L3130" s="6"/>
      <c r="M3130" s="6"/>
      <c r="N3130" s="6"/>
    </row>
    <row r="3131" spans="1:14" x14ac:dyDescent="0.3">
      <c r="A3131" s="92">
        <v>45731</v>
      </c>
      <c r="B3131" s="92" t="str">
        <f t="shared" si="192"/>
        <v>Saturday</v>
      </c>
      <c r="C3131" s="93" t="s">
        <v>1381</v>
      </c>
      <c r="D3131" s="93" t="s">
        <v>1164</v>
      </c>
      <c r="E3131" s="94">
        <v>30.86</v>
      </c>
      <c r="F3131" s="93" t="s">
        <v>12</v>
      </c>
      <c r="G3131" s="87">
        <f>Table1[[#This Row],[date]]</f>
        <v>45731</v>
      </c>
      <c r="H3131" s="94">
        <f>SUMIF($A$2:A6766,G3131,$E$2:E6766)</f>
        <v>225.82</v>
      </c>
      <c r="I3131" s="93" t="str">
        <f t="shared" si="193"/>
        <v>Saturday</v>
      </c>
      <c r="J3131" s="93" t="str">
        <f t="shared" si="194"/>
        <v>March</v>
      </c>
      <c r="K3131" s="93" t="str">
        <f t="shared" si="195"/>
        <v>2025</v>
      </c>
      <c r="L3131" s="6"/>
      <c r="M3131" s="6"/>
      <c r="N3131" s="6"/>
    </row>
    <row r="3132" spans="1:14" x14ac:dyDescent="0.3">
      <c r="A3132" s="87">
        <v>45731</v>
      </c>
      <c r="B3132" s="87" t="str">
        <f t="shared" si="192"/>
        <v>Saturday</v>
      </c>
      <c r="C3132" s="88" t="s">
        <v>1381</v>
      </c>
      <c r="D3132" s="88" t="s">
        <v>1229</v>
      </c>
      <c r="E3132" s="89">
        <v>30.86</v>
      </c>
      <c r="F3132" s="88" t="s">
        <v>12</v>
      </c>
      <c r="G3132" s="87">
        <f>Table1[[#This Row],[date]]</f>
        <v>45731</v>
      </c>
      <c r="H3132" s="94">
        <f>SUMIF($A$2:A6767,G3132,$E$2:E6767)</f>
        <v>225.82</v>
      </c>
      <c r="I3132" s="93" t="str">
        <f t="shared" si="193"/>
        <v>Saturday</v>
      </c>
      <c r="J3132" s="93" t="str">
        <f t="shared" si="194"/>
        <v>March</v>
      </c>
      <c r="K3132" s="93" t="str">
        <f t="shared" si="195"/>
        <v>2025</v>
      </c>
      <c r="L3132" s="6"/>
      <c r="M3132" s="6"/>
      <c r="N3132" s="6"/>
    </row>
    <row r="3133" spans="1:14" x14ac:dyDescent="0.3">
      <c r="A3133" s="92">
        <v>45731</v>
      </c>
      <c r="B3133" s="92" t="str">
        <f t="shared" si="192"/>
        <v>Saturday</v>
      </c>
      <c r="C3133" s="93" t="s">
        <v>1381</v>
      </c>
      <c r="D3133" s="93" t="s">
        <v>1304</v>
      </c>
      <c r="E3133" s="94">
        <v>35.76</v>
      </c>
      <c r="F3133" s="93" t="s">
        <v>41</v>
      </c>
      <c r="G3133" s="87">
        <f>Table1[[#This Row],[date]]</f>
        <v>45731</v>
      </c>
      <c r="H3133" s="94">
        <f>SUMIF($A$2:A6768,G3133,$E$2:E6768)</f>
        <v>225.82</v>
      </c>
      <c r="I3133" s="93" t="str">
        <f t="shared" si="193"/>
        <v>Saturday</v>
      </c>
      <c r="J3133" s="93" t="str">
        <f t="shared" si="194"/>
        <v>March</v>
      </c>
      <c r="K3133" s="93" t="str">
        <f t="shared" si="195"/>
        <v>2025</v>
      </c>
      <c r="L3133" s="6"/>
      <c r="M3133" s="6"/>
      <c r="N3133" s="6"/>
    </row>
    <row r="3134" spans="1:14" x14ac:dyDescent="0.3">
      <c r="A3134" s="87">
        <v>45732</v>
      </c>
      <c r="B3134" s="87" t="str">
        <f t="shared" si="192"/>
        <v>Sunday</v>
      </c>
      <c r="C3134" s="88" t="s">
        <v>1381</v>
      </c>
      <c r="D3134" s="88" t="s">
        <v>1173</v>
      </c>
      <c r="E3134" s="89">
        <v>35.76</v>
      </c>
      <c r="F3134" s="88" t="s">
        <v>41</v>
      </c>
      <c r="G3134" s="87">
        <f>Table1[[#This Row],[date]]</f>
        <v>45732</v>
      </c>
      <c r="H3134" s="94">
        <f>SUMIF($A$2:A6769,G3134,$E$2:E6769)</f>
        <v>164.1</v>
      </c>
      <c r="I3134" s="93" t="str">
        <f t="shared" si="193"/>
        <v>Sunday</v>
      </c>
      <c r="J3134" s="93" t="str">
        <f t="shared" si="194"/>
        <v>March</v>
      </c>
      <c r="K3134" s="93" t="str">
        <f t="shared" si="195"/>
        <v>2025</v>
      </c>
      <c r="L3134" s="6"/>
      <c r="M3134" s="6"/>
      <c r="N3134" s="6"/>
    </row>
    <row r="3135" spans="1:14" x14ac:dyDescent="0.3">
      <c r="A3135" s="92">
        <v>45732</v>
      </c>
      <c r="B3135" s="92" t="str">
        <f t="shared" si="192"/>
        <v>Sunday</v>
      </c>
      <c r="C3135" s="93" t="s">
        <v>1381</v>
      </c>
      <c r="D3135" s="93" t="s">
        <v>1305</v>
      </c>
      <c r="E3135" s="94">
        <v>30.86</v>
      </c>
      <c r="F3135" s="93" t="s">
        <v>12</v>
      </c>
      <c r="G3135" s="87">
        <f>Table1[[#This Row],[date]]</f>
        <v>45732</v>
      </c>
      <c r="H3135" s="94">
        <f>SUMIF($A$2:A6770,G3135,$E$2:E6770)</f>
        <v>164.1</v>
      </c>
      <c r="I3135" s="93" t="str">
        <f t="shared" si="193"/>
        <v>Sunday</v>
      </c>
      <c r="J3135" s="93" t="str">
        <f t="shared" si="194"/>
        <v>March</v>
      </c>
      <c r="K3135" s="93" t="str">
        <f t="shared" si="195"/>
        <v>2025</v>
      </c>
      <c r="L3135" s="6"/>
      <c r="M3135" s="6"/>
      <c r="N3135" s="6"/>
    </row>
    <row r="3136" spans="1:14" x14ac:dyDescent="0.3">
      <c r="A3136" s="87">
        <v>45732</v>
      </c>
      <c r="B3136" s="87" t="str">
        <f t="shared" si="192"/>
        <v>Sunday</v>
      </c>
      <c r="C3136" s="88" t="s">
        <v>1381</v>
      </c>
      <c r="D3136" s="88" t="s">
        <v>1306</v>
      </c>
      <c r="E3136" s="89">
        <v>35.76</v>
      </c>
      <c r="F3136" s="88" t="s">
        <v>5</v>
      </c>
      <c r="G3136" s="87">
        <f>Table1[[#This Row],[date]]</f>
        <v>45732</v>
      </c>
      <c r="H3136" s="94">
        <f>SUMIF($A$2:A6771,G3136,$E$2:E6771)</f>
        <v>164.1</v>
      </c>
      <c r="I3136" s="93" t="str">
        <f t="shared" si="193"/>
        <v>Sunday</v>
      </c>
      <c r="J3136" s="93" t="str">
        <f t="shared" si="194"/>
        <v>March</v>
      </c>
      <c r="K3136" s="93" t="str">
        <f t="shared" si="195"/>
        <v>2025</v>
      </c>
      <c r="L3136" s="6"/>
      <c r="M3136" s="6"/>
      <c r="N3136" s="6"/>
    </row>
    <row r="3137" spans="1:14" x14ac:dyDescent="0.3">
      <c r="A3137" s="92">
        <v>45732</v>
      </c>
      <c r="B3137" s="92" t="str">
        <f t="shared" si="192"/>
        <v>Sunday</v>
      </c>
      <c r="C3137" s="93" t="s">
        <v>1381</v>
      </c>
      <c r="D3137" s="93" t="s">
        <v>1306</v>
      </c>
      <c r="E3137" s="94">
        <v>35.76</v>
      </c>
      <c r="F3137" s="93" t="s">
        <v>7</v>
      </c>
      <c r="G3137" s="87">
        <f>Table1[[#This Row],[date]]</f>
        <v>45732</v>
      </c>
      <c r="H3137" s="94">
        <f>SUMIF($A$2:A6772,G3137,$E$2:E6772)</f>
        <v>164.1</v>
      </c>
      <c r="I3137" s="93" t="str">
        <f t="shared" si="193"/>
        <v>Sunday</v>
      </c>
      <c r="J3137" s="93" t="str">
        <f t="shared" si="194"/>
        <v>March</v>
      </c>
      <c r="K3137" s="93" t="str">
        <f t="shared" si="195"/>
        <v>2025</v>
      </c>
      <c r="L3137" s="6"/>
      <c r="M3137" s="6"/>
      <c r="N3137" s="6"/>
    </row>
    <row r="3138" spans="1:14" x14ac:dyDescent="0.3">
      <c r="A3138" s="87">
        <v>45732</v>
      </c>
      <c r="B3138" s="87" t="str">
        <f t="shared" ref="B3138:B3201" si="196">TEXT(A3138,"dddd")</f>
        <v>Sunday</v>
      </c>
      <c r="C3138" s="88" t="s">
        <v>1381</v>
      </c>
      <c r="D3138" s="88" t="s">
        <v>1182</v>
      </c>
      <c r="E3138" s="89">
        <v>25.96</v>
      </c>
      <c r="F3138" s="88" t="s">
        <v>9</v>
      </c>
      <c r="G3138" s="87">
        <f>Table1[[#This Row],[date]]</f>
        <v>45732</v>
      </c>
      <c r="H3138" s="94">
        <f>SUMIF($A$2:A6773,G3138,$E$2:E6773)</f>
        <v>164.1</v>
      </c>
      <c r="I3138" s="93" t="str">
        <f t="shared" si="193"/>
        <v>Sunday</v>
      </c>
      <c r="J3138" s="93" t="str">
        <f t="shared" si="194"/>
        <v>March</v>
      </c>
      <c r="K3138" s="93" t="str">
        <f t="shared" si="195"/>
        <v>2025</v>
      </c>
      <c r="L3138" s="6"/>
      <c r="M3138" s="6"/>
      <c r="N3138" s="6"/>
    </row>
    <row r="3139" spans="1:14" x14ac:dyDescent="0.3">
      <c r="A3139" s="92">
        <v>45733</v>
      </c>
      <c r="B3139" s="92" t="str">
        <f t="shared" si="196"/>
        <v>Monday</v>
      </c>
      <c r="C3139" s="93" t="s">
        <v>1381</v>
      </c>
      <c r="D3139" s="93" t="s">
        <v>1175</v>
      </c>
      <c r="E3139" s="94">
        <v>25.96</v>
      </c>
      <c r="F3139" s="93" t="s">
        <v>9</v>
      </c>
      <c r="G3139" s="87">
        <f>Table1[[#This Row],[date]]</f>
        <v>45733</v>
      </c>
      <c r="H3139" s="94">
        <f>SUMIF($A$2:A6774,G3139,$E$2:E6774)</f>
        <v>313.49999999999994</v>
      </c>
      <c r="I3139" s="93" t="str">
        <f t="shared" si="193"/>
        <v>Monday</v>
      </c>
      <c r="J3139" s="93" t="str">
        <f t="shared" si="194"/>
        <v>March</v>
      </c>
      <c r="K3139" s="93" t="str">
        <f t="shared" si="195"/>
        <v>2025</v>
      </c>
      <c r="L3139" s="6"/>
      <c r="M3139" s="6"/>
      <c r="N3139" s="6"/>
    </row>
    <row r="3140" spans="1:14" x14ac:dyDescent="0.3">
      <c r="A3140" s="87">
        <v>45733</v>
      </c>
      <c r="B3140" s="87" t="str">
        <f t="shared" si="196"/>
        <v>Monday</v>
      </c>
      <c r="C3140" s="88" t="s">
        <v>1381</v>
      </c>
      <c r="D3140" s="88" t="s">
        <v>1122</v>
      </c>
      <c r="E3140" s="89">
        <v>25.96</v>
      </c>
      <c r="F3140" s="88" t="s">
        <v>9</v>
      </c>
      <c r="G3140" s="87">
        <f>Table1[[#This Row],[date]]</f>
        <v>45733</v>
      </c>
      <c r="H3140" s="94">
        <f>SUMIF($A$2:A6775,G3140,$E$2:E6775)</f>
        <v>313.49999999999994</v>
      </c>
      <c r="I3140" s="93" t="str">
        <f t="shared" si="193"/>
        <v>Monday</v>
      </c>
      <c r="J3140" s="93" t="str">
        <f t="shared" si="194"/>
        <v>March</v>
      </c>
      <c r="K3140" s="93" t="str">
        <f t="shared" si="195"/>
        <v>2025</v>
      </c>
      <c r="L3140" s="6"/>
      <c r="M3140" s="6"/>
      <c r="N3140" s="6"/>
    </row>
    <row r="3141" spans="1:14" x14ac:dyDescent="0.3">
      <c r="A3141" s="87">
        <v>45733</v>
      </c>
      <c r="B3141" s="87" t="str">
        <f t="shared" si="196"/>
        <v>Monday</v>
      </c>
      <c r="C3141" s="88" t="s">
        <v>1381</v>
      </c>
      <c r="D3141" s="88" t="s">
        <v>1165</v>
      </c>
      <c r="E3141" s="89">
        <v>30.86</v>
      </c>
      <c r="F3141" s="88" t="s">
        <v>12</v>
      </c>
      <c r="G3141" s="87">
        <f>Table1[[#This Row],[date]]</f>
        <v>45733</v>
      </c>
      <c r="H3141" s="94">
        <f>SUMIF($A$2:A6776,G3141,$E$2:E6776)</f>
        <v>313.49999999999994</v>
      </c>
      <c r="I3141" s="93" t="str">
        <f t="shared" si="193"/>
        <v>Monday</v>
      </c>
      <c r="J3141" s="93" t="str">
        <f t="shared" si="194"/>
        <v>March</v>
      </c>
      <c r="K3141" s="93" t="str">
        <f t="shared" si="195"/>
        <v>2025</v>
      </c>
      <c r="L3141" s="6"/>
      <c r="M3141" s="6"/>
      <c r="N3141" s="6"/>
    </row>
    <row r="3142" spans="1:14" x14ac:dyDescent="0.3">
      <c r="A3142" s="87">
        <v>45733</v>
      </c>
      <c r="B3142" s="87" t="str">
        <f t="shared" si="196"/>
        <v>Monday</v>
      </c>
      <c r="C3142" s="88" t="s">
        <v>1381</v>
      </c>
      <c r="D3142" s="88" t="s">
        <v>1215</v>
      </c>
      <c r="E3142" s="89">
        <v>25.96</v>
      </c>
      <c r="F3142" s="88" t="s">
        <v>9</v>
      </c>
      <c r="G3142" s="87">
        <f>Table1[[#This Row],[date]]</f>
        <v>45733</v>
      </c>
      <c r="H3142" s="94">
        <f>SUMIF($A$2:A6777,G3142,$E$2:E6777)</f>
        <v>313.49999999999994</v>
      </c>
      <c r="I3142" s="93" t="str">
        <f t="shared" ref="I3142:I3205" si="197">TEXT(G3142,"dddd")</f>
        <v>Monday</v>
      </c>
      <c r="J3142" s="93" t="str">
        <f t="shared" si="194"/>
        <v>March</v>
      </c>
      <c r="K3142" s="93" t="str">
        <f t="shared" si="195"/>
        <v>2025</v>
      </c>
      <c r="L3142" s="6"/>
      <c r="M3142" s="6"/>
      <c r="N3142" s="6"/>
    </row>
    <row r="3143" spans="1:14" x14ac:dyDescent="0.3">
      <c r="A3143" s="92">
        <v>45733</v>
      </c>
      <c r="B3143" s="92" t="str">
        <f t="shared" si="196"/>
        <v>Monday</v>
      </c>
      <c r="C3143" s="93" t="s">
        <v>1381</v>
      </c>
      <c r="D3143" s="93" t="s">
        <v>1288</v>
      </c>
      <c r="E3143" s="94">
        <v>35.76</v>
      </c>
      <c r="F3143" s="93" t="s">
        <v>16</v>
      </c>
      <c r="G3143" s="87">
        <f>Table1[[#This Row],[date]]</f>
        <v>45733</v>
      </c>
      <c r="H3143" s="94">
        <f>SUMIF($A$2:A6778,G3143,$E$2:E6778)</f>
        <v>313.49999999999994</v>
      </c>
      <c r="I3143" s="93" t="str">
        <f t="shared" si="197"/>
        <v>Monday</v>
      </c>
      <c r="J3143" s="93" t="str">
        <f t="shared" ref="J3143:J3206" si="198">TEXT(G3143,"mmmm")</f>
        <v>March</v>
      </c>
      <c r="K3143" s="93" t="str">
        <f t="shared" ref="K3143:K3206" si="199">TEXT(G3143,"yyyy")</f>
        <v>2025</v>
      </c>
      <c r="L3143" s="6"/>
      <c r="M3143" s="6"/>
      <c r="N3143" s="6"/>
    </row>
    <row r="3144" spans="1:14" x14ac:dyDescent="0.3">
      <c r="A3144" s="92">
        <v>45733</v>
      </c>
      <c r="B3144" s="92" t="str">
        <f t="shared" si="196"/>
        <v>Monday</v>
      </c>
      <c r="C3144" s="93" t="s">
        <v>1381</v>
      </c>
      <c r="D3144" s="93" t="s">
        <v>1307</v>
      </c>
      <c r="E3144" s="94">
        <v>35.76</v>
      </c>
      <c r="F3144" s="93" t="s">
        <v>5</v>
      </c>
      <c r="G3144" s="87">
        <f>Table1[[#This Row],[date]]</f>
        <v>45733</v>
      </c>
      <c r="H3144" s="94">
        <f>SUMIF($A$2:A6779,G3144,$E$2:E6779)</f>
        <v>313.49999999999994</v>
      </c>
      <c r="I3144" s="93" t="str">
        <f t="shared" si="197"/>
        <v>Monday</v>
      </c>
      <c r="J3144" s="93" t="str">
        <f t="shared" si="198"/>
        <v>March</v>
      </c>
      <c r="K3144" s="93" t="str">
        <f t="shared" si="199"/>
        <v>2025</v>
      </c>
      <c r="L3144" s="6"/>
      <c r="M3144" s="6"/>
      <c r="N3144" s="6"/>
    </row>
    <row r="3145" spans="1:14" x14ac:dyDescent="0.3">
      <c r="A3145" s="87">
        <v>45733</v>
      </c>
      <c r="B3145" s="87" t="str">
        <f t="shared" si="196"/>
        <v>Monday</v>
      </c>
      <c r="C3145" s="88" t="s">
        <v>1381</v>
      </c>
      <c r="D3145" s="88" t="s">
        <v>1170</v>
      </c>
      <c r="E3145" s="89">
        <v>35.76</v>
      </c>
      <c r="F3145" s="88" t="s">
        <v>41</v>
      </c>
      <c r="G3145" s="87">
        <f>Table1[[#This Row],[date]]</f>
        <v>45733</v>
      </c>
      <c r="H3145" s="94">
        <f>SUMIF($A$2:A6780,G3145,$E$2:E6780)</f>
        <v>313.49999999999994</v>
      </c>
      <c r="I3145" s="93" t="str">
        <f t="shared" si="197"/>
        <v>Monday</v>
      </c>
      <c r="J3145" s="93" t="str">
        <f t="shared" si="198"/>
        <v>March</v>
      </c>
      <c r="K3145" s="93" t="str">
        <f t="shared" si="199"/>
        <v>2025</v>
      </c>
      <c r="L3145" s="6"/>
      <c r="M3145" s="6"/>
      <c r="N3145" s="6"/>
    </row>
    <row r="3146" spans="1:14" x14ac:dyDescent="0.3">
      <c r="A3146" s="92">
        <v>45733</v>
      </c>
      <c r="B3146" s="92" t="str">
        <f t="shared" si="196"/>
        <v>Monday</v>
      </c>
      <c r="C3146" s="93" t="s">
        <v>1381</v>
      </c>
      <c r="D3146" s="93" t="s">
        <v>1177</v>
      </c>
      <c r="E3146" s="94">
        <v>35.76</v>
      </c>
      <c r="F3146" s="93" t="s">
        <v>5</v>
      </c>
      <c r="G3146" s="87">
        <f>Table1[[#This Row],[date]]</f>
        <v>45733</v>
      </c>
      <c r="H3146" s="94">
        <f>SUMIF($A$2:A6781,G3146,$E$2:E6781)</f>
        <v>313.49999999999994</v>
      </c>
      <c r="I3146" s="93" t="str">
        <f t="shared" si="197"/>
        <v>Monday</v>
      </c>
      <c r="J3146" s="93" t="str">
        <f t="shared" si="198"/>
        <v>March</v>
      </c>
      <c r="K3146" s="93" t="str">
        <f t="shared" si="199"/>
        <v>2025</v>
      </c>
      <c r="L3146" s="6"/>
      <c r="M3146" s="6"/>
      <c r="N3146" s="6"/>
    </row>
    <row r="3147" spans="1:14" x14ac:dyDescent="0.3">
      <c r="A3147" s="87">
        <v>45733</v>
      </c>
      <c r="B3147" s="87" t="str">
        <f t="shared" si="196"/>
        <v>Monday</v>
      </c>
      <c r="C3147" s="88" t="s">
        <v>1381</v>
      </c>
      <c r="D3147" s="88" t="s">
        <v>1203</v>
      </c>
      <c r="E3147" s="89">
        <v>35.76</v>
      </c>
      <c r="F3147" s="88" t="s">
        <v>5</v>
      </c>
      <c r="G3147" s="87">
        <f>Table1[[#This Row],[date]]</f>
        <v>45733</v>
      </c>
      <c r="H3147" s="94">
        <f>SUMIF($A$2:A6782,G3147,$E$2:E6782)</f>
        <v>313.49999999999994</v>
      </c>
      <c r="I3147" s="93" t="str">
        <f t="shared" si="197"/>
        <v>Monday</v>
      </c>
      <c r="J3147" s="93" t="str">
        <f t="shared" si="198"/>
        <v>March</v>
      </c>
      <c r="K3147" s="93" t="str">
        <f t="shared" si="199"/>
        <v>2025</v>
      </c>
      <c r="L3147" s="6"/>
      <c r="M3147" s="6"/>
      <c r="N3147" s="6"/>
    </row>
    <row r="3148" spans="1:14" x14ac:dyDescent="0.3">
      <c r="A3148" s="92">
        <v>45733</v>
      </c>
      <c r="B3148" s="92" t="str">
        <f t="shared" si="196"/>
        <v>Monday</v>
      </c>
      <c r="C3148" s="93" t="s">
        <v>1381</v>
      </c>
      <c r="D3148" s="93" t="s">
        <v>1179</v>
      </c>
      <c r="E3148" s="94">
        <v>25.96</v>
      </c>
      <c r="F3148" s="93" t="s">
        <v>9</v>
      </c>
      <c r="G3148" s="87">
        <f>Table1[[#This Row],[date]]</f>
        <v>45733</v>
      </c>
      <c r="H3148" s="94">
        <f>SUMIF($A$2:A6783,G3148,$E$2:E6783)</f>
        <v>313.49999999999994</v>
      </c>
      <c r="I3148" s="93" t="str">
        <f t="shared" si="197"/>
        <v>Monday</v>
      </c>
      <c r="J3148" s="93" t="str">
        <f t="shared" si="198"/>
        <v>March</v>
      </c>
      <c r="K3148" s="93" t="str">
        <f t="shared" si="199"/>
        <v>2025</v>
      </c>
      <c r="L3148" s="6"/>
      <c r="M3148" s="6"/>
      <c r="N3148" s="6"/>
    </row>
    <row r="3149" spans="1:14" x14ac:dyDescent="0.3">
      <c r="A3149" s="87">
        <v>45734</v>
      </c>
      <c r="B3149" s="87" t="str">
        <f t="shared" si="196"/>
        <v>Tuesday</v>
      </c>
      <c r="C3149" s="88" t="s">
        <v>1381</v>
      </c>
      <c r="D3149" s="88" t="s">
        <v>1308</v>
      </c>
      <c r="E3149" s="89">
        <v>30.86</v>
      </c>
      <c r="F3149" s="88" t="s">
        <v>12</v>
      </c>
      <c r="G3149" s="87">
        <f>Table1[[#This Row],[date]]</f>
        <v>45734</v>
      </c>
      <c r="H3149" s="94">
        <f>SUMIF($A$2:A6784,G3149,$E$2:E6784)</f>
        <v>441.83999999999992</v>
      </c>
      <c r="I3149" s="93" t="str">
        <f t="shared" si="197"/>
        <v>Tuesday</v>
      </c>
      <c r="J3149" s="93" t="str">
        <f t="shared" si="198"/>
        <v>March</v>
      </c>
      <c r="K3149" s="93" t="str">
        <f t="shared" si="199"/>
        <v>2025</v>
      </c>
      <c r="L3149" s="6"/>
      <c r="M3149" s="6"/>
      <c r="N3149" s="6"/>
    </row>
    <row r="3150" spans="1:14" x14ac:dyDescent="0.3">
      <c r="A3150" s="92">
        <v>45734</v>
      </c>
      <c r="B3150" s="92" t="str">
        <f t="shared" si="196"/>
        <v>Tuesday</v>
      </c>
      <c r="C3150" s="93" t="s">
        <v>1381</v>
      </c>
      <c r="D3150" s="93" t="s">
        <v>1180</v>
      </c>
      <c r="E3150" s="94">
        <v>35.76</v>
      </c>
      <c r="F3150" s="93" t="s">
        <v>5</v>
      </c>
      <c r="G3150" s="87">
        <f>Table1[[#This Row],[date]]</f>
        <v>45734</v>
      </c>
      <c r="H3150" s="94">
        <f>SUMIF($A$2:A6785,G3150,$E$2:E6785)</f>
        <v>441.83999999999992</v>
      </c>
      <c r="I3150" s="93" t="str">
        <f t="shared" si="197"/>
        <v>Tuesday</v>
      </c>
      <c r="J3150" s="93" t="str">
        <f t="shared" si="198"/>
        <v>March</v>
      </c>
      <c r="K3150" s="93" t="str">
        <f t="shared" si="199"/>
        <v>2025</v>
      </c>
      <c r="L3150" s="6"/>
      <c r="M3150" s="6"/>
      <c r="N3150" s="6"/>
    </row>
    <row r="3151" spans="1:14" x14ac:dyDescent="0.3">
      <c r="A3151" s="87">
        <v>45734</v>
      </c>
      <c r="B3151" s="87" t="str">
        <f t="shared" si="196"/>
        <v>Tuesday</v>
      </c>
      <c r="C3151" s="88" t="s">
        <v>1381</v>
      </c>
      <c r="D3151" s="88" t="s">
        <v>1227</v>
      </c>
      <c r="E3151" s="89">
        <v>35.76</v>
      </c>
      <c r="F3151" s="88" t="s">
        <v>5</v>
      </c>
      <c r="G3151" s="87">
        <f>Table1[[#This Row],[date]]</f>
        <v>45734</v>
      </c>
      <c r="H3151" s="94">
        <f>SUMIF($A$2:A6786,G3151,$E$2:E6786)</f>
        <v>441.83999999999992</v>
      </c>
      <c r="I3151" s="93" t="str">
        <f t="shared" si="197"/>
        <v>Tuesday</v>
      </c>
      <c r="J3151" s="93" t="str">
        <f t="shared" si="198"/>
        <v>March</v>
      </c>
      <c r="K3151" s="93" t="str">
        <f t="shared" si="199"/>
        <v>2025</v>
      </c>
      <c r="L3151" s="6"/>
      <c r="M3151" s="6"/>
      <c r="N3151" s="6"/>
    </row>
    <row r="3152" spans="1:14" x14ac:dyDescent="0.3">
      <c r="A3152" s="92">
        <v>45734</v>
      </c>
      <c r="B3152" s="92" t="str">
        <f t="shared" si="196"/>
        <v>Tuesday</v>
      </c>
      <c r="C3152" s="93" t="s">
        <v>1381</v>
      </c>
      <c r="D3152" s="93" t="s">
        <v>1227</v>
      </c>
      <c r="E3152" s="94">
        <v>25.96</v>
      </c>
      <c r="F3152" s="93" t="s">
        <v>9</v>
      </c>
      <c r="G3152" s="87">
        <f>Table1[[#This Row],[date]]</f>
        <v>45734</v>
      </c>
      <c r="H3152" s="94">
        <f>SUMIF($A$2:A6787,G3152,$E$2:E6787)</f>
        <v>441.83999999999992</v>
      </c>
      <c r="I3152" s="93" t="str">
        <f t="shared" si="197"/>
        <v>Tuesday</v>
      </c>
      <c r="J3152" s="93" t="str">
        <f t="shared" si="198"/>
        <v>March</v>
      </c>
      <c r="K3152" s="93" t="str">
        <f t="shared" si="199"/>
        <v>2025</v>
      </c>
      <c r="L3152" s="6"/>
      <c r="M3152" s="6"/>
      <c r="N3152" s="6"/>
    </row>
    <row r="3153" spans="1:14" x14ac:dyDescent="0.3">
      <c r="A3153" s="87">
        <v>45734</v>
      </c>
      <c r="B3153" s="87" t="str">
        <f t="shared" si="196"/>
        <v>Tuesday</v>
      </c>
      <c r="C3153" s="88" t="s">
        <v>1381</v>
      </c>
      <c r="D3153" s="88" t="s">
        <v>1309</v>
      </c>
      <c r="E3153" s="89">
        <v>35.76</v>
      </c>
      <c r="F3153" s="88" t="s">
        <v>7</v>
      </c>
      <c r="G3153" s="87">
        <f>Table1[[#This Row],[date]]</f>
        <v>45734</v>
      </c>
      <c r="H3153" s="94">
        <f>SUMIF($A$2:A6788,G3153,$E$2:E6788)</f>
        <v>441.83999999999992</v>
      </c>
      <c r="I3153" s="93" t="str">
        <f t="shared" si="197"/>
        <v>Tuesday</v>
      </c>
      <c r="J3153" s="93" t="str">
        <f t="shared" si="198"/>
        <v>March</v>
      </c>
      <c r="K3153" s="93" t="str">
        <f t="shared" si="199"/>
        <v>2025</v>
      </c>
      <c r="L3153" s="6"/>
      <c r="M3153" s="6"/>
      <c r="N3153" s="6"/>
    </row>
    <row r="3154" spans="1:14" x14ac:dyDescent="0.3">
      <c r="A3154" s="87">
        <v>45734</v>
      </c>
      <c r="B3154" s="87" t="str">
        <f t="shared" si="196"/>
        <v>Tuesday</v>
      </c>
      <c r="C3154" s="88" t="s">
        <v>1381</v>
      </c>
      <c r="D3154" s="88" t="s">
        <v>1305</v>
      </c>
      <c r="E3154" s="89">
        <v>30.86</v>
      </c>
      <c r="F3154" s="88" t="s">
        <v>12</v>
      </c>
      <c r="G3154" s="87">
        <f>Table1[[#This Row],[date]]</f>
        <v>45734</v>
      </c>
      <c r="H3154" s="94">
        <f>SUMIF($A$2:A6789,G3154,$E$2:E6789)</f>
        <v>441.83999999999992</v>
      </c>
      <c r="I3154" s="93" t="str">
        <f t="shared" si="197"/>
        <v>Tuesday</v>
      </c>
      <c r="J3154" s="93" t="str">
        <f t="shared" si="198"/>
        <v>March</v>
      </c>
      <c r="K3154" s="93" t="str">
        <f t="shared" si="199"/>
        <v>2025</v>
      </c>
      <c r="L3154" s="6"/>
      <c r="M3154" s="6"/>
      <c r="N3154" s="6"/>
    </row>
    <row r="3155" spans="1:14" x14ac:dyDescent="0.3">
      <c r="A3155" s="92">
        <v>45734</v>
      </c>
      <c r="B3155" s="92" t="str">
        <f t="shared" si="196"/>
        <v>Tuesday</v>
      </c>
      <c r="C3155" s="93" t="s">
        <v>1381</v>
      </c>
      <c r="D3155" s="93" t="s">
        <v>1122</v>
      </c>
      <c r="E3155" s="94">
        <v>25.96</v>
      </c>
      <c r="F3155" s="93" t="s">
        <v>9</v>
      </c>
      <c r="G3155" s="87">
        <f>Table1[[#This Row],[date]]</f>
        <v>45734</v>
      </c>
      <c r="H3155" s="94">
        <f>SUMIF($A$2:A6790,G3155,$E$2:E6790)</f>
        <v>441.83999999999992</v>
      </c>
      <c r="I3155" s="93" t="str">
        <f t="shared" si="197"/>
        <v>Tuesday</v>
      </c>
      <c r="J3155" s="93" t="str">
        <f t="shared" si="198"/>
        <v>March</v>
      </c>
      <c r="K3155" s="93" t="str">
        <f t="shared" si="199"/>
        <v>2025</v>
      </c>
      <c r="L3155" s="6"/>
      <c r="M3155" s="6"/>
      <c r="N3155" s="6"/>
    </row>
    <row r="3156" spans="1:14" x14ac:dyDescent="0.3">
      <c r="A3156" s="87">
        <v>45734</v>
      </c>
      <c r="B3156" s="87" t="str">
        <f t="shared" si="196"/>
        <v>Tuesday</v>
      </c>
      <c r="C3156" s="88" t="s">
        <v>1381</v>
      </c>
      <c r="D3156" s="88" t="s">
        <v>1178</v>
      </c>
      <c r="E3156" s="89">
        <v>30.86</v>
      </c>
      <c r="F3156" s="88" t="s">
        <v>12</v>
      </c>
      <c r="G3156" s="87">
        <f>Table1[[#This Row],[date]]</f>
        <v>45734</v>
      </c>
      <c r="H3156" s="94">
        <f>SUMIF($A$2:A6791,G3156,$E$2:E6791)</f>
        <v>441.83999999999992</v>
      </c>
      <c r="I3156" s="93" t="str">
        <f t="shared" si="197"/>
        <v>Tuesday</v>
      </c>
      <c r="J3156" s="93" t="str">
        <f t="shared" si="198"/>
        <v>March</v>
      </c>
      <c r="K3156" s="93" t="str">
        <f t="shared" si="199"/>
        <v>2025</v>
      </c>
      <c r="L3156" s="6"/>
      <c r="M3156" s="6"/>
      <c r="N3156" s="6"/>
    </row>
    <row r="3157" spans="1:14" x14ac:dyDescent="0.3">
      <c r="A3157" s="92">
        <v>45734</v>
      </c>
      <c r="B3157" s="92" t="str">
        <f t="shared" si="196"/>
        <v>Tuesday</v>
      </c>
      <c r="C3157" s="93" t="s">
        <v>1381</v>
      </c>
      <c r="D3157" s="93" t="s">
        <v>1215</v>
      </c>
      <c r="E3157" s="94">
        <v>25.96</v>
      </c>
      <c r="F3157" s="93" t="s">
        <v>9</v>
      </c>
      <c r="G3157" s="87">
        <f>Table1[[#This Row],[date]]</f>
        <v>45734</v>
      </c>
      <c r="H3157" s="94">
        <f>SUMIF($A$2:A6792,G3157,$E$2:E6792)</f>
        <v>441.83999999999992</v>
      </c>
      <c r="I3157" s="93" t="str">
        <f t="shared" si="197"/>
        <v>Tuesday</v>
      </c>
      <c r="J3157" s="93" t="str">
        <f t="shared" si="198"/>
        <v>March</v>
      </c>
      <c r="K3157" s="93" t="str">
        <f t="shared" si="199"/>
        <v>2025</v>
      </c>
      <c r="L3157" s="6"/>
      <c r="M3157" s="6"/>
      <c r="N3157" s="6"/>
    </row>
    <row r="3158" spans="1:14" x14ac:dyDescent="0.3">
      <c r="A3158" s="87">
        <v>45734</v>
      </c>
      <c r="B3158" s="87" t="str">
        <f t="shared" si="196"/>
        <v>Tuesday</v>
      </c>
      <c r="C3158" s="88" t="s">
        <v>1381</v>
      </c>
      <c r="D3158" s="88" t="s">
        <v>1177</v>
      </c>
      <c r="E3158" s="89">
        <v>35.76</v>
      </c>
      <c r="F3158" s="88" t="s">
        <v>5</v>
      </c>
      <c r="G3158" s="87">
        <f>Table1[[#This Row],[date]]</f>
        <v>45734</v>
      </c>
      <c r="H3158" s="94">
        <f>SUMIF($A$2:A6793,G3158,$E$2:E6793)</f>
        <v>441.83999999999992</v>
      </c>
      <c r="I3158" s="93" t="str">
        <f t="shared" si="197"/>
        <v>Tuesday</v>
      </c>
      <c r="J3158" s="93" t="str">
        <f t="shared" si="198"/>
        <v>March</v>
      </c>
      <c r="K3158" s="93" t="str">
        <f t="shared" si="199"/>
        <v>2025</v>
      </c>
      <c r="L3158" s="6"/>
      <c r="M3158" s="6"/>
      <c r="N3158" s="6"/>
    </row>
    <row r="3159" spans="1:14" x14ac:dyDescent="0.3">
      <c r="A3159" s="92">
        <v>45734</v>
      </c>
      <c r="B3159" s="92" t="str">
        <f t="shared" si="196"/>
        <v>Tuesday</v>
      </c>
      <c r="C3159" s="93" t="s">
        <v>1381</v>
      </c>
      <c r="D3159" s="93" t="s">
        <v>1215</v>
      </c>
      <c r="E3159" s="94">
        <v>21.06</v>
      </c>
      <c r="F3159" s="93" t="s">
        <v>33</v>
      </c>
      <c r="G3159" s="87">
        <f>Table1[[#This Row],[date]]</f>
        <v>45734</v>
      </c>
      <c r="H3159" s="94">
        <f>SUMIF($A$2:A6794,G3159,$E$2:E6794)</f>
        <v>441.83999999999992</v>
      </c>
      <c r="I3159" s="93" t="str">
        <f t="shared" si="197"/>
        <v>Tuesday</v>
      </c>
      <c r="J3159" s="93" t="str">
        <f t="shared" si="198"/>
        <v>March</v>
      </c>
      <c r="K3159" s="93" t="str">
        <f t="shared" si="199"/>
        <v>2025</v>
      </c>
      <c r="L3159" s="6"/>
      <c r="M3159" s="6"/>
      <c r="N3159" s="6"/>
    </row>
    <row r="3160" spans="1:14" x14ac:dyDescent="0.3">
      <c r="A3160" s="87">
        <v>45734</v>
      </c>
      <c r="B3160" s="87" t="str">
        <f t="shared" si="196"/>
        <v>Tuesday</v>
      </c>
      <c r="C3160" s="88" t="s">
        <v>1381</v>
      </c>
      <c r="D3160" s="88" t="s">
        <v>1175</v>
      </c>
      <c r="E3160" s="89">
        <v>35.76</v>
      </c>
      <c r="F3160" s="88" t="s">
        <v>16</v>
      </c>
      <c r="G3160" s="87">
        <f>Table1[[#This Row],[date]]</f>
        <v>45734</v>
      </c>
      <c r="H3160" s="94">
        <f>SUMIF($A$2:A6795,G3160,$E$2:E6795)</f>
        <v>441.83999999999992</v>
      </c>
      <c r="I3160" s="93" t="str">
        <f t="shared" si="197"/>
        <v>Tuesday</v>
      </c>
      <c r="J3160" s="93" t="str">
        <f t="shared" si="198"/>
        <v>March</v>
      </c>
      <c r="K3160" s="93" t="str">
        <f t="shared" si="199"/>
        <v>2025</v>
      </c>
      <c r="L3160" s="6"/>
      <c r="M3160" s="6"/>
      <c r="N3160" s="6"/>
    </row>
    <row r="3161" spans="1:14" x14ac:dyDescent="0.3">
      <c r="A3161" s="87">
        <v>45734</v>
      </c>
      <c r="B3161" s="87" t="str">
        <f t="shared" si="196"/>
        <v>Tuesday</v>
      </c>
      <c r="C3161" s="88" t="s">
        <v>1381</v>
      </c>
      <c r="D3161" s="88" t="s">
        <v>1288</v>
      </c>
      <c r="E3161" s="89">
        <v>35.76</v>
      </c>
      <c r="F3161" s="88" t="s">
        <v>16</v>
      </c>
      <c r="G3161" s="87">
        <f>Table1[[#This Row],[date]]</f>
        <v>45734</v>
      </c>
      <c r="H3161" s="94">
        <f>SUMIF($A$2:A6796,G3161,$E$2:E6796)</f>
        <v>441.83999999999992</v>
      </c>
      <c r="I3161" s="93" t="str">
        <f t="shared" si="197"/>
        <v>Tuesday</v>
      </c>
      <c r="J3161" s="93" t="str">
        <f t="shared" si="198"/>
        <v>March</v>
      </c>
      <c r="K3161" s="93" t="str">
        <f t="shared" si="199"/>
        <v>2025</v>
      </c>
      <c r="L3161" s="6"/>
      <c r="M3161" s="6"/>
      <c r="N3161" s="6"/>
    </row>
    <row r="3162" spans="1:14" x14ac:dyDescent="0.3">
      <c r="A3162" s="87">
        <v>45734</v>
      </c>
      <c r="B3162" s="87" t="str">
        <f t="shared" si="196"/>
        <v>Tuesday</v>
      </c>
      <c r="C3162" s="88" t="s">
        <v>1381</v>
      </c>
      <c r="D3162" s="88" t="s">
        <v>1310</v>
      </c>
      <c r="E3162" s="89">
        <v>35.76</v>
      </c>
      <c r="F3162" s="88" t="s">
        <v>5</v>
      </c>
      <c r="G3162" s="87">
        <f>Table1[[#This Row],[date]]</f>
        <v>45734</v>
      </c>
      <c r="H3162" s="94">
        <f>SUMIF($A$2:A6797,G3162,$E$2:E6797)</f>
        <v>441.83999999999992</v>
      </c>
      <c r="I3162" s="93" t="str">
        <f t="shared" si="197"/>
        <v>Tuesday</v>
      </c>
      <c r="J3162" s="93" t="str">
        <f t="shared" si="198"/>
        <v>March</v>
      </c>
      <c r="K3162" s="93" t="str">
        <f t="shared" si="199"/>
        <v>2025</v>
      </c>
      <c r="L3162" s="6"/>
      <c r="M3162" s="6"/>
      <c r="N3162" s="6"/>
    </row>
    <row r="3163" spans="1:14" x14ac:dyDescent="0.3">
      <c r="A3163" s="92">
        <v>45735</v>
      </c>
      <c r="B3163" s="92" t="str">
        <f t="shared" si="196"/>
        <v>Wednesday</v>
      </c>
      <c r="C3163" s="93" t="s">
        <v>1381</v>
      </c>
      <c r="D3163" s="93" t="s">
        <v>1164</v>
      </c>
      <c r="E3163" s="94">
        <v>25.96</v>
      </c>
      <c r="F3163" s="93" t="s">
        <v>9</v>
      </c>
      <c r="G3163" s="87">
        <f>Table1[[#This Row],[date]]</f>
        <v>45735</v>
      </c>
      <c r="H3163" s="94">
        <f>SUMIF($A$2:A6798,G3163,$E$2:E6798)</f>
        <v>535.87999999999988</v>
      </c>
      <c r="I3163" s="93" t="str">
        <f t="shared" si="197"/>
        <v>Wednesday</v>
      </c>
      <c r="J3163" s="93" t="str">
        <f t="shared" si="198"/>
        <v>March</v>
      </c>
      <c r="K3163" s="93" t="str">
        <f t="shared" si="199"/>
        <v>2025</v>
      </c>
      <c r="L3163" s="6"/>
      <c r="M3163" s="6"/>
      <c r="N3163" s="6"/>
    </row>
    <row r="3164" spans="1:14" x14ac:dyDescent="0.3">
      <c r="A3164" s="87">
        <v>45735</v>
      </c>
      <c r="B3164" s="87" t="str">
        <f t="shared" si="196"/>
        <v>Wednesday</v>
      </c>
      <c r="C3164" s="88" t="s">
        <v>1381</v>
      </c>
      <c r="D3164" s="88" t="s">
        <v>273</v>
      </c>
      <c r="E3164" s="89">
        <v>25.96</v>
      </c>
      <c r="F3164" s="88" t="s">
        <v>9</v>
      </c>
      <c r="G3164" s="87">
        <f>Table1[[#This Row],[date]]</f>
        <v>45735</v>
      </c>
      <c r="H3164" s="94">
        <f>SUMIF($A$2:A6799,G3164,$E$2:E6799)</f>
        <v>535.87999999999988</v>
      </c>
      <c r="I3164" s="93" t="str">
        <f t="shared" si="197"/>
        <v>Wednesday</v>
      </c>
      <c r="J3164" s="93" t="str">
        <f t="shared" si="198"/>
        <v>March</v>
      </c>
      <c r="K3164" s="93" t="str">
        <f t="shared" si="199"/>
        <v>2025</v>
      </c>
      <c r="L3164" s="6"/>
      <c r="M3164" s="6"/>
      <c r="N3164" s="6"/>
    </row>
    <row r="3165" spans="1:14" x14ac:dyDescent="0.3">
      <c r="A3165" s="92">
        <v>45735</v>
      </c>
      <c r="B3165" s="92" t="str">
        <f t="shared" si="196"/>
        <v>Wednesday</v>
      </c>
      <c r="C3165" s="93" t="s">
        <v>1381</v>
      </c>
      <c r="D3165" s="93" t="s">
        <v>1173</v>
      </c>
      <c r="E3165" s="94">
        <v>35.76</v>
      </c>
      <c r="F3165" s="93" t="s">
        <v>41</v>
      </c>
      <c r="G3165" s="87">
        <f>Table1[[#This Row],[date]]</f>
        <v>45735</v>
      </c>
      <c r="H3165" s="94">
        <f>SUMIF($A$2:A6800,G3165,$E$2:E6800)</f>
        <v>535.87999999999988</v>
      </c>
      <c r="I3165" s="93" t="str">
        <f t="shared" si="197"/>
        <v>Wednesday</v>
      </c>
      <c r="J3165" s="93" t="str">
        <f t="shared" si="198"/>
        <v>March</v>
      </c>
      <c r="K3165" s="93" t="str">
        <f t="shared" si="199"/>
        <v>2025</v>
      </c>
      <c r="L3165" s="6"/>
      <c r="M3165" s="6"/>
      <c r="N3165" s="6"/>
    </row>
    <row r="3166" spans="1:14" x14ac:dyDescent="0.3">
      <c r="A3166" s="87">
        <v>45735</v>
      </c>
      <c r="B3166" s="87" t="str">
        <f t="shared" si="196"/>
        <v>Wednesday</v>
      </c>
      <c r="C3166" s="88" t="s">
        <v>1381</v>
      </c>
      <c r="D3166" s="88" t="s">
        <v>29</v>
      </c>
      <c r="E3166" s="89">
        <v>25.96</v>
      </c>
      <c r="F3166" s="88" t="s">
        <v>9</v>
      </c>
      <c r="G3166" s="87">
        <f>Table1[[#This Row],[date]]</f>
        <v>45735</v>
      </c>
      <c r="H3166" s="94">
        <f>SUMIF($A$2:A6801,G3166,$E$2:E6801)</f>
        <v>535.87999999999988</v>
      </c>
      <c r="I3166" s="93" t="str">
        <f t="shared" si="197"/>
        <v>Wednesday</v>
      </c>
      <c r="J3166" s="93" t="str">
        <f t="shared" si="198"/>
        <v>March</v>
      </c>
      <c r="K3166" s="93" t="str">
        <f t="shared" si="199"/>
        <v>2025</v>
      </c>
      <c r="L3166" s="6"/>
      <c r="M3166" s="6"/>
      <c r="N3166" s="6"/>
    </row>
    <row r="3167" spans="1:14" x14ac:dyDescent="0.3">
      <c r="A3167" s="92">
        <v>45735</v>
      </c>
      <c r="B3167" s="92" t="str">
        <f t="shared" si="196"/>
        <v>Wednesday</v>
      </c>
      <c r="C3167" s="93" t="s">
        <v>1381</v>
      </c>
      <c r="D3167" s="93" t="s">
        <v>1239</v>
      </c>
      <c r="E3167" s="94">
        <v>35.76</v>
      </c>
      <c r="F3167" s="93" t="s">
        <v>7</v>
      </c>
      <c r="G3167" s="87">
        <f>Table1[[#This Row],[date]]</f>
        <v>45735</v>
      </c>
      <c r="H3167" s="94">
        <f>SUMIF($A$2:A6802,G3167,$E$2:E6802)</f>
        <v>535.87999999999988</v>
      </c>
      <c r="I3167" s="93" t="str">
        <f t="shared" si="197"/>
        <v>Wednesday</v>
      </c>
      <c r="J3167" s="93" t="str">
        <f t="shared" si="198"/>
        <v>March</v>
      </c>
      <c r="K3167" s="93" t="str">
        <f t="shared" si="199"/>
        <v>2025</v>
      </c>
      <c r="L3167" s="6"/>
      <c r="M3167" s="6"/>
      <c r="N3167" s="6"/>
    </row>
    <row r="3168" spans="1:14" x14ac:dyDescent="0.3">
      <c r="A3168" s="87">
        <v>45735</v>
      </c>
      <c r="B3168" s="87" t="str">
        <f t="shared" si="196"/>
        <v>Wednesday</v>
      </c>
      <c r="C3168" s="88" t="s">
        <v>1381</v>
      </c>
      <c r="D3168" s="88" t="s">
        <v>1122</v>
      </c>
      <c r="E3168" s="89">
        <v>25.96</v>
      </c>
      <c r="F3168" s="88" t="s">
        <v>9</v>
      </c>
      <c r="G3168" s="87">
        <f>Table1[[#This Row],[date]]</f>
        <v>45735</v>
      </c>
      <c r="H3168" s="94">
        <f>SUMIF($A$2:A6803,G3168,$E$2:E6803)</f>
        <v>535.87999999999988</v>
      </c>
      <c r="I3168" s="93" t="str">
        <f t="shared" si="197"/>
        <v>Wednesday</v>
      </c>
      <c r="J3168" s="93" t="str">
        <f t="shared" si="198"/>
        <v>March</v>
      </c>
      <c r="K3168" s="93" t="str">
        <f t="shared" si="199"/>
        <v>2025</v>
      </c>
      <c r="L3168" s="6"/>
      <c r="M3168" s="6"/>
      <c r="N3168" s="6"/>
    </row>
    <row r="3169" spans="1:14" x14ac:dyDescent="0.3">
      <c r="A3169" s="92">
        <v>45735</v>
      </c>
      <c r="B3169" s="92" t="str">
        <f t="shared" si="196"/>
        <v>Wednesday</v>
      </c>
      <c r="C3169" s="93" t="s">
        <v>1381</v>
      </c>
      <c r="D3169" s="93" t="s">
        <v>1311</v>
      </c>
      <c r="E3169" s="94">
        <v>25.96</v>
      </c>
      <c r="F3169" s="93" t="s">
        <v>9</v>
      </c>
      <c r="G3169" s="87">
        <f>Table1[[#This Row],[date]]</f>
        <v>45735</v>
      </c>
      <c r="H3169" s="94">
        <f>SUMIF($A$2:A6804,G3169,$E$2:E6804)</f>
        <v>535.87999999999988</v>
      </c>
      <c r="I3169" s="93" t="str">
        <f t="shared" si="197"/>
        <v>Wednesday</v>
      </c>
      <c r="J3169" s="93" t="str">
        <f t="shared" si="198"/>
        <v>March</v>
      </c>
      <c r="K3169" s="93" t="str">
        <f t="shared" si="199"/>
        <v>2025</v>
      </c>
      <c r="L3169" s="6"/>
      <c r="M3169" s="6"/>
      <c r="N3169" s="6"/>
    </row>
    <row r="3170" spans="1:14" x14ac:dyDescent="0.3">
      <c r="A3170" s="87">
        <v>45735</v>
      </c>
      <c r="B3170" s="87" t="str">
        <f t="shared" si="196"/>
        <v>Wednesday</v>
      </c>
      <c r="C3170" s="88" t="s">
        <v>1381</v>
      </c>
      <c r="D3170" s="88" t="s">
        <v>1307</v>
      </c>
      <c r="E3170" s="89">
        <v>35.76</v>
      </c>
      <c r="F3170" s="88" t="s">
        <v>5</v>
      </c>
      <c r="G3170" s="87">
        <f>Table1[[#This Row],[date]]</f>
        <v>45735</v>
      </c>
      <c r="H3170" s="94">
        <f>SUMIF($A$2:A6805,G3170,$E$2:E6805)</f>
        <v>535.87999999999988</v>
      </c>
      <c r="I3170" s="93" t="str">
        <f t="shared" si="197"/>
        <v>Wednesday</v>
      </c>
      <c r="J3170" s="93" t="str">
        <f t="shared" si="198"/>
        <v>March</v>
      </c>
      <c r="K3170" s="93" t="str">
        <f t="shared" si="199"/>
        <v>2025</v>
      </c>
      <c r="L3170" s="6"/>
      <c r="M3170" s="6"/>
      <c r="N3170" s="6"/>
    </row>
    <row r="3171" spans="1:14" x14ac:dyDescent="0.3">
      <c r="A3171" s="92">
        <v>45735</v>
      </c>
      <c r="B3171" s="92" t="str">
        <f t="shared" si="196"/>
        <v>Wednesday</v>
      </c>
      <c r="C3171" s="93" t="s">
        <v>1381</v>
      </c>
      <c r="D3171" s="93" t="s">
        <v>1312</v>
      </c>
      <c r="E3171" s="94">
        <v>35.76</v>
      </c>
      <c r="F3171" s="93" t="s">
        <v>5</v>
      </c>
      <c r="G3171" s="87">
        <f>Table1[[#This Row],[date]]</f>
        <v>45735</v>
      </c>
      <c r="H3171" s="94">
        <f>SUMIF($A$2:A6806,G3171,$E$2:E6806)</f>
        <v>535.87999999999988</v>
      </c>
      <c r="I3171" s="93" t="str">
        <f t="shared" si="197"/>
        <v>Wednesday</v>
      </c>
      <c r="J3171" s="93" t="str">
        <f t="shared" si="198"/>
        <v>March</v>
      </c>
      <c r="K3171" s="93" t="str">
        <f t="shared" si="199"/>
        <v>2025</v>
      </c>
      <c r="L3171" s="6"/>
      <c r="M3171" s="6"/>
      <c r="N3171" s="6"/>
    </row>
    <row r="3172" spans="1:14" x14ac:dyDescent="0.3">
      <c r="A3172" s="87">
        <v>45735</v>
      </c>
      <c r="B3172" s="87" t="str">
        <f t="shared" si="196"/>
        <v>Wednesday</v>
      </c>
      <c r="C3172" s="88" t="s">
        <v>1381</v>
      </c>
      <c r="D3172" s="88" t="s">
        <v>1203</v>
      </c>
      <c r="E3172" s="89">
        <v>35.76</v>
      </c>
      <c r="F3172" s="88" t="s">
        <v>5</v>
      </c>
      <c r="G3172" s="87">
        <f>Table1[[#This Row],[date]]</f>
        <v>45735</v>
      </c>
      <c r="H3172" s="94">
        <f>SUMIF($A$2:A6807,G3172,$E$2:E6807)</f>
        <v>535.87999999999988</v>
      </c>
      <c r="I3172" s="93" t="str">
        <f t="shared" si="197"/>
        <v>Wednesday</v>
      </c>
      <c r="J3172" s="93" t="str">
        <f t="shared" si="198"/>
        <v>March</v>
      </c>
      <c r="K3172" s="93" t="str">
        <f t="shared" si="199"/>
        <v>2025</v>
      </c>
      <c r="L3172" s="6"/>
      <c r="M3172" s="6"/>
      <c r="N3172" s="6"/>
    </row>
    <row r="3173" spans="1:14" x14ac:dyDescent="0.3">
      <c r="A3173" s="92">
        <v>45735</v>
      </c>
      <c r="B3173" s="92" t="str">
        <f t="shared" si="196"/>
        <v>Wednesday</v>
      </c>
      <c r="C3173" s="93" t="s">
        <v>1381</v>
      </c>
      <c r="D3173" s="93" t="s">
        <v>1179</v>
      </c>
      <c r="E3173" s="94">
        <v>25.96</v>
      </c>
      <c r="F3173" s="93" t="s">
        <v>9</v>
      </c>
      <c r="G3173" s="87">
        <f>Table1[[#This Row],[date]]</f>
        <v>45735</v>
      </c>
      <c r="H3173" s="94">
        <f>SUMIF($A$2:A6808,G3173,$E$2:E6808)</f>
        <v>535.87999999999988</v>
      </c>
      <c r="I3173" s="93" t="str">
        <f t="shared" si="197"/>
        <v>Wednesday</v>
      </c>
      <c r="J3173" s="93" t="str">
        <f t="shared" si="198"/>
        <v>March</v>
      </c>
      <c r="K3173" s="93" t="str">
        <f t="shared" si="199"/>
        <v>2025</v>
      </c>
      <c r="L3173" s="6"/>
      <c r="M3173" s="6"/>
      <c r="N3173" s="6"/>
    </row>
    <row r="3174" spans="1:14" x14ac:dyDescent="0.3">
      <c r="A3174" s="87">
        <v>45735</v>
      </c>
      <c r="B3174" s="87" t="str">
        <f t="shared" si="196"/>
        <v>Wednesday</v>
      </c>
      <c r="C3174" s="88" t="s">
        <v>1381</v>
      </c>
      <c r="D3174" s="88" t="s">
        <v>1170</v>
      </c>
      <c r="E3174" s="89">
        <v>35.76</v>
      </c>
      <c r="F3174" s="88" t="s">
        <v>41</v>
      </c>
      <c r="G3174" s="87">
        <f>Table1[[#This Row],[date]]</f>
        <v>45735</v>
      </c>
      <c r="H3174" s="94">
        <f>SUMIF($A$2:A6809,G3174,$E$2:E6809)</f>
        <v>535.87999999999988</v>
      </c>
      <c r="I3174" s="93" t="str">
        <f t="shared" si="197"/>
        <v>Wednesday</v>
      </c>
      <c r="J3174" s="93" t="str">
        <f t="shared" si="198"/>
        <v>March</v>
      </c>
      <c r="K3174" s="93" t="str">
        <f t="shared" si="199"/>
        <v>2025</v>
      </c>
      <c r="L3174" s="6"/>
      <c r="M3174" s="6"/>
      <c r="N3174" s="6"/>
    </row>
    <row r="3175" spans="1:14" x14ac:dyDescent="0.3">
      <c r="A3175" s="87">
        <v>45735</v>
      </c>
      <c r="B3175" s="87" t="str">
        <f t="shared" si="196"/>
        <v>Wednesday</v>
      </c>
      <c r="C3175" s="88" t="s">
        <v>1381</v>
      </c>
      <c r="D3175" s="88" t="s">
        <v>1287</v>
      </c>
      <c r="E3175" s="89">
        <v>35.76</v>
      </c>
      <c r="F3175" s="88" t="s">
        <v>16</v>
      </c>
      <c r="G3175" s="87">
        <f>Table1[[#This Row],[date]]</f>
        <v>45735</v>
      </c>
      <c r="H3175" s="94">
        <f>SUMIF($A$2:A6810,G3175,$E$2:E6810)</f>
        <v>535.87999999999988</v>
      </c>
      <c r="I3175" s="93" t="str">
        <f t="shared" si="197"/>
        <v>Wednesday</v>
      </c>
      <c r="J3175" s="93" t="str">
        <f t="shared" si="198"/>
        <v>March</v>
      </c>
      <c r="K3175" s="93" t="str">
        <f t="shared" si="199"/>
        <v>2025</v>
      </c>
      <c r="L3175" s="6"/>
      <c r="M3175" s="6"/>
      <c r="N3175" s="6"/>
    </row>
    <row r="3176" spans="1:14" x14ac:dyDescent="0.3">
      <c r="A3176" s="92">
        <v>45735</v>
      </c>
      <c r="B3176" s="92" t="str">
        <f t="shared" si="196"/>
        <v>Wednesday</v>
      </c>
      <c r="C3176" s="93" t="s">
        <v>1381</v>
      </c>
      <c r="D3176" s="93" t="s">
        <v>1231</v>
      </c>
      <c r="E3176" s="94">
        <v>30.86</v>
      </c>
      <c r="F3176" s="93" t="s">
        <v>12</v>
      </c>
      <c r="G3176" s="87">
        <f>Table1[[#This Row],[date]]</f>
        <v>45735</v>
      </c>
      <c r="H3176" s="94">
        <f>SUMIF($A$2:A6811,G3176,$E$2:E6811)</f>
        <v>535.87999999999988</v>
      </c>
      <c r="I3176" s="93" t="str">
        <f t="shared" si="197"/>
        <v>Wednesday</v>
      </c>
      <c r="J3176" s="93" t="str">
        <f t="shared" si="198"/>
        <v>March</v>
      </c>
      <c r="K3176" s="93" t="str">
        <f t="shared" si="199"/>
        <v>2025</v>
      </c>
      <c r="L3176" s="6"/>
      <c r="M3176" s="6"/>
      <c r="N3176" s="6"/>
    </row>
    <row r="3177" spans="1:14" x14ac:dyDescent="0.3">
      <c r="A3177" s="87">
        <v>45735</v>
      </c>
      <c r="B3177" s="87" t="str">
        <f t="shared" si="196"/>
        <v>Wednesday</v>
      </c>
      <c r="C3177" s="88" t="s">
        <v>1381</v>
      </c>
      <c r="D3177" s="88" t="s">
        <v>1234</v>
      </c>
      <c r="E3177" s="89">
        <v>30.86</v>
      </c>
      <c r="F3177" s="88" t="s">
        <v>12</v>
      </c>
      <c r="G3177" s="87">
        <f>Table1[[#This Row],[date]]</f>
        <v>45735</v>
      </c>
      <c r="H3177" s="94">
        <f>SUMIF($A$2:A6812,G3177,$E$2:E6812)</f>
        <v>535.87999999999988</v>
      </c>
      <c r="I3177" s="93" t="str">
        <f t="shared" si="197"/>
        <v>Wednesday</v>
      </c>
      <c r="J3177" s="93" t="str">
        <f t="shared" si="198"/>
        <v>March</v>
      </c>
      <c r="K3177" s="93" t="str">
        <f t="shared" si="199"/>
        <v>2025</v>
      </c>
      <c r="L3177" s="6"/>
      <c r="M3177" s="6"/>
      <c r="N3177" s="6"/>
    </row>
    <row r="3178" spans="1:14" x14ac:dyDescent="0.3">
      <c r="A3178" s="92">
        <v>45735</v>
      </c>
      <c r="B3178" s="92" t="str">
        <f t="shared" si="196"/>
        <v>Wednesday</v>
      </c>
      <c r="C3178" s="93" t="s">
        <v>1381</v>
      </c>
      <c r="D3178" s="93" t="s">
        <v>1313</v>
      </c>
      <c r="E3178" s="94">
        <v>25.96</v>
      </c>
      <c r="F3178" s="93" t="s">
        <v>26</v>
      </c>
      <c r="G3178" s="87">
        <f>Table1[[#This Row],[date]]</f>
        <v>45735</v>
      </c>
      <c r="H3178" s="94">
        <f>SUMIF($A$2:A6813,G3178,$E$2:E6813)</f>
        <v>535.87999999999988</v>
      </c>
      <c r="I3178" s="93" t="str">
        <f t="shared" si="197"/>
        <v>Wednesday</v>
      </c>
      <c r="J3178" s="93" t="str">
        <f t="shared" si="198"/>
        <v>March</v>
      </c>
      <c r="K3178" s="93" t="str">
        <f t="shared" si="199"/>
        <v>2025</v>
      </c>
      <c r="L3178" s="6"/>
      <c r="M3178" s="6"/>
      <c r="N3178" s="6"/>
    </row>
    <row r="3179" spans="1:14" x14ac:dyDescent="0.3">
      <c r="A3179" s="87">
        <v>45735</v>
      </c>
      <c r="B3179" s="87" t="str">
        <f t="shared" si="196"/>
        <v>Wednesday</v>
      </c>
      <c r="C3179" s="88" t="s">
        <v>1381</v>
      </c>
      <c r="D3179" s="88" t="s">
        <v>1314</v>
      </c>
      <c r="E3179" s="89">
        <v>21.06</v>
      </c>
      <c r="F3179" s="88" t="s">
        <v>33</v>
      </c>
      <c r="G3179" s="87">
        <f>Table1[[#This Row],[date]]</f>
        <v>45735</v>
      </c>
      <c r="H3179" s="94">
        <f>SUMIF($A$2:A6814,G3179,$E$2:E6814)</f>
        <v>535.87999999999988</v>
      </c>
      <c r="I3179" s="93" t="str">
        <f t="shared" si="197"/>
        <v>Wednesday</v>
      </c>
      <c r="J3179" s="93" t="str">
        <f t="shared" si="198"/>
        <v>March</v>
      </c>
      <c r="K3179" s="93" t="str">
        <f t="shared" si="199"/>
        <v>2025</v>
      </c>
      <c r="L3179" s="6"/>
      <c r="M3179" s="6"/>
      <c r="N3179" s="6"/>
    </row>
    <row r="3180" spans="1:14" x14ac:dyDescent="0.3">
      <c r="A3180" s="92">
        <v>45735</v>
      </c>
      <c r="B3180" s="92" t="str">
        <f t="shared" si="196"/>
        <v>Wednesday</v>
      </c>
      <c r="C3180" s="93" t="s">
        <v>1381</v>
      </c>
      <c r="D3180" s="93" t="s">
        <v>1315</v>
      </c>
      <c r="E3180" s="94">
        <v>21.06</v>
      </c>
      <c r="F3180" s="93" t="s">
        <v>33</v>
      </c>
      <c r="G3180" s="87">
        <f>Table1[[#This Row],[date]]</f>
        <v>45735</v>
      </c>
      <c r="H3180" s="94">
        <f>SUMIF($A$2:A6815,G3180,$E$2:E6815)</f>
        <v>535.87999999999988</v>
      </c>
      <c r="I3180" s="93" t="str">
        <f t="shared" si="197"/>
        <v>Wednesday</v>
      </c>
      <c r="J3180" s="93" t="str">
        <f t="shared" si="198"/>
        <v>March</v>
      </c>
      <c r="K3180" s="93" t="str">
        <f t="shared" si="199"/>
        <v>2025</v>
      </c>
      <c r="L3180" s="6"/>
      <c r="M3180" s="6"/>
      <c r="N3180" s="6"/>
    </row>
    <row r="3181" spans="1:14" x14ac:dyDescent="0.3">
      <c r="A3181" s="87">
        <v>45736</v>
      </c>
      <c r="B3181" s="87" t="str">
        <f t="shared" si="196"/>
        <v>Thursday</v>
      </c>
      <c r="C3181" s="88" t="s">
        <v>1381</v>
      </c>
      <c r="D3181" s="88" t="s">
        <v>1316</v>
      </c>
      <c r="E3181" s="89">
        <v>30.86</v>
      </c>
      <c r="F3181" s="88" t="s">
        <v>12</v>
      </c>
      <c r="G3181" s="87">
        <f>Table1[[#This Row],[date]]</f>
        <v>45736</v>
      </c>
      <c r="H3181" s="94">
        <f>SUMIF($A$2:A6816,G3181,$E$2:E6816)</f>
        <v>561.83999999999992</v>
      </c>
      <c r="I3181" s="93" t="str">
        <f t="shared" si="197"/>
        <v>Thursday</v>
      </c>
      <c r="J3181" s="93" t="str">
        <f t="shared" si="198"/>
        <v>March</v>
      </c>
      <c r="K3181" s="93" t="str">
        <f t="shared" si="199"/>
        <v>2025</v>
      </c>
      <c r="L3181" s="6"/>
      <c r="M3181" s="6"/>
      <c r="N3181" s="6"/>
    </row>
    <row r="3182" spans="1:14" x14ac:dyDescent="0.3">
      <c r="A3182" s="92">
        <v>45736</v>
      </c>
      <c r="B3182" s="92" t="str">
        <f t="shared" si="196"/>
        <v>Thursday</v>
      </c>
      <c r="C3182" s="93" t="s">
        <v>1381</v>
      </c>
      <c r="D3182" s="93" t="s">
        <v>1164</v>
      </c>
      <c r="E3182" s="94">
        <v>30.86</v>
      </c>
      <c r="F3182" s="93" t="s">
        <v>12</v>
      </c>
      <c r="G3182" s="87">
        <f>Table1[[#This Row],[date]]</f>
        <v>45736</v>
      </c>
      <c r="H3182" s="94">
        <f>SUMIF($A$2:A6817,G3182,$E$2:E6817)</f>
        <v>561.83999999999992</v>
      </c>
      <c r="I3182" s="93" t="str">
        <f t="shared" si="197"/>
        <v>Thursday</v>
      </c>
      <c r="J3182" s="93" t="str">
        <f t="shared" si="198"/>
        <v>March</v>
      </c>
      <c r="K3182" s="93" t="str">
        <f t="shared" si="199"/>
        <v>2025</v>
      </c>
      <c r="L3182" s="6"/>
      <c r="M3182" s="6"/>
      <c r="N3182" s="6"/>
    </row>
    <row r="3183" spans="1:14" x14ac:dyDescent="0.3">
      <c r="A3183" s="87">
        <v>45736</v>
      </c>
      <c r="B3183" s="87" t="str">
        <f t="shared" si="196"/>
        <v>Thursday</v>
      </c>
      <c r="C3183" s="88" t="s">
        <v>1381</v>
      </c>
      <c r="D3183" s="88" t="s">
        <v>1305</v>
      </c>
      <c r="E3183" s="89">
        <v>30.86</v>
      </c>
      <c r="F3183" s="88" t="s">
        <v>12</v>
      </c>
      <c r="G3183" s="87">
        <f>Table1[[#This Row],[date]]</f>
        <v>45736</v>
      </c>
      <c r="H3183" s="94">
        <f>SUMIF($A$2:A6818,G3183,$E$2:E6818)</f>
        <v>561.83999999999992</v>
      </c>
      <c r="I3183" s="93" t="str">
        <f t="shared" si="197"/>
        <v>Thursday</v>
      </c>
      <c r="J3183" s="93" t="str">
        <f t="shared" si="198"/>
        <v>March</v>
      </c>
      <c r="K3183" s="93" t="str">
        <f t="shared" si="199"/>
        <v>2025</v>
      </c>
      <c r="L3183" s="6"/>
      <c r="M3183" s="6"/>
      <c r="N3183" s="6"/>
    </row>
    <row r="3184" spans="1:14" x14ac:dyDescent="0.3">
      <c r="A3184" s="92">
        <v>45736</v>
      </c>
      <c r="B3184" s="92" t="str">
        <f t="shared" si="196"/>
        <v>Thursday</v>
      </c>
      <c r="C3184" s="93" t="s">
        <v>1381</v>
      </c>
      <c r="D3184" s="93" t="s">
        <v>1317</v>
      </c>
      <c r="E3184" s="94">
        <v>25.96</v>
      </c>
      <c r="F3184" s="93" t="s">
        <v>9</v>
      </c>
      <c r="G3184" s="87">
        <f>Table1[[#This Row],[date]]</f>
        <v>45736</v>
      </c>
      <c r="H3184" s="94">
        <f>SUMIF($A$2:A6819,G3184,$E$2:E6819)</f>
        <v>561.83999999999992</v>
      </c>
      <c r="I3184" s="93" t="str">
        <f t="shared" si="197"/>
        <v>Thursday</v>
      </c>
      <c r="J3184" s="93" t="str">
        <f t="shared" si="198"/>
        <v>March</v>
      </c>
      <c r="K3184" s="93" t="str">
        <f t="shared" si="199"/>
        <v>2025</v>
      </c>
      <c r="L3184" s="6"/>
      <c r="M3184" s="6"/>
      <c r="N3184" s="6"/>
    </row>
    <row r="3185" spans="1:14" x14ac:dyDescent="0.3">
      <c r="A3185" s="87">
        <v>45736</v>
      </c>
      <c r="B3185" s="87" t="str">
        <f t="shared" si="196"/>
        <v>Thursday</v>
      </c>
      <c r="C3185" s="88" t="s">
        <v>1381</v>
      </c>
      <c r="D3185" s="88" t="s">
        <v>1122</v>
      </c>
      <c r="E3185" s="89">
        <v>25.96</v>
      </c>
      <c r="F3185" s="88" t="s">
        <v>9</v>
      </c>
      <c r="G3185" s="87">
        <f>Table1[[#This Row],[date]]</f>
        <v>45736</v>
      </c>
      <c r="H3185" s="94">
        <f>SUMIF($A$2:A6820,G3185,$E$2:E6820)</f>
        <v>561.83999999999992</v>
      </c>
      <c r="I3185" s="93" t="str">
        <f t="shared" si="197"/>
        <v>Thursday</v>
      </c>
      <c r="J3185" s="93" t="str">
        <f t="shared" si="198"/>
        <v>March</v>
      </c>
      <c r="K3185" s="93" t="str">
        <f t="shared" si="199"/>
        <v>2025</v>
      </c>
      <c r="L3185" s="6"/>
      <c r="M3185" s="6"/>
      <c r="N3185" s="6"/>
    </row>
    <row r="3186" spans="1:14" x14ac:dyDescent="0.3">
      <c r="A3186" s="92">
        <v>45736</v>
      </c>
      <c r="B3186" s="92" t="str">
        <f t="shared" si="196"/>
        <v>Thursday</v>
      </c>
      <c r="C3186" s="93" t="s">
        <v>1381</v>
      </c>
      <c r="D3186" s="93" t="s">
        <v>1318</v>
      </c>
      <c r="E3186" s="94">
        <v>25.96</v>
      </c>
      <c r="F3186" s="93" t="s">
        <v>9</v>
      </c>
      <c r="G3186" s="87">
        <f>Table1[[#This Row],[date]]</f>
        <v>45736</v>
      </c>
      <c r="H3186" s="94">
        <f>SUMIF($A$2:A6821,G3186,$E$2:E6821)</f>
        <v>561.83999999999992</v>
      </c>
      <c r="I3186" s="93" t="str">
        <f t="shared" si="197"/>
        <v>Thursday</v>
      </c>
      <c r="J3186" s="93" t="str">
        <f t="shared" si="198"/>
        <v>March</v>
      </c>
      <c r="K3186" s="93" t="str">
        <f t="shared" si="199"/>
        <v>2025</v>
      </c>
      <c r="L3186" s="6"/>
      <c r="M3186" s="6"/>
      <c r="N3186" s="6"/>
    </row>
    <row r="3187" spans="1:14" x14ac:dyDescent="0.3">
      <c r="A3187" s="87">
        <v>45736</v>
      </c>
      <c r="B3187" s="87" t="str">
        <f t="shared" si="196"/>
        <v>Thursday</v>
      </c>
      <c r="C3187" s="88" t="s">
        <v>1381</v>
      </c>
      <c r="D3187" s="88" t="s">
        <v>1164</v>
      </c>
      <c r="E3187" s="89">
        <v>25.96</v>
      </c>
      <c r="F3187" s="88" t="s">
        <v>9</v>
      </c>
      <c r="G3187" s="87">
        <f>Table1[[#This Row],[date]]</f>
        <v>45736</v>
      </c>
      <c r="H3187" s="94">
        <f>SUMIF($A$2:A6822,G3187,$E$2:E6822)</f>
        <v>561.83999999999992</v>
      </c>
      <c r="I3187" s="93" t="str">
        <f t="shared" si="197"/>
        <v>Thursday</v>
      </c>
      <c r="J3187" s="93" t="str">
        <f t="shared" si="198"/>
        <v>March</v>
      </c>
      <c r="K3187" s="93" t="str">
        <f t="shared" si="199"/>
        <v>2025</v>
      </c>
      <c r="L3187" s="6"/>
      <c r="M3187" s="6"/>
      <c r="N3187" s="6"/>
    </row>
    <row r="3188" spans="1:14" x14ac:dyDescent="0.3">
      <c r="A3188" s="92">
        <v>45736</v>
      </c>
      <c r="B3188" s="92" t="str">
        <f t="shared" si="196"/>
        <v>Thursday</v>
      </c>
      <c r="C3188" s="93" t="s">
        <v>1381</v>
      </c>
      <c r="D3188" s="93" t="s">
        <v>1302</v>
      </c>
      <c r="E3188" s="94">
        <v>25.96</v>
      </c>
      <c r="F3188" s="93" t="s">
        <v>9</v>
      </c>
      <c r="G3188" s="87">
        <f>Table1[[#This Row],[date]]</f>
        <v>45736</v>
      </c>
      <c r="H3188" s="94">
        <f>SUMIF($A$2:A6823,G3188,$E$2:E6823)</f>
        <v>561.83999999999992</v>
      </c>
      <c r="I3188" s="93" t="str">
        <f t="shared" si="197"/>
        <v>Thursday</v>
      </c>
      <c r="J3188" s="93" t="str">
        <f t="shared" si="198"/>
        <v>March</v>
      </c>
      <c r="K3188" s="93" t="str">
        <f t="shared" si="199"/>
        <v>2025</v>
      </c>
      <c r="L3188" s="6"/>
      <c r="M3188" s="6"/>
      <c r="N3188" s="6"/>
    </row>
    <row r="3189" spans="1:14" x14ac:dyDescent="0.3">
      <c r="A3189" s="87">
        <v>45736</v>
      </c>
      <c r="B3189" s="87" t="str">
        <f t="shared" si="196"/>
        <v>Thursday</v>
      </c>
      <c r="C3189" s="88" t="s">
        <v>1381</v>
      </c>
      <c r="D3189" s="88" t="s">
        <v>1302</v>
      </c>
      <c r="E3189" s="89">
        <v>21.06</v>
      </c>
      <c r="F3189" s="88" t="s">
        <v>33</v>
      </c>
      <c r="G3189" s="87">
        <f>Table1[[#This Row],[date]]</f>
        <v>45736</v>
      </c>
      <c r="H3189" s="94">
        <f>SUMIF($A$2:A6824,G3189,$E$2:E6824)</f>
        <v>561.83999999999992</v>
      </c>
      <c r="I3189" s="93" t="str">
        <f t="shared" si="197"/>
        <v>Thursday</v>
      </c>
      <c r="J3189" s="93" t="str">
        <f t="shared" si="198"/>
        <v>March</v>
      </c>
      <c r="K3189" s="93" t="str">
        <f t="shared" si="199"/>
        <v>2025</v>
      </c>
      <c r="L3189" s="6"/>
      <c r="M3189" s="6"/>
      <c r="N3189" s="6"/>
    </row>
    <row r="3190" spans="1:14" x14ac:dyDescent="0.3">
      <c r="A3190" s="92">
        <v>45736</v>
      </c>
      <c r="B3190" s="92" t="str">
        <f t="shared" si="196"/>
        <v>Thursday</v>
      </c>
      <c r="C3190" s="93" t="s">
        <v>1381</v>
      </c>
      <c r="D3190" s="93" t="s">
        <v>1319</v>
      </c>
      <c r="E3190" s="94">
        <v>25.96</v>
      </c>
      <c r="F3190" s="93" t="s">
        <v>26</v>
      </c>
      <c r="G3190" s="87">
        <f>Table1[[#This Row],[date]]</f>
        <v>45736</v>
      </c>
      <c r="H3190" s="94">
        <f>SUMIF($A$2:A6825,G3190,$E$2:E6825)</f>
        <v>561.83999999999992</v>
      </c>
      <c r="I3190" s="93" t="str">
        <f t="shared" si="197"/>
        <v>Thursday</v>
      </c>
      <c r="J3190" s="93" t="str">
        <f t="shared" si="198"/>
        <v>March</v>
      </c>
      <c r="K3190" s="93" t="str">
        <f t="shared" si="199"/>
        <v>2025</v>
      </c>
      <c r="L3190" s="6"/>
      <c r="M3190" s="6"/>
      <c r="N3190" s="6"/>
    </row>
    <row r="3191" spans="1:14" x14ac:dyDescent="0.3">
      <c r="A3191" s="87">
        <v>45736</v>
      </c>
      <c r="B3191" s="87" t="str">
        <f t="shared" si="196"/>
        <v>Thursday</v>
      </c>
      <c r="C3191" s="88" t="s">
        <v>1381</v>
      </c>
      <c r="D3191" s="88" t="s">
        <v>1320</v>
      </c>
      <c r="E3191" s="89">
        <v>35.76</v>
      </c>
      <c r="F3191" s="88" t="s">
        <v>41</v>
      </c>
      <c r="G3191" s="87">
        <f>Table1[[#This Row],[date]]</f>
        <v>45736</v>
      </c>
      <c r="H3191" s="94">
        <f>SUMIF($A$2:A6826,G3191,$E$2:E6826)</f>
        <v>561.83999999999992</v>
      </c>
      <c r="I3191" s="93" t="str">
        <f t="shared" si="197"/>
        <v>Thursday</v>
      </c>
      <c r="J3191" s="93" t="str">
        <f t="shared" si="198"/>
        <v>March</v>
      </c>
      <c r="K3191" s="93" t="str">
        <f t="shared" si="199"/>
        <v>2025</v>
      </c>
      <c r="L3191" s="6"/>
      <c r="M3191" s="6"/>
      <c r="N3191" s="6"/>
    </row>
    <row r="3192" spans="1:14" x14ac:dyDescent="0.3">
      <c r="A3192" s="92">
        <v>45736</v>
      </c>
      <c r="B3192" s="92" t="str">
        <f t="shared" si="196"/>
        <v>Thursday</v>
      </c>
      <c r="C3192" s="93" t="s">
        <v>1381</v>
      </c>
      <c r="D3192" s="93" t="s">
        <v>1173</v>
      </c>
      <c r="E3192" s="94">
        <v>35.76</v>
      </c>
      <c r="F3192" s="93" t="s">
        <v>41</v>
      </c>
      <c r="G3192" s="87">
        <f>Table1[[#This Row],[date]]</f>
        <v>45736</v>
      </c>
      <c r="H3192" s="94">
        <f>SUMIF($A$2:A6827,G3192,$E$2:E6827)</f>
        <v>561.83999999999992</v>
      </c>
      <c r="I3192" s="93" t="str">
        <f t="shared" si="197"/>
        <v>Thursday</v>
      </c>
      <c r="J3192" s="93" t="str">
        <f t="shared" si="198"/>
        <v>March</v>
      </c>
      <c r="K3192" s="93" t="str">
        <f t="shared" si="199"/>
        <v>2025</v>
      </c>
      <c r="L3192" s="6"/>
      <c r="M3192" s="6"/>
      <c r="N3192" s="6"/>
    </row>
    <row r="3193" spans="1:14" x14ac:dyDescent="0.3">
      <c r="A3193" s="87">
        <v>45736</v>
      </c>
      <c r="B3193" s="87" t="str">
        <f t="shared" si="196"/>
        <v>Thursday</v>
      </c>
      <c r="C3193" s="88" t="s">
        <v>1381</v>
      </c>
      <c r="D3193" s="88" t="s">
        <v>1182</v>
      </c>
      <c r="E3193" s="89">
        <v>25.96</v>
      </c>
      <c r="F3193" s="88" t="s">
        <v>9</v>
      </c>
      <c r="G3193" s="87">
        <f>Table1[[#This Row],[date]]</f>
        <v>45736</v>
      </c>
      <c r="H3193" s="94">
        <f>SUMIF($A$2:A6828,G3193,$E$2:E6828)</f>
        <v>561.83999999999992</v>
      </c>
      <c r="I3193" s="93" t="str">
        <f t="shared" si="197"/>
        <v>Thursday</v>
      </c>
      <c r="J3193" s="93" t="str">
        <f t="shared" si="198"/>
        <v>March</v>
      </c>
      <c r="K3193" s="93" t="str">
        <f t="shared" si="199"/>
        <v>2025</v>
      </c>
      <c r="L3193" s="6"/>
      <c r="M3193" s="6"/>
      <c r="N3193" s="6"/>
    </row>
    <row r="3194" spans="1:14" x14ac:dyDescent="0.3">
      <c r="A3194" s="92">
        <v>45736</v>
      </c>
      <c r="B3194" s="92" t="str">
        <f t="shared" si="196"/>
        <v>Thursday</v>
      </c>
      <c r="C3194" s="93" t="s">
        <v>1381</v>
      </c>
      <c r="D3194" s="93" t="s">
        <v>1288</v>
      </c>
      <c r="E3194" s="94">
        <v>25.96</v>
      </c>
      <c r="F3194" s="93" t="s">
        <v>9</v>
      </c>
      <c r="G3194" s="87">
        <f>Table1[[#This Row],[date]]</f>
        <v>45736</v>
      </c>
      <c r="H3194" s="94">
        <f>SUMIF($A$2:A6829,G3194,$E$2:E6829)</f>
        <v>561.83999999999992</v>
      </c>
      <c r="I3194" s="93" t="str">
        <f t="shared" si="197"/>
        <v>Thursday</v>
      </c>
      <c r="J3194" s="93" t="str">
        <f t="shared" si="198"/>
        <v>March</v>
      </c>
      <c r="K3194" s="93" t="str">
        <f t="shared" si="199"/>
        <v>2025</v>
      </c>
      <c r="L3194" s="6"/>
      <c r="M3194" s="6"/>
      <c r="N3194" s="6"/>
    </row>
    <row r="3195" spans="1:14" x14ac:dyDescent="0.3">
      <c r="A3195" s="87">
        <v>45736</v>
      </c>
      <c r="B3195" s="87" t="str">
        <f t="shared" si="196"/>
        <v>Thursday</v>
      </c>
      <c r="C3195" s="88" t="s">
        <v>1381</v>
      </c>
      <c r="D3195" s="88" t="s">
        <v>1170</v>
      </c>
      <c r="E3195" s="89">
        <v>35.76</v>
      </c>
      <c r="F3195" s="88" t="s">
        <v>41</v>
      </c>
      <c r="G3195" s="87">
        <f>Table1[[#This Row],[date]]</f>
        <v>45736</v>
      </c>
      <c r="H3195" s="94">
        <f>SUMIF($A$2:A6830,G3195,$E$2:E6830)</f>
        <v>561.83999999999992</v>
      </c>
      <c r="I3195" s="93" t="str">
        <f t="shared" si="197"/>
        <v>Thursday</v>
      </c>
      <c r="J3195" s="93" t="str">
        <f t="shared" si="198"/>
        <v>March</v>
      </c>
      <c r="K3195" s="93" t="str">
        <f t="shared" si="199"/>
        <v>2025</v>
      </c>
      <c r="L3195" s="6"/>
      <c r="M3195" s="6"/>
      <c r="N3195" s="6"/>
    </row>
    <row r="3196" spans="1:14" x14ac:dyDescent="0.3">
      <c r="A3196" s="92">
        <v>45736</v>
      </c>
      <c r="B3196" s="92" t="str">
        <f t="shared" si="196"/>
        <v>Thursday</v>
      </c>
      <c r="C3196" s="93" t="s">
        <v>1381</v>
      </c>
      <c r="D3196" s="93" t="s">
        <v>1321</v>
      </c>
      <c r="E3196" s="94">
        <v>25.96</v>
      </c>
      <c r="F3196" s="93" t="s">
        <v>9</v>
      </c>
      <c r="G3196" s="87">
        <f>Table1[[#This Row],[date]]</f>
        <v>45736</v>
      </c>
      <c r="H3196" s="94">
        <f>SUMIF($A$2:A6831,G3196,$E$2:E6831)</f>
        <v>561.83999999999992</v>
      </c>
      <c r="I3196" s="93" t="str">
        <f t="shared" si="197"/>
        <v>Thursday</v>
      </c>
      <c r="J3196" s="93" t="str">
        <f t="shared" si="198"/>
        <v>March</v>
      </c>
      <c r="K3196" s="93" t="str">
        <f t="shared" si="199"/>
        <v>2025</v>
      </c>
      <c r="L3196" s="6"/>
      <c r="M3196" s="6"/>
      <c r="N3196" s="6"/>
    </row>
    <row r="3197" spans="1:14" x14ac:dyDescent="0.3">
      <c r="A3197" s="87">
        <v>45736</v>
      </c>
      <c r="B3197" s="87" t="str">
        <f t="shared" si="196"/>
        <v>Thursday</v>
      </c>
      <c r="C3197" s="88" t="s">
        <v>1381</v>
      </c>
      <c r="D3197" s="88" t="s">
        <v>1245</v>
      </c>
      <c r="E3197" s="89">
        <v>35.76</v>
      </c>
      <c r="F3197" s="88" t="s">
        <v>7</v>
      </c>
      <c r="G3197" s="87">
        <f>Table1[[#This Row],[date]]</f>
        <v>45736</v>
      </c>
      <c r="H3197" s="94">
        <f>SUMIF($A$2:A6832,G3197,$E$2:E6832)</f>
        <v>561.83999999999992</v>
      </c>
      <c r="I3197" s="93" t="str">
        <f t="shared" si="197"/>
        <v>Thursday</v>
      </c>
      <c r="J3197" s="93" t="str">
        <f t="shared" si="198"/>
        <v>March</v>
      </c>
      <c r="K3197" s="93" t="str">
        <f t="shared" si="199"/>
        <v>2025</v>
      </c>
      <c r="L3197" s="6"/>
      <c r="M3197" s="6"/>
      <c r="N3197" s="6"/>
    </row>
    <row r="3198" spans="1:14" x14ac:dyDescent="0.3">
      <c r="A3198" s="92">
        <v>45736</v>
      </c>
      <c r="B3198" s="92" t="str">
        <f t="shared" si="196"/>
        <v>Thursday</v>
      </c>
      <c r="C3198" s="93" t="s">
        <v>1381</v>
      </c>
      <c r="D3198" s="93" t="s">
        <v>1322</v>
      </c>
      <c r="E3198" s="94">
        <v>35.76</v>
      </c>
      <c r="F3198" s="93" t="s">
        <v>16</v>
      </c>
      <c r="G3198" s="87">
        <f>Table1[[#This Row],[date]]</f>
        <v>45736</v>
      </c>
      <c r="H3198" s="94">
        <f>SUMIF($A$2:A6833,G3198,$E$2:E6833)</f>
        <v>561.83999999999992</v>
      </c>
      <c r="I3198" s="93" t="str">
        <f t="shared" si="197"/>
        <v>Thursday</v>
      </c>
      <c r="J3198" s="93" t="str">
        <f t="shared" si="198"/>
        <v>March</v>
      </c>
      <c r="K3198" s="93" t="str">
        <f t="shared" si="199"/>
        <v>2025</v>
      </c>
      <c r="L3198" s="6"/>
      <c r="M3198" s="6"/>
      <c r="N3198" s="6"/>
    </row>
    <row r="3199" spans="1:14" x14ac:dyDescent="0.3">
      <c r="A3199" s="92">
        <v>45736</v>
      </c>
      <c r="B3199" s="92" t="str">
        <f t="shared" si="196"/>
        <v>Thursday</v>
      </c>
      <c r="C3199" s="93" t="s">
        <v>1381</v>
      </c>
      <c r="D3199" s="93" t="s">
        <v>1310</v>
      </c>
      <c r="E3199" s="94">
        <v>35.76</v>
      </c>
      <c r="F3199" s="93" t="s">
        <v>5</v>
      </c>
      <c r="G3199" s="87">
        <f>Table1[[#This Row],[date]]</f>
        <v>45736</v>
      </c>
      <c r="H3199" s="94">
        <f>SUMIF($A$2:A6834,G3199,$E$2:E6834)</f>
        <v>561.83999999999992</v>
      </c>
      <c r="I3199" s="93" t="str">
        <f t="shared" si="197"/>
        <v>Thursday</v>
      </c>
      <c r="J3199" s="93" t="str">
        <f t="shared" si="198"/>
        <v>March</v>
      </c>
      <c r="K3199" s="93" t="str">
        <f t="shared" si="199"/>
        <v>2025</v>
      </c>
      <c r="L3199" s="6"/>
      <c r="M3199" s="6"/>
      <c r="N3199" s="6"/>
    </row>
    <row r="3200" spans="1:14" x14ac:dyDescent="0.3">
      <c r="A3200" s="87">
        <v>45737</v>
      </c>
      <c r="B3200" s="87" t="str">
        <f t="shared" si="196"/>
        <v>Friday</v>
      </c>
      <c r="C3200" s="88" t="s">
        <v>1381</v>
      </c>
      <c r="D3200" s="88" t="s">
        <v>1175</v>
      </c>
      <c r="E3200" s="89">
        <v>30.86</v>
      </c>
      <c r="F3200" s="88" t="s">
        <v>12</v>
      </c>
      <c r="G3200" s="87">
        <f>Table1[[#This Row],[date]]</f>
        <v>45737</v>
      </c>
      <c r="H3200" s="94">
        <f>SUMIF($A$2:A6835,G3200,$E$2:E6835)</f>
        <v>528.05999999999995</v>
      </c>
      <c r="I3200" s="93" t="str">
        <f t="shared" si="197"/>
        <v>Friday</v>
      </c>
      <c r="J3200" s="93" t="str">
        <f t="shared" si="198"/>
        <v>March</v>
      </c>
      <c r="K3200" s="93" t="str">
        <f t="shared" si="199"/>
        <v>2025</v>
      </c>
      <c r="L3200" s="6"/>
      <c r="M3200" s="6"/>
      <c r="N3200" s="6"/>
    </row>
    <row r="3201" spans="1:14" x14ac:dyDescent="0.3">
      <c r="A3201" s="87">
        <v>45737</v>
      </c>
      <c r="B3201" s="87" t="str">
        <f t="shared" si="196"/>
        <v>Friday</v>
      </c>
      <c r="C3201" s="88" t="s">
        <v>1381</v>
      </c>
      <c r="D3201" s="88" t="s">
        <v>1318</v>
      </c>
      <c r="E3201" s="89">
        <v>25.96</v>
      </c>
      <c r="F3201" s="88" t="s">
        <v>9</v>
      </c>
      <c r="G3201" s="87">
        <f>Table1[[#This Row],[date]]</f>
        <v>45737</v>
      </c>
      <c r="H3201" s="94">
        <f>SUMIF($A$2:A6836,G3201,$E$2:E6836)</f>
        <v>528.05999999999995</v>
      </c>
      <c r="I3201" s="93" t="str">
        <f t="shared" si="197"/>
        <v>Friday</v>
      </c>
      <c r="J3201" s="93" t="str">
        <f t="shared" si="198"/>
        <v>March</v>
      </c>
      <c r="K3201" s="93" t="str">
        <f t="shared" si="199"/>
        <v>2025</v>
      </c>
      <c r="L3201" s="6"/>
      <c r="M3201" s="6"/>
      <c r="N3201" s="6"/>
    </row>
    <row r="3202" spans="1:14" x14ac:dyDescent="0.3">
      <c r="A3202" s="92">
        <v>45737</v>
      </c>
      <c r="B3202" s="92" t="str">
        <f t="shared" ref="B3202:B3231" si="200">TEXT(A3202,"dddd")</f>
        <v>Friday</v>
      </c>
      <c r="C3202" s="93" t="s">
        <v>1381</v>
      </c>
      <c r="D3202" s="93" t="s">
        <v>1122</v>
      </c>
      <c r="E3202" s="94">
        <v>25.96</v>
      </c>
      <c r="F3202" s="93" t="s">
        <v>9</v>
      </c>
      <c r="G3202" s="87">
        <f>Table1[[#This Row],[date]]</f>
        <v>45737</v>
      </c>
      <c r="H3202" s="94">
        <f>SUMIF($A$2:A6837,G3202,$E$2:E6837)</f>
        <v>528.05999999999995</v>
      </c>
      <c r="I3202" s="93" t="str">
        <f t="shared" si="197"/>
        <v>Friday</v>
      </c>
      <c r="J3202" s="93" t="str">
        <f t="shared" si="198"/>
        <v>March</v>
      </c>
      <c r="K3202" s="93" t="str">
        <f t="shared" si="199"/>
        <v>2025</v>
      </c>
      <c r="L3202" s="6"/>
      <c r="M3202" s="6"/>
      <c r="N3202" s="6"/>
    </row>
    <row r="3203" spans="1:14" x14ac:dyDescent="0.3">
      <c r="A3203" s="92">
        <v>45737</v>
      </c>
      <c r="B3203" s="92" t="str">
        <f t="shared" si="200"/>
        <v>Friday</v>
      </c>
      <c r="C3203" s="93" t="s">
        <v>1381</v>
      </c>
      <c r="D3203" s="93" t="s">
        <v>1323</v>
      </c>
      <c r="E3203" s="94">
        <v>35.76</v>
      </c>
      <c r="F3203" s="93" t="s">
        <v>41</v>
      </c>
      <c r="G3203" s="87">
        <f>Table1[[#This Row],[date]]</f>
        <v>45737</v>
      </c>
      <c r="H3203" s="94">
        <f>SUMIF($A$2:A6838,G3203,$E$2:E6838)</f>
        <v>528.05999999999995</v>
      </c>
      <c r="I3203" s="93" t="str">
        <f t="shared" si="197"/>
        <v>Friday</v>
      </c>
      <c r="J3203" s="93" t="str">
        <f t="shared" si="198"/>
        <v>March</v>
      </c>
      <c r="K3203" s="93" t="str">
        <f t="shared" si="199"/>
        <v>2025</v>
      </c>
      <c r="L3203" s="6"/>
      <c r="M3203" s="6"/>
      <c r="N3203" s="6"/>
    </row>
    <row r="3204" spans="1:14" x14ac:dyDescent="0.3">
      <c r="A3204" s="87">
        <v>45737</v>
      </c>
      <c r="B3204" s="87" t="str">
        <f t="shared" si="200"/>
        <v>Friday</v>
      </c>
      <c r="C3204" s="88" t="s">
        <v>1381</v>
      </c>
      <c r="D3204" s="88" t="s">
        <v>1175</v>
      </c>
      <c r="E3204" s="89">
        <v>25.96</v>
      </c>
      <c r="F3204" s="88" t="s">
        <v>9</v>
      </c>
      <c r="G3204" s="87">
        <f>Table1[[#This Row],[date]]</f>
        <v>45737</v>
      </c>
      <c r="H3204" s="94">
        <f>SUMIF($A$2:A6839,G3204,$E$2:E6839)</f>
        <v>528.05999999999995</v>
      </c>
      <c r="I3204" s="93" t="str">
        <f t="shared" si="197"/>
        <v>Friday</v>
      </c>
      <c r="J3204" s="93" t="str">
        <f t="shared" si="198"/>
        <v>March</v>
      </c>
      <c r="K3204" s="93" t="str">
        <f t="shared" si="199"/>
        <v>2025</v>
      </c>
      <c r="L3204" s="6"/>
      <c r="M3204" s="6"/>
      <c r="N3204" s="6"/>
    </row>
    <row r="3205" spans="1:14" x14ac:dyDescent="0.3">
      <c r="A3205" s="92">
        <v>45737</v>
      </c>
      <c r="B3205" s="92" t="str">
        <f t="shared" si="200"/>
        <v>Friday</v>
      </c>
      <c r="C3205" s="93" t="s">
        <v>1381</v>
      </c>
      <c r="D3205" s="93" t="s">
        <v>29</v>
      </c>
      <c r="E3205" s="94">
        <v>35.76</v>
      </c>
      <c r="F3205" s="93" t="s">
        <v>5</v>
      </c>
      <c r="G3205" s="87">
        <f>Table1[[#This Row],[date]]</f>
        <v>45737</v>
      </c>
      <c r="H3205" s="94">
        <f>SUMIF($A$2:A6840,G3205,$E$2:E6840)</f>
        <v>528.05999999999995</v>
      </c>
      <c r="I3205" s="93" t="str">
        <f t="shared" si="197"/>
        <v>Friday</v>
      </c>
      <c r="J3205" s="93" t="str">
        <f t="shared" si="198"/>
        <v>March</v>
      </c>
      <c r="K3205" s="93" t="str">
        <f t="shared" si="199"/>
        <v>2025</v>
      </c>
      <c r="L3205" s="6"/>
      <c r="M3205" s="6"/>
      <c r="N3205" s="6"/>
    </row>
    <row r="3206" spans="1:14" x14ac:dyDescent="0.3">
      <c r="A3206" s="92">
        <v>45737</v>
      </c>
      <c r="B3206" s="92" t="str">
        <f t="shared" si="200"/>
        <v>Friday</v>
      </c>
      <c r="C3206" s="93" t="s">
        <v>1381</v>
      </c>
      <c r="D3206" s="93" t="s">
        <v>1287</v>
      </c>
      <c r="E3206" s="94">
        <v>35.76</v>
      </c>
      <c r="F3206" s="93" t="s">
        <v>5</v>
      </c>
      <c r="G3206" s="87">
        <f>Table1[[#This Row],[date]]</f>
        <v>45737</v>
      </c>
      <c r="H3206" s="94">
        <f>SUMIF($A$2:A6841,G3206,$E$2:E6841)</f>
        <v>528.05999999999995</v>
      </c>
      <c r="I3206" s="93" t="str">
        <f t="shared" ref="I3206:I3231" si="201">TEXT(G3206,"dddd")</f>
        <v>Friday</v>
      </c>
      <c r="J3206" s="93" t="str">
        <f t="shared" si="198"/>
        <v>March</v>
      </c>
      <c r="K3206" s="93" t="str">
        <f t="shared" si="199"/>
        <v>2025</v>
      </c>
      <c r="L3206" s="6"/>
      <c r="M3206" s="6"/>
      <c r="N3206" s="6"/>
    </row>
    <row r="3207" spans="1:14" x14ac:dyDescent="0.3">
      <c r="A3207" s="87">
        <v>45737</v>
      </c>
      <c r="B3207" s="87" t="str">
        <f t="shared" si="200"/>
        <v>Friday</v>
      </c>
      <c r="C3207" s="88" t="s">
        <v>1381</v>
      </c>
      <c r="D3207" s="88" t="s">
        <v>1170</v>
      </c>
      <c r="E3207" s="89">
        <v>35.76</v>
      </c>
      <c r="F3207" s="88" t="s">
        <v>41</v>
      </c>
      <c r="G3207" s="87">
        <f>Table1[[#This Row],[date]]</f>
        <v>45737</v>
      </c>
      <c r="H3207" s="94">
        <f>SUMIF($A$2:A6842,G3207,$E$2:E6842)</f>
        <v>528.05999999999995</v>
      </c>
      <c r="I3207" s="93" t="str">
        <f t="shared" si="201"/>
        <v>Friday</v>
      </c>
      <c r="J3207" s="93" t="str">
        <f t="shared" ref="J3207:J3231" si="202">TEXT(G3207,"mmmm")</f>
        <v>March</v>
      </c>
      <c r="K3207" s="93" t="str">
        <f t="shared" ref="K3207:K3231" si="203">TEXT(G3207,"yyyy")</f>
        <v>2025</v>
      </c>
      <c r="L3207" s="6"/>
      <c r="M3207" s="6"/>
      <c r="N3207" s="6"/>
    </row>
    <row r="3208" spans="1:14" x14ac:dyDescent="0.3">
      <c r="A3208" s="92">
        <v>45737</v>
      </c>
      <c r="B3208" s="92" t="str">
        <f t="shared" si="200"/>
        <v>Friday</v>
      </c>
      <c r="C3208" s="93" t="s">
        <v>1381</v>
      </c>
      <c r="D3208" s="93" t="s">
        <v>1324</v>
      </c>
      <c r="E3208" s="94">
        <v>35.76</v>
      </c>
      <c r="F3208" s="93" t="s">
        <v>41</v>
      </c>
      <c r="G3208" s="87">
        <f>Table1[[#This Row],[date]]</f>
        <v>45737</v>
      </c>
      <c r="H3208" s="94">
        <f>SUMIF($A$2:A6843,G3208,$E$2:E6843)</f>
        <v>528.05999999999995</v>
      </c>
      <c r="I3208" s="93" t="str">
        <f t="shared" si="201"/>
        <v>Friday</v>
      </c>
      <c r="J3208" s="93" t="str">
        <f t="shared" si="202"/>
        <v>March</v>
      </c>
      <c r="K3208" s="93" t="str">
        <f t="shared" si="203"/>
        <v>2025</v>
      </c>
      <c r="L3208" s="6"/>
      <c r="M3208" s="6"/>
      <c r="N3208" s="6"/>
    </row>
    <row r="3209" spans="1:14" x14ac:dyDescent="0.3">
      <c r="A3209" s="87">
        <v>45737</v>
      </c>
      <c r="B3209" s="87" t="str">
        <f t="shared" si="200"/>
        <v>Friday</v>
      </c>
      <c r="C3209" s="88" t="s">
        <v>1381</v>
      </c>
      <c r="D3209" s="88" t="s">
        <v>1182</v>
      </c>
      <c r="E3209" s="89">
        <v>25.96</v>
      </c>
      <c r="F3209" s="88" t="s">
        <v>9</v>
      </c>
      <c r="G3209" s="87">
        <f>Table1[[#This Row],[date]]</f>
        <v>45737</v>
      </c>
      <c r="H3209" s="94">
        <f>SUMIF($A$2:A6844,G3209,$E$2:E6844)</f>
        <v>528.05999999999995</v>
      </c>
      <c r="I3209" s="93" t="str">
        <f t="shared" si="201"/>
        <v>Friday</v>
      </c>
      <c r="J3209" s="93" t="str">
        <f t="shared" si="202"/>
        <v>March</v>
      </c>
      <c r="K3209" s="93" t="str">
        <f t="shared" si="203"/>
        <v>2025</v>
      </c>
      <c r="L3209" s="6"/>
      <c r="M3209" s="6"/>
      <c r="N3209" s="6"/>
    </row>
    <row r="3210" spans="1:14" x14ac:dyDescent="0.3">
      <c r="A3210" s="92">
        <v>45737</v>
      </c>
      <c r="B3210" s="92" t="str">
        <f t="shared" si="200"/>
        <v>Friday</v>
      </c>
      <c r="C3210" s="93" t="s">
        <v>1381</v>
      </c>
      <c r="D3210" s="93" t="s">
        <v>1122</v>
      </c>
      <c r="E3210" s="94">
        <v>35.76</v>
      </c>
      <c r="F3210" s="93" t="s">
        <v>5</v>
      </c>
      <c r="G3210" s="87">
        <f>Table1[[#This Row],[date]]</f>
        <v>45737</v>
      </c>
      <c r="H3210" s="94">
        <f>SUMIF($A$2:A6845,G3210,$E$2:E6845)</f>
        <v>528.05999999999995</v>
      </c>
      <c r="I3210" s="93" t="str">
        <f t="shared" si="201"/>
        <v>Friday</v>
      </c>
      <c r="J3210" s="93" t="str">
        <f t="shared" si="202"/>
        <v>March</v>
      </c>
      <c r="K3210" s="93" t="str">
        <f t="shared" si="203"/>
        <v>2025</v>
      </c>
      <c r="L3210" s="6"/>
      <c r="M3210" s="6"/>
      <c r="N3210" s="6"/>
    </row>
    <row r="3211" spans="1:14" x14ac:dyDescent="0.3">
      <c r="A3211" s="87">
        <v>45737</v>
      </c>
      <c r="B3211" s="87" t="str">
        <f t="shared" si="200"/>
        <v>Friday</v>
      </c>
      <c r="C3211" s="88" t="s">
        <v>1381</v>
      </c>
      <c r="D3211" s="88" t="s">
        <v>1175</v>
      </c>
      <c r="E3211" s="89">
        <v>35.76</v>
      </c>
      <c r="F3211" s="88" t="s">
        <v>41</v>
      </c>
      <c r="G3211" s="87">
        <f>Table1[[#This Row],[date]]</f>
        <v>45737</v>
      </c>
      <c r="H3211" s="94">
        <f>SUMIF($A$2:A6846,G3211,$E$2:E6846)</f>
        <v>528.05999999999995</v>
      </c>
      <c r="I3211" s="93" t="str">
        <f t="shared" si="201"/>
        <v>Friday</v>
      </c>
      <c r="J3211" s="93" t="str">
        <f t="shared" si="202"/>
        <v>March</v>
      </c>
      <c r="K3211" s="93" t="str">
        <f t="shared" si="203"/>
        <v>2025</v>
      </c>
      <c r="L3211" s="6"/>
      <c r="M3211" s="6"/>
      <c r="N3211" s="6"/>
    </row>
    <row r="3212" spans="1:14" x14ac:dyDescent="0.3">
      <c r="A3212" s="92">
        <v>45737</v>
      </c>
      <c r="B3212" s="92" t="str">
        <f t="shared" si="200"/>
        <v>Friday</v>
      </c>
      <c r="C3212" s="93" t="s">
        <v>1381</v>
      </c>
      <c r="D3212" s="93" t="s">
        <v>1271</v>
      </c>
      <c r="E3212" s="94">
        <v>35.76</v>
      </c>
      <c r="F3212" s="93" t="s">
        <v>7</v>
      </c>
      <c r="G3212" s="87">
        <f>Table1[[#This Row],[date]]</f>
        <v>45737</v>
      </c>
      <c r="H3212" s="94">
        <f>SUMIF($A$2:A6847,G3212,$E$2:E6847)</f>
        <v>528.05999999999995</v>
      </c>
      <c r="I3212" s="93" t="str">
        <f t="shared" si="201"/>
        <v>Friday</v>
      </c>
      <c r="J3212" s="93" t="str">
        <f t="shared" si="202"/>
        <v>March</v>
      </c>
      <c r="K3212" s="93" t="str">
        <f t="shared" si="203"/>
        <v>2025</v>
      </c>
      <c r="L3212" s="6"/>
      <c r="M3212" s="6"/>
      <c r="N3212" s="6"/>
    </row>
    <row r="3213" spans="1:14" x14ac:dyDescent="0.3">
      <c r="A3213" s="87">
        <v>45737</v>
      </c>
      <c r="B3213" s="87" t="str">
        <f t="shared" si="200"/>
        <v>Friday</v>
      </c>
      <c r="C3213" s="88" t="s">
        <v>1381</v>
      </c>
      <c r="D3213" s="88" t="s">
        <v>1177</v>
      </c>
      <c r="E3213" s="89">
        <v>35.76</v>
      </c>
      <c r="F3213" s="88" t="s">
        <v>5</v>
      </c>
      <c r="G3213" s="87">
        <f>Table1[[#This Row],[date]]</f>
        <v>45737</v>
      </c>
      <c r="H3213" s="94">
        <f>SUMIF($A$2:A6848,G3213,$E$2:E6848)</f>
        <v>528.05999999999995</v>
      </c>
      <c r="I3213" s="93" t="str">
        <f t="shared" si="201"/>
        <v>Friday</v>
      </c>
      <c r="J3213" s="93" t="str">
        <f t="shared" si="202"/>
        <v>March</v>
      </c>
      <c r="K3213" s="93" t="str">
        <f t="shared" si="203"/>
        <v>2025</v>
      </c>
      <c r="L3213" s="6"/>
      <c r="M3213" s="6"/>
      <c r="N3213" s="6"/>
    </row>
    <row r="3214" spans="1:14" x14ac:dyDescent="0.3">
      <c r="A3214" s="92">
        <v>45737</v>
      </c>
      <c r="B3214" s="92" t="str">
        <f t="shared" si="200"/>
        <v>Friday</v>
      </c>
      <c r="C3214" s="93" t="s">
        <v>1381</v>
      </c>
      <c r="D3214" s="93" t="s">
        <v>1203</v>
      </c>
      <c r="E3214" s="94">
        <v>35.76</v>
      </c>
      <c r="F3214" s="93" t="s">
        <v>5</v>
      </c>
      <c r="G3214" s="87">
        <f>Table1[[#This Row],[date]]</f>
        <v>45737</v>
      </c>
      <c r="H3214" s="94">
        <f>SUMIF($A$2:A6849,G3214,$E$2:E6849)</f>
        <v>528.05999999999995</v>
      </c>
      <c r="I3214" s="93" t="str">
        <f t="shared" si="201"/>
        <v>Friday</v>
      </c>
      <c r="J3214" s="93" t="str">
        <f t="shared" si="202"/>
        <v>March</v>
      </c>
      <c r="K3214" s="93" t="str">
        <f t="shared" si="203"/>
        <v>2025</v>
      </c>
      <c r="L3214" s="6"/>
      <c r="M3214" s="6"/>
      <c r="N3214" s="6"/>
    </row>
    <row r="3215" spans="1:14" x14ac:dyDescent="0.3">
      <c r="A3215" s="87">
        <v>45737</v>
      </c>
      <c r="B3215" s="87" t="str">
        <f t="shared" si="200"/>
        <v>Friday</v>
      </c>
      <c r="C3215" s="88" t="s">
        <v>1381</v>
      </c>
      <c r="D3215" s="88" t="s">
        <v>519</v>
      </c>
      <c r="E3215" s="89">
        <v>35.76</v>
      </c>
      <c r="F3215" s="88" t="s">
        <v>5</v>
      </c>
      <c r="G3215" s="87">
        <f>Table1[[#This Row],[date]]</f>
        <v>45737</v>
      </c>
      <c r="H3215" s="94">
        <f>SUMIF($A$2:A6850,G3215,$E$2:E6850)</f>
        <v>528.05999999999995</v>
      </c>
      <c r="I3215" s="93" t="str">
        <f t="shared" si="201"/>
        <v>Friday</v>
      </c>
      <c r="J3215" s="93" t="str">
        <f t="shared" si="202"/>
        <v>March</v>
      </c>
      <c r="K3215" s="93" t="str">
        <f t="shared" si="203"/>
        <v>2025</v>
      </c>
      <c r="L3215" s="6"/>
      <c r="M3215" s="6"/>
      <c r="N3215" s="6"/>
    </row>
    <row r="3216" spans="1:14" x14ac:dyDescent="0.3">
      <c r="A3216" s="87">
        <v>45738</v>
      </c>
      <c r="B3216" s="87" t="str">
        <f t="shared" si="200"/>
        <v>Saturday</v>
      </c>
      <c r="C3216" s="88" t="s">
        <v>1381</v>
      </c>
      <c r="D3216" s="88" t="s">
        <v>1286</v>
      </c>
      <c r="E3216" s="89">
        <v>30.86</v>
      </c>
      <c r="F3216" s="88" t="s">
        <v>12</v>
      </c>
      <c r="G3216" s="87">
        <f>Table1[[#This Row],[date]]</f>
        <v>45738</v>
      </c>
      <c r="H3216" s="94">
        <f>SUMIF($A$2:A6851,G3216,$E$2:E6851)</f>
        <v>334.56</v>
      </c>
      <c r="I3216" s="93" t="str">
        <f t="shared" si="201"/>
        <v>Saturday</v>
      </c>
      <c r="J3216" s="93" t="str">
        <f t="shared" si="202"/>
        <v>March</v>
      </c>
      <c r="K3216" s="93" t="str">
        <f t="shared" si="203"/>
        <v>2025</v>
      </c>
      <c r="L3216" s="6"/>
      <c r="M3216" s="6"/>
      <c r="N3216" s="6"/>
    </row>
    <row r="3217" spans="1:14" x14ac:dyDescent="0.3">
      <c r="A3217" s="92">
        <v>45738</v>
      </c>
      <c r="B3217" s="92" t="str">
        <f t="shared" si="200"/>
        <v>Saturday</v>
      </c>
      <c r="C3217" s="93" t="s">
        <v>1381</v>
      </c>
      <c r="D3217" s="93" t="s">
        <v>1164</v>
      </c>
      <c r="E3217" s="94">
        <v>30.86</v>
      </c>
      <c r="F3217" s="93" t="s">
        <v>12</v>
      </c>
      <c r="G3217" s="87">
        <f>Table1[[#This Row],[date]]</f>
        <v>45738</v>
      </c>
      <c r="H3217" s="94">
        <f>SUMIF($A$2:A6852,G3217,$E$2:E6852)</f>
        <v>334.56</v>
      </c>
      <c r="I3217" s="93" t="str">
        <f t="shared" si="201"/>
        <v>Saturday</v>
      </c>
      <c r="J3217" s="93" t="str">
        <f t="shared" si="202"/>
        <v>March</v>
      </c>
      <c r="K3217" s="93" t="str">
        <f t="shared" si="203"/>
        <v>2025</v>
      </c>
      <c r="L3217" s="6"/>
      <c r="M3217" s="6"/>
      <c r="N3217" s="6"/>
    </row>
    <row r="3218" spans="1:14" x14ac:dyDescent="0.3">
      <c r="A3218" s="87">
        <v>45738</v>
      </c>
      <c r="B3218" s="87" t="str">
        <f t="shared" si="200"/>
        <v>Saturday</v>
      </c>
      <c r="C3218" s="88" t="s">
        <v>1381</v>
      </c>
      <c r="D3218" s="88" t="s">
        <v>1271</v>
      </c>
      <c r="E3218" s="89">
        <v>35.76</v>
      </c>
      <c r="F3218" s="88" t="s">
        <v>7</v>
      </c>
      <c r="G3218" s="87">
        <f>Table1[[#This Row],[date]]</f>
        <v>45738</v>
      </c>
      <c r="H3218" s="94">
        <f>SUMIF($A$2:A6853,G3218,$E$2:E6853)</f>
        <v>334.56</v>
      </c>
      <c r="I3218" s="93" t="str">
        <f t="shared" si="201"/>
        <v>Saturday</v>
      </c>
      <c r="J3218" s="93" t="str">
        <f t="shared" si="202"/>
        <v>March</v>
      </c>
      <c r="K3218" s="93" t="str">
        <f t="shared" si="203"/>
        <v>2025</v>
      </c>
      <c r="L3218" s="6"/>
      <c r="M3218" s="6"/>
      <c r="N3218" s="6"/>
    </row>
    <row r="3219" spans="1:14" x14ac:dyDescent="0.3">
      <c r="A3219" s="92">
        <v>45738</v>
      </c>
      <c r="B3219" s="92" t="str">
        <f t="shared" si="200"/>
        <v>Saturday</v>
      </c>
      <c r="C3219" s="93" t="s">
        <v>1381</v>
      </c>
      <c r="D3219" s="93" t="s">
        <v>1291</v>
      </c>
      <c r="E3219" s="94">
        <v>35.76</v>
      </c>
      <c r="F3219" s="93" t="s">
        <v>16</v>
      </c>
      <c r="G3219" s="87">
        <f>Table1[[#This Row],[date]]</f>
        <v>45738</v>
      </c>
      <c r="H3219" s="94">
        <f>SUMIF($A$2:A6854,G3219,$E$2:E6854)</f>
        <v>334.56</v>
      </c>
      <c r="I3219" s="93" t="str">
        <f t="shared" si="201"/>
        <v>Saturday</v>
      </c>
      <c r="J3219" s="93" t="str">
        <f t="shared" si="202"/>
        <v>March</v>
      </c>
      <c r="K3219" s="93" t="str">
        <f t="shared" si="203"/>
        <v>2025</v>
      </c>
      <c r="L3219" s="6"/>
      <c r="M3219" s="6"/>
      <c r="N3219" s="6"/>
    </row>
    <row r="3220" spans="1:14" x14ac:dyDescent="0.3">
      <c r="A3220" s="87">
        <v>45738</v>
      </c>
      <c r="B3220" s="87" t="str">
        <f t="shared" si="200"/>
        <v>Saturday</v>
      </c>
      <c r="C3220" s="88" t="s">
        <v>1381</v>
      </c>
      <c r="D3220" s="88" t="s">
        <v>1325</v>
      </c>
      <c r="E3220" s="89">
        <v>30.86</v>
      </c>
      <c r="F3220" s="88" t="s">
        <v>12</v>
      </c>
      <c r="G3220" s="87">
        <f>Table1[[#This Row],[date]]</f>
        <v>45738</v>
      </c>
      <c r="H3220" s="94">
        <f>SUMIF($A$2:A6855,G3220,$E$2:E6855)</f>
        <v>334.56</v>
      </c>
      <c r="I3220" s="93" t="str">
        <f t="shared" si="201"/>
        <v>Saturday</v>
      </c>
      <c r="J3220" s="93" t="str">
        <f t="shared" si="202"/>
        <v>March</v>
      </c>
      <c r="K3220" s="93" t="str">
        <f t="shared" si="203"/>
        <v>2025</v>
      </c>
      <c r="L3220" s="6"/>
      <c r="M3220" s="6"/>
      <c r="N3220" s="6"/>
    </row>
    <row r="3221" spans="1:14" x14ac:dyDescent="0.3">
      <c r="A3221" s="92">
        <v>45738</v>
      </c>
      <c r="B3221" s="92" t="str">
        <f t="shared" si="200"/>
        <v>Saturday</v>
      </c>
      <c r="C3221" s="93" t="s">
        <v>1381</v>
      </c>
      <c r="D3221" s="93" t="s">
        <v>1318</v>
      </c>
      <c r="E3221" s="94">
        <v>25.96</v>
      </c>
      <c r="F3221" s="93" t="s">
        <v>9</v>
      </c>
      <c r="G3221" s="87">
        <f>Table1[[#This Row],[date]]</f>
        <v>45738</v>
      </c>
      <c r="H3221" s="94">
        <f>SUMIF($A$2:A6856,G3221,$E$2:E6856)</f>
        <v>334.56</v>
      </c>
      <c r="I3221" s="93" t="str">
        <f t="shared" si="201"/>
        <v>Saturday</v>
      </c>
      <c r="J3221" s="93" t="str">
        <f t="shared" si="202"/>
        <v>March</v>
      </c>
      <c r="K3221" s="93" t="str">
        <f t="shared" si="203"/>
        <v>2025</v>
      </c>
      <c r="L3221" s="6"/>
      <c r="M3221" s="6"/>
      <c r="N3221" s="6"/>
    </row>
    <row r="3222" spans="1:14" x14ac:dyDescent="0.3">
      <c r="A3222" s="87">
        <v>45738</v>
      </c>
      <c r="B3222" s="87" t="str">
        <f t="shared" si="200"/>
        <v>Saturday</v>
      </c>
      <c r="C3222" s="88" t="s">
        <v>1381</v>
      </c>
      <c r="D3222" s="88" t="s">
        <v>1321</v>
      </c>
      <c r="E3222" s="89">
        <v>25.96</v>
      </c>
      <c r="F3222" s="88" t="s">
        <v>9</v>
      </c>
      <c r="G3222" s="87">
        <f>Table1[[#This Row],[date]]</f>
        <v>45738</v>
      </c>
      <c r="H3222" s="94">
        <f>SUMIF($A$2:A6857,G3222,$E$2:E6857)</f>
        <v>334.56</v>
      </c>
      <c r="I3222" s="93" t="str">
        <f t="shared" si="201"/>
        <v>Saturday</v>
      </c>
      <c r="J3222" s="93" t="str">
        <f t="shared" si="202"/>
        <v>March</v>
      </c>
      <c r="K3222" s="93" t="str">
        <f t="shared" si="203"/>
        <v>2025</v>
      </c>
      <c r="L3222" s="6"/>
      <c r="M3222" s="6"/>
      <c r="N3222" s="6"/>
    </row>
    <row r="3223" spans="1:14" x14ac:dyDescent="0.3">
      <c r="A3223" s="92">
        <v>45738</v>
      </c>
      <c r="B3223" s="92" t="str">
        <f t="shared" si="200"/>
        <v>Saturday</v>
      </c>
      <c r="C3223" s="93" t="s">
        <v>1381</v>
      </c>
      <c r="D3223" s="93" t="s">
        <v>1279</v>
      </c>
      <c r="E3223" s="94">
        <v>30.86</v>
      </c>
      <c r="F3223" s="93" t="s">
        <v>12</v>
      </c>
      <c r="G3223" s="87">
        <f>Table1[[#This Row],[date]]</f>
        <v>45738</v>
      </c>
      <c r="H3223" s="94">
        <f>SUMIF($A$2:A6858,G3223,$E$2:E6858)</f>
        <v>334.56</v>
      </c>
      <c r="I3223" s="93" t="str">
        <f t="shared" si="201"/>
        <v>Saturday</v>
      </c>
      <c r="J3223" s="93" t="str">
        <f t="shared" si="202"/>
        <v>March</v>
      </c>
      <c r="K3223" s="93" t="str">
        <f t="shared" si="203"/>
        <v>2025</v>
      </c>
      <c r="L3223" s="6"/>
      <c r="M3223" s="6"/>
      <c r="N3223" s="6"/>
    </row>
    <row r="3224" spans="1:14" x14ac:dyDescent="0.3">
      <c r="A3224" s="87">
        <v>45738</v>
      </c>
      <c r="B3224" s="87" t="str">
        <f t="shared" si="200"/>
        <v>Saturday</v>
      </c>
      <c r="C3224" s="88" t="s">
        <v>1381</v>
      </c>
      <c r="D3224" s="88" t="s">
        <v>1314</v>
      </c>
      <c r="E3224" s="89">
        <v>21.06</v>
      </c>
      <c r="F3224" s="88" t="s">
        <v>33</v>
      </c>
      <c r="G3224" s="87">
        <f>Table1[[#This Row],[date]]</f>
        <v>45738</v>
      </c>
      <c r="H3224" s="94">
        <f>SUMIF($A$2:A6859,G3224,$E$2:E6859)</f>
        <v>334.56</v>
      </c>
      <c r="I3224" s="93" t="str">
        <f t="shared" si="201"/>
        <v>Saturday</v>
      </c>
      <c r="J3224" s="93" t="str">
        <f t="shared" si="202"/>
        <v>March</v>
      </c>
      <c r="K3224" s="93" t="str">
        <f t="shared" si="203"/>
        <v>2025</v>
      </c>
      <c r="L3224" s="6"/>
      <c r="M3224" s="6"/>
      <c r="N3224" s="6"/>
    </row>
    <row r="3225" spans="1:14" x14ac:dyDescent="0.3">
      <c r="A3225" s="92">
        <v>45738</v>
      </c>
      <c r="B3225" s="92" t="str">
        <f t="shared" si="200"/>
        <v>Saturday</v>
      </c>
      <c r="C3225" s="93" t="s">
        <v>1381</v>
      </c>
      <c r="D3225" s="93" t="s">
        <v>1286</v>
      </c>
      <c r="E3225" s="94">
        <v>35.76</v>
      </c>
      <c r="F3225" s="93" t="s">
        <v>5</v>
      </c>
      <c r="G3225" s="87">
        <f>Table1[[#This Row],[date]]</f>
        <v>45738</v>
      </c>
      <c r="H3225" s="94">
        <f>SUMIF($A$2:A6860,G3225,$E$2:E6860)</f>
        <v>334.56</v>
      </c>
      <c r="I3225" s="93" t="str">
        <f t="shared" si="201"/>
        <v>Saturday</v>
      </c>
      <c r="J3225" s="93" t="str">
        <f t="shared" si="202"/>
        <v>March</v>
      </c>
      <c r="K3225" s="93" t="str">
        <f t="shared" si="203"/>
        <v>2025</v>
      </c>
      <c r="L3225" s="6"/>
      <c r="M3225" s="6"/>
      <c r="N3225" s="6"/>
    </row>
    <row r="3226" spans="1:14" x14ac:dyDescent="0.3">
      <c r="A3226" s="92">
        <v>45738</v>
      </c>
      <c r="B3226" s="92" t="str">
        <f t="shared" si="200"/>
        <v>Saturday</v>
      </c>
      <c r="C3226" s="93" t="s">
        <v>1381</v>
      </c>
      <c r="D3226" s="93" t="s">
        <v>1326</v>
      </c>
      <c r="E3226" s="94">
        <v>30.86</v>
      </c>
      <c r="F3226" s="93" t="s">
        <v>12</v>
      </c>
      <c r="G3226" s="87">
        <f>Table1[[#This Row],[date]]</f>
        <v>45738</v>
      </c>
      <c r="H3226" s="94">
        <f>SUMIF($A$2:A6861,G3226,$E$2:E6861)</f>
        <v>334.56</v>
      </c>
      <c r="I3226" s="93" t="str">
        <f t="shared" si="201"/>
        <v>Saturday</v>
      </c>
      <c r="J3226" s="93" t="str">
        <f t="shared" si="202"/>
        <v>March</v>
      </c>
      <c r="K3226" s="93" t="str">
        <f t="shared" si="203"/>
        <v>2025</v>
      </c>
      <c r="L3226" s="6"/>
      <c r="M3226" s="6"/>
      <c r="N3226" s="6"/>
    </row>
    <row r="3227" spans="1:14" x14ac:dyDescent="0.3">
      <c r="A3227" s="87">
        <v>45739</v>
      </c>
      <c r="B3227" s="87" t="str">
        <f t="shared" si="200"/>
        <v>Sunday</v>
      </c>
      <c r="C3227" s="88" t="s">
        <v>1381</v>
      </c>
      <c r="D3227" s="88" t="s">
        <v>1208</v>
      </c>
      <c r="E3227" s="89">
        <v>35.76</v>
      </c>
      <c r="F3227" s="88" t="s">
        <v>5</v>
      </c>
      <c r="G3227" s="87">
        <f>Table1[[#This Row],[date]]</f>
        <v>45739</v>
      </c>
      <c r="H3227" s="94">
        <f>SUMIF($A$2:A6862,G3227,$E$2:E6862)</f>
        <v>169</v>
      </c>
      <c r="I3227" s="93" t="str">
        <f t="shared" si="201"/>
        <v>Sunday</v>
      </c>
      <c r="J3227" s="93" t="str">
        <f t="shared" si="202"/>
        <v>March</v>
      </c>
      <c r="K3227" s="93" t="str">
        <f t="shared" si="203"/>
        <v>2025</v>
      </c>
      <c r="L3227" s="6"/>
      <c r="M3227" s="6"/>
      <c r="N3227" s="6"/>
    </row>
    <row r="3228" spans="1:14" x14ac:dyDescent="0.3">
      <c r="A3228" s="92">
        <v>45739</v>
      </c>
      <c r="B3228" s="92" t="str">
        <f t="shared" si="200"/>
        <v>Sunday</v>
      </c>
      <c r="C3228" s="93" t="s">
        <v>1381</v>
      </c>
      <c r="D3228" s="93" t="s">
        <v>1170</v>
      </c>
      <c r="E3228" s="94">
        <v>35.76</v>
      </c>
      <c r="F3228" s="93" t="s">
        <v>41</v>
      </c>
      <c r="G3228" s="87">
        <f>Table1[[#This Row],[date]]</f>
        <v>45739</v>
      </c>
      <c r="H3228" s="94">
        <f>SUMIF($A$2:A6863,G3228,$E$2:E6863)</f>
        <v>169</v>
      </c>
      <c r="I3228" s="93" t="str">
        <f t="shared" si="201"/>
        <v>Sunday</v>
      </c>
      <c r="J3228" s="93" t="str">
        <f t="shared" si="202"/>
        <v>March</v>
      </c>
      <c r="K3228" s="93" t="str">
        <f t="shared" si="203"/>
        <v>2025</v>
      </c>
      <c r="L3228" s="6"/>
      <c r="M3228" s="6"/>
      <c r="N3228" s="6"/>
    </row>
    <row r="3229" spans="1:14" x14ac:dyDescent="0.3">
      <c r="A3229" s="87">
        <v>45739</v>
      </c>
      <c r="B3229" s="87" t="str">
        <f t="shared" si="200"/>
        <v>Sunday</v>
      </c>
      <c r="C3229" s="88" t="s">
        <v>1381</v>
      </c>
      <c r="D3229" s="88" t="s">
        <v>1327</v>
      </c>
      <c r="E3229" s="89">
        <v>35.76</v>
      </c>
      <c r="F3229" s="88" t="s">
        <v>16</v>
      </c>
      <c r="G3229" s="87">
        <f>Table1[[#This Row],[date]]</f>
        <v>45739</v>
      </c>
      <c r="H3229" s="94">
        <f>SUMIF($A$2:A6864,G3229,$E$2:E6864)</f>
        <v>169</v>
      </c>
      <c r="I3229" s="93" t="str">
        <f t="shared" si="201"/>
        <v>Sunday</v>
      </c>
      <c r="J3229" s="93" t="str">
        <f t="shared" si="202"/>
        <v>March</v>
      </c>
      <c r="K3229" s="93" t="str">
        <f t="shared" si="203"/>
        <v>2025</v>
      </c>
      <c r="L3229" s="6"/>
      <c r="M3229" s="6"/>
      <c r="N3229" s="6"/>
    </row>
    <row r="3230" spans="1:14" x14ac:dyDescent="0.3">
      <c r="A3230" s="87">
        <v>45739</v>
      </c>
      <c r="B3230" s="87" t="str">
        <f t="shared" si="200"/>
        <v>Sunday</v>
      </c>
      <c r="C3230" s="88" t="s">
        <v>1381</v>
      </c>
      <c r="D3230" s="88" t="s">
        <v>1328</v>
      </c>
      <c r="E3230" s="89">
        <v>25.96</v>
      </c>
      <c r="F3230" s="88" t="s">
        <v>9</v>
      </c>
      <c r="G3230" s="87">
        <f>Table1[[#This Row],[date]]</f>
        <v>45739</v>
      </c>
      <c r="H3230" s="94">
        <f>SUMIF($A$2:A6865,G3230,$E$2:E6865)</f>
        <v>169</v>
      </c>
      <c r="I3230" s="93" t="str">
        <f t="shared" si="201"/>
        <v>Sunday</v>
      </c>
      <c r="J3230" s="93" t="str">
        <f t="shared" si="202"/>
        <v>March</v>
      </c>
      <c r="K3230" s="93" t="str">
        <f t="shared" si="203"/>
        <v>2025</v>
      </c>
      <c r="L3230" s="6"/>
      <c r="M3230" s="6"/>
      <c r="N3230" s="6"/>
    </row>
    <row r="3231" spans="1:14" x14ac:dyDescent="0.3">
      <c r="A3231" s="92">
        <v>45739</v>
      </c>
      <c r="B3231" s="92" t="str">
        <f t="shared" si="200"/>
        <v>Sunday</v>
      </c>
      <c r="C3231" s="93" t="s">
        <v>1381</v>
      </c>
      <c r="D3231" s="93" t="s">
        <v>1287</v>
      </c>
      <c r="E3231" s="94">
        <v>35.76</v>
      </c>
      <c r="F3231" s="93" t="s">
        <v>5</v>
      </c>
      <c r="G3231" s="87">
        <f>Table1[[#This Row],[date]]</f>
        <v>45739</v>
      </c>
      <c r="H3231" s="94">
        <f>SUMIF($A$2:A6866,G3231,$E$2:E6866)</f>
        <v>169</v>
      </c>
      <c r="I3231" s="93" t="str">
        <f t="shared" si="201"/>
        <v>Sunday</v>
      </c>
      <c r="J3231" s="93" t="str">
        <f t="shared" si="202"/>
        <v>March</v>
      </c>
      <c r="K3231" s="93" t="str">
        <f t="shared" si="203"/>
        <v>2025</v>
      </c>
      <c r="L3231" s="6"/>
      <c r="M3231" s="6"/>
      <c r="N3231" s="6"/>
    </row>
    <row r="3232" spans="1:14" x14ac:dyDescent="0.3">
      <c r="A3232"/>
      <c r="B3232"/>
      <c r="C3232"/>
      <c r="D3232"/>
      <c r="E3232"/>
      <c r="F3232"/>
      <c r="I3232"/>
    </row>
    <row r="3233" spans="1:9" x14ac:dyDescent="0.3">
      <c r="A3233"/>
      <c r="B3233"/>
      <c r="C3233"/>
      <c r="D3233"/>
      <c r="E3233"/>
      <c r="F3233"/>
      <c r="I3233"/>
    </row>
    <row r="3234" spans="1:9" x14ac:dyDescent="0.3">
      <c r="A3234"/>
      <c r="B3234"/>
      <c r="C3234"/>
      <c r="D3234"/>
      <c r="E3234"/>
      <c r="F3234"/>
      <c r="I3234"/>
    </row>
    <row r="3235" spans="1:9" x14ac:dyDescent="0.3">
      <c r="A3235"/>
      <c r="B3235"/>
      <c r="C3235"/>
      <c r="D3235"/>
      <c r="E3235"/>
      <c r="F3235"/>
      <c r="I3235"/>
    </row>
    <row r="3236" spans="1:9" x14ac:dyDescent="0.3">
      <c r="A3236"/>
      <c r="B3236"/>
      <c r="C3236"/>
      <c r="D3236"/>
      <c r="E3236"/>
      <c r="F3236"/>
      <c r="I3236"/>
    </row>
    <row r="3237" spans="1:9" x14ac:dyDescent="0.3">
      <c r="A3237"/>
      <c r="B3237"/>
      <c r="C3237"/>
      <c r="D3237"/>
      <c r="E3237"/>
      <c r="F3237"/>
      <c r="I3237"/>
    </row>
    <row r="3238" spans="1:9" x14ac:dyDescent="0.3">
      <c r="A3238"/>
      <c r="B3238"/>
      <c r="C3238"/>
      <c r="D3238"/>
      <c r="E3238"/>
      <c r="F3238"/>
      <c r="I3238"/>
    </row>
    <row r="3239" spans="1:9" x14ac:dyDescent="0.3">
      <c r="A3239"/>
      <c r="B3239"/>
      <c r="C3239"/>
      <c r="D3239"/>
      <c r="E3239"/>
      <c r="F3239"/>
      <c r="I3239"/>
    </row>
    <row r="3240" spans="1:9" x14ac:dyDescent="0.3">
      <c r="A3240"/>
      <c r="B3240"/>
      <c r="C3240"/>
      <c r="D3240"/>
      <c r="E3240"/>
      <c r="F3240"/>
      <c r="I3240"/>
    </row>
    <row r="3241" spans="1:9" x14ac:dyDescent="0.3">
      <c r="A3241"/>
      <c r="B3241"/>
      <c r="C3241"/>
      <c r="D3241"/>
      <c r="E3241"/>
      <c r="F3241"/>
      <c r="I3241"/>
    </row>
    <row r="3242" spans="1:9" x14ac:dyDescent="0.3">
      <c r="A3242"/>
      <c r="B3242"/>
      <c r="C3242"/>
      <c r="D3242"/>
      <c r="E3242"/>
      <c r="F3242"/>
      <c r="I3242"/>
    </row>
    <row r="3243" spans="1:9" x14ac:dyDescent="0.3">
      <c r="A3243"/>
      <c r="B3243"/>
      <c r="C3243"/>
      <c r="D3243"/>
      <c r="E3243"/>
      <c r="F3243"/>
      <c r="I3243"/>
    </row>
    <row r="3244" spans="1:9" x14ac:dyDescent="0.3">
      <c r="A3244"/>
      <c r="B3244"/>
      <c r="C3244"/>
      <c r="D3244"/>
      <c r="E3244"/>
      <c r="F3244"/>
      <c r="I3244"/>
    </row>
    <row r="3245" spans="1:9" x14ac:dyDescent="0.3">
      <c r="A3245"/>
      <c r="B3245"/>
      <c r="C3245"/>
      <c r="D3245"/>
      <c r="E3245"/>
      <c r="F3245"/>
      <c r="I3245"/>
    </row>
    <row r="3246" spans="1:9" x14ac:dyDescent="0.3">
      <c r="A3246"/>
      <c r="B3246"/>
      <c r="C3246"/>
      <c r="D3246"/>
      <c r="E3246"/>
      <c r="F3246"/>
      <c r="I3246"/>
    </row>
    <row r="3247" spans="1:9" x14ac:dyDescent="0.3">
      <c r="A3247"/>
      <c r="B3247"/>
      <c r="C3247"/>
      <c r="D3247"/>
      <c r="E3247"/>
      <c r="F3247"/>
      <c r="I3247"/>
    </row>
    <row r="3248" spans="1:9" x14ac:dyDescent="0.3">
      <c r="A3248"/>
      <c r="B3248"/>
      <c r="C3248"/>
      <c r="D3248"/>
      <c r="E3248"/>
      <c r="F3248"/>
      <c r="I3248"/>
    </row>
    <row r="3249" spans="1:9" x14ac:dyDescent="0.3">
      <c r="A3249"/>
      <c r="B3249"/>
      <c r="C3249"/>
      <c r="D3249"/>
      <c r="E3249"/>
      <c r="F3249"/>
      <c r="I3249"/>
    </row>
    <row r="3250" spans="1:9" x14ac:dyDescent="0.3">
      <c r="A3250"/>
      <c r="B3250"/>
      <c r="C3250"/>
      <c r="D3250"/>
      <c r="E3250"/>
      <c r="F3250"/>
      <c r="I3250"/>
    </row>
    <row r="3251" spans="1:9" x14ac:dyDescent="0.3">
      <c r="A3251"/>
      <c r="B3251"/>
      <c r="C3251"/>
      <c r="D3251"/>
      <c r="E3251"/>
      <c r="F3251"/>
      <c r="I3251"/>
    </row>
    <row r="3252" spans="1:9" x14ac:dyDescent="0.3">
      <c r="A3252"/>
      <c r="B3252"/>
      <c r="C3252"/>
      <c r="D3252"/>
      <c r="E3252"/>
      <c r="F3252"/>
      <c r="I3252"/>
    </row>
    <row r="3253" spans="1:9" x14ac:dyDescent="0.3">
      <c r="A3253"/>
      <c r="B3253"/>
      <c r="C3253"/>
      <c r="D3253"/>
      <c r="E3253"/>
      <c r="F3253"/>
      <c r="I3253"/>
    </row>
    <row r="3254" spans="1:9" x14ac:dyDescent="0.3">
      <c r="A3254"/>
      <c r="B3254"/>
      <c r="C3254"/>
      <c r="D3254"/>
      <c r="E3254"/>
      <c r="F3254"/>
      <c r="I3254"/>
    </row>
    <row r="3255" spans="1:9" x14ac:dyDescent="0.3">
      <c r="A3255"/>
      <c r="B3255"/>
      <c r="C3255"/>
      <c r="D3255"/>
      <c r="E3255"/>
      <c r="F3255"/>
      <c r="I3255"/>
    </row>
    <row r="3256" spans="1:9" x14ac:dyDescent="0.3">
      <c r="A3256"/>
      <c r="B3256"/>
      <c r="C3256"/>
      <c r="D3256"/>
      <c r="E3256"/>
      <c r="F3256"/>
      <c r="I3256"/>
    </row>
    <row r="3257" spans="1:9" x14ac:dyDescent="0.3">
      <c r="A3257"/>
      <c r="B3257"/>
      <c r="C3257"/>
      <c r="D3257"/>
      <c r="E3257"/>
      <c r="F3257"/>
      <c r="I3257"/>
    </row>
    <row r="3258" spans="1:9" x14ac:dyDescent="0.3">
      <c r="A3258"/>
      <c r="B3258"/>
      <c r="C3258"/>
      <c r="D3258"/>
      <c r="E3258"/>
      <c r="F3258"/>
      <c r="I3258"/>
    </row>
    <row r="3259" spans="1:9" x14ac:dyDescent="0.3">
      <c r="A3259"/>
      <c r="B3259"/>
      <c r="C3259"/>
      <c r="D3259"/>
      <c r="E3259"/>
      <c r="F3259"/>
      <c r="I3259"/>
    </row>
    <row r="3260" spans="1:9" x14ac:dyDescent="0.3">
      <c r="A3260"/>
      <c r="B3260"/>
      <c r="C3260"/>
      <c r="D3260"/>
      <c r="E3260"/>
      <c r="F3260"/>
      <c r="I3260"/>
    </row>
    <row r="3261" spans="1:9" x14ac:dyDescent="0.3">
      <c r="A3261"/>
      <c r="B3261"/>
      <c r="C3261"/>
      <c r="D3261"/>
      <c r="E3261"/>
      <c r="F3261"/>
      <c r="I3261"/>
    </row>
    <row r="3262" spans="1:9" x14ac:dyDescent="0.3">
      <c r="A3262"/>
      <c r="B3262"/>
      <c r="C3262"/>
      <c r="D3262"/>
      <c r="E3262"/>
      <c r="F3262"/>
      <c r="I3262"/>
    </row>
    <row r="3263" spans="1:9" x14ac:dyDescent="0.3">
      <c r="A3263"/>
      <c r="B3263"/>
      <c r="C3263"/>
      <c r="D3263"/>
      <c r="E3263"/>
      <c r="F3263"/>
      <c r="I3263"/>
    </row>
    <row r="3264" spans="1:9" x14ac:dyDescent="0.3">
      <c r="A3264"/>
      <c r="B3264"/>
      <c r="C3264"/>
      <c r="D3264"/>
      <c r="E3264"/>
      <c r="F3264"/>
      <c r="I3264"/>
    </row>
    <row r="3265" spans="1:9" x14ac:dyDescent="0.3">
      <c r="A3265"/>
      <c r="B3265"/>
      <c r="C3265"/>
      <c r="D3265"/>
      <c r="E3265"/>
      <c r="F3265"/>
      <c r="I3265"/>
    </row>
    <row r="3266" spans="1:9" x14ac:dyDescent="0.3">
      <c r="A3266"/>
      <c r="B3266"/>
      <c r="C3266"/>
      <c r="D3266"/>
      <c r="E3266"/>
      <c r="F3266"/>
      <c r="I3266"/>
    </row>
    <row r="3267" spans="1:9" x14ac:dyDescent="0.3">
      <c r="A3267"/>
      <c r="B3267"/>
      <c r="C3267"/>
      <c r="D3267"/>
      <c r="E3267"/>
      <c r="F3267"/>
      <c r="I3267"/>
    </row>
    <row r="3268" spans="1:9" x14ac:dyDescent="0.3">
      <c r="A3268"/>
      <c r="B3268"/>
      <c r="C3268"/>
      <c r="D3268"/>
      <c r="E3268"/>
      <c r="F3268"/>
      <c r="I3268"/>
    </row>
    <row r="3269" spans="1:9" x14ac:dyDescent="0.3">
      <c r="A3269"/>
      <c r="B3269"/>
      <c r="C3269"/>
      <c r="D3269"/>
      <c r="E3269"/>
      <c r="F3269"/>
      <c r="I3269"/>
    </row>
    <row r="3270" spans="1:9" x14ac:dyDescent="0.3">
      <c r="A3270"/>
      <c r="B3270"/>
      <c r="C3270"/>
      <c r="D3270"/>
      <c r="E3270"/>
      <c r="F3270"/>
      <c r="I3270"/>
    </row>
    <row r="3271" spans="1:9" x14ac:dyDescent="0.3">
      <c r="A3271"/>
      <c r="B3271"/>
      <c r="C3271"/>
      <c r="D3271"/>
      <c r="E3271"/>
      <c r="F3271"/>
      <c r="I3271"/>
    </row>
    <row r="3272" spans="1:9" x14ac:dyDescent="0.3">
      <c r="A3272"/>
      <c r="B3272"/>
      <c r="C3272"/>
      <c r="D3272"/>
      <c r="E3272"/>
      <c r="F3272"/>
      <c r="I3272"/>
    </row>
    <row r="3273" spans="1:9" x14ac:dyDescent="0.3">
      <c r="A3273"/>
      <c r="B3273"/>
      <c r="C3273"/>
      <c r="D3273"/>
      <c r="E3273"/>
      <c r="F3273"/>
      <c r="I3273"/>
    </row>
    <row r="3274" spans="1:9" x14ac:dyDescent="0.3">
      <c r="A3274"/>
      <c r="B3274"/>
      <c r="C3274"/>
      <c r="D3274"/>
      <c r="E3274"/>
      <c r="F3274"/>
      <c r="I3274"/>
    </row>
    <row r="3275" spans="1:9" x14ac:dyDescent="0.3">
      <c r="A3275"/>
      <c r="B3275"/>
      <c r="C3275"/>
      <c r="D3275"/>
      <c r="E3275"/>
      <c r="F3275"/>
      <c r="I3275"/>
    </row>
    <row r="3276" spans="1:9" x14ac:dyDescent="0.3">
      <c r="A3276"/>
      <c r="B3276"/>
      <c r="C3276"/>
      <c r="D3276"/>
      <c r="E3276"/>
      <c r="F3276"/>
      <c r="I3276"/>
    </row>
    <row r="3277" spans="1:9" x14ac:dyDescent="0.3">
      <c r="A3277"/>
      <c r="B3277"/>
      <c r="C3277"/>
      <c r="D3277"/>
      <c r="E3277"/>
      <c r="F3277"/>
      <c r="I3277"/>
    </row>
    <row r="3278" spans="1:9" x14ac:dyDescent="0.3">
      <c r="A3278"/>
      <c r="B3278"/>
      <c r="C3278"/>
      <c r="D3278"/>
      <c r="E3278"/>
      <c r="F3278"/>
      <c r="I3278"/>
    </row>
    <row r="3279" spans="1:9" x14ac:dyDescent="0.3">
      <c r="A3279"/>
      <c r="B3279"/>
      <c r="C3279"/>
      <c r="D3279"/>
      <c r="E3279"/>
      <c r="F3279"/>
      <c r="I3279"/>
    </row>
    <row r="3280" spans="1:9" x14ac:dyDescent="0.3">
      <c r="A3280"/>
      <c r="B3280"/>
      <c r="C3280"/>
      <c r="D3280"/>
      <c r="E3280"/>
      <c r="F3280"/>
      <c r="I3280"/>
    </row>
    <row r="3281" spans="1:9" x14ac:dyDescent="0.3">
      <c r="A3281"/>
      <c r="B3281"/>
      <c r="C3281"/>
      <c r="D3281"/>
      <c r="E3281"/>
      <c r="F3281"/>
      <c r="I3281"/>
    </row>
    <row r="3282" spans="1:9" x14ac:dyDescent="0.3">
      <c r="A3282"/>
      <c r="B3282"/>
      <c r="C3282"/>
      <c r="D3282"/>
      <c r="E3282"/>
      <c r="F3282"/>
      <c r="I3282"/>
    </row>
    <row r="3283" spans="1:9" x14ac:dyDescent="0.3">
      <c r="A3283"/>
      <c r="B3283"/>
      <c r="C3283"/>
      <c r="D3283"/>
      <c r="E3283"/>
      <c r="F3283"/>
      <c r="I3283"/>
    </row>
    <row r="3284" spans="1:9" x14ac:dyDescent="0.3">
      <c r="A3284"/>
      <c r="B3284"/>
      <c r="C3284"/>
      <c r="D3284"/>
      <c r="E3284"/>
      <c r="F3284"/>
      <c r="I3284"/>
    </row>
    <row r="3285" spans="1:9" x14ac:dyDescent="0.3">
      <c r="A3285"/>
      <c r="B3285"/>
      <c r="C3285"/>
      <c r="D3285"/>
      <c r="E3285"/>
      <c r="F3285"/>
      <c r="I3285"/>
    </row>
    <row r="3286" spans="1:9" x14ac:dyDescent="0.3">
      <c r="A3286"/>
      <c r="B3286"/>
      <c r="C3286"/>
      <c r="D3286"/>
      <c r="E3286"/>
      <c r="F3286"/>
      <c r="I3286"/>
    </row>
    <row r="3287" spans="1:9" x14ac:dyDescent="0.3">
      <c r="A3287"/>
      <c r="B3287"/>
      <c r="C3287"/>
      <c r="D3287"/>
      <c r="E3287"/>
      <c r="F3287"/>
      <c r="I3287"/>
    </row>
    <row r="3288" spans="1:9" x14ac:dyDescent="0.3">
      <c r="A3288"/>
      <c r="B3288"/>
      <c r="C3288"/>
      <c r="D3288"/>
      <c r="E3288"/>
      <c r="F3288"/>
      <c r="I3288"/>
    </row>
    <row r="3289" spans="1:9" x14ac:dyDescent="0.3">
      <c r="A3289"/>
      <c r="B3289"/>
      <c r="C3289"/>
      <c r="D3289"/>
      <c r="E3289"/>
      <c r="F3289"/>
      <c r="I3289"/>
    </row>
    <row r="3290" spans="1:9" x14ac:dyDescent="0.3">
      <c r="A3290"/>
      <c r="B3290"/>
      <c r="C3290"/>
      <c r="D3290"/>
      <c r="E3290"/>
      <c r="F3290"/>
      <c r="I3290"/>
    </row>
    <row r="3291" spans="1:9" x14ac:dyDescent="0.3">
      <c r="A3291"/>
      <c r="B3291"/>
      <c r="C3291"/>
      <c r="D3291"/>
      <c r="E3291"/>
      <c r="F3291"/>
      <c r="I3291"/>
    </row>
    <row r="3292" spans="1:9" x14ac:dyDescent="0.3">
      <c r="A3292"/>
      <c r="B3292"/>
      <c r="C3292"/>
      <c r="D3292"/>
      <c r="E3292"/>
      <c r="F3292"/>
      <c r="I3292"/>
    </row>
    <row r="3293" spans="1:9" x14ac:dyDescent="0.3">
      <c r="A3293"/>
      <c r="B3293"/>
      <c r="C3293"/>
      <c r="D3293"/>
      <c r="E3293"/>
      <c r="F3293"/>
      <c r="I3293"/>
    </row>
    <row r="3294" spans="1:9" x14ac:dyDescent="0.3">
      <c r="A3294"/>
      <c r="B3294"/>
      <c r="C3294"/>
      <c r="D3294"/>
      <c r="E3294"/>
      <c r="F3294"/>
      <c r="I3294"/>
    </row>
    <row r="3295" spans="1:9" x14ac:dyDescent="0.3">
      <c r="A3295"/>
      <c r="B3295"/>
      <c r="C3295"/>
      <c r="D3295"/>
      <c r="E3295"/>
      <c r="F3295"/>
      <c r="I3295"/>
    </row>
    <row r="3296" spans="1:9" x14ac:dyDescent="0.3">
      <c r="A3296"/>
      <c r="B3296"/>
      <c r="C3296"/>
      <c r="D3296"/>
      <c r="E3296"/>
      <c r="F3296"/>
      <c r="I3296"/>
    </row>
    <row r="3297" spans="1:9" x14ac:dyDescent="0.3">
      <c r="A3297"/>
      <c r="B3297"/>
      <c r="C3297"/>
      <c r="D3297"/>
      <c r="E3297"/>
      <c r="F3297"/>
      <c r="I3297"/>
    </row>
    <row r="3298" spans="1:9" x14ac:dyDescent="0.3">
      <c r="A3298"/>
      <c r="B3298"/>
      <c r="C3298"/>
      <c r="D3298"/>
      <c r="E3298"/>
      <c r="F3298"/>
      <c r="I3298"/>
    </row>
    <row r="3299" spans="1:9" x14ac:dyDescent="0.3">
      <c r="A3299"/>
      <c r="B3299"/>
      <c r="C3299"/>
      <c r="D3299"/>
      <c r="E3299"/>
      <c r="F3299"/>
      <c r="I3299"/>
    </row>
    <row r="3300" spans="1:9" x14ac:dyDescent="0.3">
      <c r="A3300"/>
      <c r="B3300"/>
      <c r="C3300"/>
      <c r="D3300"/>
      <c r="E3300"/>
      <c r="F3300"/>
      <c r="I3300"/>
    </row>
    <row r="3301" spans="1:9" x14ac:dyDescent="0.3">
      <c r="A3301"/>
      <c r="B3301"/>
      <c r="C3301"/>
      <c r="D3301"/>
      <c r="E3301"/>
      <c r="F3301"/>
      <c r="I3301"/>
    </row>
    <row r="3302" spans="1:9" x14ac:dyDescent="0.3">
      <c r="A3302"/>
      <c r="B3302"/>
      <c r="C3302"/>
      <c r="D3302"/>
      <c r="E3302"/>
      <c r="F3302"/>
      <c r="I3302"/>
    </row>
    <row r="3303" spans="1:9" x14ac:dyDescent="0.3">
      <c r="A3303"/>
      <c r="B3303"/>
      <c r="C3303"/>
      <c r="D3303"/>
      <c r="E3303"/>
      <c r="F3303"/>
      <c r="I3303"/>
    </row>
    <row r="3304" spans="1:9" x14ac:dyDescent="0.3">
      <c r="A3304"/>
      <c r="B3304"/>
      <c r="C3304"/>
      <c r="D3304"/>
      <c r="E3304"/>
      <c r="F3304"/>
      <c r="I3304"/>
    </row>
    <row r="3305" spans="1:9" x14ac:dyDescent="0.3">
      <c r="A3305"/>
      <c r="B3305"/>
      <c r="C3305"/>
      <c r="D3305"/>
      <c r="E3305"/>
      <c r="F3305"/>
      <c r="I3305"/>
    </row>
    <row r="3306" spans="1:9" x14ac:dyDescent="0.3">
      <c r="A3306"/>
      <c r="B3306"/>
      <c r="C3306"/>
      <c r="D3306"/>
      <c r="E3306"/>
      <c r="F3306"/>
      <c r="I3306"/>
    </row>
    <row r="3307" spans="1:9" x14ac:dyDescent="0.3">
      <c r="A3307"/>
      <c r="B3307"/>
      <c r="C3307"/>
      <c r="D3307"/>
      <c r="E3307"/>
      <c r="F3307"/>
      <c r="I3307"/>
    </row>
    <row r="3308" spans="1:9" x14ac:dyDescent="0.3">
      <c r="A3308"/>
      <c r="B3308"/>
      <c r="C3308"/>
      <c r="D3308"/>
      <c r="E3308"/>
      <c r="F3308"/>
      <c r="I3308"/>
    </row>
    <row r="3309" spans="1:9" x14ac:dyDescent="0.3">
      <c r="A3309"/>
      <c r="B3309"/>
      <c r="C3309"/>
      <c r="D3309"/>
      <c r="E3309"/>
      <c r="F3309"/>
      <c r="I3309"/>
    </row>
    <row r="3310" spans="1:9" x14ac:dyDescent="0.3">
      <c r="A3310"/>
      <c r="B3310"/>
      <c r="C3310"/>
      <c r="D3310"/>
      <c r="E3310"/>
      <c r="F3310"/>
      <c r="I3310"/>
    </row>
    <row r="3311" spans="1:9" x14ac:dyDescent="0.3">
      <c r="A3311"/>
      <c r="B3311"/>
      <c r="C3311"/>
      <c r="D3311"/>
      <c r="E3311"/>
      <c r="F3311"/>
      <c r="I3311"/>
    </row>
    <row r="3312" spans="1:9" x14ac:dyDescent="0.3">
      <c r="A3312"/>
      <c r="B3312"/>
      <c r="C3312"/>
      <c r="D3312"/>
      <c r="E3312"/>
      <c r="F3312"/>
      <c r="I3312"/>
    </row>
    <row r="3313" spans="1:9" x14ac:dyDescent="0.3">
      <c r="A3313"/>
      <c r="B3313"/>
      <c r="C3313"/>
      <c r="D3313"/>
      <c r="E3313"/>
      <c r="F3313"/>
      <c r="I3313"/>
    </row>
    <row r="3314" spans="1:9" x14ac:dyDescent="0.3">
      <c r="A3314"/>
      <c r="B3314"/>
      <c r="C3314"/>
      <c r="D3314"/>
      <c r="E3314"/>
      <c r="F3314"/>
      <c r="I3314"/>
    </row>
    <row r="3315" spans="1:9" x14ac:dyDescent="0.3">
      <c r="A3315"/>
      <c r="B3315"/>
      <c r="C3315"/>
      <c r="D3315"/>
      <c r="E3315"/>
      <c r="F3315"/>
      <c r="I3315"/>
    </row>
    <row r="3316" spans="1:9" x14ac:dyDescent="0.3">
      <c r="A3316"/>
      <c r="B3316"/>
      <c r="C3316"/>
      <c r="D3316"/>
      <c r="E3316"/>
      <c r="F3316"/>
      <c r="I3316"/>
    </row>
    <row r="3317" spans="1:9" x14ac:dyDescent="0.3">
      <c r="A3317"/>
      <c r="B3317"/>
      <c r="C3317"/>
      <c r="D3317"/>
      <c r="E3317"/>
      <c r="F3317"/>
      <c r="I3317"/>
    </row>
    <row r="3318" spans="1:9" x14ac:dyDescent="0.3">
      <c r="A3318"/>
      <c r="B3318"/>
      <c r="C3318"/>
      <c r="D3318"/>
      <c r="E3318"/>
      <c r="F3318"/>
      <c r="I3318"/>
    </row>
    <row r="3319" spans="1:9" x14ac:dyDescent="0.3">
      <c r="A3319"/>
      <c r="B3319"/>
      <c r="C3319"/>
      <c r="D3319"/>
      <c r="E3319"/>
      <c r="F3319"/>
      <c r="I3319"/>
    </row>
    <row r="3320" spans="1:9" x14ac:dyDescent="0.3">
      <c r="A3320"/>
      <c r="B3320"/>
      <c r="C3320"/>
      <c r="D3320"/>
      <c r="E3320"/>
      <c r="F3320"/>
      <c r="I3320"/>
    </row>
    <row r="3321" spans="1:9" x14ac:dyDescent="0.3">
      <c r="A3321"/>
      <c r="B3321"/>
      <c r="C3321"/>
      <c r="D3321"/>
      <c r="E3321"/>
      <c r="F3321"/>
      <c r="I3321"/>
    </row>
    <row r="3322" spans="1:9" x14ac:dyDescent="0.3">
      <c r="A3322"/>
      <c r="B3322"/>
      <c r="C3322"/>
      <c r="D3322"/>
      <c r="E3322"/>
      <c r="F3322"/>
      <c r="I3322"/>
    </row>
    <row r="3323" spans="1:9" x14ac:dyDescent="0.3">
      <c r="A3323"/>
      <c r="B3323"/>
      <c r="C3323"/>
      <c r="D3323"/>
      <c r="E3323"/>
      <c r="F3323"/>
      <c r="I3323"/>
    </row>
    <row r="3324" spans="1:9" x14ac:dyDescent="0.3">
      <c r="A3324"/>
      <c r="B3324"/>
      <c r="C3324"/>
      <c r="D3324"/>
      <c r="E3324"/>
      <c r="F3324"/>
      <c r="I3324"/>
    </row>
    <row r="3325" spans="1:9" x14ac:dyDescent="0.3">
      <c r="A3325"/>
      <c r="B3325"/>
      <c r="C3325"/>
      <c r="D3325"/>
      <c r="E3325"/>
      <c r="F3325"/>
      <c r="I3325"/>
    </row>
    <row r="3326" spans="1:9" x14ac:dyDescent="0.3">
      <c r="A3326"/>
      <c r="B3326"/>
      <c r="C3326"/>
      <c r="D3326"/>
      <c r="E3326"/>
      <c r="F3326"/>
      <c r="I3326"/>
    </row>
    <row r="3327" spans="1:9" x14ac:dyDescent="0.3">
      <c r="A3327"/>
      <c r="B3327"/>
      <c r="C3327"/>
      <c r="D3327"/>
      <c r="E3327"/>
      <c r="F3327"/>
      <c r="I3327"/>
    </row>
    <row r="3328" spans="1:9" x14ac:dyDescent="0.3">
      <c r="A3328"/>
      <c r="B3328"/>
      <c r="C3328"/>
      <c r="D3328"/>
      <c r="E3328"/>
      <c r="F3328"/>
      <c r="I3328"/>
    </row>
    <row r="3329" spans="1:9" x14ac:dyDescent="0.3">
      <c r="A3329"/>
      <c r="B3329"/>
      <c r="C3329"/>
      <c r="D3329"/>
      <c r="E3329"/>
      <c r="F3329"/>
      <c r="I3329"/>
    </row>
    <row r="3330" spans="1:9" x14ac:dyDescent="0.3">
      <c r="A3330"/>
      <c r="B3330"/>
      <c r="C3330"/>
      <c r="D3330"/>
      <c r="E3330"/>
      <c r="F3330"/>
      <c r="I3330"/>
    </row>
    <row r="3331" spans="1:9" x14ac:dyDescent="0.3">
      <c r="A3331"/>
      <c r="B3331"/>
      <c r="C3331"/>
      <c r="D3331"/>
      <c r="E3331"/>
      <c r="F3331"/>
      <c r="I3331"/>
    </row>
    <row r="3332" spans="1:9" x14ac:dyDescent="0.3">
      <c r="A3332"/>
      <c r="B3332"/>
      <c r="C3332"/>
      <c r="D3332"/>
      <c r="E3332"/>
      <c r="F3332"/>
      <c r="I3332"/>
    </row>
    <row r="3333" spans="1:9" x14ac:dyDescent="0.3">
      <c r="A3333"/>
      <c r="B3333"/>
      <c r="C3333"/>
      <c r="D3333"/>
      <c r="E3333"/>
      <c r="F3333"/>
      <c r="I3333"/>
    </row>
    <row r="3334" spans="1:9" x14ac:dyDescent="0.3">
      <c r="A3334"/>
      <c r="B3334"/>
      <c r="C3334"/>
      <c r="D3334"/>
      <c r="E3334"/>
      <c r="F3334"/>
      <c r="I3334"/>
    </row>
    <row r="3335" spans="1:9" x14ac:dyDescent="0.3">
      <c r="A3335"/>
      <c r="B3335"/>
      <c r="C3335"/>
      <c r="D3335"/>
      <c r="E3335"/>
      <c r="F3335"/>
      <c r="I3335"/>
    </row>
    <row r="3336" spans="1:9" x14ac:dyDescent="0.3">
      <c r="A3336"/>
      <c r="B3336"/>
      <c r="C3336"/>
      <c r="D3336"/>
      <c r="E3336"/>
      <c r="F3336"/>
      <c r="I3336"/>
    </row>
    <row r="3337" spans="1:9" x14ac:dyDescent="0.3">
      <c r="A3337"/>
      <c r="B3337"/>
      <c r="C3337"/>
      <c r="D3337"/>
      <c r="E3337"/>
      <c r="F3337"/>
      <c r="I3337"/>
    </row>
    <row r="3338" spans="1:9" x14ac:dyDescent="0.3">
      <c r="A3338"/>
      <c r="B3338"/>
      <c r="C3338"/>
      <c r="D3338"/>
      <c r="E3338"/>
      <c r="F3338"/>
      <c r="I3338"/>
    </row>
    <row r="3339" spans="1:9" x14ac:dyDescent="0.3">
      <c r="A3339"/>
      <c r="B3339"/>
      <c r="C3339"/>
      <c r="D3339"/>
      <c r="E3339"/>
      <c r="F3339"/>
      <c r="I3339"/>
    </row>
    <row r="3340" spans="1:9" x14ac:dyDescent="0.3">
      <c r="A3340"/>
      <c r="B3340"/>
      <c r="C3340"/>
      <c r="D3340"/>
      <c r="E3340"/>
      <c r="F3340"/>
      <c r="I3340"/>
    </row>
    <row r="3341" spans="1:9" x14ac:dyDescent="0.3">
      <c r="A3341"/>
      <c r="B3341"/>
      <c r="C3341"/>
      <c r="D3341"/>
      <c r="E3341"/>
      <c r="F3341"/>
      <c r="I3341"/>
    </row>
    <row r="3342" spans="1:9" x14ac:dyDescent="0.3">
      <c r="A3342"/>
      <c r="B3342"/>
      <c r="C3342"/>
      <c r="D3342"/>
      <c r="E3342"/>
      <c r="F3342"/>
      <c r="I3342"/>
    </row>
    <row r="3343" spans="1:9" x14ac:dyDescent="0.3">
      <c r="A3343"/>
      <c r="B3343"/>
      <c r="C3343"/>
      <c r="D3343"/>
      <c r="E3343"/>
      <c r="F3343"/>
      <c r="I3343"/>
    </row>
    <row r="3344" spans="1:9" x14ac:dyDescent="0.3">
      <c r="A3344"/>
      <c r="B3344"/>
      <c r="C3344"/>
      <c r="D3344"/>
      <c r="E3344"/>
      <c r="F3344"/>
      <c r="I3344"/>
    </row>
    <row r="3345" spans="1:9" x14ac:dyDescent="0.3">
      <c r="A3345"/>
      <c r="B3345"/>
      <c r="C3345"/>
      <c r="D3345"/>
      <c r="E3345"/>
      <c r="F3345"/>
      <c r="I3345"/>
    </row>
    <row r="3346" spans="1:9" x14ac:dyDescent="0.3">
      <c r="A3346"/>
      <c r="B3346"/>
      <c r="C3346"/>
      <c r="D3346"/>
      <c r="E3346"/>
      <c r="F3346"/>
      <c r="I3346"/>
    </row>
    <row r="3347" spans="1:9" x14ac:dyDescent="0.3">
      <c r="A3347"/>
      <c r="B3347"/>
      <c r="C3347"/>
      <c r="D3347"/>
      <c r="E3347"/>
      <c r="F3347"/>
      <c r="I3347"/>
    </row>
    <row r="3348" spans="1:9" x14ac:dyDescent="0.3">
      <c r="A3348"/>
      <c r="B3348"/>
      <c r="C3348"/>
      <c r="D3348"/>
      <c r="E3348"/>
      <c r="F3348"/>
      <c r="I3348"/>
    </row>
    <row r="3349" spans="1:9" x14ac:dyDescent="0.3">
      <c r="A3349"/>
      <c r="B3349"/>
      <c r="C3349"/>
      <c r="D3349"/>
      <c r="E3349"/>
      <c r="F3349"/>
      <c r="I3349"/>
    </row>
    <row r="3350" spans="1:9" x14ac:dyDescent="0.3">
      <c r="A3350"/>
      <c r="B3350"/>
      <c r="C3350"/>
      <c r="D3350"/>
      <c r="E3350"/>
      <c r="F3350"/>
      <c r="I3350"/>
    </row>
    <row r="3351" spans="1:9" x14ac:dyDescent="0.3">
      <c r="A3351"/>
      <c r="B3351"/>
      <c r="C3351"/>
      <c r="D3351"/>
      <c r="E3351"/>
      <c r="F3351"/>
      <c r="I3351"/>
    </row>
    <row r="3352" spans="1:9" x14ac:dyDescent="0.3">
      <c r="A3352"/>
      <c r="B3352"/>
      <c r="C3352"/>
      <c r="D3352"/>
      <c r="E3352"/>
      <c r="F3352"/>
      <c r="I3352"/>
    </row>
    <row r="3353" spans="1:9" x14ac:dyDescent="0.3">
      <c r="A3353"/>
      <c r="B3353"/>
      <c r="C3353"/>
      <c r="D3353"/>
      <c r="E3353"/>
      <c r="F3353"/>
      <c r="I3353"/>
    </row>
    <row r="3354" spans="1:9" x14ac:dyDescent="0.3">
      <c r="A3354"/>
      <c r="B3354"/>
      <c r="C3354"/>
      <c r="D3354"/>
      <c r="E3354"/>
      <c r="F3354"/>
      <c r="I3354"/>
    </row>
    <row r="3355" spans="1:9" x14ac:dyDescent="0.3">
      <c r="A3355"/>
      <c r="B3355"/>
      <c r="C3355"/>
      <c r="D3355"/>
      <c r="E3355"/>
      <c r="F3355"/>
      <c r="I3355"/>
    </row>
    <row r="3356" spans="1:9" x14ac:dyDescent="0.3">
      <c r="A3356"/>
      <c r="B3356"/>
      <c r="C3356"/>
      <c r="D3356"/>
      <c r="E3356"/>
      <c r="F3356"/>
      <c r="I3356"/>
    </row>
    <row r="3357" spans="1:9" x14ac:dyDescent="0.3">
      <c r="A3357"/>
      <c r="B3357"/>
      <c r="C3357"/>
      <c r="D3357"/>
      <c r="E3357"/>
      <c r="F3357"/>
      <c r="I3357"/>
    </row>
    <row r="3358" spans="1:9" x14ac:dyDescent="0.3">
      <c r="A3358"/>
      <c r="B3358"/>
      <c r="C3358"/>
      <c r="D3358"/>
      <c r="E3358"/>
      <c r="F3358"/>
      <c r="I3358"/>
    </row>
    <row r="3359" spans="1:9" x14ac:dyDescent="0.3">
      <c r="A3359"/>
      <c r="B3359"/>
      <c r="C3359"/>
      <c r="D3359"/>
      <c r="E3359"/>
      <c r="F3359"/>
      <c r="I3359"/>
    </row>
    <row r="3360" spans="1:9" x14ac:dyDescent="0.3">
      <c r="A3360"/>
      <c r="B3360"/>
      <c r="C3360"/>
      <c r="D3360"/>
      <c r="E3360"/>
      <c r="F3360"/>
      <c r="I3360"/>
    </row>
    <row r="3361" spans="1:9" x14ac:dyDescent="0.3">
      <c r="A3361"/>
      <c r="B3361"/>
      <c r="C3361"/>
      <c r="D3361"/>
      <c r="E3361"/>
      <c r="F3361"/>
      <c r="I3361"/>
    </row>
    <row r="3362" spans="1:9" x14ac:dyDescent="0.3">
      <c r="A3362"/>
      <c r="B3362"/>
      <c r="C3362"/>
      <c r="D3362"/>
      <c r="E3362"/>
      <c r="F3362"/>
      <c r="I3362"/>
    </row>
    <row r="3363" spans="1:9" x14ac:dyDescent="0.3">
      <c r="A3363"/>
      <c r="B3363"/>
      <c r="C3363"/>
      <c r="D3363"/>
      <c r="E3363"/>
      <c r="F3363"/>
      <c r="I3363"/>
    </row>
    <row r="3364" spans="1:9" x14ac:dyDescent="0.3">
      <c r="A3364"/>
      <c r="B3364"/>
      <c r="C3364"/>
      <c r="D3364"/>
      <c r="E3364"/>
      <c r="F3364"/>
      <c r="I3364"/>
    </row>
    <row r="3365" spans="1:9" x14ac:dyDescent="0.3">
      <c r="A3365"/>
      <c r="B3365"/>
      <c r="C3365"/>
      <c r="D3365"/>
      <c r="E3365"/>
      <c r="F3365"/>
      <c r="I3365"/>
    </row>
    <row r="3366" spans="1:9" x14ac:dyDescent="0.3">
      <c r="A3366"/>
      <c r="B3366"/>
      <c r="C3366"/>
      <c r="D3366"/>
      <c r="E3366"/>
      <c r="F3366"/>
      <c r="I3366"/>
    </row>
    <row r="3367" spans="1:9" x14ac:dyDescent="0.3">
      <c r="A3367"/>
      <c r="B3367"/>
      <c r="C3367"/>
      <c r="D3367"/>
      <c r="E3367"/>
      <c r="F3367"/>
      <c r="I3367"/>
    </row>
    <row r="3368" spans="1:9" x14ac:dyDescent="0.3">
      <c r="A3368"/>
      <c r="B3368"/>
      <c r="C3368"/>
      <c r="D3368"/>
      <c r="E3368"/>
      <c r="F3368"/>
      <c r="I3368"/>
    </row>
    <row r="3369" spans="1:9" x14ac:dyDescent="0.3">
      <c r="A3369"/>
      <c r="B3369"/>
      <c r="C3369"/>
      <c r="D3369"/>
      <c r="E3369"/>
      <c r="F3369"/>
      <c r="I3369"/>
    </row>
    <row r="3370" spans="1:9" x14ac:dyDescent="0.3">
      <c r="A3370"/>
      <c r="B3370"/>
      <c r="C3370"/>
      <c r="D3370"/>
      <c r="E3370"/>
      <c r="F3370"/>
      <c r="I3370"/>
    </row>
    <row r="3371" spans="1:9" x14ac:dyDescent="0.3">
      <c r="A3371"/>
      <c r="B3371"/>
      <c r="C3371"/>
      <c r="D3371"/>
      <c r="E3371"/>
      <c r="F3371"/>
      <c r="I3371"/>
    </row>
    <row r="3372" spans="1:9" x14ac:dyDescent="0.3">
      <c r="A3372"/>
      <c r="B3372"/>
      <c r="C3372"/>
      <c r="D3372"/>
      <c r="E3372"/>
      <c r="F3372"/>
      <c r="I3372"/>
    </row>
    <row r="3373" spans="1:9" x14ac:dyDescent="0.3">
      <c r="A3373"/>
      <c r="B3373"/>
      <c r="C3373"/>
      <c r="D3373"/>
      <c r="E3373"/>
      <c r="F3373"/>
      <c r="I3373"/>
    </row>
    <row r="3374" spans="1:9" x14ac:dyDescent="0.3">
      <c r="A3374"/>
      <c r="B3374"/>
      <c r="C3374"/>
      <c r="D3374"/>
      <c r="E3374"/>
      <c r="F3374"/>
      <c r="I3374"/>
    </row>
    <row r="3375" spans="1:9" x14ac:dyDescent="0.3">
      <c r="A3375"/>
      <c r="B3375"/>
      <c r="C3375"/>
      <c r="D3375"/>
      <c r="E3375"/>
      <c r="F3375"/>
      <c r="I3375"/>
    </row>
    <row r="3376" spans="1:9" x14ac:dyDescent="0.3">
      <c r="A3376"/>
      <c r="B3376"/>
      <c r="C3376"/>
      <c r="D3376"/>
      <c r="E3376"/>
      <c r="F3376"/>
      <c r="I3376"/>
    </row>
    <row r="3377" spans="1:9" x14ac:dyDescent="0.3">
      <c r="A3377"/>
      <c r="B3377"/>
      <c r="C3377"/>
      <c r="D3377"/>
      <c r="E3377"/>
      <c r="F3377"/>
      <c r="I3377"/>
    </row>
    <row r="3378" spans="1:9" x14ac:dyDescent="0.3">
      <c r="A3378"/>
      <c r="B3378"/>
      <c r="C3378"/>
      <c r="D3378"/>
      <c r="E3378"/>
      <c r="F3378"/>
      <c r="I3378"/>
    </row>
    <row r="3379" spans="1:9" x14ac:dyDescent="0.3">
      <c r="A3379"/>
      <c r="B3379"/>
      <c r="C3379"/>
      <c r="D3379"/>
      <c r="E3379"/>
      <c r="F3379"/>
      <c r="I3379"/>
    </row>
    <row r="3380" spans="1:9" x14ac:dyDescent="0.3">
      <c r="A3380"/>
      <c r="B3380"/>
      <c r="C3380"/>
      <c r="D3380"/>
      <c r="E3380"/>
      <c r="F3380"/>
      <c r="I3380"/>
    </row>
    <row r="3381" spans="1:9" x14ac:dyDescent="0.3">
      <c r="A3381"/>
      <c r="B3381"/>
      <c r="C3381"/>
      <c r="D3381"/>
      <c r="E3381"/>
      <c r="F3381"/>
      <c r="I3381"/>
    </row>
    <row r="3382" spans="1:9" x14ac:dyDescent="0.3">
      <c r="A3382"/>
      <c r="B3382"/>
      <c r="C3382"/>
      <c r="D3382"/>
      <c r="E3382"/>
      <c r="F3382"/>
      <c r="I3382"/>
    </row>
    <row r="3383" spans="1:9" x14ac:dyDescent="0.3">
      <c r="A3383"/>
      <c r="B3383"/>
      <c r="C3383"/>
      <c r="D3383"/>
      <c r="E3383"/>
      <c r="F3383"/>
      <c r="I3383"/>
    </row>
    <row r="3384" spans="1:9" x14ac:dyDescent="0.3">
      <c r="A3384"/>
      <c r="B3384"/>
      <c r="C3384"/>
      <c r="D3384"/>
      <c r="E3384"/>
      <c r="F3384"/>
      <c r="I3384"/>
    </row>
    <row r="3385" spans="1:9" x14ac:dyDescent="0.3">
      <c r="A3385"/>
      <c r="B3385"/>
      <c r="C3385"/>
      <c r="D3385"/>
      <c r="E3385"/>
      <c r="F3385"/>
      <c r="I3385"/>
    </row>
    <row r="3386" spans="1:9" x14ac:dyDescent="0.3">
      <c r="A3386"/>
      <c r="B3386"/>
      <c r="C3386"/>
      <c r="D3386"/>
      <c r="E3386"/>
      <c r="F3386"/>
      <c r="I3386"/>
    </row>
    <row r="3387" spans="1:9" x14ac:dyDescent="0.3">
      <c r="A3387"/>
      <c r="B3387"/>
      <c r="C3387"/>
      <c r="D3387"/>
      <c r="E3387"/>
      <c r="F3387"/>
      <c r="I3387"/>
    </row>
    <row r="3388" spans="1:9" x14ac:dyDescent="0.3">
      <c r="A3388"/>
      <c r="B3388"/>
      <c r="C3388"/>
      <c r="D3388"/>
      <c r="E3388"/>
      <c r="F3388"/>
      <c r="I3388"/>
    </row>
    <row r="3389" spans="1:9" x14ac:dyDescent="0.3">
      <c r="A3389"/>
      <c r="B3389"/>
      <c r="C3389"/>
      <c r="D3389"/>
      <c r="E3389"/>
      <c r="F3389"/>
      <c r="I3389"/>
    </row>
    <row r="3390" spans="1:9" x14ac:dyDescent="0.3">
      <c r="A3390"/>
      <c r="B3390"/>
      <c r="C3390"/>
      <c r="D3390"/>
      <c r="E3390"/>
      <c r="F3390"/>
      <c r="I3390"/>
    </row>
    <row r="3391" spans="1:9" x14ac:dyDescent="0.3">
      <c r="A3391"/>
      <c r="B3391"/>
      <c r="C3391"/>
      <c r="D3391"/>
      <c r="E3391"/>
      <c r="F3391"/>
      <c r="I3391"/>
    </row>
    <row r="3392" spans="1:9" x14ac:dyDescent="0.3">
      <c r="A3392"/>
      <c r="B3392"/>
      <c r="C3392"/>
      <c r="D3392"/>
      <c r="E3392"/>
      <c r="F3392"/>
      <c r="I3392"/>
    </row>
    <row r="3393" spans="1:9" x14ac:dyDescent="0.3">
      <c r="A3393"/>
      <c r="B3393"/>
      <c r="C3393"/>
      <c r="D3393"/>
      <c r="E3393"/>
      <c r="F3393"/>
      <c r="I3393"/>
    </row>
    <row r="3394" spans="1:9" x14ac:dyDescent="0.3">
      <c r="A3394"/>
      <c r="B3394"/>
      <c r="C3394"/>
      <c r="D3394"/>
      <c r="E3394"/>
      <c r="F3394"/>
      <c r="I3394"/>
    </row>
    <row r="3395" spans="1:9" x14ac:dyDescent="0.3">
      <c r="A3395"/>
      <c r="B3395"/>
      <c r="C3395"/>
      <c r="D3395"/>
      <c r="E3395"/>
      <c r="F3395"/>
      <c r="I3395"/>
    </row>
    <row r="3396" spans="1:9" x14ac:dyDescent="0.3">
      <c r="A3396"/>
      <c r="B3396"/>
      <c r="C3396"/>
      <c r="D3396"/>
      <c r="E3396"/>
      <c r="F3396"/>
      <c r="I3396"/>
    </row>
    <row r="3397" spans="1:9" x14ac:dyDescent="0.3">
      <c r="A3397"/>
      <c r="B3397"/>
      <c r="C3397"/>
      <c r="D3397"/>
      <c r="E3397"/>
      <c r="F3397"/>
      <c r="I3397"/>
    </row>
    <row r="3398" spans="1:9" x14ac:dyDescent="0.3">
      <c r="A3398"/>
      <c r="B3398"/>
      <c r="C3398"/>
      <c r="D3398"/>
      <c r="E3398"/>
      <c r="F3398"/>
      <c r="I3398"/>
    </row>
    <row r="3399" spans="1:9" x14ac:dyDescent="0.3">
      <c r="A3399"/>
      <c r="B3399"/>
      <c r="C3399"/>
      <c r="D3399"/>
      <c r="E3399"/>
      <c r="F3399"/>
      <c r="I3399"/>
    </row>
    <row r="3400" spans="1:9" x14ac:dyDescent="0.3">
      <c r="A3400"/>
      <c r="B3400"/>
      <c r="C3400"/>
      <c r="D3400"/>
      <c r="E3400"/>
      <c r="F3400"/>
      <c r="I3400"/>
    </row>
    <row r="3401" spans="1:9" x14ac:dyDescent="0.3">
      <c r="A3401"/>
      <c r="B3401"/>
      <c r="C3401"/>
      <c r="D3401"/>
      <c r="E3401"/>
      <c r="F3401"/>
      <c r="I3401"/>
    </row>
    <row r="3402" spans="1:9" x14ac:dyDescent="0.3">
      <c r="A3402"/>
      <c r="B3402"/>
      <c r="C3402"/>
      <c r="D3402"/>
      <c r="E3402"/>
      <c r="F3402"/>
      <c r="I3402"/>
    </row>
    <row r="3403" spans="1:9" x14ac:dyDescent="0.3">
      <c r="A3403"/>
      <c r="B3403"/>
      <c r="C3403"/>
      <c r="D3403"/>
      <c r="E3403"/>
      <c r="F3403"/>
      <c r="I3403"/>
    </row>
    <row r="3404" spans="1:9" x14ac:dyDescent="0.3">
      <c r="A3404"/>
      <c r="B3404"/>
      <c r="C3404"/>
      <c r="D3404"/>
      <c r="E3404"/>
      <c r="F3404"/>
      <c r="I3404"/>
    </row>
    <row r="3405" spans="1:9" x14ac:dyDescent="0.3">
      <c r="A3405"/>
      <c r="B3405"/>
      <c r="C3405"/>
      <c r="D3405"/>
      <c r="E3405"/>
      <c r="F3405"/>
      <c r="I3405"/>
    </row>
    <row r="3406" spans="1:9" x14ac:dyDescent="0.3">
      <c r="A3406"/>
      <c r="B3406"/>
      <c r="C3406"/>
      <c r="D3406"/>
      <c r="E3406"/>
      <c r="F3406"/>
      <c r="I3406"/>
    </row>
    <row r="3407" spans="1:9" x14ac:dyDescent="0.3">
      <c r="A3407"/>
      <c r="B3407"/>
      <c r="C3407"/>
      <c r="D3407"/>
      <c r="E3407"/>
      <c r="F3407"/>
      <c r="I3407"/>
    </row>
    <row r="3408" spans="1:9" x14ac:dyDescent="0.3">
      <c r="A3408"/>
      <c r="B3408"/>
      <c r="C3408"/>
      <c r="D3408"/>
      <c r="E3408"/>
      <c r="F3408"/>
      <c r="I3408"/>
    </row>
    <row r="3409" spans="1:9" x14ac:dyDescent="0.3">
      <c r="A3409"/>
      <c r="B3409"/>
      <c r="C3409"/>
      <c r="D3409"/>
      <c r="E3409"/>
      <c r="F3409"/>
      <c r="I3409"/>
    </row>
    <row r="3410" spans="1:9" x14ac:dyDescent="0.3">
      <c r="A3410"/>
      <c r="B3410"/>
      <c r="C3410"/>
      <c r="D3410"/>
      <c r="E3410"/>
      <c r="F3410"/>
      <c r="I3410"/>
    </row>
    <row r="3411" spans="1:9" x14ac:dyDescent="0.3">
      <c r="A3411"/>
      <c r="B3411"/>
      <c r="C3411"/>
      <c r="D3411"/>
      <c r="E3411"/>
      <c r="F3411"/>
      <c r="I3411"/>
    </row>
    <row r="3412" spans="1:9" x14ac:dyDescent="0.3">
      <c r="A3412"/>
      <c r="B3412"/>
      <c r="C3412"/>
      <c r="D3412"/>
      <c r="E3412"/>
      <c r="F3412"/>
      <c r="I3412"/>
    </row>
    <row r="3413" spans="1:9" x14ac:dyDescent="0.3">
      <c r="A3413"/>
      <c r="B3413"/>
      <c r="C3413"/>
      <c r="D3413"/>
      <c r="E3413"/>
      <c r="F3413"/>
      <c r="I3413"/>
    </row>
    <row r="3414" spans="1:9" x14ac:dyDescent="0.3">
      <c r="A3414"/>
      <c r="B3414"/>
      <c r="C3414"/>
      <c r="D3414"/>
      <c r="E3414"/>
      <c r="F3414"/>
      <c r="I3414"/>
    </row>
    <row r="3415" spans="1:9" x14ac:dyDescent="0.3">
      <c r="A3415"/>
      <c r="B3415"/>
      <c r="C3415"/>
      <c r="D3415"/>
      <c r="E3415"/>
      <c r="F3415"/>
      <c r="I3415"/>
    </row>
    <row r="3416" spans="1:9" x14ac:dyDescent="0.3">
      <c r="A3416"/>
      <c r="B3416"/>
      <c r="C3416"/>
      <c r="D3416"/>
      <c r="E3416"/>
      <c r="F3416"/>
      <c r="I3416"/>
    </row>
    <row r="3417" spans="1:9" x14ac:dyDescent="0.3">
      <c r="A3417"/>
      <c r="B3417"/>
      <c r="C3417"/>
      <c r="D3417"/>
      <c r="E3417"/>
      <c r="F3417"/>
      <c r="I3417"/>
    </row>
    <row r="3418" spans="1:9" x14ac:dyDescent="0.3">
      <c r="A3418"/>
      <c r="B3418"/>
      <c r="C3418"/>
      <c r="D3418"/>
      <c r="E3418"/>
      <c r="F3418"/>
      <c r="I3418"/>
    </row>
    <row r="3419" spans="1:9" x14ac:dyDescent="0.3">
      <c r="A3419"/>
      <c r="B3419"/>
      <c r="C3419"/>
      <c r="D3419"/>
      <c r="E3419"/>
      <c r="F3419"/>
      <c r="I3419"/>
    </row>
    <row r="3420" spans="1:9" x14ac:dyDescent="0.3">
      <c r="A3420"/>
      <c r="B3420"/>
      <c r="C3420"/>
      <c r="D3420"/>
      <c r="E3420"/>
      <c r="F3420"/>
      <c r="I3420"/>
    </row>
    <row r="3421" spans="1:9" x14ac:dyDescent="0.3">
      <c r="A3421"/>
      <c r="B3421"/>
      <c r="C3421"/>
      <c r="D3421"/>
      <c r="E3421"/>
      <c r="F3421"/>
      <c r="I3421"/>
    </row>
    <row r="3422" spans="1:9" x14ac:dyDescent="0.3">
      <c r="A3422"/>
      <c r="B3422"/>
      <c r="C3422"/>
      <c r="D3422"/>
      <c r="E3422"/>
      <c r="F3422"/>
      <c r="I3422"/>
    </row>
    <row r="3423" spans="1:9" x14ac:dyDescent="0.3">
      <c r="A3423"/>
      <c r="B3423"/>
      <c r="C3423"/>
      <c r="D3423"/>
      <c r="E3423"/>
      <c r="F3423"/>
      <c r="I3423"/>
    </row>
    <row r="3424" spans="1:9" x14ac:dyDescent="0.3">
      <c r="A3424"/>
      <c r="B3424"/>
      <c r="C3424"/>
      <c r="D3424"/>
      <c r="E3424"/>
      <c r="F3424"/>
      <c r="I3424"/>
    </row>
    <row r="3425" spans="1:9" x14ac:dyDescent="0.3">
      <c r="A3425"/>
      <c r="B3425"/>
      <c r="C3425"/>
      <c r="D3425"/>
      <c r="E3425"/>
      <c r="F3425"/>
      <c r="I3425"/>
    </row>
    <row r="3426" spans="1:9" x14ac:dyDescent="0.3">
      <c r="A3426"/>
      <c r="B3426"/>
      <c r="C3426"/>
      <c r="D3426"/>
      <c r="E3426"/>
      <c r="F3426"/>
      <c r="I3426"/>
    </row>
    <row r="3427" spans="1:9" x14ac:dyDescent="0.3">
      <c r="A3427"/>
      <c r="B3427"/>
      <c r="C3427"/>
      <c r="D3427"/>
      <c r="E3427"/>
      <c r="F3427"/>
      <c r="I3427"/>
    </row>
    <row r="3428" spans="1:9" x14ac:dyDescent="0.3">
      <c r="A3428"/>
      <c r="B3428"/>
      <c r="C3428"/>
      <c r="D3428"/>
      <c r="E3428"/>
      <c r="F3428"/>
      <c r="I3428"/>
    </row>
    <row r="3429" spans="1:9" x14ac:dyDescent="0.3">
      <c r="A3429"/>
      <c r="B3429"/>
      <c r="C3429"/>
      <c r="D3429"/>
      <c r="E3429"/>
      <c r="F3429"/>
      <c r="I3429"/>
    </row>
    <row r="3430" spans="1:9" x14ac:dyDescent="0.3">
      <c r="A3430"/>
      <c r="B3430"/>
      <c r="C3430"/>
      <c r="D3430"/>
      <c r="E3430"/>
      <c r="F3430"/>
      <c r="I3430"/>
    </row>
    <row r="3431" spans="1:9" x14ac:dyDescent="0.3">
      <c r="A3431"/>
      <c r="B3431"/>
      <c r="C3431"/>
      <c r="D3431"/>
      <c r="E3431"/>
      <c r="F3431"/>
      <c r="I3431"/>
    </row>
    <row r="3432" spans="1:9" x14ac:dyDescent="0.3">
      <c r="A3432"/>
      <c r="B3432"/>
      <c r="C3432"/>
      <c r="D3432"/>
      <c r="E3432"/>
      <c r="F3432"/>
      <c r="I3432"/>
    </row>
    <row r="3433" spans="1:9" x14ac:dyDescent="0.3">
      <c r="A3433"/>
      <c r="B3433"/>
      <c r="C3433"/>
      <c r="D3433"/>
      <c r="E3433"/>
      <c r="F3433"/>
      <c r="I3433"/>
    </row>
    <row r="3434" spans="1:9" x14ac:dyDescent="0.3">
      <c r="A3434"/>
      <c r="B3434"/>
      <c r="C3434"/>
      <c r="D3434"/>
      <c r="E3434"/>
      <c r="F3434"/>
      <c r="I3434"/>
    </row>
    <row r="3435" spans="1:9" x14ac:dyDescent="0.3">
      <c r="A3435"/>
      <c r="B3435"/>
      <c r="C3435"/>
      <c r="D3435"/>
      <c r="E3435"/>
      <c r="F3435"/>
      <c r="I3435"/>
    </row>
    <row r="3436" spans="1:9" x14ac:dyDescent="0.3">
      <c r="A3436"/>
      <c r="B3436"/>
      <c r="C3436"/>
      <c r="D3436"/>
      <c r="E3436"/>
      <c r="F3436"/>
      <c r="I3436"/>
    </row>
    <row r="3437" spans="1:9" x14ac:dyDescent="0.3">
      <c r="A3437"/>
      <c r="B3437"/>
      <c r="C3437"/>
      <c r="D3437"/>
      <c r="E3437"/>
      <c r="F3437"/>
      <c r="I3437"/>
    </row>
    <row r="3438" spans="1:9" x14ac:dyDescent="0.3">
      <c r="A3438"/>
      <c r="B3438"/>
      <c r="C3438"/>
      <c r="D3438"/>
      <c r="E3438"/>
      <c r="F3438"/>
      <c r="I3438"/>
    </row>
    <row r="3439" spans="1:9" x14ac:dyDescent="0.3">
      <c r="A3439"/>
      <c r="B3439"/>
      <c r="C3439"/>
      <c r="D3439"/>
      <c r="E3439"/>
      <c r="F3439"/>
      <c r="I3439"/>
    </row>
    <row r="3440" spans="1:9" x14ac:dyDescent="0.3">
      <c r="A3440"/>
      <c r="B3440"/>
      <c r="C3440"/>
      <c r="D3440"/>
      <c r="E3440"/>
      <c r="F3440"/>
      <c r="I3440"/>
    </row>
    <row r="3441" spans="1:9" x14ac:dyDescent="0.3">
      <c r="A3441"/>
      <c r="B3441"/>
      <c r="C3441"/>
      <c r="D3441"/>
      <c r="E3441"/>
      <c r="F3441"/>
      <c r="I3441"/>
    </row>
    <row r="3442" spans="1:9" x14ac:dyDescent="0.3">
      <c r="A3442"/>
      <c r="B3442"/>
      <c r="C3442"/>
      <c r="D3442"/>
      <c r="E3442"/>
      <c r="F3442"/>
      <c r="I3442"/>
    </row>
    <row r="3443" spans="1:9" x14ac:dyDescent="0.3">
      <c r="A3443"/>
      <c r="B3443"/>
      <c r="C3443"/>
      <c r="D3443"/>
      <c r="E3443"/>
      <c r="F3443"/>
      <c r="I3443"/>
    </row>
    <row r="3444" spans="1:9" x14ac:dyDescent="0.3">
      <c r="A3444"/>
      <c r="B3444"/>
      <c r="C3444"/>
      <c r="D3444"/>
      <c r="E3444"/>
      <c r="F3444"/>
      <c r="I3444"/>
    </row>
    <row r="3445" spans="1:9" x14ac:dyDescent="0.3">
      <c r="A3445"/>
      <c r="B3445"/>
      <c r="C3445"/>
      <c r="D3445"/>
      <c r="E3445"/>
      <c r="F3445"/>
      <c r="I3445"/>
    </row>
    <row r="3446" spans="1:9" x14ac:dyDescent="0.3">
      <c r="A3446"/>
      <c r="B3446"/>
      <c r="C3446"/>
      <c r="D3446"/>
      <c r="E3446"/>
      <c r="F3446"/>
      <c r="I3446"/>
    </row>
    <row r="3447" spans="1:9" x14ac:dyDescent="0.3">
      <c r="A3447"/>
      <c r="B3447"/>
      <c r="C3447"/>
      <c r="D3447"/>
      <c r="E3447"/>
      <c r="F3447"/>
      <c r="I3447"/>
    </row>
    <row r="3448" spans="1:9" x14ac:dyDescent="0.3">
      <c r="A3448"/>
      <c r="B3448"/>
      <c r="C3448"/>
      <c r="D3448"/>
      <c r="E3448"/>
      <c r="F3448"/>
      <c r="I3448"/>
    </row>
    <row r="3449" spans="1:9" x14ac:dyDescent="0.3">
      <c r="A3449"/>
      <c r="B3449"/>
      <c r="C3449"/>
      <c r="D3449"/>
      <c r="E3449"/>
      <c r="F3449"/>
      <c r="I3449"/>
    </row>
    <row r="3450" spans="1:9" x14ac:dyDescent="0.3">
      <c r="A3450"/>
      <c r="B3450"/>
      <c r="C3450"/>
      <c r="D3450"/>
      <c r="E3450"/>
      <c r="F3450"/>
      <c r="I3450"/>
    </row>
    <row r="3451" spans="1:9" x14ac:dyDescent="0.3">
      <c r="A3451"/>
      <c r="B3451"/>
      <c r="C3451"/>
      <c r="D3451"/>
      <c r="E3451"/>
      <c r="F3451"/>
      <c r="I3451"/>
    </row>
    <row r="3452" spans="1:9" x14ac:dyDescent="0.3">
      <c r="A3452"/>
      <c r="B3452"/>
      <c r="C3452"/>
      <c r="D3452"/>
      <c r="E3452"/>
      <c r="F3452"/>
      <c r="I3452"/>
    </row>
    <row r="3453" spans="1:9" x14ac:dyDescent="0.3">
      <c r="A3453"/>
      <c r="B3453"/>
      <c r="C3453"/>
      <c r="D3453"/>
      <c r="E3453"/>
      <c r="F3453"/>
      <c r="I3453"/>
    </row>
    <row r="3454" spans="1:9" x14ac:dyDescent="0.3">
      <c r="A3454"/>
      <c r="B3454"/>
      <c r="C3454"/>
      <c r="D3454"/>
      <c r="E3454"/>
      <c r="F3454"/>
      <c r="I3454"/>
    </row>
    <row r="3455" spans="1:9" x14ac:dyDescent="0.3">
      <c r="A3455"/>
      <c r="B3455"/>
      <c r="C3455"/>
      <c r="D3455"/>
      <c r="E3455"/>
      <c r="F3455"/>
      <c r="I3455"/>
    </row>
    <row r="3456" spans="1:9" x14ac:dyDescent="0.3">
      <c r="A3456"/>
      <c r="B3456"/>
      <c r="C3456"/>
      <c r="D3456"/>
      <c r="E3456"/>
      <c r="F3456"/>
      <c r="I3456"/>
    </row>
    <row r="3457" spans="1:9" x14ac:dyDescent="0.3">
      <c r="A3457"/>
      <c r="B3457"/>
      <c r="C3457"/>
      <c r="D3457"/>
      <c r="E3457"/>
      <c r="F3457"/>
      <c r="I3457"/>
    </row>
    <row r="3458" spans="1:9" x14ac:dyDescent="0.3">
      <c r="A3458"/>
      <c r="B3458"/>
      <c r="C3458"/>
      <c r="D3458"/>
      <c r="E3458"/>
      <c r="F3458"/>
      <c r="I3458"/>
    </row>
    <row r="3459" spans="1:9" x14ac:dyDescent="0.3">
      <c r="A3459"/>
      <c r="B3459"/>
      <c r="C3459"/>
      <c r="D3459"/>
      <c r="E3459"/>
      <c r="F3459"/>
      <c r="I3459"/>
    </row>
    <row r="3460" spans="1:9" x14ac:dyDescent="0.3">
      <c r="A3460"/>
      <c r="B3460"/>
      <c r="C3460"/>
      <c r="D3460"/>
      <c r="E3460"/>
      <c r="F3460"/>
      <c r="I3460"/>
    </row>
    <row r="3461" spans="1:9" x14ac:dyDescent="0.3">
      <c r="A3461"/>
      <c r="B3461"/>
      <c r="C3461"/>
      <c r="D3461"/>
      <c r="E3461"/>
      <c r="F3461"/>
      <c r="I3461"/>
    </row>
    <row r="3462" spans="1:9" x14ac:dyDescent="0.3">
      <c r="A3462"/>
      <c r="B3462"/>
      <c r="C3462"/>
      <c r="D3462"/>
      <c r="E3462"/>
      <c r="F3462"/>
      <c r="I3462"/>
    </row>
    <row r="3463" spans="1:9" x14ac:dyDescent="0.3">
      <c r="A3463"/>
      <c r="B3463"/>
      <c r="C3463"/>
      <c r="D3463"/>
      <c r="E3463"/>
      <c r="F3463"/>
      <c r="I3463"/>
    </row>
    <row r="3464" spans="1:9" x14ac:dyDescent="0.3">
      <c r="A3464"/>
      <c r="B3464"/>
      <c r="C3464"/>
      <c r="D3464"/>
      <c r="E3464"/>
      <c r="F3464"/>
      <c r="I3464"/>
    </row>
    <row r="3465" spans="1:9" x14ac:dyDescent="0.3">
      <c r="A3465"/>
      <c r="B3465"/>
      <c r="C3465"/>
      <c r="D3465"/>
      <c r="E3465"/>
      <c r="F3465"/>
      <c r="I3465"/>
    </row>
    <row r="3466" spans="1:9" x14ac:dyDescent="0.3">
      <c r="A3466"/>
      <c r="B3466"/>
      <c r="C3466"/>
      <c r="D3466"/>
      <c r="E3466"/>
      <c r="F3466"/>
      <c r="I3466"/>
    </row>
    <row r="3467" spans="1:9" x14ac:dyDescent="0.3">
      <c r="A3467"/>
      <c r="B3467"/>
      <c r="C3467"/>
      <c r="D3467"/>
      <c r="E3467"/>
      <c r="F3467"/>
      <c r="I3467"/>
    </row>
    <row r="3468" spans="1:9" x14ac:dyDescent="0.3">
      <c r="A3468"/>
      <c r="B3468"/>
      <c r="C3468"/>
      <c r="D3468"/>
      <c r="E3468"/>
      <c r="F3468"/>
      <c r="I3468"/>
    </row>
    <row r="3469" spans="1:9" x14ac:dyDescent="0.3">
      <c r="A3469"/>
      <c r="B3469"/>
      <c r="C3469"/>
      <c r="D3469"/>
      <c r="E3469"/>
      <c r="F3469"/>
      <c r="I3469"/>
    </row>
    <row r="3470" spans="1:9" x14ac:dyDescent="0.3">
      <c r="A3470"/>
      <c r="B3470"/>
      <c r="C3470"/>
      <c r="D3470"/>
      <c r="E3470"/>
      <c r="F3470"/>
      <c r="I3470"/>
    </row>
    <row r="3471" spans="1:9" x14ac:dyDescent="0.3">
      <c r="A3471"/>
      <c r="B3471"/>
      <c r="C3471"/>
      <c r="D3471"/>
      <c r="E3471"/>
      <c r="F3471"/>
      <c r="I3471"/>
    </row>
    <row r="3472" spans="1:9" x14ac:dyDescent="0.3">
      <c r="A3472"/>
      <c r="B3472"/>
      <c r="C3472"/>
      <c r="D3472"/>
      <c r="E3472"/>
      <c r="F3472"/>
      <c r="I3472"/>
    </row>
    <row r="3473" spans="1:9" x14ac:dyDescent="0.3">
      <c r="A3473"/>
      <c r="B3473"/>
      <c r="C3473"/>
      <c r="D3473"/>
      <c r="E3473"/>
      <c r="F3473"/>
      <c r="I3473"/>
    </row>
    <row r="3474" spans="1:9" x14ac:dyDescent="0.3">
      <c r="A3474"/>
      <c r="B3474"/>
      <c r="C3474"/>
      <c r="D3474"/>
      <c r="E3474"/>
      <c r="F3474"/>
      <c r="I3474"/>
    </row>
    <row r="3475" spans="1:9" x14ac:dyDescent="0.3">
      <c r="A3475"/>
      <c r="B3475"/>
      <c r="C3475"/>
      <c r="D3475"/>
      <c r="E3475"/>
      <c r="F3475"/>
      <c r="I3475"/>
    </row>
    <row r="3476" spans="1:9" x14ac:dyDescent="0.3">
      <c r="A3476"/>
      <c r="B3476"/>
      <c r="C3476"/>
      <c r="D3476"/>
      <c r="E3476"/>
      <c r="F3476"/>
      <c r="I3476"/>
    </row>
    <row r="3477" spans="1:9" x14ac:dyDescent="0.3">
      <c r="A3477"/>
      <c r="B3477"/>
      <c r="C3477"/>
      <c r="D3477"/>
      <c r="E3477"/>
      <c r="F3477"/>
      <c r="I3477"/>
    </row>
    <row r="3478" spans="1:9" x14ac:dyDescent="0.3">
      <c r="A3478"/>
      <c r="B3478"/>
      <c r="C3478"/>
      <c r="D3478"/>
      <c r="E3478"/>
      <c r="F3478"/>
      <c r="I3478"/>
    </row>
    <row r="3479" spans="1:9" x14ac:dyDescent="0.3">
      <c r="A3479"/>
      <c r="B3479"/>
      <c r="C3479"/>
      <c r="D3479"/>
      <c r="E3479"/>
      <c r="F3479"/>
      <c r="I3479"/>
    </row>
    <row r="3480" spans="1:9" x14ac:dyDescent="0.3">
      <c r="A3480"/>
      <c r="B3480"/>
      <c r="C3480"/>
      <c r="D3480"/>
      <c r="E3480"/>
      <c r="F3480"/>
      <c r="I3480"/>
    </row>
    <row r="3481" spans="1:9" x14ac:dyDescent="0.3">
      <c r="A3481"/>
      <c r="B3481"/>
      <c r="C3481"/>
      <c r="D3481"/>
      <c r="E3481"/>
      <c r="F3481"/>
      <c r="I3481"/>
    </row>
    <row r="3482" spans="1:9" x14ac:dyDescent="0.3">
      <c r="A3482"/>
      <c r="B3482"/>
      <c r="C3482"/>
      <c r="D3482"/>
      <c r="E3482"/>
      <c r="F3482"/>
      <c r="I3482"/>
    </row>
    <row r="3483" spans="1:9" x14ac:dyDescent="0.3">
      <c r="A3483"/>
      <c r="B3483"/>
      <c r="C3483"/>
      <c r="D3483"/>
      <c r="E3483"/>
      <c r="F3483"/>
      <c r="I3483"/>
    </row>
    <row r="3484" spans="1:9" x14ac:dyDescent="0.3">
      <c r="A3484"/>
      <c r="B3484"/>
      <c r="C3484"/>
      <c r="D3484"/>
      <c r="E3484"/>
      <c r="F3484"/>
      <c r="I3484"/>
    </row>
    <row r="3485" spans="1:9" x14ac:dyDescent="0.3">
      <c r="A3485"/>
      <c r="B3485"/>
      <c r="C3485"/>
      <c r="D3485"/>
      <c r="E3485"/>
      <c r="F3485"/>
      <c r="I3485"/>
    </row>
    <row r="3486" spans="1:9" x14ac:dyDescent="0.3">
      <c r="A3486"/>
      <c r="B3486"/>
      <c r="C3486"/>
      <c r="D3486"/>
      <c r="E3486"/>
      <c r="F3486"/>
      <c r="I3486"/>
    </row>
    <row r="3487" spans="1:9" x14ac:dyDescent="0.3">
      <c r="A3487"/>
      <c r="B3487"/>
      <c r="C3487"/>
      <c r="D3487"/>
      <c r="E3487"/>
      <c r="F3487"/>
      <c r="I3487"/>
    </row>
    <row r="3488" spans="1:9" x14ac:dyDescent="0.3">
      <c r="A3488"/>
      <c r="B3488"/>
      <c r="C3488"/>
      <c r="D3488"/>
      <c r="E3488"/>
      <c r="F3488"/>
      <c r="I3488"/>
    </row>
    <row r="3489" spans="1:9" x14ac:dyDescent="0.3">
      <c r="A3489"/>
      <c r="B3489"/>
      <c r="C3489"/>
      <c r="D3489"/>
      <c r="E3489"/>
      <c r="F3489"/>
      <c r="I3489"/>
    </row>
    <row r="3490" spans="1:9" x14ac:dyDescent="0.3">
      <c r="A3490"/>
      <c r="B3490"/>
      <c r="C3490"/>
      <c r="D3490"/>
      <c r="E3490"/>
      <c r="F3490"/>
      <c r="I3490"/>
    </row>
    <row r="3491" spans="1:9" x14ac:dyDescent="0.3">
      <c r="A3491"/>
      <c r="B3491"/>
      <c r="C3491"/>
      <c r="D3491"/>
      <c r="E3491"/>
      <c r="F3491"/>
      <c r="I3491"/>
    </row>
    <row r="3492" spans="1:9" x14ac:dyDescent="0.3">
      <c r="A3492"/>
      <c r="B3492"/>
      <c r="C3492"/>
      <c r="D3492"/>
      <c r="E3492"/>
      <c r="F3492"/>
      <c r="I3492"/>
    </row>
    <row r="3493" spans="1:9" x14ac:dyDescent="0.3">
      <c r="A3493"/>
      <c r="B3493"/>
      <c r="C3493"/>
      <c r="D3493"/>
      <c r="E3493"/>
      <c r="F3493"/>
      <c r="I3493"/>
    </row>
    <row r="3494" spans="1:9" x14ac:dyDescent="0.3">
      <c r="A3494"/>
      <c r="B3494"/>
      <c r="C3494"/>
      <c r="D3494"/>
      <c r="E3494"/>
      <c r="F3494"/>
      <c r="I3494"/>
    </row>
    <row r="3495" spans="1:9" x14ac:dyDescent="0.3">
      <c r="A3495"/>
      <c r="B3495"/>
      <c r="C3495"/>
      <c r="D3495"/>
      <c r="E3495"/>
      <c r="F3495"/>
      <c r="I3495"/>
    </row>
    <row r="3496" spans="1:9" x14ac:dyDescent="0.3">
      <c r="A3496"/>
      <c r="B3496"/>
      <c r="C3496"/>
      <c r="D3496"/>
      <c r="E3496"/>
      <c r="F3496"/>
      <c r="I3496"/>
    </row>
    <row r="3497" spans="1:9" x14ac:dyDescent="0.3">
      <c r="A3497"/>
      <c r="B3497"/>
      <c r="C3497"/>
      <c r="D3497"/>
      <c r="E3497"/>
      <c r="F3497"/>
      <c r="I3497"/>
    </row>
    <row r="3498" spans="1:9" x14ac:dyDescent="0.3">
      <c r="A3498"/>
      <c r="B3498"/>
      <c r="C3498"/>
      <c r="D3498"/>
      <c r="E3498"/>
      <c r="F3498"/>
      <c r="I3498"/>
    </row>
    <row r="3499" spans="1:9" x14ac:dyDescent="0.3">
      <c r="A3499"/>
      <c r="B3499"/>
      <c r="C3499"/>
      <c r="D3499"/>
      <c r="E3499"/>
      <c r="F3499"/>
      <c r="I3499"/>
    </row>
    <row r="3500" spans="1:9" x14ac:dyDescent="0.3">
      <c r="A3500"/>
      <c r="B3500"/>
      <c r="C3500"/>
      <c r="D3500"/>
      <c r="E3500"/>
      <c r="F3500"/>
      <c r="I3500"/>
    </row>
    <row r="3501" spans="1:9" x14ac:dyDescent="0.3">
      <c r="A3501"/>
      <c r="B3501"/>
      <c r="C3501"/>
      <c r="D3501"/>
      <c r="E3501"/>
      <c r="F3501"/>
      <c r="I3501"/>
    </row>
    <row r="3502" spans="1:9" x14ac:dyDescent="0.3">
      <c r="A3502"/>
      <c r="B3502"/>
      <c r="C3502"/>
      <c r="D3502"/>
      <c r="E3502"/>
      <c r="F3502"/>
      <c r="I3502"/>
    </row>
    <row r="3503" spans="1:9" x14ac:dyDescent="0.3">
      <c r="A3503"/>
      <c r="B3503"/>
      <c r="C3503"/>
      <c r="D3503"/>
      <c r="E3503"/>
      <c r="F3503"/>
      <c r="I3503"/>
    </row>
    <row r="3504" spans="1:9" x14ac:dyDescent="0.3">
      <c r="A3504"/>
      <c r="B3504"/>
      <c r="C3504"/>
      <c r="D3504"/>
      <c r="E3504"/>
      <c r="F3504"/>
      <c r="I3504"/>
    </row>
    <row r="3505" spans="1:9" x14ac:dyDescent="0.3">
      <c r="A3505"/>
      <c r="B3505"/>
      <c r="C3505"/>
      <c r="D3505"/>
      <c r="E3505"/>
      <c r="F3505"/>
      <c r="I3505"/>
    </row>
    <row r="3506" spans="1:9" x14ac:dyDescent="0.3">
      <c r="A3506"/>
      <c r="B3506"/>
      <c r="C3506"/>
      <c r="D3506"/>
      <c r="E3506"/>
      <c r="F3506"/>
      <c r="I3506"/>
    </row>
    <row r="3507" spans="1:9" x14ac:dyDescent="0.3">
      <c r="A3507"/>
      <c r="B3507"/>
      <c r="C3507"/>
      <c r="D3507"/>
      <c r="E3507"/>
      <c r="F3507"/>
      <c r="I3507"/>
    </row>
    <row r="3508" spans="1:9" x14ac:dyDescent="0.3">
      <c r="A3508"/>
      <c r="B3508"/>
      <c r="C3508"/>
      <c r="D3508"/>
      <c r="E3508"/>
      <c r="F3508"/>
      <c r="I3508"/>
    </row>
    <row r="3509" spans="1:9" x14ac:dyDescent="0.3">
      <c r="A3509"/>
      <c r="B3509"/>
      <c r="C3509"/>
      <c r="D3509"/>
      <c r="E3509"/>
      <c r="F3509"/>
      <c r="I3509"/>
    </row>
    <row r="3510" spans="1:9" x14ac:dyDescent="0.3">
      <c r="A3510"/>
      <c r="B3510"/>
      <c r="C3510"/>
      <c r="D3510"/>
      <c r="E3510"/>
      <c r="F3510"/>
      <c r="I3510"/>
    </row>
    <row r="3511" spans="1:9" x14ac:dyDescent="0.3">
      <c r="A3511"/>
      <c r="B3511"/>
      <c r="C3511"/>
      <c r="D3511"/>
      <c r="E3511"/>
      <c r="F3511"/>
      <c r="I3511"/>
    </row>
    <row r="3512" spans="1:9" x14ac:dyDescent="0.3">
      <c r="A3512"/>
      <c r="B3512"/>
      <c r="C3512"/>
      <c r="D3512"/>
      <c r="E3512"/>
      <c r="F3512"/>
      <c r="I3512"/>
    </row>
    <row r="3513" spans="1:9" x14ac:dyDescent="0.3">
      <c r="A3513"/>
      <c r="B3513"/>
      <c r="C3513"/>
      <c r="D3513"/>
      <c r="E3513"/>
      <c r="F3513"/>
      <c r="I3513"/>
    </row>
    <row r="3514" spans="1:9" x14ac:dyDescent="0.3">
      <c r="A3514"/>
      <c r="B3514"/>
      <c r="C3514"/>
      <c r="D3514"/>
      <c r="E3514"/>
      <c r="F3514"/>
      <c r="I3514"/>
    </row>
    <row r="3515" spans="1:9" x14ac:dyDescent="0.3">
      <c r="A3515"/>
      <c r="B3515"/>
      <c r="C3515"/>
      <c r="D3515"/>
      <c r="E3515"/>
      <c r="F3515"/>
      <c r="I3515"/>
    </row>
    <row r="3516" spans="1:9" x14ac:dyDescent="0.3">
      <c r="A3516"/>
      <c r="B3516"/>
      <c r="C3516"/>
      <c r="D3516"/>
      <c r="E3516"/>
      <c r="F3516"/>
      <c r="I3516"/>
    </row>
    <row r="3517" spans="1:9" x14ac:dyDescent="0.3">
      <c r="A3517"/>
      <c r="B3517"/>
      <c r="C3517"/>
      <c r="D3517"/>
      <c r="E3517"/>
      <c r="F3517"/>
      <c r="I3517"/>
    </row>
    <row r="3518" spans="1:9" x14ac:dyDescent="0.3">
      <c r="A3518"/>
      <c r="B3518"/>
      <c r="C3518"/>
      <c r="D3518"/>
      <c r="E3518"/>
      <c r="F3518"/>
      <c r="I3518"/>
    </row>
    <row r="3519" spans="1:9" x14ac:dyDescent="0.3">
      <c r="A3519"/>
      <c r="B3519"/>
      <c r="C3519"/>
      <c r="D3519"/>
      <c r="E3519"/>
      <c r="F3519"/>
      <c r="I3519"/>
    </row>
    <row r="3520" spans="1:9" x14ac:dyDescent="0.3">
      <c r="A3520"/>
      <c r="B3520"/>
      <c r="C3520"/>
      <c r="D3520"/>
      <c r="E3520"/>
      <c r="F3520"/>
      <c r="I3520"/>
    </row>
    <row r="3521" spans="1:9" x14ac:dyDescent="0.3">
      <c r="A3521"/>
      <c r="B3521"/>
      <c r="C3521"/>
      <c r="D3521"/>
      <c r="E3521"/>
      <c r="F3521"/>
      <c r="I3521"/>
    </row>
    <row r="3522" spans="1:9" x14ac:dyDescent="0.3">
      <c r="A3522"/>
      <c r="B3522"/>
      <c r="C3522"/>
      <c r="D3522"/>
      <c r="E3522"/>
      <c r="F3522"/>
      <c r="I3522"/>
    </row>
    <row r="3523" spans="1:9" x14ac:dyDescent="0.3">
      <c r="A3523"/>
      <c r="B3523"/>
      <c r="C3523"/>
      <c r="D3523"/>
      <c r="E3523"/>
      <c r="F3523"/>
      <c r="I3523"/>
    </row>
    <row r="3524" spans="1:9" x14ac:dyDescent="0.3">
      <c r="A3524"/>
      <c r="B3524"/>
      <c r="C3524"/>
      <c r="D3524"/>
      <c r="E3524"/>
      <c r="F3524"/>
      <c r="I3524"/>
    </row>
    <row r="3525" spans="1:9" x14ac:dyDescent="0.3">
      <c r="A3525"/>
      <c r="B3525"/>
      <c r="C3525"/>
      <c r="D3525"/>
      <c r="E3525"/>
      <c r="F3525"/>
      <c r="I3525"/>
    </row>
    <row r="3526" spans="1:9" x14ac:dyDescent="0.3">
      <c r="A3526"/>
      <c r="B3526"/>
      <c r="C3526"/>
      <c r="D3526"/>
      <c r="E3526"/>
      <c r="F3526"/>
      <c r="I3526"/>
    </row>
    <row r="3527" spans="1:9" x14ac:dyDescent="0.3">
      <c r="A3527"/>
      <c r="B3527"/>
      <c r="C3527"/>
      <c r="D3527"/>
      <c r="E3527"/>
      <c r="F3527"/>
      <c r="I3527"/>
    </row>
    <row r="3528" spans="1:9" x14ac:dyDescent="0.3">
      <c r="A3528"/>
      <c r="B3528"/>
      <c r="C3528"/>
      <c r="D3528"/>
      <c r="E3528"/>
      <c r="F3528"/>
      <c r="I3528"/>
    </row>
    <row r="3529" spans="1:9" x14ac:dyDescent="0.3">
      <c r="A3529"/>
      <c r="B3529"/>
      <c r="C3529"/>
      <c r="D3529"/>
      <c r="E3529"/>
      <c r="F3529"/>
      <c r="I3529"/>
    </row>
    <row r="3530" spans="1:9" x14ac:dyDescent="0.3">
      <c r="A3530"/>
      <c r="B3530"/>
      <c r="C3530"/>
      <c r="D3530"/>
      <c r="E3530"/>
      <c r="F3530"/>
      <c r="I3530"/>
    </row>
    <row r="3531" spans="1:9" x14ac:dyDescent="0.3">
      <c r="A3531"/>
      <c r="B3531"/>
      <c r="C3531"/>
      <c r="D3531"/>
      <c r="E3531"/>
      <c r="F3531"/>
      <c r="I3531"/>
    </row>
    <row r="3532" spans="1:9" x14ac:dyDescent="0.3">
      <c r="A3532"/>
      <c r="B3532"/>
      <c r="C3532"/>
      <c r="D3532"/>
      <c r="E3532"/>
      <c r="F3532"/>
      <c r="I3532"/>
    </row>
    <row r="3533" spans="1:9" x14ac:dyDescent="0.3">
      <c r="A3533"/>
      <c r="B3533"/>
      <c r="C3533"/>
      <c r="D3533"/>
      <c r="E3533"/>
      <c r="F3533"/>
      <c r="I3533"/>
    </row>
    <row r="3534" spans="1:9" x14ac:dyDescent="0.3">
      <c r="A3534"/>
      <c r="B3534"/>
      <c r="C3534"/>
      <c r="D3534"/>
      <c r="E3534"/>
      <c r="F3534"/>
      <c r="I3534"/>
    </row>
    <row r="3535" spans="1:9" x14ac:dyDescent="0.3">
      <c r="A3535"/>
      <c r="B3535"/>
      <c r="C3535"/>
      <c r="D3535"/>
      <c r="E3535"/>
      <c r="F3535"/>
      <c r="I3535"/>
    </row>
    <row r="3536" spans="1:9" x14ac:dyDescent="0.3">
      <c r="A3536"/>
      <c r="B3536"/>
      <c r="C3536"/>
      <c r="D3536"/>
      <c r="E3536"/>
      <c r="F3536"/>
      <c r="I3536"/>
    </row>
    <row r="3537" spans="1:9" x14ac:dyDescent="0.3">
      <c r="A3537"/>
      <c r="B3537"/>
      <c r="C3537"/>
      <c r="D3537"/>
      <c r="E3537"/>
      <c r="F3537"/>
      <c r="I3537"/>
    </row>
    <row r="3538" spans="1:9" x14ac:dyDescent="0.3">
      <c r="A3538"/>
      <c r="B3538"/>
      <c r="C3538"/>
      <c r="D3538"/>
      <c r="E3538"/>
      <c r="F3538"/>
      <c r="I3538"/>
    </row>
    <row r="3539" spans="1:9" x14ac:dyDescent="0.3">
      <c r="A3539"/>
      <c r="B3539"/>
      <c r="C3539"/>
      <c r="D3539"/>
      <c r="E3539"/>
      <c r="F3539"/>
      <c r="I3539"/>
    </row>
    <row r="3540" spans="1:9" x14ac:dyDescent="0.3">
      <c r="A3540"/>
      <c r="B3540"/>
      <c r="C3540"/>
      <c r="D3540"/>
      <c r="E3540"/>
      <c r="F3540"/>
      <c r="I3540"/>
    </row>
    <row r="3541" spans="1:9" x14ac:dyDescent="0.3">
      <c r="A3541"/>
      <c r="B3541"/>
      <c r="C3541"/>
      <c r="D3541"/>
      <c r="E3541"/>
      <c r="F3541"/>
      <c r="I3541"/>
    </row>
    <row r="3542" spans="1:9" x14ac:dyDescent="0.3">
      <c r="A3542"/>
      <c r="B3542"/>
      <c r="C3542"/>
      <c r="D3542"/>
      <c r="E3542"/>
      <c r="F3542"/>
      <c r="I3542"/>
    </row>
    <row r="3543" spans="1:9" x14ac:dyDescent="0.3">
      <c r="A3543"/>
      <c r="B3543"/>
      <c r="C3543"/>
      <c r="D3543"/>
      <c r="E3543"/>
      <c r="F3543"/>
      <c r="I3543"/>
    </row>
    <row r="3544" spans="1:9" x14ac:dyDescent="0.3">
      <c r="A3544"/>
      <c r="B3544"/>
      <c r="C3544"/>
      <c r="D3544"/>
      <c r="E3544"/>
      <c r="F3544"/>
      <c r="I3544"/>
    </row>
    <row r="3545" spans="1:9" x14ac:dyDescent="0.3">
      <c r="A3545"/>
      <c r="B3545"/>
      <c r="C3545"/>
      <c r="D3545"/>
      <c r="E3545"/>
      <c r="F3545"/>
      <c r="I3545"/>
    </row>
    <row r="3546" spans="1:9" x14ac:dyDescent="0.3">
      <c r="A3546"/>
      <c r="B3546"/>
      <c r="C3546"/>
      <c r="D3546"/>
      <c r="E3546"/>
      <c r="F3546"/>
      <c r="I3546"/>
    </row>
    <row r="3547" spans="1:9" x14ac:dyDescent="0.3">
      <c r="A3547"/>
      <c r="B3547"/>
      <c r="C3547"/>
      <c r="D3547"/>
      <c r="E3547"/>
      <c r="F3547"/>
      <c r="I3547"/>
    </row>
    <row r="3548" spans="1:9" x14ac:dyDescent="0.3">
      <c r="A3548"/>
      <c r="B3548"/>
      <c r="C3548"/>
      <c r="D3548"/>
      <c r="E3548"/>
      <c r="F3548"/>
      <c r="I3548"/>
    </row>
    <row r="3549" spans="1:9" x14ac:dyDescent="0.3">
      <c r="A3549"/>
      <c r="B3549"/>
      <c r="C3549"/>
      <c r="D3549"/>
      <c r="E3549"/>
      <c r="F3549"/>
      <c r="I3549"/>
    </row>
    <row r="3550" spans="1:9" x14ac:dyDescent="0.3">
      <c r="A3550"/>
      <c r="B3550"/>
      <c r="C3550"/>
      <c r="D3550"/>
      <c r="E3550"/>
      <c r="F3550"/>
      <c r="I3550"/>
    </row>
    <row r="3551" spans="1:9" x14ac:dyDescent="0.3">
      <c r="A3551"/>
      <c r="B3551"/>
      <c r="C3551"/>
      <c r="D3551"/>
      <c r="E3551"/>
      <c r="F3551"/>
      <c r="I3551"/>
    </row>
    <row r="3552" spans="1:9" x14ac:dyDescent="0.3">
      <c r="A3552"/>
      <c r="B3552"/>
      <c r="C3552"/>
      <c r="D3552"/>
      <c r="E3552"/>
      <c r="F3552"/>
      <c r="I3552"/>
    </row>
    <row r="3553" spans="1:9" x14ac:dyDescent="0.3">
      <c r="A3553"/>
      <c r="B3553"/>
      <c r="C3553"/>
      <c r="D3553"/>
      <c r="E3553"/>
      <c r="F3553"/>
      <c r="I3553"/>
    </row>
    <row r="3554" spans="1:9" x14ac:dyDescent="0.3">
      <c r="A3554"/>
      <c r="B3554"/>
      <c r="C3554"/>
      <c r="D3554"/>
      <c r="E3554"/>
      <c r="F3554"/>
      <c r="I3554"/>
    </row>
    <row r="3555" spans="1:9" x14ac:dyDescent="0.3">
      <c r="A3555"/>
      <c r="B3555"/>
      <c r="C3555"/>
      <c r="D3555"/>
      <c r="E3555"/>
      <c r="F3555"/>
      <c r="I3555"/>
    </row>
    <row r="3556" spans="1:9" x14ac:dyDescent="0.3">
      <c r="A3556"/>
      <c r="B3556"/>
      <c r="C3556"/>
      <c r="D3556"/>
      <c r="E3556"/>
      <c r="F3556"/>
      <c r="I3556"/>
    </row>
    <row r="3557" spans="1:9" x14ac:dyDescent="0.3">
      <c r="A3557"/>
      <c r="B3557"/>
      <c r="C3557"/>
      <c r="D3557"/>
      <c r="E3557"/>
      <c r="F3557"/>
      <c r="I3557"/>
    </row>
    <row r="3558" spans="1:9" x14ac:dyDescent="0.3">
      <c r="A3558"/>
      <c r="B3558"/>
      <c r="C3558"/>
      <c r="D3558"/>
      <c r="E3558"/>
      <c r="F3558"/>
      <c r="I3558"/>
    </row>
    <row r="3559" spans="1:9" x14ac:dyDescent="0.3">
      <c r="A3559"/>
      <c r="B3559"/>
      <c r="C3559"/>
      <c r="D3559"/>
      <c r="E3559"/>
      <c r="F3559"/>
      <c r="I3559"/>
    </row>
    <row r="3560" spans="1:9" x14ac:dyDescent="0.3">
      <c r="A3560"/>
      <c r="B3560"/>
      <c r="C3560"/>
      <c r="D3560"/>
      <c r="E3560"/>
      <c r="F3560"/>
      <c r="I3560"/>
    </row>
    <row r="3561" spans="1:9" x14ac:dyDescent="0.3">
      <c r="A3561"/>
      <c r="B3561"/>
      <c r="C3561"/>
      <c r="D3561"/>
      <c r="E3561"/>
      <c r="F3561"/>
      <c r="I3561"/>
    </row>
    <row r="3562" spans="1:9" x14ac:dyDescent="0.3">
      <c r="A3562"/>
      <c r="B3562"/>
      <c r="C3562"/>
      <c r="D3562"/>
      <c r="E3562"/>
      <c r="F3562"/>
      <c r="I3562"/>
    </row>
    <row r="3563" spans="1:9" x14ac:dyDescent="0.3">
      <c r="A3563"/>
      <c r="B3563"/>
      <c r="C3563"/>
      <c r="D3563"/>
      <c r="E3563"/>
      <c r="F3563"/>
      <c r="I3563"/>
    </row>
    <row r="3564" spans="1:9" x14ac:dyDescent="0.3">
      <c r="A3564"/>
      <c r="B3564"/>
      <c r="C3564"/>
      <c r="D3564"/>
      <c r="E3564"/>
      <c r="F3564"/>
      <c r="I3564"/>
    </row>
    <row r="3565" spans="1:9" x14ac:dyDescent="0.3">
      <c r="A3565"/>
      <c r="B3565"/>
      <c r="C3565"/>
      <c r="D3565"/>
      <c r="E3565"/>
      <c r="F3565"/>
      <c r="I3565"/>
    </row>
    <row r="3566" spans="1:9" x14ac:dyDescent="0.3">
      <c r="A3566"/>
      <c r="B3566"/>
      <c r="C3566"/>
      <c r="D3566"/>
      <c r="E3566"/>
      <c r="F3566"/>
      <c r="I3566"/>
    </row>
    <row r="3567" spans="1:9" x14ac:dyDescent="0.3">
      <c r="A3567"/>
      <c r="B3567"/>
      <c r="C3567"/>
      <c r="D3567"/>
      <c r="E3567"/>
      <c r="F3567"/>
      <c r="I3567"/>
    </row>
    <row r="3568" spans="1:9" x14ac:dyDescent="0.3">
      <c r="A3568"/>
      <c r="B3568"/>
      <c r="C3568"/>
      <c r="D3568"/>
      <c r="E3568"/>
      <c r="F3568"/>
      <c r="I3568"/>
    </row>
    <row r="3569" spans="1:9" x14ac:dyDescent="0.3">
      <c r="A3569"/>
      <c r="B3569"/>
      <c r="C3569"/>
      <c r="D3569"/>
      <c r="E3569"/>
      <c r="F3569"/>
      <c r="I3569"/>
    </row>
    <row r="3570" spans="1:9" x14ac:dyDescent="0.3">
      <c r="A3570"/>
      <c r="B3570"/>
      <c r="C3570"/>
      <c r="D3570"/>
      <c r="E3570"/>
      <c r="F3570"/>
      <c r="I3570"/>
    </row>
    <row r="3571" spans="1:9" x14ac:dyDescent="0.3">
      <c r="A3571"/>
      <c r="B3571"/>
      <c r="C3571"/>
      <c r="D3571"/>
      <c r="E3571"/>
      <c r="F3571"/>
      <c r="I3571"/>
    </row>
    <row r="3572" spans="1:9" x14ac:dyDescent="0.3">
      <c r="A3572"/>
      <c r="B3572"/>
      <c r="C3572"/>
      <c r="D3572"/>
      <c r="E3572"/>
      <c r="F3572"/>
      <c r="I3572"/>
    </row>
    <row r="3573" spans="1:9" x14ac:dyDescent="0.3">
      <c r="A3573"/>
      <c r="B3573"/>
      <c r="C3573"/>
      <c r="D3573"/>
      <c r="E3573"/>
      <c r="F3573"/>
      <c r="I3573"/>
    </row>
    <row r="3574" spans="1:9" x14ac:dyDescent="0.3">
      <c r="A3574"/>
      <c r="B3574"/>
      <c r="C3574"/>
      <c r="D3574"/>
      <c r="E3574"/>
      <c r="F3574"/>
      <c r="I3574"/>
    </row>
    <row r="3575" spans="1:9" x14ac:dyDescent="0.3">
      <c r="A3575"/>
      <c r="B3575"/>
      <c r="C3575"/>
      <c r="D3575"/>
      <c r="E3575"/>
      <c r="F3575"/>
      <c r="I3575"/>
    </row>
    <row r="3576" spans="1:9" x14ac:dyDescent="0.3">
      <c r="A3576"/>
      <c r="B3576"/>
      <c r="C3576"/>
      <c r="D3576"/>
      <c r="E3576"/>
      <c r="F3576"/>
      <c r="I3576"/>
    </row>
    <row r="3577" spans="1:9" x14ac:dyDescent="0.3">
      <c r="A3577"/>
      <c r="B3577"/>
      <c r="C3577"/>
      <c r="D3577"/>
      <c r="E3577"/>
      <c r="F3577"/>
      <c r="I3577"/>
    </row>
    <row r="3578" spans="1:9" x14ac:dyDescent="0.3">
      <c r="A3578"/>
      <c r="B3578"/>
      <c r="C3578"/>
      <c r="D3578"/>
      <c r="E3578"/>
      <c r="F3578"/>
      <c r="I3578"/>
    </row>
    <row r="3579" spans="1:9" x14ac:dyDescent="0.3">
      <c r="A3579"/>
      <c r="B3579"/>
      <c r="C3579"/>
      <c r="D3579"/>
      <c r="E3579"/>
      <c r="F3579"/>
      <c r="I3579"/>
    </row>
    <row r="3580" spans="1:9" x14ac:dyDescent="0.3">
      <c r="A3580"/>
      <c r="B3580"/>
      <c r="C3580"/>
      <c r="D3580"/>
      <c r="E3580"/>
      <c r="F3580"/>
      <c r="I3580"/>
    </row>
    <row r="3581" spans="1:9" x14ac:dyDescent="0.3">
      <c r="A3581"/>
      <c r="B3581"/>
      <c r="C3581"/>
      <c r="D3581"/>
      <c r="E3581"/>
      <c r="F3581"/>
      <c r="I3581"/>
    </row>
    <row r="3582" spans="1:9" x14ac:dyDescent="0.3">
      <c r="A3582"/>
      <c r="B3582"/>
      <c r="C3582"/>
      <c r="D3582"/>
      <c r="E3582"/>
      <c r="F3582"/>
      <c r="I3582"/>
    </row>
    <row r="3583" spans="1:9" x14ac:dyDescent="0.3">
      <c r="A3583"/>
      <c r="B3583"/>
      <c r="C3583"/>
      <c r="D3583"/>
      <c r="E3583"/>
      <c r="F3583"/>
      <c r="I3583"/>
    </row>
    <row r="3584" spans="1:9" x14ac:dyDescent="0.3">
      <c r="A3584"/>
      <c r="B3584"/>
      <c r="C3584"/>
      <c r="D3584"/>
      <c r="E3584"/>
      <c r="F3584"/>
      <c r="I3584"/>
    </row>
    <row r="3585" spans="1:9" x14ac:dyDescent="0.3">
      <c r="A3585"/>
      <c r="B3585"/>
      <c r="C3585"/>
      <c r="D3585"/>
      <c r="E3585"/>
      <c r="F3585"/>
      <c r="I3585"/>
    </row>
    <row r="3586" spans="1:9" x14ac:dyDescent="0.3">
      <c r="A3586"/>
      <c r="B3586"/>
      <c r="C3586"/>
      <c r="D3586"/>
      <c r="E3586"/>
      <c r="F3586"/>
      <c r="I3586"/>
    </row>
    <row r="3587" spans="1:9" x14ac:dyDescent="0.3">
      <c r="A3587"/>
      <c r="B3587"/>
      <c r="C3587"/>
      <c r="D3587"/>
      <c r="E3587"/>
      <c r="F3587"/>
      <c r="I3587"/>
    </row>
    <row r="3588" spans="1:9" x14ac:dyDescent="0.3">
      <c r="A3588"/>
      <c r="B3588"/>
      <c r="C3588"/>
      <c r="D3588"/>
      <c r="E3588"/>
      <c r="F3588"/>
      <c r="I3588"/>
    </row>
    <row r="3589" spans="1:9" x14ac:dyDescent="0.3">
      <c r="A3589"/>
      <c r="B3589"/>
      <c r="C3589"/>
      <c r="D3589"/>
      <c r="E3589"/>
      <c r="F3589"/>
      <c r="I3589"/>
    </row>
    <row r="3590" spans="1:9" x14ac:dyDescent="0.3">
      <c r="A3590"/>
      <c r="B3590"/>
      <c r="C3590"/>
      <c r="D3590"/>
      <c r="E3590"/>
      <c r="F3590"/>
      <c r="I3590"/>
    </row>
    <row r="3591" spans="1:9" x14ac:dyDescent="0.3">
      <c r="A3591"/>
      <c r="B3591"/>
      <c r="C3591"/>
      <c r="D3591"/>
      <c r="E3591"/>
      <c r="F3591"/>
      <c r="I3591"/>
    </row>
    <row r="3592" spans="1:9" x14ac:dyDescent="0.3">
      <c r="A3592"/>
      <c r="B3592"/>
      <c r="C3592"/>
      <c r="D3592"/>
      <c r="E3592"/>
      <c r="F3592"/>
      <c r="I3592"/>
    </row>
    <row r="3593" spans="1:9" x14ac:dyDescent="0.3">
      <c r="A3593"/>
      <c r="B3593"/>
      <c r="C3593"/>
      <c r="D3593"/>
      <c r="E3593"/>
      <c r="F3593"/>
      <c r="I3593"/>
    </row>
    <row r="3594" spans="1:9" x14ac:dyDescent="0.3">
      <c r="A3594"/>
      <c r="B3594"/>
      <c r="C3594"/>
      <c r="D3594"/>
      <c r="E3594"/>
      <c r="F3594"/>
      <c r="I3594"/>
    </row>
    <row r="3595" spans="1:9" x14ac:dyDescent="0.3">
      <c r="A3595"/>
      <c r="B3595"/>
      <c r="C3595"/>
      <c r="D3595"/>
      <c r="E3595"/>
      <c r="F3595"/>
      <c r="I3595"/>
    </row>
    <row r="3596" spans="1:9" x14ac:dyDescent="0.3">
      <c r="A3596"/>
      <c r="B3596"/>
      <c r="C3596"/>
      <c r="D3596"/>
      <c r="E3596"/>
      <c r="F3596"/>
      <c r="I3596"/>
    </row>
    <row r="3597" spans="1:9" x14ac:dyDescent="0.3">
      <c r="A3597"/>
      <c r="B3597"/>
      <c r="C3597"/>
      <c r="D3597"/>
      <c r="E3597"/>
      <c r="F3597"/>
      <c r="I3597"/>
    </row>
    <row r="3598" spans="1:9" x14ac:dyDescent="0.3">
      <c r="A3598"/>
      <c r="B3598"/>
      <c r="C3598"/>
      <c r="D3598"/>
      <c r="E3598"/>
      <c r="F3598"/>
      <c r="I3598"/>
    </row>
    <row r="3599" spans="1:9" x14ac:dyDescent="0.3">
      <c r="A3599"/>
      <c r="B3599"/>
      <c r="C3599"/>
      <c r="D3599"/>
      <c r="E3599"/>
      <c r="F3599"/>
      <c r="I3599"/>
    </row>
    <row r="3600" spans="1:9" x14ac:dyDescent="0.3">
      <c r="A3600"/>
      <c r="B3600"/>
      <c r="C3600"/>
      <c r="D3600"/>
      <c r="E3600"/>
      <c r="F3600"/>
      <c r="I3600"/>
    </row>
    <row r="3601" spans="1:9" x14ac:dyDescent="0.3">
      <c r="A3601"/>
      <c r="B3601"/>
      <c r="C3601"/>
      <c r="D3601"/>
      <c r="E3601"/>
      <c r="F3601"/>
      <c r="I3601"/>
    </row>
    <row r="3602" spans="1:9" x14ac:dyDescent="0.3">
      <c r="A3602"/>
      <c r="B3602"/>
      <c r="C3602"/>
      <c r="D3602"/>
      <c r="E3602"/>
      <c r="F3602"/>
      <c r="I3602"/>
    </row>
    <row r="3603" spans="1:9" x14ac:dyDescent="0.3">
      <c r="A3603"/>
      <c r="B3603"/>
      <c r="C3603"/>
      <c r="D3603"/>
      <c r="E3603"/>
      <c r="F3603"/>
      <c r="I3603"/>
    </row>
    <row r="3604" spans="1:9" x14ac:dyDescent="0.3">
      <c r="A3604"/>
      <c r="B3604"/>
      <c r="C3604"/>
      <c r="D3604"/>
      <c r="E3604"/>
      <c r="F3604"/>
      <c r="I3604"/>
    </row>
    <row r="3605" spans="1:9" x14ac:dyDescent="0.3">
      <c r="A3605"/>
      <c r="B3605"/>
      <c r="C3605"/>
      <c r="D3605"/>
      <c r="E3605"/>
      <c r="F3605"/>
      <c r="I3605"/>
    </row>
    <row r="3606" spans="1:9" x14ac:dyDescent="0.3">
      <c r="A3606"/>
      <c r="B3606"/>
      <c r="C3606"/>
      <c r="D3606"/>
      <c r="E3606"/>
      <c r="F3606"/>
      <c r="I3606"/>
    </row>
    <row r="3607" spans="1:9" x14ac:dyDescent="0.3">
      <c r="A3607"/>
      <c r="B3607"/>
      <c r="C3607"/>
      <c r="D3607"/>
      <c r="E3607"/>
      <c r="F3607"/>
      <c r="I3607"/>
    </row>
    <row r="3608" spans="1:9" x14ac:dyDescent="0.3">
      <c r="A3608"/>
      <c r="B3608"/>
      <c r="C3608"/>
      <c r="D3608"/>
      <c r="E3608"/>
      <c r="F3608"/>
      <c r="I3608"/>
    </row>
    <row r="3609" spans="1:9" x14ac:dyDescent="0.3">
      <c r="A3609"/>
      <c r="B3609"/>
      <c r="C3609"/>
      <c r="D3609"/>
      <c r="E3609"/>
      <c r="F3609"/>
      <c r="I3609"/>
    </row>
    <row r="3610" spans="1:9" x14ac:dyDescent="0.3">
      <c r="A3610"/>
      <c r="B3610"/>
      <c r="C3610"/>
      <c r="D3610"/>
      <c r="E3610"/>
      <c r="F3610"/>
      <c r="I3610"/>
    </row>
    <row r="3611" spans="1:9" x14ac:dyDescent="0.3">
      <c r="A3611"/>
      <c r="B3611"/>
      <c r="C3611"/>
      <c r="D3611"/>
      <c r="E3611"/>
      <c r="F3611"/>
      <c r="I3611"/>
    </row>
    <row r="3612" spans="1:9" x14ac:dyDescent="0.3">
      <c r="A3612"/>
      <c r="B3612"/>
      <c r="C3612"/>
      <c r="D3612"/>
      <c r="E3612"/>
      <c r="F3612"/>
      <c r="I3612"/>
    </row>
    <row r="3613" spans="1:9" x14ac:dyDescent="0.3">
      <c r="A3613"/>
      <c r="B3613"/>
      <c r="C3613"/>
      <c r="D3613"/>
      <c r="E3613"/>
      <c r="F3613"/>
      <c r="I3613"/>
    </row>
    <row r="3614" spans="1:9" x14ac:dyDescent="0.3">
      <c r="A3614"/>
      <c r="B3614"/>
      <c r="C3614"/>
      <c r="D3614"/>
      <c r="E3614"/>
      <c r="F3614"/>
      <c r="I3614"/>
    </row>
    <row r="3615" spans="1:9" x14ac:dyDescent="0.3">
      <c r="A3615"/>
      <c r="B3615"/>
      <c r="C3615"/>
      <c r="D3615"/>
      <c r="E3615"/>
      <c r="F3615"/>
      <c r="I3615"/>
    </row>
    <row r="3616" spans="1:9" x14ac:dyDescent="0.3">
      <c r="A3616"/>
      <c r="B3616"/>
      <c r="C3616"/>
      <c r="D3616"/>
      <c r="E3616"/>
      <c r="F3616"/>
      <c r="I3616"/>
    </row>
    <row r="3617" spans="1:9" x14ac:dyDescent="0.3">
      <c r="A3617"/>
      <c r="B3617"/>
      <c r="C3617"/>
      <c r="D3617"/>
      <c r="E3617"/>
      <c r="F3617"/>
      <c r="I3617"/>
    </row>
    <row r="3618" spans="1:9" x14ac:dyDescent="0.3">
      <c r="A3618"/>
      <c r="B3618"/>
      <c r="C3618"/>
      <c r="D3618"/>
      <c r="E3618"/>
      <c r="F3618"/>
      <c r="I3618"/>
    </row>
    <row r="3619" spans="1:9" x14ac:dyDescent="0.3">
      <c r="A3619"/>
      <c r="B3619"/>
      <c r="C3619"/>
      <c r="D3619"/>
      <c r="E3619"/>
      <c r="F3619"/>
      <c r="I3619"/>
    </row>
    <row r="3620" spans="1:9" x14ac:dyDescent="0.3">
      <c r="A3620"/>
      <c r="B3620"/>
      <c r="C3620"/>
      <c r="D3620"/>
      <c r="E3620"/>
      <c r="F3620"/>
      <c r="I3620"/>
    </row>
    <row r="3621" spans="1:9" x14ac:dyDescent="0.3">
      <c r="A3621"/>
      <c r="B3621"/>
      <c r="C3621"/>
      <c r="D3621"/>
      <c r="E3621"/>
      <c r="F3621"/>
      <c r="I3621"/>
    </row>
    <row r="3622" spans="1:9" x14ac:dyDescent="0.3">
      <c r="A3622"/>
      <c r="B3622"/>
      <c r="C3622"/>
      <c r="D3622"/>
      <c r="E3622"/>
      <c r="F3622"/>
      <c r="I3622"/>
    </row>
    <row r="3623" spans="1:9" x14ac:dyDescent="0.3">
      <c r="A3623"/>
      <c r="B3623"/>
      <c r="C3623"/>
      <c r="D3623"/>
      <c r="E3623"/>
      <c r="F3623"/>
      <c r="I3623"/>
    </row>
    <row r="3624" spans="1:9" x14ac:dyDescent="0.3">
      <c r="A3624"/>
      <c r="B3624"/>
      <c r="C3624"/>
      <c r="D3624"/>
      <c r="E3624"/>
      <c r="F3624"/>
      <c r="I3624"/>
    </row>
    <row r="3625" spans="1:9" x14ac:dyDescent="0.3">
      <c r="A3625"/>
      <c r="B3625"/>
      <c r="C3625"/>
      <c r="D3625"/>
      <c r="E3625"/>
      <c r="F3625"/>
      <c r="I3625"/>
    </row>
    <row r="3626" spans="1:9" x14ac:dyDescent="0.3">
      <c r="A3626"/>
      <c r="B3626"/>
      <c r="C3626"/>
      <c r="D3626"/>
      <c r="E3626"/>
      <c r="F3626"/>
      <c r="I3626"/>
    </row>
    <row r="3627" spans="1:9" x14ac:dyDescent="0.3">
      <c r="A3627"/>
      <c r="B3627"/>
      <c r="C3627"/>
      <c r="D3627"/>
      <c r="E3627"/>
      <c r="F3627"/>
      <c r="I3627"/>
    </row>
    <row r="3628" spans="1:9" x14ac:dyDescent="0.3">
      <c r="A3628"/>
      <c r="B3628"/>
      <c r="C3628"/>
      <c r="D3628"/>
      <c r="E3628"/>
      <c r="F3628"/>
      <c r="I3628"/>
    </row>
    <row r="3629" spans="1:9" x14ac:dyDescent="0.3">
      <c r="A3629"/>
      <c r="B3629"/>
      <c r="C3629"/>
      <c r="D3629"/>
      <c r="E3629"/>
      <c r="F3629"/>
      <c r="I3629"/>
    </row>
    <row r="3630" spans="1:9" x14ac:dyDescent="0.3">
      <c r="A3630"/>
      <c r="B3630"/>
      <c r="C3630"/>
      <c r="D3630"/>
      <c r="E3630"/>
      <c r="F3630"/>
      <c r="I3630"/>
    </row>
    <row r="3631" spans="1:9" x14ac:dyDescent="0.3">
      <c r="A3631"/>
      <c r="B3631"/>
      <c r="C3631"/>
      <c r="D3631"/>
      <c r="E3631"/>
      <c r="F3631"/>
      <c r="I3631"/>
    </row>
    <row r="3632" spans="1:9" x14ac:dyDescent="0.3">
      <c r="A3632"/>
      <c r="B3632"/>
      <c r="C3632"/>
      <c r="D3632"/>
      <c r="E3632"/>
      <c r="F3632"/>
      <c r="I3632"/>
    </row>
    <row r="3633" spans="1:9" x14ac:dyDescent="0.3">
      <c r="A3633"/>
      <c r="B3633"/>
      <c r="C3633"/>
      <c r="D3633"/>
      <c r="E3633"/>
      <c r="F3633"/>
      <c r="I3633"/>
    </row>
    <row r="3634" spans="1:9" x14ac:dyDescent="0.3">
      <c r="A3634"/>
      <c r="B3634"/>
      <c r="C3634"/>
      <c r="D3634"/>
      <c r="E3634"/>
      <c r="F3634"/>
      <c r="I3634"/>
    </row>
    <row r="3635" spans="1:9" x14ac:dyDescent="0.3">
      <c r="A3635"/>
      <c r="B3635"/>
      <c r="C3635"/>
      <c r="D3635"/>
      <c r="E3635"/>
      <c r="F3635"/>
      <c r="I3635"/>
    </row>
    <row r="3636" spans="1:9" x14ac:dyDescent="0.3">
      <c r="A3636"/>
      <c r="B3636"/>
      <c r="C3636"/>
      <c r="D3636"/>
      <c r="E3636"/>
      <c r="F3636"/>
      <c r="I3636"/>
    </row>
    <row r="3637" spans="1:9" x14ac:dyDescent="0.3">
      <c r="A3637"/>
      <c r="B3637"/>
      <c r="C3637"/>
      <c r="D3637"/>
      <c r="E3637"/>
      <c r="F3637"/>
      <c r="I3637"/>
    </row>
    <row r="3638" spans="1:9" x14ac:dyDescent="0.3">
      <c r="A3638" s="83"/>
      <c r="B3638" s="83"/>
      <c r="C3638" s="84"/>
      <c r="D3638" s="84"/>
      <c r="E3638" s="85"/>
      <c r="F3638" s="86"/>
    </row>
    <row r="3639" spans="1:9" ht="14" x14ac:dyDescent="0.35">
      <c r="E3639" s="72"/>
    </row>
    <row r="3640" spans="1:9" ht="14" x14ac:dyDescent="0.35">
      <c r="E3640" s="73"/>
    </row>
  </sheetData>
  <dataConsolidate link="1"/>
  <conditionalFormatting sqref="N17:O20">
    <cfRule type="dataBar" priority="3">
      <dataBar>
        <cfvo type="min"/>
        <cfvo type="max"/>
        <color rgb="FF638EC6"/>
      </dataBar>
      <extLst>
        <ext xmlns:x14="http://schemas.microsoft.com/office/spreadsheetml/2009/9/main" uri="{B025F937-C7B1-47D3-B67F-A62EFF666E3E}">
          <x14:id>{1A944B6C-F019-4746-AE24-C4ADA9F87E87}</x14:id>
        </ext>
      </extLst>
    </cfRule>
  </conditionalFormatting>
  <conditionalFormatting sqref="X15:X22">
    <cfRule type="colorScale" priority="1">
      <colorScale>
        <cfvo type="min"/>
        <cfvo type="percentile" val="50"/>
        <cfvo type="max"/>
        <color rgb="FFF8696B"/>
        <color rgb="FFFCFCFF"/>
        <color rgb="FF63BE7B"/>
      </colorScale>
    </cfRule>
    <cfRule type="dataBar" priority="2">
      <dataBar>
        <cfvo type="min"/>
        <cfvo type="max"/>
        <color rgb="FF638EC6"/>
      </dataBar>
      <extLst>
        <ext xmlns:x14="http://schemas.microsoft.com/office/spreadsheetml/2009/9/main" uri="{B025F937-C7B1-47D3-B67F-A62EFF666E3E}">
          <x14:id>{CBAD6753-0AEB-426C-811E-4CAD134CD028}</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A944B6C-F019-4746-AE24-C4ADA9F87E87}">
            <x14:dataBar minLength="0" maxLength="100" gradient="0">
              <x14:cfvo type="autoMin"/>
              <x14:cfvo type="autoMax"/>
              <x14:negativeFillColor rgb="FFFF0000"/>
              <x14:axisColor rgb="FF000000"/>
            </x14:dataBar>
          </x14:cfRule>
          <xm:sqref>N17:O20</xm:sqref>
        </x14:conditionalFormatting>
        <x14:conditionalFormatting xmlns:xm="http://schemas.microsoft.com/office/excel/2006/main">
          <x14:cfRule type="dataBar" id="{CBAD6753-0AEB-426C-811E-4CAD134CD028}">
            <x14:dataBar minLength="0" maxLength="100" gradient="0">
              <x14:cfvo type="autoMin"/>
              <x14:cfvo type="autoMax"/>
              <x14:negativeFillColor rgb="FFFF0000"/>
              <x14:axisColor rgb="FF000000"/>
            </x14:dataBar>
          </x14:cfRule>
          <xm:sqref>X15:X22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Dashboard</vt:lpstr>
      <vt:lpstr>Interactive Dashborad </vt:lpstr>
      <vt:lpstr>Combined Pivot </vt:lpstr>
      <vt:lpstr> Dashboard </vt:lpstr>
      <vt:lpstr>Pivot 2</vt:lpstr>
      <vt:lpstr>Pivot</vt:lpstr>
      <vt:lpstr>index_1</vt:lpstr>
      <vt:lpstr>Footfall</vt:lpstr>
      <vt:lpstr>Quarters</vt:lpstr>
      <vt:lpstr>week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Blacqmann</dc:creator>
  <cp:lastModifiedBy>oluwaseyi Blacqmann</cp:lastModifiedBy>
  <cp:lastPrinted>2025-04-27T13:30:01Z</cp:lastPrinted>
  <dcterms:created xsi:type="dcterms:W3CDTF">2025-05-12T16:34:40Z</dcterms:created>
  <dcterms:modified xsi:type="dcterms:W3CDTF">2026-01-12T13:27:28Z</dcterms:modified>
</cp:coreProperties>
</file>